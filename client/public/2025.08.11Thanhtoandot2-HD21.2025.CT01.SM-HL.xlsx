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guyễn Mạnh Đạt\Sunshine\Sunshine\"/>
    </mc:Choice>
  </mc:AlternateContent>
  <xr:revisionPtr revIDLastSave="0" documentId="13_ncr:1_{00893DE8-6B47-4DFC-B73E-E22172FAD023}" xr6:coauthVersionLast="47" xr6:coauthVersionMax="47" xr10:uidLastSave="{00000000-0000-0000-0000-000000000000}"/>
  <bookViews>
    <workbookView xWindow="-120" yWindow="-120" windowWidth="29040" windowHeight="15720" tabRatio="932" firstSheet="3" activeTab="14" xr2:uid="{348A7C4E-9422-4236-9C25-EDEEBA925462}"/>
  </bookViews>
  <sheets>
    <sheet name="foxz" sheetId="23" state="veryHidden" r:id="rId1"/>
    <sheet name="01-Bia" sheetId="90" r:id="rId2"/>
    <sheet name="01-Công văn " sheetId="27" r:id="rId3"/>
    <sheet name="02.1-ĐNTT" sheetId="88" r:id="rId4"/>
    <sheet name="02.2 ĐNTT" sheetId="167" r:id="rId5"/>
    <sheet name="03-GTHT DOT..." sheetId="87" r:id="rId6"/>
    <sheet name="04-THKL DOT..." sheetId="86" r:id="rId7"/>
    <sheet name="CTKL DOT..." sheetId="84" r:id="rId8"/>
    <sheet name="đối trừ đợt 2" sheetId="177" r:id="rId9"/>
    <sheet name="thép dầm bồn cây" sheetId="172" r:id="rId10"/>
    <sheet name="thép vách giếng gió" sheetId="178" r:id="rId11"/>
    <sheet name="thép vách bồn cây" sheetId="173" r:id="rId12"/>
    <sheet name="thép sàn bồn cây" sheetId="175" r:id="rId13"/>
    <sheet name="thép dầm bể bơi" sheetId="180" r:id="rId14"/>
    <sheet name="thép vách bể bơi" sheetId="181" r:id="rId15"/>
    <sheet name="thép sàn bể bơi" sheetId="179" r:id="rId16"/>
    <sheet name="tổng hợp thép" sheetId="176" state="hidden" r:id="rId17"/>
  </sheets>
  <definedNames>
    <definedName name="\Q">#REF!</definedName>
    <definedName name="\S">#REF!</definedName>
    <definedName name="\W">#REF!</definedName>
    <definedName name="\x">#REF!</definedName>
    <definedName name="_??" localSheetId="1">BlankMacro1</definedName>
    <definedName name="_??" localSheetId="4">BlankMacro1</definedName>
    <definedName name="_??" localSheetId="13">BlankMacro1</definedName>
    <definedName name="_??" localSheetId="15">BlankMacro1</definedName>
    <definedName name="_??" localSheetId="12">BlankMacro1</definedName>
    <definedName name="_??" localSheetId="14">BlankMacro1</definedName>
    <definedName name="_??" localSheetId="11">BlankMacro1</definedName>
    <definedName name="_??" localSheetId="10">BlankMacro1</definedName>
    <definedName name="_??">BlankMacro1</definedName>
    <definedName name="_??????1" localSheetId="1">BlankMacro1</definedName>
    <definedName name="_??????1" localSheetId="4">BlankMacro1</definedName>
    <definedName name="_??????1" localSheetId="13">BlankMacro1</definedName>
    <definedName name="_??????1" localSheetId="15">BlankMacro1</definedName>
    <definedName name="_??????1" localSheetId="12">BlankMacro1</definedName>
    <definedName name="_??????1" localSheetId="14">BlankMacro1</definedName>
    <definedName name="_??????1" localSheetId="11">BlankMacro1</definedName>
    <definedName name="_??????1" localSheetId="10">BlankMacro1</definedName>
    <definedName name="_??????1">BlankMacro1</definedName>
    <definedName name="_??????2" localSheetId="1">BlankMacro1</definedName>
    <definedName name="_??????2" localSheetId="4">BlankMacro1</definedName>
    <definedName name="_??????2" localSheetId="13">BlankMacro1</definedName>
    <definedName name="_??????2" localSheetId="15">BlankMacro1</definedName>
    <definedName name="_??????2" localSheetId="12">BlankMacro1</definedName>
    <definedName name="_??????2" localSheetId="14">BlankMacro1</definedName>
    <definedName name="_??????2" localSheetId="11">BlankMacro1</definedName>
    <definedName name="_??????2" localSheetId="10">BlankMacro1</definedName>
    <definedName name="_??????2">BlankMacro1</definedName>
    <definedName name="_??????3" localSheetId="1">BlankMacro1</definedName>
    <definedName name="_??????3" localSheetId="4">BlankMacro1</definedName>
    <definedName name="_??????3" localSheetId="13">BlankMacro1</definedName>
    <definedName name="_??????3" localSheetId="15">BlankMacro1</definedName>
    <definedName name="_??????3" localSheetId="12">BlankMacro1</definedName>
    <definedName name="_??????3" localSheetId="14">BlankMacro1</definedName>
    <definedName name="_??????3" localSheetId="11">BlankMacro1</definedName>
    <definedName name="_??????3" localSheetId="10">BlankMacro1</definedName>
    <definedName name="_??????3">BlankMacro1</definedName>
    <definedName name="_??????4" localSheetId="1">BlankMacro1</definedName>
    <definedName name="_??????4" localSheetId="4">BlankMacro1</definedName>
    <definedName name="_??????4" localSheetId="13">BlankMacro1</definedName>
    <definedName name="_??????4" localSheetId="15">BlankMacro1</definedName>
    <definedName name="_??????4" localSheetId="12">BlankMacro1</definedName>
    <definedName name="_??????4" localSheetId="14">BlankMacro1</definedName>
    <definedName name="_??????4" localSheetId="11">BlankMacro1</definedName>
    <definedName name="_??????4" localSheetId="10">BlankMacro1</definedName>
    <definedName name="_??????4">BlankMacro1</definedName>
    <definedName name="_??????5" localSheetId="1">BlankMacro1</definedName>
    <definedName name="_??????5" localSheetId="4">BlankMacro1</definedName>
    <definedName name="_??????5" localSheetId="13">BlankMacro1</definedName>
    <definedName name="_??????5" localSheetId="15">BlankMacro1</definedName>
    <definedName name="_??????5" localSheetId="12">BlankMacro1</definedName>
    <definedName name="_??????5" localSheetId="14">BlankMacro1</definedName>
    <definedName name="_??????5" localSheetId="11">BlankMacro1</definedName>
    <definedName name="_??????5" localSheetId="10">BlankMacro1</definedName>
    <definedName name="_??????5">BlankMacro1</definedName>
    <definedName name="_??????6" localSheetId="1">BlankMacro1</definedName>
    <definedName name="_??????6" localSheetId="4">BlankMacro1</definedName>
    <definedName name="_??????6" localSheetId="13">BlankMacro1</definedName>
    <definedName name="_??????6" localSheetId="15">BlankMacro1</definedName>
    <definedName name="_??????6" localSheetId="12">BlankMacro1</definedName>
    <definedName name="_??????6" localSheetId="14">BlankMacro1</definedName>
    <definedName name="_??????6" localSheetId="11">BlankMacro1</definedName>
    <definedName name="_??????6" localSheetId="10">BlankMacro1</definedName>
    <definedName name="_??????6">BlankMacro1</definedName>
    <definedName name="__" hidden="1">#REF!</definedName>
    <definedName name="__??" localSheetId="1">BlankMacro1</definedName>
    <definedName name="__??" localSheetId="4">BlankMacro1</definedName>
    <definedName name="__??" localSheetId="13">BlankMacro1</definedName>
    <definedName name="__??" localSheetId="15">BlankMacro1</definedName>
    <definedName name="__??" localSheetId="12">BlankMacro1</definedName>
    <definedName name="__??" localSheetId="14">BlankMacro1</definedName>
    <definedName name="__??" localSheetId="11">BlankMacro1</definedName>
    <definedName name="__??" localSheetId="10">BlankMacro1</definedName>
    <definedName name="__??">BlankMacro1</definedName>
    <definedName name="__??????1" localSheetId="1">BlankMacro1</definedName>
    <definedName name="__??????1" localSheetId="4">BlankMacro1</definedName>
    <definedName name="__??????1" localSheetId="13">BlankMacro1</definedName>
    <definedName name="__??????1" localSheetId="15">BlankMacro1</definedName>
    <definedName name="__??????1" localSheetId="12">BlankMacro1</definedName>
    <definedName name="__??????1" localSheetId="14">BlankMacro1</definedName>
    <definedName name="__??????1" localSheetId="11">BlankMacro1</definedName>
    <definedName name="__??????1" localSheetId="10">BlankMacro1</definedName>
    <definedName name="__??????1">BlankMacro1</definedName>
    <definedName name="__??????2" localSheetId="1">BlankMacro1</definedName>
    <definedName name="__??????2" localSheetId="4">BlankMacro1</definedName>
    <definedName name="__??????2" localSheetId="13">BlankMacro1</definedName>
    <definedName name="__??????2" localSheetId="15">BlankMacro1</definedName>
    <definedName name="__??????2" localSheetId="12">BlankMacro1</definedName>
    <definedName name="__??????2" localSheetId="14">BlankMacro1</definedName>
    <definedName name="__??????2" localSheetId="11">BlankMacro1</definedName>
    <definedName name="__??????2" localSheetId="10">BlankMacro1</definedName>
    <definedName name="__??????2">BlankMacro1</definedName>
    <definedName name="__??????3" localSheetId="1">BlankMacro1</definedName>
    <definedName name="__??????3" localSheetId="4">BlankMacro1</definedName>
    <definedName name="__??????3" localSheetId="13">BlankMacro1</definedName>
    <definedName name="__??????3" localSheetId="15">BlankMacro1</definedName>
    <definedName name="__??????3" localSheetId="12">BlankMacro1</definedName>
    <definedName name="__??????3" localSheetId="14">BlankMacro1</definedName>
    <definedName name="__??????3" localSheetId="11">BlankMacro1</definedName>
    <definedName name="__??????3" localSheetId="10">BlankMacro1</definedName>
    <definedName name="__??????3">BlankMacro1</definedName>
    <definedName name="__??????4" localSheetId="1">BlankMacro1</definedName>
    <definedName name="__??????4" localSheetId="4">BlankMacro1</definedName>
    <definedName name="__??????4" localSheetId="13">BlankMacro1</definedName>
    <definedName name="__??????4" localSheetId="15">BlankMacro1</definedName>
    <definedName name="__??????4" localSheetId="12">BlankMacro1</definedName>
    <definedName name="__??????4" localSheetId="14">BlankMacro1</definedName>
    <definedName name="__??????4" localSheetId="11">BlankMacro1</definedName>
    <definedName name="__??????4" localSheetId="10">BlankMacro1</definedName>
    <definedName name="__??????4">BlankMacro1</definedName>
    <definedName name="__??????5" localSheetId="1">BlankMacro1</definedName>
    <definedName name="__??????5" localSheetId="4">BlankMacro1</definedName>
    <definedName name="__??????5" localSheetId="13">BlankMacro1</definedName>
    <definedName name="__??????5" localSheetId="15">BlankMacro1</definedName>
    <definedName name="__??????5" localSheetId="12">BlankMacro1</definedName>
    <definedName name="__??????5" localSheetId="14">BlankMacro1</definedName>
    <definedName name="__??????5" localSheetId="11">BlankMacro1</definedName>
    <definedName name="__??????5" localSheetId="10">BlankMacro1</definedName>
    <definedName name="__??????5">BlankMacro1</definedName>
    <definedName name="__??????6" localSheetId="1">BlankMacro1</definedName>
    <definedName name="__??????6" localSheetId="4">BlankMacro1</definedName>
    <definedName name="__??????6" localSheetId="13">BlankMacro1</definedName>
    <definedName name="__??????6" localSheetId="15">BlankMacro1</definedName>
    <definedName name="__??????6" localSheetId="12">BlankMacro1</definedName>
    <definedName name="__??????6" localSheetId="14">BlankMacro1</definedName>
    <definedName name="__??????6" localSheetId="11">BlankMacro1</definedName>
    <definedName name="__??????6" localSheetId="10">BlankMacro1</definedName>
    <definedName name="__??????6">BlankMacro1</definedName>
    <definedName name="_________________________________________________________________________________________________________tu4" localSheetId="1" hidden="1">{"'Sheet1'!$L$16"}</definedName>
    <definedName name="____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____tu4" localSheetId="4" hidden="1">{"'Sheet1'!$L$16"}</definedName>
    <definedName name="_________________________________________________________________________________________________________tu4" localSheetId="5" hidden="1">{"'Sheet1'!$L$16"}</definedName>
    <definedName name="_________________________________________________________________________________________________________tu4" localSheetId="7" hidden="1">{"'Sheet1'!$L$16"}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localSheetId="1" hidden="1">{"'Sheet1'!$L$16"}</definedName>
    <definedName name="__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__tu4" localSheetId="4" hidden="1">{"'Sheet1'!$L$16"}</definedName>
    <definedName name="_______________________________________________________________________________________________________tu4" localSheetId="5" hidden="1">{"'Sheet1'!$L$16"}</definedName>
    <definedName name="_______________________________________________________________________________________________________tu4" localSheetId="7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localSheetId="1" hidden="1">{"'Sheet1'!$L$16"}</definedName>
    <definedName name="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tu4" localSheetId="4" hidden="1">{"'Sheet1'!$L$16"}</definedName>
    <definedName name="_____________________________________________________________________________________________________tu4" localSheetId="5" hidden="1">{"'Sheet1'!$L$16"}</definedName>
    <definedName name="_____________________________________________________________________________________________________tu4" localSheetId="7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localSheetId="1" hidden="1">{"'Sheet1'!$L$16"}</definedName>
    <definedName name="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tu4" localSheetId="4" hidden="1">{"'Sheet1'!$L$16"}</definedName>
    <definedName name="___________________________________________________________________________________________________tu4" localSheetId="5" hidden="1">{"'Sheet1'!$L$16"}</definedName>
    <definedName name="___________________________________________________________________________________________________tu4" localSheetId="7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localSheetId="1" hidden="1">{"'Sheet1'!$L$16"}</definedName>
    <definedName name="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tu4" localSheetId="4" hidden="1">{"'Sheet1'!$L$16"}</definedName>
    <definedName name="_________________________________________________________________________________________________tu4" localSheetId="5" hidden="1">{"'Sheet1'!$L$16"}</definedName>
    <definedName name="_________________________________________________________________________________________________tu4" localSheetId="7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localSheetId="1" hidden="1">{"'Sheet1'!$L$16"}</definedName>
    <definedName name="_______________________________________________________________________________________________tu4" localSheetId="3" hidden="1">{"'Sheet1'!$L$16"}</definedName>
    <definedName name="_______________________________________________________________________________________________tu4" localSheetId="4" hidden="1">{"'Sheet1'!$L$16"}</definedName>
    <definedName name="_______________________________________________________________________________________________tu4" localSheetId="5" hidden="1">{"'Sheet1'!$L$16"}</definedName>
    <definedName name="_______________________________________________________________________________________________tu4" localSheetId="7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localSheetId="1" hidden="1">{"'Sheet1'!$L$16"}</definedName>
    <definedName name="_____________________________________________________________________________________________tu4" localSheetId="3" hidden="1">{"'Sheet1'!$L$16"}</definedName>
    <definedName name="_____________________________________________________________________________________________tu4" localSheetId="4" hidden="1">{"'Sheet1'!$L$16"}</definedName>
    <definedName name="_____________________________________________________________________________________________tu4" localSheetId="5" hidden="1">{"'Sheet1'!$L$16"}</definedName>
    <definedName name="_____________________________________________________________________________________________tu4" localSheetId="7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localSheetId="1" hidden="1">{"'Sheet1'!$L$16"}</definedName>
    <definedName name="___________________________________________________________________________________________tu4" localSheetId="3" hidden="1">{"'Sheet1'!$L$16"}</definedName>
    <definedName name="___________________________________________________________________________________________tu4" localSheetId="4" hidden="1">{"'Sheet1'!$L$16"}</definedName>
    <definedName name="___________________________________________________________________________________________tu4" localSheetId="5" hidden="1">{"'Sheet1'!$L$16"}</definedName>
    <definedName name="___________________________________________________________________________________________tu4" localSheetId="7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localSheetId="1" hidden="1">{"'Sheet1'!$L$16"}</definedName>
    <definedName name="_________________________________________________________________________________________tu4" localSheetId="3" hidden="1">{"'Sheet1'!$L$16"}</definedName>
    <definedName name="_________________________________________________________________________________________tu4" localSheetId="4" hidden="1">{"'Sheet1'!$L$16"}</definedName>
    <definedName name="_________________________________________________________________________________________tu4" localSheetId="5" hidden="1">{"'Sheet1'!$L$16"}</definedName>
    <definedName name="_________________________________________________________________________________________tu4" localSheetId="7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localSheetId="1" hidden="1">{"'Sheet1'!$L$16"}</definedName>
    <definedName name="_______________________________________________________________________________________tu4" localSheetId="3" hidden="1">{"'Sheet1'!$L$16"}</definedName>
    <definedName name="_______________________________________________________________________________________tu4" localSheetId="4" hidden="1">{"'Sheet1'!$L$16"}</definedName>
    <definedName name="_______________________________________________________________________________________tu4" localSheetId="5" hidden="1">{"'Sheet1'!$L$16"}</definedName>
    <definedName name="_______________________________________________________________________________________tu4" localSheetId="7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localSheetId="1" hidden="1">{"'Sheet1'!$L$16"}</definedName>
    <definedName name="_____________________________________________________________________________________tu4" localSheetId="3" hidden="1">{"'Sheet1'!$L$16"}</definedName>
    <definedName name="_____________________________________________________________________________________tu4" localSheetId="4" hidden="1">{"'Sheet1'!$L$16"}</definedName>
    <definedName name="_____________________________________________________________________________________tu4" localSheetId="5" hidden="1">{"'Sheet1'!$L$16"}</definedName>
    <definedName name="_____________________________________________________________________________________tu4" localSheetId="7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localSheetId="1" hidden="1">{"'Sheet1'!$L$16"}</definedName>
    <definedName name="___________________________________________________________________________________tu4" localSheetId="3" hidden="1">{"'Sheet1'!$L$16"}</definedName>
    <definedName name="___________________________________________________________________________________tu4" localSheetId="4" hidden="1">{"'Sheet1'!$L$16"}</definedName>
    <definedName name="___________________________________________________________________________________tu4" localSheetId="5" hidden="1">{"'Sheet1'!$L$16"}</definedName>
    <definedName name="___________________________________________________________________________________tu4" localSheetId="7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localSheetId="1" hidden="1">{"'Sheet1'!$L$16"}</definedName>
    <definedName name="_________________________________________________________________________________tu4" localSheetId="3" hidden="1">{"'Sheet1'!$L$16"}</definedName>
    <definedName name="_________________________________________________________________________________tu4" localSheetId="4" hidden="1">{"'Sheet1'!$L$16"}</definedName>
    <definedName name="_________________________________________________________________________________tu4" localSheetId="5" hidden="1">{"'Sheet1'!$L$16"}</definedName>
    <definedName name="_________________________________________________________________________________tu4" localSheetId="7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localSheetId="1" hidden="1">{"'Sheet1'!$L$16"}</definedName>
    <definedName name="_______________________________________________________________________________tu4" localSheetId="3" hidden="1">{"'Sheet1'!$L$16"}</definedName>
    <definedName name="_______________________________________________________________________________tu4" localSheetId="4" hidden="1">{"'Sheet1'!$L$16"}</definedName>
    <definedName name="_______________________________________________________________________________tu4" localSheetId="5" hidden="1">{"'Sheet1'!$L$16"}</definedName>
    <definedName name="_______________________________________________________________________________tu4" localSheetId="7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localSheetId="1" hidden="1">{"'Sheet1'!$L$16"}</definedName>
    <definedName name="_____________________________________________________________________________tu4" localSheetId="3" hidden="1">{"'Sheet1'!$L$16"}</definedName>
    <definedName name="_____________________________________________________________________________tu4" localSheetId="4" hidden="1">{"'Sheet1'!$L$16"}</definedName>
    <definedName name="_____________________________________________________________________________tu4" localSheetId="5" hidden="1">{"'Sheet1'!$L$16"}</definedName>
    <definedName name="_____________________________________________________________________________tu4" localSheetId="7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localSheetId="1" hidden="1">{"'Sheet1'!$L$16"}</definedName>
    <definedName name="___________________________________________________________________________tu4" localSheetId="3" hidden="1">{"'Sheet1'!$L$16"}</definedName>
    <definedName name="___________________________________________________________________________tu4" localSheetId="4" hidden="1">{"'Sheet1'!$L$16"}</definedName>
    <definedName name="___________________________________________________________________________tu4" localSheetId="5" hidden="1">{"'Sheet1'!$L$16"}</definedName>
    <definedName name="___________________________________________________________________________tu4" localSheetId="7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localSheetId="1" hidden="1">{"'Sheet1'!$L$16"}</definedName>
    <definedName name="_________________________________________________________________________tu4" localSheetId="3" hidden="1">{"'Sheet1'!$L$16"}</definedName>
    <definedName name="_________________________________________________________________________tu4" localSheetId="4" hidden="1">{"'Sheet1'!$L$16"}</definedName>
    <definedName name="_________________________________________________________________________tu4" localSheetId="5" hidden="1">{"'Sheet1'!$L$16"}</definedName>
    <definedName name="_________________________________________________________________________tu4" localSheetId="7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localSheetId="1" hidden="1">{"'Sheet1'!$L$16"}</definedName>
    <definedName name="_______________________________________________________________________tu4" localSheetId="3" hidden="1">{"'Sheet1'!$L$16"}</definedName>
    <definedName name="_______________________________________________________________________tu4" localSheetId="4" hidden="1">{"'Sheet1'!$L$16"}</definedName>
    <definedName name="_______________________________________________________________________tu4" localSheetId="5" hidden="1">{"'Sheet1'!$L$16"}</definedName>
    <definedName name="_______________________________________________________________________tu4" localSheetId="7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localSheetId="1" hidden="1">{"'Sheet1'!$L$16"}</definedName>
    <definedName name="_____________________________________________________________________tu4" localSheetId="3" hidden="1">{"'Sheet1'!$L$16"}</definedName>
    <definedName name="_____________________________________________________________________tu4" localSheetId="4" hidden="1">{"'Sheet1'!$L$16"}</definedName>
    <definedName name="_____________________________________________________________________tu4" localSheetId="5" hidden="1">{"'Sheet1'!$L$16"}</definedName>
    <definedName name="_____________________________________________________________________tu4" localSheetId="7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localSheetId="1" hidden="1">{"'Sheet1'!$L$16"}</definedName>
    <definedName name="___________________________________________________________________tu4" localSheetId="3" hidden="1">{"'Sheet1'!$L$16"}</definedName>
    <definedName name="___________________________________________________________________tu4" localSheetId="4" hidden="1">{"'Sheet1'!$L$16"}</definedName>
    <definedName name="___________________________________________________________________tu4" localSheetId="5" hidden="1">{"'Sheet1'!$L$16"}</definedName>
    <definedName name="___________________________________________________________________tu4" localSheetId="7" hidden="1">{"'Sheet1'!$L$16"}</definedName>
    <definedName name="___________________________________________________________________tu4" hidden="1">{"'Sheet1'!$L$16"}</definedName>
    <definedName name="_________________________________________________________________tu4" localSheetId="1" hidden="1">{"'Sheet1'!$L$16"}</definedName>
    <definedName name="_________________________________________________________________tu4" localSheetId="3" hidden="1">{"'Sheet1'!$L$16"}</definedName>
    <definedName name="_________________________________________________________________tu4" localSheetId="4" hidden="1">{"'Sheet1'!$L$16"}</definedName>
    <definedName name="_________________________________________________________________tu4" localSheetId="5" hidden="1">{"'Sheet1'!$L$16"}</definedName>
    <definedName name="_________________________________________________________________tu4" localSheetId="7" hidden="1">{"'Sheet1'!$L$16"}</definedName>
    <definedName name="_________________________________________________________________tu4" hidden="1">{"'Sheet1'!$L$16"}</definedName>
    <definedName name="_______________________________________________________________tu4" localSheetId="1" hidden="1">{"'Sheet1'!$L$16"}</definedName>
    <definedName name="_______________________________________________________________tu4" localSheetId="3" hidden="1">{"'Sheet1'!$L$16"}</definedName>
    <definedName name="_______________________________________________________________tu4" localSheetId="4" hidden="1">{"'Sheet1'!$L$16"}</definedName>
    <definedName name="_______________________________________________________________tu4" localSheetId="5" hidden="1">{"'Sheet1'!$L$16"}</definedName>
    <definedName name="_______________________________________________________________tu4" localSheetId="7" hidden="1">{"'Sheet1'!$L$16"}</definedName>
    <definedName name="_______________________________________________________________tu4" hidden="1">{"'Sheet1'!$L$16"}</definedName>
    <definedName name="_____________________________________________________________tu4" localSheetId="1" hidden="1">{"'Sheet1'!$L$16"}</definedName>
    <definedName name="_____________________________________________________________tu4" localSheetId="3" hidden="1">{"'Sheet1'!$L$16"}</definedName>
    <definedName name="_____________________________________________________________tu4" localSheetId="4" hidden="1">{"'Sheet1'!$L$16"}</definedName>
    <definedName name="_____________________________________________________________tu4" localSheetId="5" hidden="1">{"'Sheet1'!$L$16"}</definedName>
    <definedName name="_____________________________________________________________tu4" localSheetId="7" hidden="1">{"'Sheet1'!$L$16"}</definedName>
    <definedName name="_____________________________________________________________tu4" hidden="1">{"'Sheet1'!$L$16"}</definedName>
    <definedName name="___________________________________________________________tu4" localSheetId="1" hidden="1">{"'Sheet1'!$L$16"}</definedName>
    <definedName name="___________________________________________________________tu4" localSheetId="3" hidden="1">{"'Sheet1'!$L$16"}</definedName>
    <definedName name="___________________________________________________________tu4" localSheetId="4" hidden="1">{"'Sheet1'!$L$16"}</definedName>
    <definedName name="___________________________________________________________tu4" localSheetId="5" hidden="1">{"'Sheet1'!$L$16"}</definedName>
    <definedName name="___________________________________________________________tu4" localSheetId="7" hidden="1">{"'Sheet1'!$L$16"}</definedName>
    <definedName name="___________________________________________________________tu4" hidden="1">{"'Sheet1'!$L$16"}</definedName>
    <definedName name="_________________________________________________________tu4" localSheetId="1" hidden="1">{"'Sheet1'!$L$16"}</definedName>
    <definedName name="_________________________________________________________tu4" localSheetId="3" hidden="1">{"'Sheet1'!$L$16"}</definedName>
    <definedName name="_________________________________________________________tu4" localSheetId="4" hidden="1">{"'Sheet1'!$L$16"}</definedName>
    <definedName name="_________________________________________________________tu4" localSheetId="5" hidden="1">{"'Sheet1'!$L$16"}</definedName>
    <definedName name="_________________________________________________________tu4" localSheetId="7" hidden="1">{"'Sheet1'!$L$16"}</definedName>
    <definedName name="_________________________________________________________tu4" hidden="1">{"'Sheet1'!$L$16"}</definedName>
    <definedName name="_______________________________________________________tu4" localSheetId="1" hidden="1">{"'Sheet1'!$L$16"}</definedName>
    <definedName name="_______________________________________________________tu4" localSheetId="3" hidden="1">{"'Sheet1'!$L$16"}</definedName>
    <definedName name="_______________________________________________________tu4" localSheetId="4" hidden="1">{"'Sheet1'!$L$16"}</definedName>
    <definedName name="_______________________________________________________tu4" localSheetId="5" hidden="1">{"'Sheet1'!$L$16"}</definedName>
    <definedName name="_______________________________________________________tu4" localSheetId="7" hidden="1">{"'Sheet1'!$L$16"}</definedName>
    <definedName name="_______________________________________________________tu4" hidden="1">{"'Sheet1'!$L$16"}</definedName>
    <definedName name="_____________________________________________________tu4" localSheetId="1" hidden="1">{"'Sheet1'!$L$16"}</definedName>
    <definedName name="_____________________________________________________tu4" localSheetId="3" hidden="1">{"'Sheet1'!$L$16"}</definedName>
    <definedName name="_____________________________________________________tu4" localSheetId="4" hidden="1">{"'Sheet1'!$L$16"}</definedName>
    <definedName name="_____________________________________________________tu4" localSheetId="5" hidden="1">{"'Sheet1'!$L$16"}</definedName>
    <definedName name="_____________________________________________________tu4" localSheetId="7" hidden="1">{"'Sheet1'!$L$16"}</definedName>
    <definedName name="_____________________________________________________tu4" hidden="1">{"'Sheet1'!$L$16"}</definedName>
    <definedName name="___________________________________________________tu4" localSheetId="1" hidden="1">{"'Sheet1'!$L$16"}</definedName>
    <definedName name="___________________________________________________tu4" localSheetId="3" hidden="1">{"'Sheet1'!$L$16"}</definedName>
    <definedName name="___________________________________________________tu4" localSheetId="4" hidden="1">{"'Sheet1'!$L$16"}</definedName>
    <definedName name="___________________________________________________tu4" localSheetId="5" hidden="1">{"'Sheet1'!$L$16"}</definedName>
    <definedName name="___________________________________________________tu4" localSheetId="7" hidden="1">{"'Sheet1'!$L$16"}</definedName>
    <definedName name="___________________________________________________tu4" hidden="1">{"'Sheet1'!$L$16"}</definedName>
    <definedName name="_________________________________________________tu4" localSheetId="1" hidden="1">{"'Sheet1'!$L$16"}</definedName>
    <definedName name="_________________________________________________tu4" localSheetId="3" hidden="1">{"'Sheet1'!$L$16"}</definedName>
    <definedName name="_________________________________________________tu4" localSheetId="4" hidden="1">{"'Sheet1'!$L$16"}</definedName>
    <definedName name="_________________________________________________tu4" localSheetId="5" hidden="1">{"'Sheet1'!$L$16"}</definedName>
    <definedName name="_________________________________________________tu4" localSheetId="7" hidden="1">{"'Sheet1'!$L$16"}</definedName>
    <definedName name="_________________________________________________tu4" hidden="1">{"'Sheet1'!$L$16"}</definedName>
    <definedName name="_______________________________________________tu4" localSheetId="1" hidden="1">{"'Sheet1'!$L$16"}</definedName>
    <definedName name="_______________________________________________tu4" localSheetId="3" hidden="1">{"'Sheet1'!$L$16"}</definedName>
    <definedName name="_______________________________________________tu4" localSheetId="4" hidden="1">{"'Sheet1'!$L$16"}</definedName>
    <definedName name="_______________________________________________tu4" localSheetId="5" hidden="1">{"'Sheet1'!$L$16"}</definedName>
    <definedName name="_______________________________________________tu4" localSheetId="7" hidden="1">{"'Sheet1'!$L$16"}</definedName>
    <definedName name="_______________________________________________tu4" hidden="1">{"'Sheet1'!$L$16"}</definedName>
    <definedName name="_____________________________________________tu4" localSheetId="1" hidden="1">{"'Sheet1'!$L$16"}</definedName>
    <definedName name="_____________________________________________tu4" localSheetId="3" hidden="1">{"'Sheet1'!$L$16"}</definedName>
    <definedName name="_____________________________________________tu4" localSheetId="4" hidden="1">{"'Sheet1'!$L$16"}</definedName>
    <definedName name="_____________________________________________tu4" localSheetId="5" hidden="1">{"'Sheet1'!$L$16"}</definedName>
    <definedName name="_____________________________________________tu4" localSheetId="7" hidden="1">{"'Sheet1'!$L$16"}</definedName>
    <definedName name="_____________________________________________tu4" hidden="1">{"'Sheet1'!$L$16"}</definedName>
    <definedName name="___________________________________________tu4" localSheetId="1" hidden="1">{"'Sheet1'!$L$16"}</definedName>
    <definedName name="___________________________________________tu4" localSheetId="3" hidden="1">{"'Sheet1'!$L$16"}</definedName>
    <definedName name="___________________________________________tu4" localSheetId="4" hidden="1">{"'Sheet1'!$L$16"}</definedName>
    <definedName name="___________________________________________tu4" localSheetId="5" hidden="1">{"'Sheet1'!$L$16"}</definedName>
    <definedName name="___________________________________________tu4" localSheetId="7" hidden="1">{"'Sheet1'!$L$16"}</definedName>
    <definedName name="___________________________________________tu4" hidden="1">{"'Sheet1'!$L$16"}</definedName>
    <definedName name="_________________________________________tu4" localSheetId="1" hidden="1">{"'Sheet1'!$L$16"}</definedName>
    <definedName name="_________________________________________tu4" localSheetId="3" hidden="1">{"'Sheet1'!$L$16"}</definedName>
    <definedName name="_________________________________________tu4" localSheetId="4" hidden="1">{"'Sheet1'!$L$16"}</definedName>
    <definedName name="_________________________________________tu4" localSheetId="5" hidden="1">{"'Sheet1'!$L$16"}</definedName>
    <definedName name="_________________________________________tu4" localSheetId="7" hidden="1">{"'Sheet1'!$L$16"}</definedName>
    <definedName name="_________________________________________tu4" hidden="1">{"'Sheet1'!$L$16"}</definedName>
    <definedName name="_______________________________________tu4" localSheetId="1" hidden="1">{"'Sheet1'!$L$16"}</definedName>
    <definedName name="_______________________________________tu4" localSheetId="3" hidden="1">{"'Sheet1'!$L$16"}</definedName>
    <definedName name="_______________________________________tu4" localSheetId="4" hidden="1">{"'Sheet1'!$L$16"}</definedName>
    <definedName name="_______________________________________tu4" localSheetId="5" hidden="1">{"'Sheet1'!$L$16"}</definedName>
    <definedName name="_______________________________________tu4" localSheetId="7" hidden="1">{"'Sheet1'!$L$16"}</definedName>
    <definedName name="_______________________________________tu4" hidden="1">{"'Sheet1'!$L$16"}</definedName>
    <definedName name="_____________________________________tu4" localSheetId="1" hidden="1">{"'Sheet1'!$L$16"}</definedName>
    <definedName name="_____________________________________tu4" localSheetId="3" hidden="1">{"'Sheet1'!$L$16"}</definedName>
    <definedName name="_____________________________________tu4" localSheetId="4" hidden="1">{"'Sheet1'!$L$16"}</definedName>
    <definedName name="_____________________________________tu4" localSheetId="5" hidden="1">{"'Sheet1'!$L$16"}</definedName>
    <definedName name="_____________________________________tu4" localSheetId="7" hidden="1">{"'Sheet1'!$L$16"}</definedName>
    <definedName name="_____________________________________tu4" hidden="1">{"'Sheet1'!$L$16"}</definedName>
    <definedName name="___________________________________tu4" localSheetId="1" hidden="1">{"'Sheet1'!$L$16"}</definedName>
    <definedName name="___________________________________tu4" localSheetId="3" hidden="1">{"'Sheet1'!$L$16"}</definedName>
    <definedName name="___________________________________tu4" localSheetId="4" hidden="1">{"'Sheet1'!$L$16"}</definedName>
    <definedName name="___________________________________tu4" localSheetId="5" hidden="1">{"'Sheet1'!$L$16"}</definedName>
    <definedName name="___________________________________tu4" localSheetId="7" hidden="1">{"'Sheet1'!$L$16"}</definedName>
    <definedName name="___________________________________tu4" hidden="1">{"'Sheet1'!$L$16"}</definedName>
    <definedName name="__________________________________tu4" localSheetId="1" hidden="1">{"'Sheet1'!$L$16"}</definedName>
    <definedName name="__________________________________tu4" localSheetId="3" hidden="1">{"'Sheet1'!$L$16"}</definedName>
    <definedName name="__________________________________tu4" localSheetId="4" hidden="1">{"'Sheet1'!$L$16"}</definedName>
    <definedName name="__________________________________tu4" localSheetId="5" hidden="1">{"'Sheet1'!$L$16"}</definedName>
    <definedName name="__________________________________tu4" localSheetId="7" hidden="1">{"'Sheet1'!$L$16"}</definedName>
    <definedName name="__________________________________tu4" hidden="1">{"'Sheet1'!$L$16"}</definedName>
    <definedName name="_________________________________tu4" localSheetId="1" hidden="1">{"'Sheet1'!$L$16"}</definedName>
    <definedName name="_________________________________tu4" localSheetId="3" hidden="1">{"'Sheet1'!$L$16"}</definedName>
    <definedName name="_________________________________tu4" localSheetId="4" hidden="1">{"'Sheet1'!$L$16"}</definedName>
    <definedName name="_________________________________tu4" localSheetId="5" hidden="1">{"'Sheet1'!$L$16"}</definedName>
    <definedName name="_________________________________tu4" localSheetId="7" hidden="1">{"'Sheet1'!$L$16"}</definedName>
    <definedName name="_________________________________tu4" hidden="1">{"'Sheet1'!$L$16"}</definedName>
    <definedName name="_______________________________tu4" localSheetId="1" hidden="1">{"'Sheet1'!$L$16"}</definedName>
    <definedName name="_______________________________tu4" localSheetId="3" hidden="1">{"'Sheet1'!$L$16"}</definedName>
    <definedName name="_______________________________tu4" localSheetId="4" hidden="1">{"'Sheet1'!$L$16"}</definedName>
    <definedName name="_______________________________tu4" localSheetId="5" hidden="1">{"'Sheet1'!$L$16"}</definedName>
    <definedName name="_______________________________tu4" localSheetId="7" hidden="1">{"'Sheet1'!$L$16"}</definedName>
    <definedName name="_______________________________tu4" hidden="1">{"'Sheet1'!$L$16"}</definedName>
    <definedName name="_____________________________tu4" localSheetId="1" hidden="1">{"'Sheet1'!$L$16"}</definedName>
    <definedName name="_____________________________tu4" localSheetId="3" hidden="1">{"'Sheet1'!$L$16"}</definedName>
    <definedName name="_____________________________tu4" localSheetId="4" hidden="1">{"'Sheet1'!$L$16"}</definedName>
    <definedName name="_____________________________tu4" localSheetId="5" hidden="1">{"'Sheet1'!$L$16"}</definedName>
    <definedName name="_____________________________tu4" localSheetId="7" hidden="1">{"'Sheet1'!$L$16"}</definedName>
    <definedName name="_____________________________tu4" hidden="1">{"'Sheet1'!$L$16"}</definedName>
    <definedName name="___________________________tu4" localSheetId="1" hidden="1">{"'Sheet1'!$L$16"}</definedName>
    <definedName name="___________________________tu4" localSheetId="3" hidden="1">{"'Sheet1'!$L$16"}</definedName>
    <definedName name="___________________________tu4" localSheetId="4" hidden="1">{"'Sheet1'!$L$16"}</definedName>
    <definedName name="___________________________tu4" localSheetId="5" hidden="1">{"'Sheet1'!$L$16"}</definedName>
    <definedName name="___________________________tu4" localSheetId="7" hidden="1">{"'Sheet1'!$L$16"}</definedName>
    <definedName name="___________________________tu4" hidden="1">{"'Sheet1'!$L$16"}</definedName>
    <definedName name="_________________________tu4" localSheetId="1" hidden="1">{"'Sheet1'!$L$16"}</definedName>
    <definedName name="_________________________tu4" localSheetId="3" hidden="1">{"'Sheet1'!$L$16"}</definedName>
    <definedName name="_________________________tu4" localSheetId="4" hidden="1">{"'Sheet1'!$L$16"}</definedName>
    <definedName name="_________________________tu4" localSheetId="5" hidden="1">{"'Sheet1'!$L$16"}</definedName>
    <definedName name="_________________________tu4" localSheetId="7" hidden="1">{"'Sheet1'!$L$16"}</definedName>
    <definedName name="_________________________tu4" hidden="1">{"'Sheet1'!$L$16"}</definedName>
    <definedName name="________________________tu">{"'Sheet1'!$L$16"}</definedName>
    <definedName name="_______________________a1" localSheetId="1" hidden="1">{"'Sheet1'!$L$16"}</definedName>
    <definedName name="_______________________a1" localSheetId="3" hidden="1">{"'Sheet1'!$L$16"}</definedName>
    <definedName name="_______________________a1" localSheetId="4" hidden="1">{"'Sheet1'!$L$16"}</definedName>
    <definedName name="_______________________a1" localSheetId="5" hidden="1">{"'Sheet1'!$L$16"}</definedName>
    <definedName name="_______________________a1" localSheetId="7" hidden="1">{"'Sheet1'!$L$16"}</definedName>
    <definedName name="_______________________a1" hidden="1">{"'Sheet1'!$L$16"}</definedName>
    <definedName name="_______________________tu4" localSheetId="1" hidden="1">{"'Sheet1'!$L$16"}</definedName>
    <definedName name="_______________________tu4" localSheetId="3" hidden="1">{"'Sheet1'!$L$16"}</definedName>
    <definedName name="_______________________tu4" localSheetId="4" hidden="1">{"'Sheet1'!$L$16"}</definedName>
    <definedName name="_______________________tu4" localSheetId="5" hidden="1">{"'Sheet1'!$L$16"}</definedName>
    <definedName name="_______________________tu4" localSheetId="7" hidden="1">{"'Sheet1'!$L$16"}</definedName>
    <definedName name="_______________________tu4" hidden="1">{"'Sheet1'!$L$16"}</definedName>
    <definedName name="______________________a1" localSheetId="1" hidden="1">{"'Sheet1'!$L$16"}</definedName>
    <definedName name="______________________a1" localSheetId="3" hidden="1">{"'Sheet1'!$L$16"}</definedName>
    <definedName name="______________________a1" localSheetId="4" hidden="1">{"'Sheet1'!$L$16"}</definedName>
    <definedName name="______________________a1" localSheetId="5" hidden="1">{"'Sheet1'!$L$16"}</definedName>
    <definedName name="______________________a1" localSheetId="7" hidden="1">{"'Sheet1'!$L$16"}</definedName>
    <definedName name="______________________a1" hidden="1">{"'Sheet1'!$L$16"}</definedName>
    <definedName name="______________________CN1" localSheetId="1" hidden="1">{"'Sheet1'!$L$16"}</definedName>
    <definedName name="______________________CN1" localSheetId="3" hidden="1">{"'Sheet1'!$L$16"}</definedName>
    <definedName name="______________________CN1" localSheetId="4" hidden="1">{"'Sheet1'!$L$16"}</definedName>
    <definedName name="______________________CN1" localSheetId="5" hidden="1">{"'Sheet1'!$L$16"}</definedName>
    <definedName name="______________________CN1" localSheetId="7" hidden="1">{"'Sheet1'!$L$16"}</definedName>
    <definedName name="______________________CN1" hidden="1">{"'Sheet1'!$L$16"}</definedName>
    <definedName name="_____________________a1" localSheetId="1" hidden="1">{"'Sheet1'!$L$16"}</definedName>
    <definedName name="_____________________a1" localSheetId="3" hidden="1">{"'Sheet1'!$L$16"}</definedName>
    <definedName name="_____________________a1" localSheetId="4" hidden="1">{"'Sheet1'!$L$16"}</definedName>
    <definedName name="_____________________a1" localSheetId="5" hidden="1">{"'Sheet1'!$L$16"}</definedName>
    <definedName name="_____________________a1" localSheetId="7" hidden="1">{"'Sheet1'!$L$16"}</definedName>
    <definedName name="_____________________a1" hidden="1">{"'Sheet1'!$L$16"}</definedName>
    <definedName name="_____________________BG12" localSheetId="1" hidden="1">{"'Sheet1'!$L$16"}</definedName>
    <definedName name="_____________________BG12" localSheetId="3" hidden="1">{"'Sheet1'!$L$16"}</definedName>
    <definedName name="_____________________BG12" localSheetId="4" hidden="1">{"'Sheet1'!$L$16"}</definedName>
    <definedName name="_____________________BG12" localSheetId="5" hidden="1">{"'Sheet1'!$L$16"}</definedName>
    <definedName name="_____________________BG12" localSheetId="7" hidden="1">{"'Sheet1'!$L$16"}</definedName>
    <definedName name="_____________________BG12" hidden="1">{"'Sheet1'!$L$16"}</definedName>
    <definedName name="_____________________CN1" localSheetId="1" hidden="1">{"'Sheet1'!$L$16"}</definedName>
    <definedName name="_____________________CN1" localSheetId="3" hidden="1">{"'Sheet1'!$L$16"}</definedName>
    <definedName name="_____________________CN1" localSheetId="4" hidden="1">{"'Sheet1'!$L$16"}</definedName>
    <definedName name="_____________________CN1" localSheetId="5" hidden="1">{"'Sheet1'!$L$16"}</definedName>
    <definedName name="_____________________CN1" localSheetId="7" hidden="1">{"'Sheet1'!$L$16"}</definedName>
    <definedName name="_____________________CN1" hidden="1">{"'Sheet1'!$L$16"}</definedName>
    <definedName name="_____________________tu4" localSheetId="1" hidden="1">{"'Sheet1'!$L$16"}</definedName>
    <definedName name="_____________________tu4" localSheetId="3" hidden="1">{"'Sheet1'!$L$16"}</definedName>
    <definedName name="_____________________tu4" localSheetId="4" hidden="1">{"'Sheet1'!$L$16"}</definedName>
    <definedName name="_____________________tu4" localSheetId="5" hidden="1">{"'Sheet1'!$L$16"}</definedName>
    <definedName name="_____________________tu4" localSheetId="7" hidden="1">{"'Sheet1'!$L$16"}</definedName>
    <definedName name="_____________________tu4" hidden="1">{"'Sheet1'!$L$16"}</definedName>
    <definedName name="____________________a1" localSheetId="1" hidden="1">{"'Sheet1'!$L$16"}</definedName>
    <definedName name="____________________a1" localSheetId="3" hidden="1">{"'Sheet1'!$L$16"}</definedName>
    <definedName name="____________________a1" localSheetId="4" hidden="1">{"'Sheet1'!$L$16"}</definedName>
    <definedName name="____________________a1" localSheetId="5" hidden="1">{"'Sheet1'!$L$16"}</definedName>
    <definedName name="____________________a1" localSheetId="7" hidden="1">{"'Sheet1'!$L$16"}</definedName>
    <definedName name="____________________a1" hidden="1">{"'Sheet1'!$L$16"}</definedName>
    <definedName name="____________________BG12" localSheetId="1" hidden="1">{"'Sheet1'!$L$16"}</definedName>
    <definedName name="____________________BG12" localSheetId="3" hidden="1">{"'Sheet1'!$L$16"}</definedName>
    <definedName name="____________________BG12" localSheetId="4" hidden="1">{"'Sheet1'!$L$16"}</definedName>
    <definedName name="____________________BG12" localSheetId="5" hidden="1">{"'Sheet1'!$L$16"}</definedName>
    <definedName name="____________________BG12" localSheetId="7" hidden="1">{"'Sheet1'!$L$16"}</definedName>
    <definedName name="____________________BG12" hidden="1">{"'Sheet1'!$L$16"}</definedName>
    <definedName name="____________________CN1" localSheetId="1" hidden="1">{"'Sheet1'!$L$16"}</definedName>
    <definedName name="____________________CN1" localSheetId="3" hidden="1">{"'Sheet1'!$L$16"}</definedName>
    <definedName name="____________________CN1" localSheetId="4" hidden="1">{"'Sheet1'!$L$16"}</definedName>
    <definedName name="____________________CN1" localSheetId="5" hidden="1">{"'Sheet1'!$L$16"}</definedName>
    <definedName name="____________________CN1" localSheetId="7" hidden="1">{"'Sheet1'!$L$16"}</definedName>
    <definedName name="____________________CN1" hidden="1">{"'Sheet1'!$L$16"}</definedName>
    <definedName name="____________________Goi8">{"'Sheet1'!$L$16"}</definedName>
    <definedName name="____________________SCL4">{"'Sheet1'!$L$16"}</definedName>
    <definedName name="___________________a1" localSheetId="1" hidden="1">{"'Sheet1'!$L$16"}</definedName>
    <definedName name="___________________a1" localSheetId="3" hidden="1">{"'Sheet1'!$L$16"}</definedName>
    <definedName name="___________________a1" localSheetId="4" hidden="1">{"'Sheet1'!$L$16"}</definedName>
    <definedName name="___________________a1" localSheetId="5" hidden="1">{"'Sheet1'!$L$16"}</definedName>
    <definedName name="___________________a1" localSheetId="7" hidden="1">{"'Sheet1'!$L$16"}</definedName>
    <definedName name="___________________a1" hidden="1">{"'Sheet1'!$L$16"}</definedName>
    <definedName name="___________________BG12" localSheetId="1" hidden="1">{"'Sheet1'!$L$16"}</definedName>
    <definedName name="___________________BG12" localSheetId="3" hidden="1">{"'Sheet1'!$L$16"}</definedName>
    <definedName name="___________________BG12" localSheetId="4" hidden="1">{"'Sheet1'!$L$16"}</definedName>
    <definedName name="___________________BG12" localSheetId="5" hidden="1">{"'Sheet1'!$L$16"}</definedName>
    <definedName name="___________________BG12" localSheetId="7" hidden="1">{"'Sheet1'!$L$16"}</definedName>
    <definedName name="___________________BG12" hidden="1">{"'Sheet1'!$L$16"}</definedName>
    <definedName name="___________________CN1" localSheetId="1" hidden="1">{"'Sheet1'!$L$16"}</definedName>
    <definedName name="___________________CN1" localSheetId="3" hidden="1">{"'Sheet1'!$L$16"}</definedName>
    <definedName name="___________________CN1" localSheetId="4" hidden="1">{"'Sheet1'!$L$16"}</definedName>
    <definedName name="___________________CN1" localSheetId="5" hidden="1">{"'Sheet1'!$L$16"}</definedName>
    <definedName name="___________________CN1" localSheetId="7" hidden="1">{"'Sheet1'!$L$16"}</definedName>
    <definedName name="___________________CN1" hidden="1">{"'Sheet1'!$L$16"}</definedName>
    <definedName name="___________________Goi8" localSheetId="1" hidden="1">{"'Sheet1'!$L$16"}</definedName>
    <definedName name="___________________Goi8" localSheetId="3" hidden="1">{"'Sheet1'!$L$16"}</definedName>
    <definedName name="___________________Goi8" localSheetId="4" hidden="1">{"'Sheet1'!$L$16"}</definedName>
    <definedName name="___________________Goi8" localSheetId="5" hidden="1">{"'Sheet1'!$L$16"}</definedName>
    <definedName name="___________________Goi8" localSheetId="7" hidden="1">{"'Sheet1'!$L$16"}</definedName>
    <definedName name="___________________Goi8" hidden="1">{"'Sheet1'!$L$16"}</definedName>
    <definedName name="___________________SCL4" localSheetId="1" hidden="1">{"'Sheet1'!$L$16"}</definedName>
    <definedName name="___________________SCL4" localSheetId="3" hidden="1">{"'Sheet1'!$L$16"}</definedName>
    <definedName name="___________________SCL4" localSheetId="4" hidden="1">{"'Sheet1'!$L$16"}</definedName>
    <definedName name="___________________SCL4" localSheetId="5" hidden="1">{"'Sheet1'!$L$16"}</definedName>
    <definedName name="___________________SCL4" localSheetId="7" hidden="1">{"'Sheet1'!$L$16"}</definedName>
    <definedName name="___________________SCL4" hidden="1">{"'Sheet1'!$L$16"}</definedName>
    <definedName name="___________________tu4" localSheetId="1" hidden="1">{"'Sheet1'!$L$16"}</definedName>
    <definedName name="___________________tu4" localSheetId="3" hidden="1">{"'Sheet1'!$L$16"}</definedName>
    <definedName name="___________________tu4" localSheetId="4" hidden="1">{"'Sheet1'!$L$16"}</definedName>
    <definedName name="___________________tu4" localSheetId="5" hidden="1">{"'Sheet1'!$L$16"}</definedName>
    <definedName name="___________________tu4" localSheetId="7" hidden="1">{"'Sheet1'!$L$16"}</definedName>
    <definedName name="___________________tu4" hidden="1">{"'Sheet1'!$L$16"}</definedName>
    <definedName name="__________________a1" localSheetId="1" hidden="1">{"'Sheet1'!$L$16"}</definedName>
    <definedName name="__________________a1" localSheetId="3" hidden="1">{"'Sheet1'!$L$16"}</definedName>
    <definedName name="__________________a1" localSheetId="4" hidden="1">{"'Sheet1'!$L$16"}</definedName>
    <definedName name="__________________a1" localSheetId="5" hidden="1">{"'Sheet1'!$L$16"}</definedName>
    <definedName name="__________________a1" localSheetId="7" hidden="1">{"'Sheet1'!$L$16"}</definedName>
    <definedName name="__________________a1" hidden="1">{"'Sheet1'!$L$16"}</definedName>
    <definedName name="__________________BG12" localSheetId="1" hidden="1">{"'Sheet1'!$L$16"}</definedName>
    <definedName name="__________________BG12" localSheetId="3" hidden="1">{"'Sheet1'!$L$16"}</definedName>
    <definedName name="__________________BG12" localSheetId="4" hidden="1">{"'Sheet1'!$L$16"}</definedName>
    <definedName name="__________________BG12" localSheetId="5" hidden="1">{"'Sheet1'!$L$16"}</definedName>
    <definedName name="__________________BG12" localSheetId="7" hidden="1">{"'Sheet1'!$L$16"}</definedName>
    <definedName name="__________________BG12" hidden="1">{"'Sheet1'!$L$16"}</definedName>
    <definedName name="__________________Goi8">{"'Sheet1'!$L$16"}</definedName>
    <definedName name="__________________SCL4">{"'Sheet1'!$L$16"}</definedName>
    <definedName name="__________________tu4" localSheetId="1" hidden="1">{"'Sheet1'!$L$16"}</definedName>
    <definedName name="__________________tu4" localSheetId="3" hidden="1">{"'Sheet1'!$L$16"}</definedName>
    <definedName name="__________________tu4" localSheetId="4" hidden="1">{"'Sheet1'!$L$16"}</definedName>
    <definedName name="__________________tu4" localSheetId="5" hidden="1">{"'Sheet1'!$L$16"}</definedName>
    <definedName name="__________________tu4" localSheetId="7" hidden="1">{"'Sheet1'!$L$16"}</definedName>
    <definedName name="__________________tu4" hidden="1">{"'Sheet1'!$L$16"}</definedName>
    <definedName name="_________________a1" localSheetId="1" hidden="1">{"'Sheet1'!$L$16"}</definedName>
    <definedName name="_________________a1" localSheetId="3" hidden="1">{"'Sheet1'!$L$16"}</definedName>
    <definedName name="_________________a1" localSheetId="4" hidden="1">{"'Sheet1'!$L$16"}</definedName>
    <definedName name="_________________a1" localSheetId="5" hidden="1">{"'Sheet1'!$L$16"}</definedName>
    <definedName name="_________________a1" localSheetId="7" hidden="1">{"'Sheet1'!$L$16"}</definedName>
    <definedName name="_________________a1" hidden="1">{"'Sheet1'!$L$16"}</definedName>
    <definedName name="_________________CN1" localSheetId="1" hidden="1">{"'Sheet1'!$L$16"}</definedName>
    <definedName name="_________________CN1" localSheetId="3" hidden="1">{"'Sheet1'!$L$16"}</definedName>
    <definedName name="_________________CN1" localSheetId="4" hidden="1">{"'Sheet1'!$L$16"}</definedName>
    <definedName name="_________________CN1" localSheetId="5" hidden="1">{"'Sheet1'!$L$16"}</definedName>
    <definedName name="_________________CN1" localSheetId="7" hidden="1">{"'Sheet1'!$L$16"}</definedName>
    <definedName name="_________________CN1" hidden="1">{"'Sheet1'!$L$16"}</definedName>
    <definedName name="_________________Goi8" localSheetId="1" hidden="1">{"'Sheet1'!$L$16"}</definedName>
    <definedName name="_________________Goi8" localSheetId="3" hidden="1">{"'Sheet1'!$L$16"}</definedName>
    <definedName name="_________________Goi8" localSheetId="4" hidden="1">{"'Sheet1'!$L$16"}</definedName>
    <definedName name="_________________Goi8" localSheetId="5" hidden="1">{"'Sheet1'!$L$16"}</definedName>
    <definedName name="_________________Goi8" localSheetId="7" hidden="1">{"'Sheet1'!$L$16"}</definedName>
    <definedName name="_________________Goi8" hidden="1">{"'Sheet1'!$L$16"}</definedName>
    <definedName name="_________________NSO2">{"'Sheet1'!$L$16"}</definedName>
    <definedName name="_________________SCL4" localSheetId="1" hidden="1">{"'Sheet1'!$L$16"}</definedName>
    <definedName name="_________________SCL4" localSheetId="3" hidden="1">{"'Sheet1'!$L$16"}</definedName>
    <definedName name="_________________SCL4" localSheetId="4" hidden="1">{"'Sheet1'!$L$16"}</definedName>
    <definedName name="_________________SCL4" localSheetId="5" hidden="1">{"'Sheet1'!$L$16"}</definedName>
    <definedName name="_________________SCL4" localSheetId="7" hidden="1">{"'Sheet1'!$L$16"}</definedName>
    <definedName name="_________________SCL4" hidden="1">{"'Sheet1'!$L$16"}</definedName>
    <definedName name="________________a1" localSheetId="1" hidden="1">{"'Sheet1'!$L$16"}</definedName>
    <definedName name="________________a1" localSheetId="3" hidden="1">{"'Sheet1'!$L$16"}</definedName>
    <definedName name="________________a1" localSheetId="4" hidden="1">{"'Sheet1'!$L$16"}</definedName>
    <definedName name="________________a1" localSheetId="5" hidden="1">{"'Sheet1'!$L$16"}</definedName>
    <definedName name="________________a1" localSheetId="7" hidden="1">{"'Sheet1'!$L$16"}</definedName>
    <definedName name="________________a1" hidden="1">{"'Sheet1'!$L$16"}</definedName>
    <definedName name="________________BG12" localSheetId="1" hidden="1">{"'Sheet1'!$L$16"}</definedName>
    <definedName name="________________BG12" localSheetId="3" hidden="1">{"'Sheet1'!$L$16"}</definedName>
    <definedName name="________________BG12" localSheetId="4" hidden="1">{"'Sheet1'!$L$16"}</definedName>
    <definedName name="________________BG12" localSheetId="5" hidden="1">{"'Sheet1'!$L$16"}</definedName>
    <definedName name="________________BG12" localSheetId="7" hidden="1">{"'Sheet1'!$L$16"}</definedName>
    <definedName name="________________BG12" hidden="1">{"'Sheet1'!$L$16"}</definedName>
    <definedName name="________________CN1" localSheetId="1" hidden="1">{"'Sheet1'!$L$16"}</definedName>
    <definedName name="________________CN1" localSheetId="3" hidden="1">{"'Sheet1'!$L$16"}</definedName>
    <definedName name="________________CN1" localSheetId="4" hidden="1">{"'Sheet1'!$L$16"}</definedName>
    <definedName name="________________CN1" localSheetId="5" hidden="1">{"'Sheet1'!$L$16"}</definedName>
    <definedName name="________________CN1" localSheetId="7" hidden="1">{"'Sheet1'!$L$16"}</definedName>
    <definedName name="________________CN1" hidden="1">{"'Sheet1'!$L$16"}</definedName>
    <definedName name="________________Goi8">{"'Sheet1'!$L$16"}</definedName>
    <definedName name="________________NSO2">{"'Sheet1'!$L$16"}</definedName>
    <definedName name="________________SCL4">{"'Sheet1'!$L$16"}</definedName>
    <definedName name="________________tu4" localSheetId="1" hidden="1">{"'Sheet1'!$L$16"}</definedName>
    <definedName name="________________tu4" localSheetId="3" hidden="1">{"'Sheet1'!$L$16"}</definedName>
    <definedName name="________________tu4" localSheetId="4" hidden="1">{"'Sheet1'!$L$16"}</definedName>
    <definedName name="________________tu4" localSheetId="5" hidden="1">{"'Sheet1'!$L$16"}</definedName>
    <definedName name="________________tu4" localSheetId="7" hidden="1">{"'Sheet1'!$L$16"}</definedName>
    <definedName name="________________tu4" hidden="1">{"'Sheet1'!$L$16"}</definedName>
    <definedName name="_______________a1" localSheetId="1" hidden="1">{"'Sheet1'!$L$16"}</definedName>
    <definedName name="_______________a1" localSheetId="3" hidden="1">{"'Sheet1'!$L$16"}</definedName>
    <definedName name="_______________a1" localSheetId="4" hidden="1">{"'Sheet1'!$L$16"}</definedName>
    <definedName name="_______________a1" localSheetId="5" hidden="1">{"'Sheet1'!$L$16"}</definedName>
    <definedName name="_______________a1" localSheetId="7" hidden="1">{"'Sheet1'!$L$16"}</definedName>
    <definedName name="_______________a1" hidden="1">{"'Sheet1'!$L$16"}</definedName>
    <definedName name="_______________BG12" localSheetId="1" hidden="1">{"'Sheet1'!$L$16"}</definedName>
    <definedName name="_______________BG12" localSheetId="3" hidden="1">{"'Sheet1'!$L$16"}</definedName>
    <definedName name="_______________BG12" localSheetId="4" hidden="1">{"'Sheet1'!$L$16"}</definedName>
    <definedName name="_______________BG12" localSheetId="5" hidden="1">{"'Sheet1'!$L$16"}</definedName>
    <definedName name="_______________BG12" localSheetId="7" hidden="1">{"'Sheet1'!$L$16"}</definedName>
    <definedName name="_______________BG12" hidden="1">{"'Sheet1'!$L$16"}</definedName>
    <definedName name="_______________CN1" localSheetId="1" hidden="1">{"'Sheet1'!$L$16"}</definedName>
    <definedName name="_______________CN1" localSheetId="3" hidden="1">{"'Sheet1'!$L$16"}</definedName>
    <definedName name="_______________CN1" localSheetId="4" hidden="1">{"'Sheet1'!$L$16"}</definedName>
    <definedName name="_______________CN1" localSheetId="5" hidden="1">{"'Sheet1'!$L$16"}</definedName>
    <definedName name="_______________CN1" localSheetId="7" hidden="1">{"'Sheet1'!$L$16"}</definedName>
    <definedName name="_______________CN1" hidden="1">{"'Sheet1'!$L$16"}</definedName>
    <definedName name="_______________Goi8">{"'Sheet1'!$L$16"}</definedName>
    <definedName name="_______________h1">{"'Sheet1'!$L$16"}</definedName>
    <definedName name="_______________NSO2">{"'Sheet1'!$L$16"}</definedName>
    <definedName name="_______________PA3">{"'Sheet1'!$L$16"}</definedName>
    <definedName name="_______________SCL4">{"'Sheet1'!$L$16"}</definedName>
    <definedName name="_______________tu4" localSheetId="1" hidden="1">{"'Sheet1'!$L$16"}</definedName>
    <definedName name="_______________tu4" localSheetId="3" hidden="1">{"'Sheet1'!$L$16"}</definedName>
    <definedName name="_______________tu4" localSheetId="4" hidden="1">{"'Sheet1'!$L$16"}</definedName>
    <definedName name="_______________tu4" localSheetId="5" hidden="1">{"'Sheet1'!$L$16"}</definedName>
    <definedName name="_______________tu4" localSheetId="7" hidden="1">{"'Sheet1'!$L$16"}</definedName>
    <definedName name="_______________tu4" hidden="1">{"'Sheet1'!$L$16"}</definedName>
    <definedName name="_______________xlfn.BAHTTEXT" hidden="1">#NAME?</definedName>
    <definedName name="______________a1" localSheetId="1" hidden="1">{"'Sheet1'!$L$16"}</definedName>
    <definedName name="______________a1" localSheetId="3" hidden="1">{"'Sheet1'!$L$16"}</definedName>
    <definedName name="______________a1" localSheetId="4" hidden="1">{"'Sheet1'!$L$16"}</definedName>
    <definedName name="______________a1" localSheetId="5" hidden="1">{"'Sheet1'!$L$16"}</definedName>
    <definedName name="______________a1" localSheetId="7" hidden="1">{"'Sheet1'!$L$16"}</definedName>
    <definedName name="______________a1" hidden="1">{"'Sheet1'!$L$16"}</definedName>
    <definedName name="______________BG12" localSheetId="1" hidden="1">{"'Sheet1'!$L$16"}</definedName>
    <definedName name="______________BG12" localSheetId="3" hidden="1">{"'Sheet1'!$L$16"}</definedName>
    <definedName name="______________BG12" localSheetId="4" hidden="1">{"'Sheet1'!$L$16"}</definedName>
    <definedName name="______________BG12" localSheetId="5" hidden="1">{"'Sheet1'!$L$16"}</definedName>
    <definedName name="______________BG12" localSheetId="7" hidden="1">{"'Sheet1'!$L$16"}</definedName>
    <definedName name="______________BG12" hidden="1">{"'Sheet1'!$L$16"}</definedName>
    <definedName name="______________CN1" localSheetId="1" hidden="1">{"'Sheet1'!$L$16"}</definedName>
    <definedName name="______________CN1" localSheetId="3" hidden="1">{"'Sheet1'!$L$16"}</definedName>
    <definedName name="______________CN1" localSheetId="4" hidden="1">{"'Sheet1'!$L$16"}</definedName>
    <definedName name="______________CN1" localSheetId="5" hidden="1">{"'Sheet1'!$L$16"}</definedName>
    <definedName name="______________CN1" localSheetId="7" hidden="1">{"'Sheet1'!$L$16"}</definedName>
    <definedName name="______________CN1" hidden="1">{"'Sheet1'!$L$16"}</definedName>
    <definedName name="______________Goi8" localSheetId="1" hidden="1">{"'Sheet1'!$L$16"}</definedName>
    <definedName name="______________Goi8" localSheetId="3" hidden="1">{"'Sheet1'!$L$16"}</definedName>
    <definedName name="______________Goi8" localSheetId="4" hidden="1">{"'Sheet1'!$L$16"}</definedName>
    <definedName name="______________Goi8" localSheetId="5" hidden="1">{"'Sheet1'!$L$16"}</definedName>
    <definedName name="______________Goi8" localSheetId="7" hidden="1">{"'Sheet1'!$L$16"}</definedName>
    <definedName name="______________Goi8" hidden="1">{"'Sheet1'!$L$16"}</definedName>
    <definedName name="______________h1">{"'Sheet1'!$L$16"}</definedName>
    <definedName name="______________NSO2">{"'Sheet1'!$L$16"}</definedName>
    <definedName name="______________SCL4" localSheetId="1" hidden="1">{"'Sheet1'!$L$16"}</definedName>
    <definedName name="______________SCL4" localSheetId="3" hidden="1">{"'Sheet1'!$L$16"}</definedName>
    <definedName name="______________SCL4" localSheetId="4" hidden="1">{"'Sheet1'!$L$16"}</definedName>
    <definedName name="______________SCL4" localSheetId="5" hidden="1">{"'Sheet1'!$L$16"}</definedName>
    <definedName name="______________SCL4" localSheetId="7" hidden="1">{"'Sheet1'!$L$16"}</definedName>
    <definedName name="______________SCL4" hidden="1">{"'Sheet1'!$L$16"}</definedName>
    <definedName name="______________tu4">{"'Sheet1'!$L$16"}</definedName>
    <definedName name="______________xlfn.BAHTTEXT" hidden="1">#NAME?</definedName>
    <definedName name="_____________a1" localSheetId="1" hidden="1">{"'Sheet1'!$L$16"}</definedName>
    <definedName name="_____________a1" localSheetId="3" hidden="1">{"'Sheet1'!$L$16"}</definedName>
    <definedName name="_____________a1" localSheetId="4" hidden="1">{"'Sheet1'!$L$16"}</definedName>
    <definedName name="_____________a1" localSheetId="5" hidden="1">{"'Sheet1'!$L$16"}</definedName>
    <definedName name="_____________a1" localSheetId="7" hidden="1">{"'Sheet1'!$L$16"}</definedName>
    <definedName name="_____________a1" hidden="1">{"'Sheet1'!$L$16"}</definedName>
    <definedName name="_____________BG12" localSheetId="1" hidden="1">{"'Sheet1'!$L$16"}</definedName>
    <definedName name="_____________BG12" localSheetId="3" hidden="1">{"'Sheet1'!$L$16"}</definedName>
    <definedName name="_____________BG12" localSheetId="4" hidden="1">{"'Sheet1'!$L$16"}</definedName>
    <definedName name="_____________BG12" localSheetId="5" hidden="1">{"'Sheet1'!$L$16"}</definedName>
    <definedName name="_____________BG12" localSheetId="7" hidden="1">{"'Sheet1'!$L$16"}</definedName>
    <definedName name="_____________BG12" hidden="1">{"'Sheet1'!$L$16"}</definedName>
    <definedName name="_____________CN1" localSheetId="1" hidden="1">{"'Sheet1'!$L$16"}</definedName>
    <definedName name="_____________CN1" localSheetId="3" hidden="1">{"'Sheet1'!$L$16"}</definedName>
    <definedName name="_____________CN1" localSheetId="4" hidden="1">{"'Sheet1'!$L$16"}</definedName>
    <definedName name="_____________CN1" localSheetId="5" hidden="1">{"'Sheet1'!$L$16"}</definedName>
    <definedName name="_____________CN1" localSheetId="7" hidden="1">{"'Sheet1'!$L$16"}</definedName>
    <definedName name="_____________CN1" hidden="1">{"'Sheet1'!$L$16"}</definedName>
    <definedName name="_____________Goi8" localSheetId="1" hidden="1">{"'Sheet1'!$L$16"}</definedName>
    <definedName name="_____________Goi8" localSheetId="3" hidden="1">{"'Sheet1'!$L$16"}</definedName>
    <definedName name="_____________Goi8" localSheetId="4" hidden="1">{"'Sheet1'!$L$16"}</definedName>
    <definedName name="_____________Goi8" localSheetId="5" hidden="1">{"'Sheet1'!$L$16"}</definedName>
    <definedName name="_____________Goi8" localSheetId="7" hidden="1">{"'Sheet1'!$L$16"}</definedName>
    <definedName name="_____________Goi8" hidden="1">{"'Sheet1'!$L$16"}</definedName>
    <definedName name="_____________h1">{"'Sheet1'!$L$16"}</definedName>
    <definedName name="_____________NSO2">{"'Sheet1'!$L$16"}</definedName>
    <definedName name="_____________PA3" localSheetId="1" hidden="1">{"'Sheet1'!$L$16"}</definedName>
    <definedName name="_____________PA3" localSheetId="3" hidden="1">{"'Sheet1'!$L$16"}</definedName>
    <definedName name="_____________PA3" localSheetId="4" hidden="1">{"'Sheet1'!$L$16"}</definedName>
    <definedName name="_____________PA3" localSheetId="5" hidden="1">{"'Sheet1'!$L$16"}</definedName>
    <definedName name="_____________PA3" localSheetId="7" hidden="1">{"'Sheet1'!$L$16"}</definedName>
    <definedName name="_____________PA3" hidden="1">{"'Sheet1'!$L$16"}</definedName>
    <definedName name="_____________SCL4" localSheetId="1" hidden="1">{"'Sheet1'!$L$16"}</definedName>
    <definedName name="_____________SCL4" localSheetId="3" hidden="1">{"'Sheet1'!$L$16"}</definedName>
    <definedName name="_____________SCL4" localSheetId="4" hidden="1">{"'Sheet1'!$L$16"}</definedName>
    <definedName name="_____________SCL4" localSheetId="5" hidden="1">{"'Sheet1'!$L$16"}</definedName>
    <definedName name="_____________SCL4" localSheetId="7" hidden="1">{"'Sheet1'!$L$16"}</definedName>
    <definedName name="_____________SCL4" hidden="1">{"'Sheet1'!$L$16"}</definedName>
    <definedName name="_____________tu4" localSheetId="1" hidden="1">{"'Sheet1'!$L$16"}</definedName>
    <definedName name="_____________tu4" localSheetId="3" hidden="1">{"'Sheet1'!$L$16"}</definedName>
    <definedName name="_____________tu4" localSheetId="4" hidden="1">{"'Sheet1'!$L$16"}</definedName>
    <definedName name="_____________tu4" localSheetId="5" hidden="1">{"'Sheet1'!$L$16"}</definedName>
    <definedName name="_____________tu4" localSheetId="7" hidden="1">{"'Sheet1'!$L$16"}</definedName>
    <definedName name="_____________tu4" hidden="1">{"'Sheet1'!$L$16"}</definedName>
    <definedName name="_____________xlfn.BAHTTEXT" hidden="1">#NAME?</definedName>
    <definedName name="____________a1" localSheetId="1" hidden="1">{"'Sheet1'!$L$16"}</definedName>
    <definedName name="____________a1" localSheetId="3" hidden="1">{"'Sheet1'!$L$16"}</definedName>
    <definedName name="____________a1" localSheetId="4" hidden="1">{"'Sheet1'!$L$16"}</definedName>
    <definedName name="____________a1" localSheetId="5" hidden="1">{"'Sheet1'!$L$16"}</definedName>
    <definedName name="____________a1" localSheetId="7" hidden="1">{"'Sheet1'!$L$16"}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localSheetId="1" hidden="1">{"'Sheet1'!$L$16"}</definedName>
    <definedName name="____________BG12" localSheetId="3" hidden="1">{"'Sheet1'!$L$16"}</definedName>
    <definedName name="____________BG12" localSheetId="4" hidden="1">{"'Sheet1'!$L$16"}</definedName>
    <definedName name="____________BG12" localSheetId="5" hidden="1">{"'Sheet1'!$L$16"}</definedName>
    <definedName name="____________BG12" localSheetId="7" hidden="1">{"'Sheet1'!$L$16"}</definedName>
    <definedName name="____________BG12" hidden="1">{"'Sheet1'!$L$16"}</definedName>
    <definedName name="____________CN1" localSheetId="1" hidden="1">{"'Sheet1'!$L$16"}</definedName>
    <definedName name="____________CN1" localSheetId="3" hidden="1">{"'Sheet1'!$L$16"}</definedName>
    <definedName name="____________CN1" localSheetId="4" hidden="1">{"'Sheet1'!$L$16"}</definedName>
    <definedName name="____________CN1" localSheetId="5" hidden="1">{"'Sheet1'!$L$16"}</definedName>
    <definedName name="____________CN1" localSheetId="7" hidden="1">{"'Sheet1'!$L$16"}</definedName>
    <definedName name="____________CN1" hidden="1">{"'Sheet1'!$L$16"}</definedName>
    <definedName name="____________Goi8" localSheetId="1" hidden="1">{"'Sheet1'!$L$16"}</definedName>
    <definedName name="____________Goi8" localSheetId="3" hidden="1">{"'Sheet1'!$L$16"}</definedName>
    <definedName name="____________Goi8" localSheetId="4" hidden="1">{"'Sheet1'!$L$16"}</definedName>
    <definedName name="____________Goi8" localSheetId="5" hidden="1">{"'Sheet1'!$L$16"}</definedName>
    <definedName name="____________Goi8" localSheetId="7" hidden="1">{"'Sheet1'!$L$16"}</definedName>
    <definedName name="____________Goi8" hidden="1">{"'Sheet1'!$L$16"}</definedName>
    <definedName name="____________h1">{"'Sheet1'!$L$16"}</definedName>
    <definedName name="____________Lan1" localSheetId="1" hidden="1">{"'Sheet1'!$L$16"}</definedName>
    <definedName name="____________Lan1" localSheetId="3" hidden="1">{"'Sheet1'!$L$16"}</definedName>
    <definedName name="____________Lan1" localSheetId="4" hidden="1">{"'Sheet1'!$L$16"}</definedName>
    <definedName name="____________Lan1" localSheetId="5" hidden="1">{"'Sheet1'!$L$16"}</definedName>
    <definedName name="____________Lan1" localSheetId="7" hidden="1">{"'Sheet1'!$L$16"}</definedName>
    <definedName name="____________Lan1" hidden="1">{"'Sheet1'!$L$16"}</definedName>
    <definedName name="____________LAN3" hidden="1">{"'Sheet1'!$L$16"}</definedName>
    <definedName name="____________NSO2">{"'Sheet1'!$L$16"}</definedName>
    <definedName name="____________PA3" hidden="1">{"'Sheet1'!$L$16"}</definedName>
    <definedName name="____________SCL4" localSheetId="1" hidden="1">{"'Sheet1'!$L$16"}</definedName>
    <definedName name="____________SCL4" localSheetId="3" hidden="1">{"'Sheet1'!$L$16"}</definedName>
    <definedName name="____________SCL4" localSheetId="4" hidden="1">{"'Sheet1'!$L$16"}</definedName>
    <definedName name="____________SCL4" localSheetId="5" hidden="1">{"'Sheet1'!$L$16"}</definedName>
    <definedName name="____________SCL4" localSheetId="7" hidden="1">{"'Sheet1'!$L$16"}</definedName>
    <definedName name="____________SCL4" hidden="1">{"'Sheet1'!$L$16"}</definedName>
    <definedName name="____________tt3" localSheetId="1" hidden="1">{"'Sheet1'!$L$16"}</definedName>
    <definedName name="____________tt3" localSheetId="3" hidden="1">{"'Sheet1'!$L$16"}</definedName>
    <definedName name="____________tt3" localSheetId="4" hidden="1">{"'Sheet1'!$L$16"}</definedName>
    <definedName name="____________tt3" localSheetId="5" hidden="1">{"'Sheet1'!$L$16"}</definedName>
    <definedName name="____________tt3" localSheetId="7" hidden="1">{"'Sheet1'!$L$16"}</definedName>
    <definedName name="____________tt3" hidden="1">{"'Sheet1'!$L$16"}</definedName>
    <definedName name="____________tu4">{"'Sheet1'!$L$16"}</definedName>
    <definedName name="____________xlfn.BAHTTEXT" hidden="1">#NAME?</definedName>
    <definedName name="___________a1" localSheetId="1" hidden="1">{"'Sheet1'!$L$16"}</definedName>
    <definedName name="___________a1" localSheetId="3" hidden="1">{"'Sheet1'!$L$16"}</definedName>
    <definedName name="___________a1" localSheetId="4" hidden="1">{"'Sheet1'!$L$16"}</definedName>
    <definedName name="___________a1" localSheetId="5" hidden="1">{"'Sheet1'!$L$16"}</definedName>
    <definedName name="___________a1" localSheetId="7" hidden="1">{"'Sheet1'!$L$16"}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BG12" localSheetId="1" hidden="1">{"'Sheet1'!$L$16"}</definedName>
    <definedName name="___________BG12" localSheetId="3" hidden="1">{"'Sheet1'!$L$16"}</definedName>
    <definedName name="___________BG12" localSheetId="4" hidden="1">{"'Sheet1'!$L$16"}</definedName>
    <definedName name="___________BG12" localSheetId="5" hidden="1">{"'Sheet1'!$L$16"}</definedName>
    <definedName name="___________BG12" localSheetId="7" hidden="1">{"'Sheet1'!$L$16"}</definedName>
    <definedName name="___________BG12" hidden="1">{"'Sheet1'!$L$16"}</definedName>
    <definedName name="___________CN1" localSheetId="1" hidden="1">{"'Sheet1'!$L$16"}</definedName>
    <definedName name="___________CN1" localSheetId="3" hidden="1">{"'Sheet1'!$L$16"}</definedName>
    <definedName name="___________CN1" localSheetId="4" hidden="1">{"'Sheet1'!$L$16"}</definedName>
    <definedName name="___________CN1" localSheetId="5" hidden="1">{"'Sheet1'!$L$16"}</definedName>
    <definedName name="___________CN1" localSheetId="7" hidden="1">{"'Sheet1'!$L$16"}</definedName>
    <definedName name="___________CN1" hidden="1">{"'Sheet1'!$L$16"}</definedName>
    <definedName name="___________Goi8" localSheetId="1" hidden="1">{"'Sheet1'!$L$16"}</definedName>
    <definedName name="___________Goi8" localSheetId="3" hidden="1">{"'Sheet1'!$L$16"}</definedName>
    <definedName name="___________Goi8" localSheetId="4" hidden="1">{"'Sheet1'!$L$16"}</definedName>
    <definedName name="___________Goi8" localSheetId="5" hidden="1">{"'Sheet1'!$L$16"}</definedName>
    <definedName name="___________Goi8" localSheetId="7" hidden="1">{"'Sheet1'!$L$16"}</definedName>
    <definedName name="___________Goi8" hidden="1">{"'Sheet1'!$L$16"}</definedName>
    <definedName name="___________h1">{"'Sheet1'!$L$16"}</definedName>
    <definedName name="___________hh1219" hidden="1">{"'Sheet1'!$L$16"}</definedName>
    <definedName name="___________Lan1" localSheetId="1" hidden="1">{"'Sheet1'!$L$16"}</definedName>
    <definedName name="___________Lan1" localSheetId="3" hidden="1">{"'Sheet1'!$L$16"}</definedName>
    <definedName name="___________Lan1" localSheetId="4" hidden="1">{"'Sheet1'!$L$16"}</definedName>
    <definedName name="___________Lan1" localSheetId="5" hidden="1">{"'Sheet1'!$L$16"}</definedName>
    <definedName name="___________Lan1" localSheetId="7" hidden="1">{"'Sheet1'!$L$16"}</definedName>
    <definedName name="___________Lan1" hidden="1">{"'Sheet1'!$L$16"}</definedName>
    <definedName name="___________LAN3" hidden="1">{"'Sheet1'!$L$16"}</definedName>
    <definedName name="___________NSO2">{"'Sheet1'!$L$16"}</definedName>
    <definedName name="___________PA3" localSheetId="1" hidden="1">{"'Sheet1'!$L$16"}</definedName>
    <definedName name="___________PA3" localSheetId="3" hidden="1">{"'Sheet1'!$L$16"}</definedName>
    <definedName name="___________PA3" localSheetId="4" hidden="1">{"'Sheet1'!$L$16"}</definedName>
    <definedName name="___________PA3" localSheetId="5" hidden="1">{"'Sheet1'!$L$16"}</definedName>
    <definedName name="___________PA3" localSheetId="7" hidden="1">{"'Sheet1'!$L$16"}</definedName>
    <definedName name="___________PA3" hidden="1">{"'Sheet1'!$L$16"}</definedName>
    <definedName name="___________SCL4" localSheetId="1" hidden="1">{"'Sheet1'!$L$16"}</definedName>
    <definedName name="___________SCL4" localSheetId="3" hidden="1">{"'Sheet1'!$L$16"}</definedName>
    <definedName name="___________SCL4" localSheetId="4" hidden="1">{"'Sheet1'!$L$16"}</definedName>
    <definedName name="___________SCL4" localSheetId="5" hidden="1">{"'Sheet1'!$L$16"}</definedName>
    <definedName name="___________SCL4" localSheetId="7" hidden="1">{"'Sheet1'!$L$16"}</definedName>
    <definedName name="___________SCL4" hidden="1">{"'Sheet1'!$L$16"}</definedName>
    <definedName name="___________T1" hidden="1">{#N/A,#N/A,FALSE,"Chi tiÆt"}</definedName>
    <definedName name="___________TM2" hidden="1">{"'Sheet1'!$L$16"}</definedName>
    <definedName name="___________tt3" localSheetId="1" hidden="1">{"'Sheet1'!$L$16"}</definedName>
    <definedName name="___________tt3" localSheetId="3" hidden="1">{"'Sheet1'!$L$16"}</definedName>
    <definedName name="___________tt3" localSheetId="4" hidden="1">{"'Sheet1'!$L$16"}</definedName>
    <definedName name="___________tt3" localSheetId="5" hidden="1">{"'Sheet1'!$L$16"}</definedName>
    <definedName name="___________tt3" localSheetId="7" hidden="1">{"'Sheet1'!$L$16"}</definedName>
    <definedName name="___________tt3" hidden="1">{"'Sheet1'!$L$16"}</definedName>
    <definedName name="___________tu4" localSheetId="1" hidden="1">{"'Sheet1'!$L$16"}</definedName>
    <definedName name="___________tu4" localSheetId="3" hidden="1">{"'Sheet1'!$L$16"}</definedName>
    <definedName name="___________tu4" localSheetId="4" hidden="1">{"'Sheet1'!$L$16"}</definedName>
    <definedName name="___________tu4" localSheetId="5" hidden="1">{"'Sheet1'!$L$16"}</definedName>
    <definedName name="___________tu4" localSheetId="7" hidden="1">{"'Sheet1'!$L$16"}</definedName>
    <definedName name="___________tu4" hidden="1">{"'Sheet1'!$L$16"}</definedName>
    <definedName name="___________xlfn.BAHTTEXT" hidden="1">#NAME?</definedName>
    <definedName name="__________a1" localSheetId="1" hidden="1">{"'Sheet1'!$L$16"}</definedName>
    <definedName name="__________a1" localSheetId="3" hidden="1">{"'Sheet1'!$L$16"}</definedName>
    <definedName name="__________a1" localSheetId="4" hidden="1">{"'Sheet1'!$L$16"}</definedName>
    <definedName name="__________a1" localSheetId="5" hidden="1">{"'Sheet1'!$L$16"}</definedName>
    <definedName name="__________a1" localSheetId="7" hidden="1">{"'Sheet1'!$L$16"}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BG12" localSheetId="1" hidden="1">{"'Sheet1'!$L$16"}</definedName>
    <definedName name="__________BG12" localSheetId="3" hidden="1">{"'Sheet1'!$L$16"}</definedName>
    <definedName name="__________BG12" localSheetId="4" hidden="1">{"'Sheet1'!$L$16"}</definedName>
    <definedName name="__________BG12" localSheetId="5" hidden="1">{"'Sheet1'!$L$16"}</definedName>
    <definedName name="__________BG12" localSheetId="7" hidden="1">{"'Sheet1'!$L$16"}</definedName>
    <definedName name="__________BG12" hidden="1">{"'Sheet1'!$L$16"}</definedName>
    <definedName name="__________CN1" localSheetId="1" hidden="1">{"'Sheet1'!$L$16"}</definedName>
    <definedName name="__________CN1" localSheetId="3" hidden="1">{"'Sheet1'!$L$16"}</definedName>
    <definedName name="__________CN1" localSheetId="4" hidden="1">{"'Sheet1'!$L$16"}</definedName>
    <definedName name="__________CN1" localSheetId="5" hidden="1">{"'Sheet1'!$L$16"}</definedName>
    <definedName name="__________CN1" localSheetId="7" hidden="1">{"'Sheet1'!$L$16"}</definedName>
    <definedName name="__________CN1" hidden="1">{"'Sheet1'!$L$16"}</definedName>
    <definedName name="__________Goi8" localSheetId="1" hidden="1">{"'Sheet1'!$L$16"}</definedName>
    <definedName name="__________Goi8" localSheetId="3" hidden="1">{"'Sheet1'!$L$16"}</definedName>
    <definedName name="__________Goi8" localSheetId="4" hidden="1">{"'Sheet1'!$L$16"}</definedName>
    <definedName name="__________Goi8" localSheetId="5" hidden="1">{"'Sheet1'!$L$16"}</definedName>
    <definedName name="__________Goi8" localSheetId="7" hidden="1">{"'Sheet1'!$L$16"}</definedName>
    <definedName name="__________Goi8" hidden="1">{"'Sheet1'!$L$16"}</definedName>
    <definedName name="__________h1">{"'Sheet1'!$L$16"}</definedName>
    <definedName name="__________hh1219" hidden="1">{"'Sheet1'!$L$16"}</definedName>
    <definedName name="__________Lan1" localSheetId="1" hidden="1">{"'Sheet1'!$L$16"}</definedName>
    <definedName name="__________Lan1" localSheetId="3" hidden="1">{"'Sheet1'!$L$16"}</definedName>
    <definedName name="__________Lan1" localSheetId="4" hidden="1">{"'Sheet1'!$L$16"}</definedName>
    <definedName name="__________Lan1" localSheetId="5" hidden="1">{"'Sheet1'!$L$16"}</definedName>
    <definedName name="__________Lan1" localSheetId="7" hidden="1">{"'Sheet1'!$L$16"}</definedName>
    <definedName name="__________Lan1" hidden="1">{"'Sheet1'!$L$16"}</definedName>
    <definedName name="__________LAN3" localSheetId="1" hidden="1">{"'Sheet1'!$L$16"}</definedName>
    <definedName name="__________LAN3" localSheetId="3" hidden="1">{"'Sheet1'!$L$16"}</definedName>
    <definedName name="__________LAN3" localSheetId="4" hidden="1">{"'Sheet1'!$L$16"}</definedName>
    <definedName name="__________LAN3" localSheetId="5" hidden="1">{"'Sheet1'!$L$16"}</definedName>
    <definedName name="__________LAN3" localSheetId="7" hidden="1">{"'Sheet1'!$L$16"}</definedName>
    <definedName name="__________LAN3" hidden="1">{"'Sheet1'!$L$16"}</definedName>
    <definedName name="__________NSO2">{"'Sheet1'!$L$16"}</definedName>
    <definedName name="__________PA3" localSheetId="1" hidden="1">{"'Sheet1'!$L$16"}</definedName>
    <definedName name="__________PA3" localSheetId="3" hidden="1">{"'Sheet1'!$L$16"}</definedName>
    <definedName name="__________PA3" localSheetId="4" hidden="1">{"'Sheet1'!$L$16"}</definedName>
    <definedName name="__________PA3" localSheetId="5" hidden="1">{"'Sheet1'!$L$16"}</definedName>
    <definedName name="__________PA3" localSheetId="7" hidden="1">{"'Sheet1'!$L$16"}</definedName>
    <definedName name="__________PA3" hidden="1">{"'Sheet1'!$L$16"}</definedName>
    <definedName name="__________SCL4" localSheetId="1" hidden="1">{"'Sheet1'!$L$16"}</definedName>
    <definedName name="__________SCL4" localSheetId="3" hidden="1">{"'Sheet1'!$L$16"}</definedName>
    <definedName name="__________SCL4" localSheetId="4" hidden="1">{"'Sheet1'!$L$16"}</definedName>
    <definedName name="__________SCL4" localSheetId="5" hidden="1">{"'Sheet1'!$L$16"}</definedName>
    <definedName name="__________SCL4" localSheetId="7" hidden="1">{"'Sheet1'!$L$16"}</definedName>
    <definedName name="__________SCL4" hidden="1">{"'Sheet1'!$L$16"}</definedName>
    <definedName name="__________T1" hidden="1">{#N/A,#N/A,FALSE,"Chi tiÆt"}</definedName>
    <definedName name="__________TM2" hidden="1">{"'Sheet1'!$L$16"}</definedName>
    <definedName name="__________tt3" localSheetId="1" hidden="1">{"'Sheet1'!$L$16"}</definedName>
    <definedName name="__________tt3" localSheetId="3" hidden="1">{"'Sheet1'!$L$16"}</definedName>
    <definedName name="__________tt3" localSheetId="4" hidden="1">{"'Sheet1'!$L$16"}</definedName>
    <definedName name="__________tt3" localSheetId="5" hidden="1">{"'Sheet1'!$L$16"}</definedName>
    <definedName name="__________tt3" localSheetId="7" hidden="1">{"'Sheet1'!$L$16"}</definedName>
    <definedName name="__________tt3" hidden="1">{"'Sheet1'!$L$16"}</definedName>
    <definedName name="__________tu4">{"'Sheet1'!$L$16"}</definedName>
    <definedName name="__________xlfn.BAHTTEXT" hidden="1">#NAME?</definedName>
    <definedName name="_________a1" localSheetId="1" hidden="1">{"'Sheet1'!$L$16"}</definedName>
    <definedName name="_________a1" localSheetId="3" hidden="1">{"'Sheet1'!$L$16"}</definedName>
    <definedName name="_________a1" localSheetId="4" hidden="1">{"'Sheet1'!$L$16"}</definedName>
    <definedName name="_________a1" localSheetId="5" hidden="1">{"'Sheet1'!$L$16"}</definedName>
    <definedName name="_________a1" localSheetId="7" hidden="1">{"'Sheet1'!$L$16"}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BG12" localSheetId="1" hidden="1">{"'Sheet1'!$L$16"}</definedName>
    <definedName name="_________BG12" localSheetId="3" hidden="1">{"'Sheet1'!$L$16"}</definedName>
    <definedName name="_________BG12" localSheetId="4" hidden="1">{"'Sheet1'!$L$16"}</definedName>
    <definedName name="_________BG12" localSheetId="5" hidden="1">{"'Sheet1'!$L$16"}</definedName>
    <definedName name="_________BG12" localSheetId="7" hidden="1">{"'Sheet1'!$L$16"}</definedName>
    <definedName name="_________BG12" hidden="1">{"'Sheet1'!$L$16"}</definedName>
    <definedName name="_________bht6" localSheetId="1" hidden="1">{"'Sheet1'!$L$16"}</definedName>
    <definedName name="_________bht6" localSheetId="3" hidden="1">{"'Sheet1'!$L$16"}</definedName>
    <definedName name="_________bht6" localSheetId="4" hidden="1">{"'Sheet1'!$L$16"}</definedName>
    <definedName name="_________bht6" localSheetId="5" hidden="1">{"'Sheet1'!$L$16"}</definedName>
    <definedName name="_________bht6" localSheetId="7" hidden="1">{"'Sheet1'!$L$16"}</definedName>
    <definedName name="_________bht6" hidden="1">{"'Sheet1'!$L$16"}</definedName>
    <definedName name="_________CN1" localSheetId="1" hidden="1">{"'Sheet1'!$L$16"}</definedName>
    <definedName name="_________CN1" localSheetId="3" hidden="1">{"'Sheet1'!$L$16"}</definedName>
    <definedName name="_________CN1" localSheetId="4" hidden="1">{"'Sheet1'!$L$16"}</definedName>
    <definedName name="_________CN1" localSheetId="5" hidden="1">{"'Sheet1'!$L$16"}</definedName>
    <definedName name="_________CN1" localSheetId="7" hidden="1">{"'Sheet1'!$L$16"}</definedName>
    <definedName name="_________CN1" hidden="1">{"'Sheet1'!$L$16"}</definedName>
    <definedName name="_________Goi8" localSheetId="1" hidden="1">{"'Sheet1'!$L$16"}</definedName>
    <definedName name="_________Goi8" localSheetId="3" hidden="1">{"'Sheet1'!$L$16"}</definedName>
    <definedName name="_________Goi8" localSheetId="4" hidden="1">{"'Sheet1'!$L$16"}</definedName>
    <definedName name="_________Goi8" localSheetId="5" hidden="1">{"'Sheet1'!$L$16"}</definedName>
    <definedName name="_________Goi8" localSheetId="7" hidden="1">{"'Sheet1'!$L$16"}</definedName>
    <definedName name="_________Goi8" hidden="1">{"'Sheet1'!$L$16"}</definedName>
    <definedName name="_________h1">{"'Sheet1'!$L$16"}</definedName>
    <definedName name="_________hh1219" hidden="1">{"'Sheet1'!$L$16"}</definedName>
    <definedName name="_________Lan1" localSheetId="1" hidden="1">{"'Sheet1'!$L$16"}</definedName>
    <definedName name="_________Lan1" localSheetId="3" hidden="1">{"'Sheet1'!$L$16"}</definedName>
    <definedName name="_________Lan1" localSheetId="4" hidden="1">{"'Sheet1'!$L$16"}</definedName>
    <definedName name="_________Lan1" localSheetId="5" hidden="1">{"'Sheet1'!$L$16"}</definedName>
    <definedName name="_________Lan1" localSheetId="7" hidden="1">{"'Sheet1'!$L$16"}</definedName>
    <definedName name="_________Lan1" hidden="1">{"'Sheet1'!$L$16"}</definedName>
    <definedName name="_________LAN3" localSheetId="1" hidden="1">{"'Sheet1'!$L$16"}</definedName>
    <definedName name="_________LAN3" localSheetId="3" hidden="1">{"'Sheet1'!$L$16"}</definedName>
    <definedName name="_________LAN3" localSheetId="4" hidden="1">{"'Sheet1'!$L$16"}</definedName>
    <definedName name="_________LAN3" localSheetId="5" hidden="1">{"'Sheet1'!$L$16"}</definedName>
    <definedName name="_________LAN3" localSheetId="7" hidden="1">{"'Sheet1'!$L$16"}</definedName>
    <definedName name="_________LAN3" hidden="1">{"'Sheet1'!$L$16"}</definedName>
    <definedName name="_________NSO2" localSheetId="1" hidden="1">{"'Sheet1'!$L$16"}</definedName>
    <definedName name="_________NSO2" localSheetId="3" hidden="1">{"'Sheet1'!$L$16"}</definedName>
    <definedName name="_________NSO2" localSheetId="4" hidden="1">{"'Sheet1'!$L$16"}</definedName>
    <definedName name="_________NSO2" localSheetId="5" hidden="1">{"'Sheet1'!$L$16"}</definedName>
    <definedName name="_________NSO2" localSheetId="7" hidden="1">{"'Sheet1'!$L$16"}</definedName>
    <definedName name="_________NSO2" hidden="1">{"'Sheet1'!$L$16"}</definedName>
    <definedName name="_________PA3" localSheetId="1" hidden="1">{"'Sheet1'!$L$16"}</definedName>
    <definedName name="_________PA3" localSheetId="3" hidden="1">{"'Sheet1'!$L$16"}</definedName>
    <definedName name="_________PA3" localSheetId="4" hidden="1">{"'Sheet1'!$L$16"}</definedName>
    <definedName name="_________PA3" localSheetId="5" hidden="1">{"'Sheet1'!$L$16"}</definedName>
    <definedName name="_________PA3" localSheetId="7" hidden="1">{"'Sheet1'!$L$16"}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localSheetId="1" hidden="1">{"'Sheet1'!$L$16"}</definedName>
    <definedName name="_________SCL4" localSheetId="3" hidden="1">{"'Sheet1'!$L$16"}</definedName>
    <definedName name="_________SCL4" localSheetId="4" hidden="1">{"'Sheet1'!$L$16"}</definedName>
    <definedName name="_________SCL4" localSheetId="5" hidden="1">{"'Sheet1'!$L$16"}</definedName>
    <definedName name="_________SCL4" localSheetId="7" hidden="1">{"'Sheet1'!$L$16"}</definedName>
    <definedName name="_________SCL4" hidden="1">{"'Sheet1'!$L$16"}</definedName>
    <definedName name="_________sxt5" localSheetId="1" hidden="1">{"'Sheet1'!$L$16"}</definedName>
    <definedName name="_________sxt5" localSheetId="3" hidden="1">{"'Sheet1'!$L$16"}</definedName>
    <definedName name="_________sxt5" localSheetId="4" hidden="1">{"'Sheet1'!$L$16"}</definedName>
    <definedName name="_________sxt5" localSheetId="5" hidden="1">{"'Sheet1'!$L$16"}</definedName>
    <definedName name="_________sxt5" localSheetId="7" hidden="1">{"'Sheet1'!$L$16"}</definedName>
    <definedName name="_________sxt5" hidden="1">{"'Sheet1'!$L$16"}</definedName>
    <definedName name="_________T1" hidden="1">{#N/A,#N/A,FALSE,"Chi tiÆt"}</definedName>
    <definedName name="_________TM2" hidden="1">{"'Sheet1'!$L$16"}</definedName>
    <definedName name="_________tt3" localSheetId="1" hidden="1">{"'Sheet1'!$L$16"}</definedName>
    <definedName name="_________tt3" localSheetId="3" hidden="1">{"'Sheet1'!$L$16"}</definedName>
    <definedName name="_________tt3" localSheetId="4" hidden="1">{"'Sheet1'!$L$16"}</definedName>
    <definedName name="_________tt3" localSheetId="5" hidden="1">{"'Sheet1'!$L$16"}</definedName>
    <definedName name="_________tt3" localSheetId="7" hidden="1">{"'Sheet1'!$L$16"}</definedName>
    <definedName name="_________tt3" hidden="1">{"'Sheet1'!$L$16"}</definedName>
    <definedName name="_________tu4" localSheetId="1" hidden="1">{"'Sheet1'!$L$16"}</definedName>
    <definedName name="_________tu4" localSheetId="3" hidden="1">{"'Sheet1'!$L$16"}</definedName>
    <definedName name="_________tu4" localSheetId="4" hidden="1">{"'Sheet1'!$L$16"}</definedName>
    <definedName name="_________tu4" localSheetId="5" hidden="1">{"'Sheet1'!$L$16"}</definedName>
    <definedName name="_________tu4" localSheetId="7" hidden="1">{"'Sheet1'!$L$16"}</definedName>
    <definedName name="_________tu4" hidden="1">{"'Sheet1'!$L$16"}</definedName>
    <definedName name="_________vpt5" localSheetId="1" hidden="1">{"'Sheet1'!$L$16"}</definedName>
    <definedName name="_________vpt5" localSheetId="3" hidden="1">{"'Sheet1'!$L$16"}</definedName>
    <definedName name="_________vpt5" localSheetId="4" hidden="1">{"'Sheet1'!$L$16"}</definedName>
    <definedName name="_________vpt5" localSheetId="5" hidden="1">{"'Sheet1'!$L$16"}</definedName>
    <definedName name="_________vpt5" localSheetId="7" hidden="1">{"'Sheet1'!$L$16"}</definedName>
    <definedName name="_________vpt5" hidden="1">{"'Sheet1'!$L$16"}</definedName>
    <definedName name="_________vpt6" localSheetId="1" hidden="1">{"'Sheet1'!$L$16"}</definedName>
    <definedName name="_________vpt6" localSheetId="3" hidden="1">{"'Sheet1'!$L$16"}</definedName>
    <definedName name="_________vpt6" localSheetId="4" hidden="1">{"'Sheet1'!$L$16"}</definedName>
    <definedName name="_________vpt6" localSheetId="5" hidden="1">{"'Sheet1'!$L$16"}</definedName>
    <definedName name="_________vpt6" localSheetId="7" hidden="1">{"'Sheet1'!$L$16"}</definedName>
    <definedName name="_________vpt6" hidden="1">{"'Sheet1'!$L$16"}</definedName>
    <definedName name="_________xlfn.BAHTTEXT" hidden="1">#NAME?</definedName>
    <definedName name="________a1" localSheetId="1" hidden="1">{"'Sheet1'!$L$16"}</definedName>
    <definedName name="________a1" localSheetId="3" hidden="1">{"'Sheet1'!$L$16"}</definedName>
    <definedName name="________a1" localSheetId="4" hidden="1">{"'Sheet1'!$L$16"}</definedName>
    <definedName name="________a1" localSheetId="5" hidden="1">{"'Sheet1'!$L$16"}</definedName>
    <definedName name="________a1" localSheetId="7" hidden="1">{"'Sheet1'!$L$16"}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BG12" localSheetId="1" hidden="1">{"'Sheet1'!$L$16"}</definedName>
    <definedName name="________BG12" localSheetId="3" hidden="1">{"'Sheet1'!$L$16"}</definedName>
    <definedName name="________BG12" localSheetId="4" hidden="1">{"'Sheet1'!$L$16"}</definedName>
    <definedName name="________BG12" localSheetId="5" hidden="1">{"'Sheet1'!$L$16"}</definedName>
    <definedName name="________BG12" localSheetId="7" hidden="1">{"'Sheet1'!$L$16"}</definedName>
    <definedName name="________BG12" hidden="1">{"'Sheet1'!$L$16"}</definedName>
    <definedName name="________bht6" localSheetId="1" hidden="1">{"'Sheet1'!$L$16"}</definedName>
    <definedName name="________bht6" localSheetId="3" hidden="1">{"'Sheet1'!$L$16"}</definedName>
    <definedName name="________bht6" localSheetId="4" hidden="1">{"'Sheet1'!$L$16"}</definedName>
    <definedName name="________bht6" localSheetId="5" hidden="1">{"'Sheet1'!$L$16"}</definedName>
    <definedName name="________bht6" localSheetId="7" hidden="1">{"'Sheet1'!$L$16"}</definedName>
    <definedName name="________bht6" hidden="1">{"'Sheet1'!$L$16"}</definedName>
    <definedName name="________CN1" localSheetId="1" hidden="1">{"'Sheet1'!$L$16"}</definedName>
    <definedName name="________CN1" localSheetId="3" hidden="1">{"'Sheet1'!$L$16"}</definedName>
    <definedName name="________CN1" localSheetId="4" hidden="1">{"'Sheet1'!$L$16"}</definedName>
    <definedName name="________CN1" localSheetId="5" hidden="1">{"'Sheet1'!$L$16"}</definedName>
    <definedName name="________CN1" localSheetId="7" hidden="1">{"'Sheet1'!$L$16"}</definedName>
    <definedName name="________CN1" hidden="1">{"'Sheet1'!$L$16"}</definedName>
    <definedName name="________Goi8" localSheetId="1" hidden="1">{"'Sheet1'!$L$16"}</definedName>
    <definedName name="________Goi8" localSheetId="3" hidden="1">{"'Sheet1'!$L$16"}</definedName>
    <definedName name="________Goi8" localSheetId="4" hidden="1">{"'Sheet1'!$L$16"}</definedName>
    <definedName name="________Goi8" localSheetId="5" hidden="1">{"'Sheet1'!$L$16"}</definedName>
    <definedName name="________Goi8" localSheetId="7" hidden="1">{"'Sheet1'!$L$16"}</definedName>
    <definedName name="________Goi8" hidden="1">{"'Sheet1'!$L$16"}</definedName>
    <definedName name="________h1">{"'Sheet1'!$L$16"}</definedName>
    <definedName name="________hh1219" hidden="1">{"'Sheet1'!$L$16"}</definedName>
    <definedName name="________key1" hidden="1">#REF!</definedName>
    <definedName name="________Lan1" localSheetId="1" hidden="1">{"'Sheet1'!$L$16"}</definedName>
    <definedName name="________Lan1" localSheetId="3" hidden="1">{"'Sheet1'!$L$16"}</definedName>
    <definedName name="________Lan1" localSheetId="4" hidden="1">{"'Sheet1'!$L$16"}</definedName>
    <definedName name="________Lan1" localSheetId="5" hidden="1">{"'Sheet1'!$L$16"}</definedName>
    <definedName name="________Lan1" localSheetId="7" hidden="1">{"'Sheet1'!$L$16"}</definedName>
    <definedName name="________Lan1" hidden="1">{"'Sheet1'!$L$16"}</definedName>
    <definedName name="________LAN3" localSheetId="1" hidden="1">{"'Sheet1'!$L$16"}</definedName>
    <definedName name="________LAN3" localSheetId="3" hidden="1">{"'Sheet1'!$L$16"}</definedName>
    <definedName name="________LAN3" localSheetId="4" hidden="1">{"'Sheet1'!$L$16"}</definedName>
    <definedName name="________LAN3" localSheetId="5" hidden="1">{"'Sheet1'!$L$16"}</definedName>
    <definedName name="________LAN3" localSheetId="7" hidden="1">{"'Sheet1'!$L$16"}</definedName>
    <definedName name="________LAN3" hidden="1">{"'Sheet1'!$L$16"}</definedName>
    <definedName name="________lop111" hidden="1">{#N/A,#N/A,FALSE,"特殊室（ＢＱ表）"}</definedName>
    <definedName name="________NSO2" localSheetId="1" hidden="1">{"'Sheet1'!$L$16"}</definedName>
    <definedName name="________NSO2" localSheetId="3" hidden="1">{"'Sheet1'!$L$16"}</definedName>
    <definedName name="________NSO2" localSheetId="4" hidden="1">{"'Sheet1'!$L$16"}</definedName>
    <definedName name="________NSO2" localSheetId="5" hidden="1">{"'Sheet1'!$L$16"}</definedName>
    <definedName name="________NSO2" localSheetId="7" hidden="1">{"'Sheet1'!$L$16"}</definedName>
    <definedName name="________NSO2" hidden="1">{"'Sheet1'!$L$16"}</definedName>
    <definedName name="________PA3" localSheetId="1" hidden="1">{"'Sheet1'!$L$16"}</definedName>
    <definedName name="________PA3" localSheetId="3" hidden="1">{"'Sheet1'!$L$16"}</definedName>
    <definedName name="________PA3" localSheetId="4" hidden="1">{"'Sheet1'!$L$16"}</definedName>
    <definedName name="________PA3" localSheetId="5" hidden="1">{"'Sheet1'!$L$16"}</definedName>
    <definedName name="________PA3" localSheetId="7" hidden="1">{"'Sheet1'!$L$16"}</definedName>
    <definedName name="________PA3" hidden="1">{"'Sheet1'!$L$16"}</definedName>
    <definedName name="________SCL4" localSheetId="1" hidden="1">{"'Sheet1'!$L$16"}</definedName>
    <definedName name="________SCL4" localSheetId="3" hidden="1">{"'Sheet1'!$L$16"}</definedName>
    <definedName name="________SCL4" localSheetId="4" hidden="1">{"'Sheet1'!$L$16"}</definedName>
    <definedName name="________SCL4" localSheetId="5" hidden="1">{"'Sheet1'!$L$16"}</definedName>
    <definedName name="________SCL4" localSheetId="7" hidden="1">{"'Sheet1'!$L$16"}</definedName>
    <definedName name="________SCL4" hidden="1">{"'Sheet1'!$L$16"}</definedName>
    <definedName name="________sxt5" localSheetId="1" hidden="1">{"'Sheet1'!$L$16"}</definedName>
    <definedName name="________sxt5" localSheetId="3" hidden="1">{"'Sheet1'!$L$16"}</definedName>
    <definedName name="________sxt5" localSheetId="4" hidden="1">{"'Sheet1'!$L$16"}</definedName>
    <definedName name="________sxt5" localSheetId="5" hidden="1">{"'Sheet1'!$L$16"}</definedName>
    <definedName name="________sxt5" localSheetId="7" hidden="1">{"'Sheet1'!$L$16"}</definedName>
    <definedName name="________sxt5" hidden="1">{"'Sheet1'!$L$16"}</definedName>
    <definedName name="________T1" hidden="1">{#N/A,#N/A,FALSE,"Chi tiÆt"}</definedName>
    <definedName name="________TM2" hidden="1">{"'Sheet1'!$L$16"}</definedName>
    <definedName name="________tt3" localSheetId="1" hidden="1">{"'Sheet1'!$L$16"}</definedName>
    <definedName name="________tt3" localSheetId="3" hidden="1">{"'Sheet1'!$L$16"}</definedName>
    <definedName name="________tt3" localSheetId="4" hidden="1">{"'Sheet1'!$L$16"}</definedName>
    <definedName name="________tt3" localSheetId="5" hidden="1">{"'Sheet1'!$L$16"}</definedName>
    <definedName name="________tt3" localSheetId="7" hidden="1">{"'Sheet1'!$L$16"}</definedName>
    <definedName name="________tt3" hidden="1">{"'Sheet1'!$L$16"}</definedName>
    <definedName name="________tu4">{"'Sheet1'!$L$16"}</definedName>
    <definedName name="________vpt5" localSheetId="1" hidden="1">{"'Sheet1'!$L$16"}</definedName>
    <definedName name="________vpt5" localSheetId="3" hidden="1">{"'Sheet1'!$L$16"}</definedName>
    <definedName name="________vpt5" localSheetId="4" hidden="1">{"'Sheet1'!$L$16"}</definedName>
    <definedName name="________vpt5" localSheetId="5" hidden="1">{"'Sheet1'!$L$16"}</definedName>
    <definedName name="________vpt5" localSheetId="7" hidden="1">{"'Sheet1'!$L$16"}</definedName>
    <definedName name="________vpt5" hidden="1">{"'Sheet1'!$L$16"}</definedName>
    <definedName name="________vpt6" localSheetId="1" hidden="1">{"'Sheet1'!$L$16"}</definedName>
    <definedName name="________vpt6" localSheetId="3" hidden="1">{"'Sheet1'!$L$16"}</definedName>
    <definedName name="________vpt6" localSheetId="4" hidden="1">{"'Sheet1'!$L$16"}</definedName>
    <definedName name="________vpt6" localSheetId="5" hidden="1">{"'Sheet1'!$L$16"}</definedName>
    <definedName name="________vpt6" localSheetId="7" hidden="1">{"'Sheet1'!$L$16"}</definedName>
    <definedName name="________vpt6" hidden="1">{"'Sheet1'!$L$16"}</definedName>
    <definedName name="________xlfn.BAHTTEXT" hidden="1">#NAME?</definedName>
    <definedName name="_______a1" localSheetId="1" hidden="1">{"'Sheet1'!$L$16"}</definedName>
    <definedName name="_______a1" localSheetId="3" hidden="1">{"'Sheet1'!$L$16"}</definedName>
    <definedName name="_______a1" localSheetId="4" hidden="1">{"'Sheet1'!$L$16"}</definedName>
    <definedName name="_______a1" localSheetId="5" hidden="1">{"'Sheet1'!$L$16"}</definedName>
    <definedName name="_______a1" localSheetId="7" hidden="1">{"'Sheet1'!$L$16"}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BG12" localSheetId="1" hidden="1">{"'Sheet1'!$L$16"}</definedName>
    <definedName name="_______BG12" localSheetId="3" hidden="1">{"'Sheet1'!$L$16"}</definedName>
    <definedName name="_______BG12" localSheetId="4" hidden="1">{"'Sheet1'!$L$16"}</definedName>
    <definedName name="_______BG12" localSheetId="5" hidden="1">{"'Sheet1'!$L$16"}</definedName>
    <definedName name="_______BG12" localSheetId="7" hidden="1">{"'Sheet1'!$L$16"}</definedName>
    <definedName name="_______BG12" hidden="1">{"'Sheet1'!$L$16"}</definedName>
    <definedName name="_______bht6" localSheetId="1" hidden="1">{"'Sheet1'!$L$16"}</definedName>
    <definedName name="_______bht6" localSheetId="3" hidden="1">{"'Sheet1'!$L$16"}</definedName>
    <definedName name="_______bht6" localSheetId="4" hidden="1">{"'Sheet1'!$L$16"}</definedName>
    <definedName name="_______bht6" localSheetId="5" hidden="1">{"'Sheet1'!$L$16"}</definedName>
    <definedName name="_______bht6" localSheetId="7" hidden="1">{"'Sheet1'!$L$16"}</definedName>
    <definedName name="_______bht6" hidden="1">{"'Sheet1'!$L$16"}</definedName>
    <definedName name="_______CN1" localSheetId="1" hidden="1">{"'Sheet1'!$L$16"}</definedName>
    <definedName name="_______CN1" localSheetId="3" hidden="1">{"'Sheet1'!$L$16"}</definedName>
    <definedName name="_______CN1" localSheetId="4" hidden="1">{"'Sheet1'!$L$16"}</definedName>
    <definedName name="_______CN1" localSheetId="5" hidden="1">{"'Sheet1'!$L$16"}</definedName>
    <definedName name="_______CN1" localSheetId="7" hidden="1">{"'Sheet1'!$L$16"}</definedName>
    <definedName name="_______CN1" hidden="1">{"'Sheet1'!$L$16"}</definedName>
    <definedName name="_______Goi8" localSheetId="1" hidden="1">{"'Sheet1'!$L$16"}</definedName>
    <definedName name="_______Goi8" localSheetId="3" hidden="1">{"'Sheet1'!$L$16"}</definedName>
    <definedName name="_______Goi8" localSheetId="4" hidden="1">{"'Sheet1'!$L$16"}</definedName>
    <definedName name="_______Goi8" localSheetId="5" hidden="1">{"'Sheet1'!$L$16"}</definedName>
    <definedName name="_______Goi8" localSheetId="7" hidden="1">{"'Sheet1'!$L$16"}</definedName>
    <definedName name="_______Goi8" hidden="1">{"'Sheet1'!$L$16"}</definedName>
    <definedName name="_______h1" localSheetId="1" hidden="1">{"'Sheet1'!$L$16"}</definedName>
    <definedName name="_______h1" localSheetId="3" hidden="1">{"'Sheet1'!$L$16"}</definedName>
    <definedName name="_______h1" localSheetId="4" hidden="1">{"'Sheet1'!$L$16"}</definedName>
    <definedName name="_______h1" localSheetId="5" hidden="1">{"'Sheet1'!$L$16"}</definedName>
    <definedName name="_______h1" localSheetId="7" hidden="1">{"'Sheet1'!$L$16"}</definedName>
    <definedName name="_______h1" hidden="1">{"'Sheet1'!$L$16"}</definedName>
    <definedName name="_______hh1219" hidden="1">{"'Sheet1'!$L$16"}</definedName>
    <definedName name="_______hu1" localSheetId="1" hidden="1">{"'Sheet1'!$L$16"}</definedName>
    <definedName name="_______hu1" localSheetId="3" hidden="1">{"'Sheet1'!$L$16"}</definedName>
    <definedName name="_______hu1" localSheetId="4" hidden="1">{"'Sheet1'!$L$16"}</definedName>
    <definedName name="_______hu1" localSheetId="5" hidden="1">{"'Sheet1'!$L$16"}</definedName>
    <definedName name="_______hu1" localSheetId="7" hidden="1">{"'Sheet1'!$L$16"}</definedName>
    <definedName name="_______hu1" hidden="1">{"'Sheet1'!$L$16"}</definedName>
    <definedName name="_______hu2" localSheetId="1" hidden="1">{"'Sheet1'!$L$16"}</definedName>
    <definedName name="_______hu2" localSheetId="3" hidden="1">{"'Sheet1'!$L$16"}</definedName>
    <definedName name="_______hu2" localSheetId="4" hidden="1">{"'Sheet1'!$L$16"}</definedName>
    <definedName name="_______hu2" localSheetId="5" hidden="1">{"'Sheet1'!$L$16"}</definedName>
    <definedName name="_______hu2" localSheetId="7" hidden="1">{"'Sheet1'!$L$16"}</definedName>
    <definedName name="_______hu2" hidden="1">{"'Sheet1'!$L$16"}</definedName>
    <definedName name="_______hu5" localSheetId="1" hidden="1">{"'Sheet1'!$L$16"}</definedName>
    <definedName name="_______hu5" localSheetId="3" hidden="1">{"'Sheet1'!$L$16"}</definedName>
    <definedName name="_______hu5" localSheetId="4" hidden="1">{"'Sheet1'!$L$16"}</definedName>
    <definedName name="_______hu5" localSheetId="5" hidden="1">{"'Sheet1'!$L$16"}</definedName>
    <definedName name="_______hu5" localSheetId="7" hidden="1">{"'Sheet1'!$L$16"}</definedName>
    <definedName name="_______hu5" hidden="1">{"'Sheet1'!$L$16"}</definedName>
    <definedName name="_______hu6" localSheetId="1" hidden="1">{"'Sheet1'!$L$16"}</definedName>
    <definedName name="_______hu6" localSheetId="3" hidden="1">{"'Sheet1'!$L$16"}</definedName>
    <definedName name="_______hu6" localSheetId="4" hidden="1">{"'Sheet1'!$L$16"}</definedName>
    <definedName name="_______hu6" localSheetId="5" hidden="1">{"'Sheet1'!$L$16"}</definedName>
    <definedName name="_______hu6" localSheetId="7" hidden="1">{"'Sheet1'!$L$16"}</definedName>
    <definedName name="_______hu6" hidden="1">{"'Sheet1'!$L$16"}</definedName>
    <definedName name="_______key2" hidden="1">#REF!</definedName>
    <definedName name="_______Lan1" localSheetId="1" hidden="1">{"'Sheet1'!$L$16"}</definedName>
    <definedName name="_______Lan1" localSheetId="3" hidden="1">{"'Sheet1'!$L$16"}</definedName>
    <definedName name="_______Lan1" localSheetId="4" hidden="1">{"'Sheet1'!$L$16"}</definedName>
    <definedName name="_______Lan1" localSheetId="5" hidden="1">{"'Sheet1'!$L$16"}</definedName>
    <definedName name="_______Lan1" localSheetId="7" hidden="1">{"'Sheet1'!$L$16"}</definedName>
    <definedName name="_______Lan1" hidden="1">{"'Sheet1'!$L$16"}</definedName>
    <definedName name="_______LAN3" localSheetId="1" hidden="1">{"'Sheet1'!$L$16"}</definedName>
    <definedName name="_______LAN3" localSheetId="3" hidden="1">{"'Sheet1'!$L$16"}</definedName>
    <definedName name="_______LAN3" localSheetId="4" hidden="1">{"'Sheet1'!$L$16"}</definedName>
    <definedName name="_______LAN3" localSheetId="5" hidden="1">{"'Sheet1'!$L$16"}</definedName>
    <definedName name="_______LAN3" localSheetId="7" hidden="1">{"'Sheet1'!$L$16"}</definedName>
    <definedName name="_______LAN3" hidden="1">{"'Sheet1'!$L$16"}</definedName>
    <definedName name="_______NSO2" localSheetId="1" hidden="1">{"'Sheet1'!$L$16"}</definedName>
    <definedName name="_______NSO2" localSheetId="3" hidden="1">{"'Sheet1'!$L$16"}</definedName>
    <definedName name="_______NSO2" localSheetId="4" hidden="1">{"'Sheet1'!$L$16"}</definedName>
    <definedName name="_______NSO2" localSheetId="5" hidden="1">{"'Sheet1'!$L$16"}</definedName>
    <definedName name="_______NSO2" localSheetId="7" hidden="1">{"'Sheet1'!$L$16"}</definedName>
    <definedName name="_______NSO2" hidden="1">{"'Sheet1'!$L$16"}</definedName>
    <definedName name="_______p06">{"'Sheet1'!$L$16"}</definedName>
    <definedName name="_______P3" hidden="1">{#N/A,#N/A,FALSE,"特殊室（ＢＱ表）"}</definedName>
    <definedName name="_______PA3" localSheetId="1" hidden="1">{"'Sheet1'!$L$16"}</definedName>
    <definedName name="_______PA3" localSheetId="3" hidden="1">{"'Sheet1'!$L$16"}</definedName>
    <definedName name="_______PA3" localSheetId="4" hidden="1">{"'Sheet1'!$L$16"}</definedName>
    <definedName name="_______PA3" localSheetId="5" hidden="1">{"'Sheet1'!$L$16"}</definedName>
    <definedName name="_______PA3" localSheetId="7" hidden="1">{"'Sheet1'!$L$16"}</definedName>
    <definedName name="_______PA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localSheetId="1" hidden="1">{"'Sheet1'!$L$16"}</definedName>
    <definedName name="_______SCL4" localSheetId="3" hidden="1">{"'Sheet1'!$L$16"}</definedName>
    <definedName name="_______SCL4" localSheetId="4" hidden="1">{"'Sheet1'!$L$16"}</definedName>
    <definedName name="_______SCL4" localSheetId="5" hidden="1">{"'Sheet1'!$L$16"}</definedName>
    <definedName name="_______SCL4" localSheetId="7" hidden="1">{"'Sheet1'!$L$16"}</definedName>
    <definedName name="_______SCL4" hidden="1">{"'Sheet1'!$L$16"}</definedName>
    <definedName name="_______sxt5" localSheetId="1" hidden="1">{"'Sheet1'!$L$16"}</definedName>
    <definedName name="_______sxt5" localSheetId="3" hidden="1">{"'Sheet1'!$L$16"}</definedName>
    <definedName name="_______sxt5" localSheetId="4" hidden="1">{"'Sheet1'!$L$16"}</definedName>
    <definedName name="_______sxt5" localSheetId="5" hidden="1">{"'Sheet1'!$L$16"}</definedName>
    <definedName name="_______sxt5" localSheetId="7" hidden="1">{"'Sheet1'!$L$16"}</definedName>
    <definedName name="_______sxt5" hidden="1">{"'Sheet1'!$L$16"}</definedName>
    <definedName name="_______T1" hidden="1">{#N/A,#N/A,FALSE,"Chi tiÆt"}</definedName>
    <definedName name="_______TM2" hidden="1">{"'Sheet1'!$L$16"}</definedName>
    <definedName name="_______tt3" localSheetId="1" hidden="1">{"'Sheet1'!$L$16"}</definedName>
    <definedName name="_______tt3" localSheetId="3" hidden="1">{"'Sheet1'!$L$16"}</definedName>
    <definedName name="_______tt3" localSheetId="4" hidden="1">{"'Sheet1'!$L$16"}</definedName>
    <definedName name="_______tt3" localSheetId="5" hidden="1">{"'Sheet1'!$L$16"}</definedName>
    <definedName name="_______tt3" localSheetId="7" hidden="1">{"'Sheet1'!$L$16"}</definedName>
    <definedName name="_______tt3" hidden="1">{"'Sheet1'!$L$16"}</definedName>
    <definedName name="_______tu4" localSheetId="1" hidden="1">{"'Sheet1'!$L$16"}</definedName>
    <definedName name="_______tu4" localSheetId="3" hidden="1">{"'Sheet1'!$L$16"}</definedName>
    <definedName name="_______tu4" localSheetId="4" hidden="1">{"'Sheet1'!$L$16"}</definedName>
    <definedName name="_______tu4" localSheetId="5" hidden="1">{"'Sheet1'!$L$16"}</definedName>
    <definedName name="_______tu4" localSheetId="7" hidden="1">{"'Sheet1'!$L$16"}</definedName>
    <definedName name="_______tu4" hidden="1">{"'Sheet1'!$L$16"}</definedName>
    <definedName name="_______vpt5" localSheetId="1" hidden="1">{"'Sheet1'!$L$16"}</definedName>
    <definedName name="_______vpt5" localSheetId="3" hidden="1">{"'Sheet1'!$L$16"}</definedName>
    <definedName name="_______vpt5" localSheetId="4" hidden="1">{"'Sheet1'!$L$16"}</definedName>
    <definedName name="_______vpt5" localSheetId="5" hidden="1">{"'Sheet1'!$L$16"}</definedName>
    <definedName name="_______vpt5" localSheetId="7" hidden="1">{"'Sheet1'!$L$16"}</definedName>
    <definedName name="_______vpt5" hidden="1">{"'Sheet1'!$L$16"}</definedName>
    <definedName name="_______vpt6" localSheetId="1" hidden="1">{"'Sheet1'!$L$16"}</definedName>
    <definedName name="_______vpt6" localSheetId="3" hidden="1">{"'Sheet1'!$L$16"}</definedName>
    <definedName name="_______vpt6" localSheetId="4" hidden="1">{"'Sheet1'!$L$16"}</definedName>
    <definedName name="_______vpt6" localSheetId="5" hidden="1">{"'Sheet1'!$L$16"}</definedName>
    <definedName name="_______vpt6" localSheetId="7" hidden="1">{"'Sheet1'!$L$16"}</definedName>
    <definedName name="_______vpt6" hidden="1">{"'Sheet1'!$L$16"}</definedName>
    <definedName name="_______xlfn.BAHTTEXT" hidden="1">#NAME?</definedName>
    <definedName name="______a1" localSheetId="1" hidden="1">{"'Sheet1'!$L$16"}</definedName>
    <definedName name="______a1" localSheetId="3" hidden="1">{"'Sheet1'!$L$16"}</definedName>
    <definedName name="______a1" localSheetId="4" hidden="1">{"'Sheet1'!$L$16"}</definedName>
    <definedName name="______a1" localSheetId="5" hidden="1">{"'Sheet1'!$L$16"}</definedName>
    <definedName name="______a1" localSheetId="7" hidden="1">{"'Sheet1'!$L$16"}</definedName>
    <definedName name="______a1" hidden="1">{"'Sheet1'!$L$16"}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>{"'Sheet1'!$L$16"}</definedName>
    <definedName name="______BG12" localSheetId="1" hidden="1">{"'Sheet1'!$L$16"}</definedName>
    <definedName name="______BG12" localSheetId="3" hidden="1">{"'Sheet1'!$L$16"}</definedName>
    <definedName name="______BG12" localSheetId="4" hidden="1">{"'Sheet1'!$L$16"}</definedName>
    <definedName name="______BG12" localSheetId="5" hidden="1">{"'Sheet1'!$L$16"}</definedName>
    <definedName name="______BG12" localSheetId="7" hidden="1">{"'Sheet1'!$L$16"}</definedName>
    <definedName name="______BG12" hidden="1">{"'Sheet1'!$L$16"}</definedName>
    <definedName name="______bht6" localSheetId="1" hidden="1">{"'Sheet1'!$L$16"}</definedName>
    <definedName name="______bht6" localSheetId="3" hidden="1">{"'Sheet1'!$L$16"}</definedName>
    <definedName name="______bht6" localSheetId="4" hidden="1">{"'Sheet1'!$L$16"}</definedName>
    <definedName name="______bht6" localSheetId="5" hidden="1">{"'Sheet1'!$L$16"}</definedName>
    <definedName name="______bht6" localSheetId="7" hidden="1">{"'Sheet1'!$L$16"}</definedName>
    <definedName name="______bht6" hidden="1">{"'Sheet1'!$L$16"}</definedName>
    <definedName name="______CN1" localSheetId="1" hidden="1">{"'Sheet1'!$L$16"}</definedName>
    <definedName name="______CN1" localSheetId="3" hidden="1">{"'Sheet1'!$L$16"}</definedName>
    <definedName name="______CN1" localSheetId="4" hidden="1">{"'Sheet1'!$L$16"}</definedName>
    <definedName name="______CN1" localSheetId="5" hidden="1">{"'Sheet1'!$L$16"}</definedName>
    <definedName name="______CN1" localSheetId="7" hidden="1">{"'Sheet1'!$L$16"}</definedName>
    <definedName name="______CN1" hidden="1">{"'Sheet1'!$L$16"}</definedName>
    <definedName name="______ct2005">{"'Sheet1'!$L$16"}</definedName>
    <definedName name="______Goi8" localSheetId="1" hidden="1">{"'Sheet1'!$L$16"}</definedName>
    <definedName name="______Goi8" localSheetId="3" hidden="1">{"'Sheet1'!$L$16"}</definedName>
    <definedName name="______Goi8" localSheetId="4" hidden="1">{"'Sheet1'!$L$16"}</definedName>
    <definedName name="______Goi8" localSheetId="5" hidden="1">{"'Sheet1'!$L$16"}</definedName>
    <definedName name="______Goi8" localSheetId="7" hidden="1">{"'Sheet1'!$L$16"}</definedName>
    <definedName name="______Goi8" hidden="1">{"'Sheet1'!$L$16"}</definedName>
    <definedName name="______h1">{"'Sheet1'!$L$16"}</definedName>
    <definedName name="______hh1219" hidden="1">{"'Sheet1'!$L$16"}</definedName>
    <definedName name="______hu1">{"'Sheet1'!$L$16"}</definedName>
    <definedName name="______hu2">{"'Sheet1'!$L$16"}</definedName>
    <definedName name="______hu5">{"'Sheet1'!$L$16"}</definedName>
    <definedName name="______hu6">{"'Sheet1'!$L$16"}</definedName>
    <definedName name="______key1" hidden="1">#REF!</definedName>
    <definedName name="______Lan1" localSheetId="1" hidden="1">{"'Sheet1'!$L$16"}</definedName>
    <definedName name="______Lan1" localSheetId="3" hidden="1">{"'Sheet1'!$L$16"}</definedName>
    <definedName name="______Lan1" localSheetId="4" hidden="1">{"'Sheet1'!$L$16"}</definedName>
    <definedName name="______Lan1" localSheetId="5" hidden="1">{"'Sheet1'!$L$16"}</definedName>
    <definedName name="______Lan1" localSheetId="7" hidden="1">{"'Sheet1'!$L$16"}</definedName>
    <definedName name="______Lan1" hidden="1">{"'Sheet1'!$L$16"}</definedName>
    <definedName name="______LAN3" localSheetId="1" hidden="1">{"'Sheet1'!$L$16"}</definedName>
    <definedName name="______LAN3" localSheetId="3" hidden="1">{"'Sheet1'!$L$16"}</definedName>
    <definedName name="______LAN3" localSheetId="4" hidden="1">{"'Sheet1'!$L$16"}</definedName>
    <definedName name="______LAN3" localSheetId="5" hidden="1">{"'Sheet1'!$L$16"}</definedName>
    <definedName name="______LAN3" localSheetId="7" hidden="1">{"'Sheet1'!$L$16"}</definedName>
    <definedName name="______LAN3" hidden="1">{"'Sheet1'!$L$16"}</definedName>
    <definedName name="______ld2">{"'Sheet1'!$L$16"}</definedName>
    <definedName name="______lop111" hidden="1">{#N/A,#N/A,FALSE,"特殊室（ＢＱ表）"}</definedName>
    <definedName name="______NSO2" localSheetId="1" hidden="1">{"'Sheet1'!$L$16"}</definedName>
    <definedName name="______NSO2" localSheetId="3" hidden="1">{"'Sheet1'!$L$16"}</definedName>
    <definedName name="______NSO2" localSheetId="4" hidden="1">{"'Sheet1'!$L$16"}</definedName>
    <definedName name="______NSO2" localSheetId="5" hidden="1">{"'Sheet1'!$L$16"}</definedName>
    <definedName name="______NSO2" localSheetId="7" hidden="1">{"'Sheet1'!$L$16"}</definedName>
    <definedName name="______NSO2" hidden="1">{"'Sheet1'!$L$16"}</definedName>
    <definedName name="______p06">{"'Sheet1'!$L$16"}</definedName>
    <definedName name="______PA3" localSheetId="1" hidden="1">{"'Sheet1'!$L$16"}</definedName>
    <definedName name="______PA3" localSheetId="3" hidden="1">{"'Sheet1'!$L$16"}</definedName>
    <definedName name="______PA3" localSheetId="4" hidden="1">{"'Sheet1'!$L$16"}</definedName>
    <definedName name="______PA3" localSheetId="5" hidden="1">{"'Sheet1'!$L$16"}</definedName>
    <definedName name="______PA3" localSheetId="7" hidden="1">{"'Sheet1'!$L$16"}</definedName>
    <definedName name="______PA3" hidden="1">{"'Sheet1'!$L$16"}</definedName>
    <definedName name="______SCL4" localSheetId="1" hidden="1">{"'Sheet1'!$L$16"}</definedName>
    <definedName name="______SCL4" localSheetId="3" hidden="1">{"'Sheet1'!$L$16"}</definedName>
    <definedName name="______SCL4" localSheetId="4" hidden="1">{"'Sheet1'!$L$16"}</definedName>
    <definedName name="______SCL4" localSheetId="5" hidden="1">{"'Sheet1'!$L$16"}</definedName>
    <definedName name="______SCL4" localSheetId="7" hidden="1">{"'Sheet1'!$L$16"}</definedName>
    <definedName name="______SCL4" hidden="1">{"'Sheet1'!$L$16"}</definedName>
    <definedName name="______sxt5" localSheetId="1" hidden="1">{"'Sheet1'!$L$16"}</definedName>
    <definedName name="______sxt5" localSheetId="3" hidden="1">{"'Sheet1'!$L$16"}</definedName>
    <definedName name="______sxt5" localSheetId="4" hidden="1">{"'Sheet1'!$L$16"}</definedName>
    <definedName name="______sxt5" localSheetId="5" hidden="1">{"'Sheet1'!$L$16"}</definedName>
    <definedName name="______sxt5" localSheetId="7" hidden="1">{"'Sheet1'!$L$16"}</definedName>
    <definedName name="______sxt5" hidden="1">{"'Sheet1'!$L$16"}</definedName>
    <definedName name="______T1" hidden="1">{#N/A,#N/A,FALSE,"Chi tiÆt"}</definedName>
    <definedName name="______t2">{"'Sheet1'!$L$16"}</definedName>
    <definedName name="______t3">{"'Sheet1'!$L$16"}</definedName>
    <definedName name="______t5">{"'Sheet1'!$L$16"}</definedName>
    <definedName name="______TM2" hidden="1">{"'Sheet1'!$L$16"}</definedName>
    <definedName name="______tt3" localSheetId="1" hidden="1">{"'Sheet1'!$L$16"}</definedName>
    <definedName name="______tt3" localSheetId="3" hidden="1">{"'Sheet1'!$L$16"}</definedName>
    <definedName name="______tt3" localSheetId="4" hidden="1">{"'Sheet1'!$L$16"}</definedName>
    <definedName name="______tt3" localSheetId="5" hidden="1">{"'Sheet1'!$L$16"}</definedName>
    <definedName name="______tt3" localSheetId="7" hidden="1">{"'Sheet1'!$L$16"}</definedName>
    <definedName name="______tt3" hidden="1">{"'Sheet1'!$L$16"}</definedName>
    <definedName name="______tu4">{"'Sheet1'!$L$16"}</definedName>
    <definedName name="______vpt5" localSheetId="1" hidden="1">{"'Sheet1'!$L$16"}</definedName>
    <definedName name="______vpt5" localSheetId="3" hidden="1">{"'Sheet1'!$L$16"}</definedName>
    <definedName name="______vpt5" localSheetId="4" hidden="1">{"'Sheet1'!$L$16"}</definedName>
    <definedName name="______vpt5" localSheetId="5" hidden="1">{"'Sheet1'!$L$16"}</definedName>
    <definedName name="______vpt5" localSheetId="7" hidden="1">{"'Sheet1'!$L$16"}</definedName>
    <definedName name="______vpt5" hidden="1">{"'Sheet1'!$L$16"}</definedName>
    <definedName name="______vpt6" localSheetId="1" hidden="1">{"'Sheet1'!$L$16"}</definedName>
    <definedName name="______vpt6" localSheetId="3" hidden="1">{"'Sheet1'!$L$16"}</definedName>
    <definedName name="______vpt6" localSheetId="4" hidden="1">{"'Sheet1'!$L$16"}</definedName>
    <definedName name="______vpt6" localSheetId="5" hidden="1">{"'Sheet1'!$L$16"}</definedName>
    <definedName name="______vpt6" localSheetId="7" hidden="1">{"'Sheet1'!$L$16"}</definedName>
    <definedName name="______vpt6" hidden="1">{"'Sheet1'!$L$16"}</definedName>
    <definedName name="______xlfn.BAHTTEXT" hidden="1">#NAME?</definedName>
    <definedName name="_____a1" localSheetId="1" hidden="1">{"'Sheet1'!$L$16"}</definedName>
    <definedName name="_____a1" localSheetId="3" hidden="1">{"'Sheet1'!$L$16"}</definedName>
    <definedName name="_____a1" localSheetId="4" hidden="1">{"'Sheet1'!$L$16"}</definedName>
    <definedName name="_____a1" localSheetId="5" hidden="1">{"'Sheet1'!$L$16"}</definedName>
    <definedName name="_____a1" localSheetId="7" hidden="1">{"'Sheet1'!$L$16"}</definedName>
    <definedName name="_____a1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1" hidden="1">{"'Sheet1'!$L$16"}</definedName>
    <definedName name="_____a2" hidden="1">{"'Sheet1'!$L$16"}</definedName>
    <definedName name="_____BG12" localSheetId="1" hidden="1">{"'Sheet1'!$L$16"}</definedName>
    <definedName name="_____BG12" localSheetId="3" hidden="1">{"'Sheet1'!$L$16"}</definedName>
    <definedName name="_____BG12" localSheetId="4" hidden="1">{"'Sheet1'!$L$16"}</definedName>
    <definedName name="_____BG12" localSheetId="5" hidden="1">{"'Sheet1'!$L$16"}</definedName>
    <definedName name="_____BG12" localSheetId="7" hidden="1">{"'Sheet1'!$L$16"}</definedName>
    <definedName name="_____BG12" hidden="1">{"'Sheet1'!$L$16"}</definedName>
    <definedName name="_____bht6" localSheetId="1" hidden="1">{"'Sheet1'!$L$16"}</definedName>
    <definedName name="_____bht6" localSheetId="3" hidden="1">{"'Sheet1'!$L$16"}</definedName>
    <definedName name="_____bht6" localSheetId="4" hidden="1">{"'Sheet1'!$L$16"}</definedName>
    <definedName name="_____bht6" localSheetId="5" hidden="1">{"'Sheet1'!$L$16"}</definedName>
    <definedName name="_____bht6" localSheetId="7" hidden="1">{"'Sheet1'!$L$16"}</definedName>
    <definedName name="_____bht6" hidden="1">{"'Sheet1'!$L$16"}</definedName>
    <definedName name="_____CN1" localSheetId="1" hidden="1">{"'Sheet1'!$L$16"}</definedName>
    <definedName name="_____CN1" localSheetId="3" hidden="1">{"'Sheet1'!$L$16"}</definedName>
    <definedName name="_____CN1" localSheetId="4" hidden="1">{"'Sheet1'!$L$16"}</definedName>
    <definedName name="_____CN1" localSheetId="5" hidden="1">{"'Sheet1'!$L$16"}</definedName>
    <definedName name="_____CN1" localSheetId="7" hidden="1">{"'Sheet1'!$L$16"}</definedName>
    <definedName name="_____CN1" hidden="1">{"'Sheet1'!$L$16"}</definedName>
    <definedName name="_____ct2005">{"'Sheet1'!$L$16"}</definedName>
    <definedName name="_____Goi8" localSheetId="1" hidden="1">{"'Sheet1'!$L$16"}</definedName>
    <definedName name="_____Goi8" localSheetId="3" hidden="1">{"'Sheet1'!$L$16"}</definedName>
    <definedName name="_____Goi8" localSheetId="4" hidden="1">{"'Sheet1'!$L$16"}</definedName>
    <definedName name="_____Goi8" localSheetId="5" hidden="1">{"'Sheet1'!$L$16"}</definedName>
    <definedName name="_____Goi8" localSheetId="7" hidden="1">{"'Sheet1'!$L$16"}</definedName>
    <definedName name="_____Goi8" hidden="1">{"'Sheet1'!$L$16"}</definedName>
    <definedName name="_____h1" localSheetId="1" hidden="1">{"'Sheet1'!$L$16"}</definedName>
    <definedName name="_____h1" localSheetId="3" hidden="1">{"'Sheet1'!$L$16"}</definedName>
    <definedName name="_____h1" localSheetId="4" hidden="1">{"'Sheet1'!$L$16"}</definedName>
    <definedName name="_____h1" localSheetId="5" hidden="1">{"'Sheet1'!$L$16"}</definedName>
    <definedName name="_____h1" localSheetId="7" hidden="1">{"'Sheet1'!$L$16"}</definedName>
    <definedName name="_____h1" hidden="1">{"'Sheet1'!$L$16"}</definedName>
    <definedName name="_____hh1219" hidden="1">{"'Sheet1'!$L$16"}</definedName>
    <definedName name="_____hu1" localSheetId="1" hidden="1">{"'Sheet1'!$L$16"}</definedName>
    <definedName name="_____hu1" localSheetId="3" hidden="1">{"'Sheet1'!$L$16"}</definedName>
    <definedName name="_____hu1" localSheetId="4" hidden="1">{"'Sheet1'!$L$16"}</definedName>
    <definedName name="_____hu1" localSheetId="5" hidden="1">{"'Sheet1'!$L$16"}</definedName>
    <definedName name="_____hu1" localSheetId="7" hidden="1">{"'Sheet1'!$L$16"}</definedName>
    <definedName name="_____hu1" hidden="1">{"'Sheet1'!$L$16"}</definedName>
    <definedName name="_____hu2" localSheetId="1" hidden="1">{"'Sheet1'!$L$16"}</definedName>
    <definedName name="_____hu2" localSheetId="3" hidden="1">{"'Sheet1'!$L$16"}</definedName>
    <definedName name="_____hu2" localSheetId="4" hidden="1">{"'Sheet1'!$L$16"}</definedName>
    <definedName name="_____hu2" localSheetId="5" hidden="1">{"'Sheet1'!$L$16"}</definedName>
    <definedName name="_____hu2" localSheetId="7" hidden="1">{"'Sheet1'!$L$16"}</definedName>
    <definedName name="_____hu2" hidden="1">{"'Sheet1'!$L$16"}</definedName>
    <definedName name="_____hu5" localSheetId="1" hidden="1">{"'Sheet1'!$L$16"}</definedName>
    <definedName name="_____hu5" localSheetId="3" hidden="1">{"'Sheet1'!$L$16"}</definedName>
    <definedName name="_____hu5" localSheetId="4" hidden="1">{"'Sheet1'!$L$16"}</definedName>
    <definedName name="_____hu5" localSheetId="5" hidden="1">{"'Sheet1'!$L$16"}</definedName>
    <definedName name="_____hu5" localSheetId="7" hidden="1">{"'Sheet1'!$L$16"}</definedName>
    <definedName name="_____hu5" hidden="1">{"'Sheet1'!$L$16"}</definedName>
    <definedName name="_____hu6" localSheetId="1" hidden="1">{"'Sheet1'!$L$16"}</definedName>
    <definedName name="_____hu6" localSheetId="3" hidden="1">{"'Sheet1'!$L$16"}</definedName>
    <definedName name="_____hu6" localSheetId="4" hidden="1">{"'Sheet1'!$L$16"}</definedName>
    <definedName name="_____hu6" localSheetId="5" hidden="1">{"'Sheet1'!$L$16"}</definedName>
    <definedName name="_____hu6" localSheetId="7" hidden="1">{"'Sheet1'!$L$16"}</definedName>
    <definedName name="_____hu6" hidden="1">{"'Sheet1'!$L$16"}</definedName>
    <definedName name="_____key2" hidden="1">#REF!</definedName>
    <definedName name="_____Lan1" localSheetId="1" hidden="1">{"'Sheet1'!$L$16"}</definedName>
    <definedName name="_____Lan1" localSheetId="3" hidden="1">{"'Sheet1'!$L$16"}</definedName>
    <definedName name="_____Lan1" localSheetId="4" hidden="1">{"'Sheet1'!$L$16"}</definedName>
    <definedName name="_____Lan1" localSheetId="5" hidden="1">{"'Sheet1'!$L$16"}</definedName>
    <definedName name="_____Lan1" localSheetId="7" hidden="1">{"'Sheet1'!$L$16"}</definedName>
    <definedName name="_____Lan1" hidden="1">{"'Sheet1'!$L$16"}</definedName>
    <definedName name="_____LAN3" localSheetId="1" hidden="1">{"'Sheet1'!$L$16"}</definedName>
    <definedName name="_____LAN3" localSheetId="3" hidden="1">{"'Sheet1'!$L$16"}</definedName>
    <definedName name="_____LAN3" localSheetId="4" hidden="1">{"'Sheet1'!$L$16"}</definedName>
    <definedName name="_____LAN3" localSheetId="5" hidden="1">{"'Sheet1'!$L$16"}</definedName>
    <definedName name="_____LAN3" localSheetId="7" hidden="1">{"'Sheet1'!$L$16"}</definedName>
    <definedName name="_____LAN3" hidden="1">{"'Sheet1'!$L$16"}</definedName>
    <definedName name="_____ld2">{"'Sheet1'!$L$16"}</definedName>
    <definedName name="_____NSO2" localSheetId="1" hidden="1">{"'Sheet1'!$L$16"}</definedName>
    <definedName name="_____NSO2" localSheetId="3" hidden="1">{"'Sheet1'!$L$16"}</definedName>
    <definedName name="_____NSO2" localSheetId="4" hidden="1">{"'Sheet1'!$L$16"}</definedName>
    <definedName name="_____NSO2" localSheetId="5" hidden="1">{"'Sheet1'!$L$16"}</definedName>
    <definedName name="_____NSO2" localSheetId="7" hidden="1">{"'Sheet1'!$L$16"}</definedName>
    <definedName name="_____NSO2" hidden="1">{"'Sheet1'!$L$16"}</definedName>
    <definedName name="_____p06">{"'Sheet1'!$L$16"}</definedName>
    <definedName name="_____P3" hidden="1">{#N/A,#N/A,FALSE,"特殊室（ＢＱ表）"}</definedName>
    <definedName name="_____PA3" localSheetId="1" hidden="1">{"'Sheet1'!$L$16"}</definedName>
    <definedName name="_____PA3" localSheetId="3" hidden="1">{"'Sheet1'!$L$16"}</definedName>
    <definedName name="_____PA3" localSheetId="4" hidden="1">{"'Sheet1'!$L$16"}</definedName>
    <definedName name="_____PA3" localSheetId="5" hidden="1">{"'Sheet1'!$L$16"}</definedName>
    <definedName name="_____PA3" localSheetId="7" hidden="1">{"'Sheet1'!$L$16"}</definedName>
    <definedName name="_____PA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CL4" localSheetId="1" hidden="1">{"'Sheet1'!$L$16"}</definedName>
    <definedName name="_____SCL4" localSheetId="3" hidden="1">{"'Sheet1'!$L$16"}</definedName>
    <definedName name="_____SCL4" localSheetId="4" hidden="1">{"'Sheet1'!$L$16"}</definedName>
    <definedName name="_____SCL4" localSheetId="5" hidden="1">{"'Sheet1'!$L$16"}</definedName>
    <definedName name="_____SCL4" localSheetId="7" hidden="1">{"'Sheet1'!$L$16"}</definedName>
    <definedName name="_____SCL4" hidden="1">{"'Sheet1'!$L$16"}</definedName>
    <definedName name="_____sxt5" localSheetId="1" hidden="1">{"'Sheet1'!$L$16"}</definedName>
    <definedName name="_____sxt5" localSheetId="3" hidden="1">{"'Sheet1'!$L$16"}</definedName>
    <definedName name="_____sxt5" localSheetId="4" hidden="1">{"'Sheet1'!$L$16"}</definedName>
    <definedName name="_____sxt5" localSheetId="5" hidden="1">{"'Sheet1'!$L$16"}</definedName>
    <definedName name="_____sxt5" localSheetId="7" hidden="1">{"'Sheet1'!$L$16"}</definedName>
    <definedName name="_____sxt5" hidden="1">{"'Sheet1'!$L$16"}</definedName>
    <definedName name="_____T1" hidden="1">{#N/A,#N/A,FALSE,"Chi tiÆt"}</definedName>
    <definedName name="_____t2">{"'Sheet1'!$L$16"}</definedName>
    <definedName name="_____t3">{"'Sheet1'!$L$16"}</definedName>
    <definedName name="_____t5">{"'Sheet1'!$L$16"}</definedName>
    <definedName name="_____TM2" hidden="1">{"'Sheet1'!$L$16"}</definedName>
    <definedName name="_____tt3" localSheetId="1" hidden="1">{"'Sheet1'!$L$16"}</definedName>
    <definedName name="_____tt3" localSheetId="3" hidden="1">{"'Sheet1'!$L$16"}</definedName>
    <definedName name="_____tt3" localSheetId="4" hidden="1">{"'Sheet1'!$L$16"}</definedName>
    <definedName name="_____tt3" localSheetId="5" hidden="1">{"'Sheet1'!$L$16"}</definedName>
    <definedName name="_____tt3" localSheetId="7" hidden="1">{"'Sheet1'!$L$16"}</definedName>
    <definedName name="_____tt3" hidden="1">{"'Sheet1'!$L$16"}</definedName>
    <definedName name="_____tu4" localSheetId="1" hidden="1">{"'Sheet1'!$L$16"}</definedName>
    <definedName name="_____tu4" localSheetId="3" hidden="1">{"'Sheet1'!$L$16"}</definedName>
    <definedName name="_____tu4" localSheetId="4" hidden="1">{"'Sheet1'!$L$16"}</definedName>
    <definedName name="_____tu4" localSheetId="5" hidden="1">{"'Sheet1'!$L$16"}</definedName>
    <definedName name="_____tu4" localSheetId="7" hidden="1">{"'Sheet1'!$L$16"}</definedName>
    <definedName name="_____tu4" hidden="1">{"'Sheet1'!$L$16"}</definedName>
    <definedName name="_____UI33" hidden="1">{"'Sheet1'!$L$16"}</definedName>
    <definedName name="_____vpt5" localSheetId="1" hidden="1">{"'Sheet1'!$L$16"}</definedName>
    <definedName name="_____vpt5" localSheetId="3" hidden="1">{"'Sheet1'!$L$16"}</definedName>
    <definedName name="_____vpt5" localSheetId="4" hidden="1">{"'Sheet1'!$L$16"}</definedName>
    <definedName name="_____vpt5" localSheetId="5" hidden="1">{"'Sheet1'!$L$16"}</definedName>
    <definedName name="_____vpt5" localSheetId="7" hidden="1">{"'Sheet1'!$L$16"}</definedName>
    <definedName name="_____vpt5" hidden="1">{"'Sheet1'!$L$16"}</definedName>
    <definedName name="_____vpt6" localSheetId="1" hidden="1">{"'Sheet1'!$L$16"}</definedName>
    <definedName name="_____vpt6" localSheetId="3" hidden="1">{"'Sheet1'!$L$16"}</definedName>
    <definedName name="_____vpt6" localSheetId="4" hidden="1">{"'Sheet1'!$L$16"}</definedName>
    <definedName name="_____vpt6" localSheetId="5" hidden="1">{"'Sheet1'!$L$16"}</definedName>
    <definedName name="_____vpt6" localSheetId="7" hidden="1">{"'Sheet1'!$L$16"}</definedName>
    <definedName name="_____vpt6" hidden="1">{"'Sheet1'!$L$16"}</definedName>
    <definedName name="_____xlfn.BAHTTEXT" hidden="1">#NAME?</definedName>
    <definedName name="____4__123Graph_Aｸﾞﾗﾌ_2" hidden="1">#REF!</definedName>
    <definedName name="____a1" localSheetId="1" hidden="1">{"'Sheet1'!$L$16"}</definedName>
    <definedName name="____a1" localSheetId="3" hidden="1">{"'Sheet1'!$L$16"}</definedName>
    <definedName name="____a1" localSheetId="4" hidden="1">{"'Sheet1'!$L$16"}</definedName>
    <definedName name="____a1" localSheetId="5" hidden="1">{"'Sheet1'!$L$16"}</definedName>
    <definedName name="____a1" localSheetId="7" hidden="1">{"'Sheet1'!$L$16"}</definedName>
    <definedName name="____a1" hidden="1">{"'Sheet1'!$L$16"}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1" hidden="1">{"'Sheet1'!$L$16"}</definedName>
    <definedName name="____a2" hidden="1">{"'Sheet1'!$L$16"}</definedName>
    <definedName name="____BG12" localSheetId="1" hidden="1">{"'Sheet1'!$L$16"}</definedName>
    <definedName name="____BG12" localSheetId="3" hidden="1">{"'Sheet1'!$L$16"}</definedName>
    <definedName name="____BG12" localSheetId="4" hidden="1">{"'Sheet1'!$L$16"}</definedName>
    <definedName name="____BG12" localSheetId="5" hidden="1">{"'Sheet1'!$L$16"}</definedName>
    <definedName name="____BG12" localSheetId="7" hidden="1">{"'Sheet1'!$L$16"}</definedName>
    <definedName name="____BG12" hidden="1">{"'Sheet1'!$L$16"}</definedName>
    <definedName name="____bht6" localSheetId="1" hidden="1">{"'Sheet1'!$L$16"}</definedName>
    <definedName name="____bht6" localSheetId="3" hidden="1">{"'Sheet1'!$L$16"}</definedName>
    <definedName name="____bht6" localSheetId="4" hidden="1">{"'Sheet1'!$L$16"}</definedName>
    <definedName name="____bht6" localSheetId="5" hidden="1">{"'Sheet1'!$L$16"}</definedName>
    <definedName name="____bht6" localSheetId="7" hidden="1">{"'Sheet1'!$L$16"}</definedName>
    <definedName name="____bht6" hidden="1">{"'Sheet1'!$L$16"}</definedName>
    <definedName name="____CN1" localSheetId="1" hidden="1">{"'Sheet1'!$L$16"}</definedName>
    <definedName name="____CN1" localSheetId="3" hidden="1">{"'Sheet1'!$L$16"}</definedName>
    <definedName name="____CN1" localSheetId="4" hidden="1">{"'Sheet1'!$L$16"}</definedName>
    <definedName name="____CN1" localSheetId="5" hidden="1">{"'Sheet1'!$L$16"}</definedName>
    <definedName name="____CN1" localSheetId="7" hidden="1">{"'Sheet1'!$L$16"}</definedName>
    <definedName name="____CN1" hidden="1">{"'Sheet1'!$L$16"}</definedName>
    <definedName name="____ct2005">{"'Sheet1'!$L$16"}</definedName>
    <definedName name="____Goi8" localSheetId="1" hidden="1">{"'Sheet1'!$L$16"}</definedName>
    <definedName name="____Goi8" localSheetId="3" hidden="1">{"'Sheet1'!$L$16"}</definedName>
    <definedName name="____Goi8" localSheetId="4" hidden="1">{"'Sheet1'!$L$16"}</definedName>
    <definedName name="____Goi8" localSheetId="5" hidden="1">{"'Sheet1'!$L$16"}</definedName>
    <definedName name="____Goi8" localSheetId="7" hidden="1">{"'Sheet1'!$L$16"}</definedName>
    <definedName name="____Goi8" hidden="1">{"'Sheet1'!$L$16"}</definedName>
    <definedName name="____h1" localSheetId="1" hidden="1">{"'Sheet1'!$L$16"}</definedName>
    <definedName name="____h1" localSheetId="3" hidden="1">{"'Sheet1'!$L$16"}</definedName>
    <definedName name="____h1" localSheetId="4" hidden="1">{"'Sheet1'!$L$16"}</definedName>
    <definedName name="____h1" localSheetId="5" hidden="1">{"'Sheet1'!$L$16"}</definedName>
    <definedName name="____h1" localSheetId="7" hidden="1">{"'Sheet1'!$L$16"}</definedName>
    <definedName name="____h1" hidden="1">{"'Sheet1'!$L$16"}</definedName>
    <definedName name="____hh1219" hidden="1">{"'Sheet1'!$L$16"}</definedName>
    <definedName name="____hu1" localSheetId="1" hidden="1">{"'Sheet1'!$L$16"}</definedName>
    <definedName name="____hu1" localSheetId="3" hidden="1">{"'Sheet1'!$L$16"}</definedName>
    <definedName name="____hu1" localSheetId="4" hidden="1">{"'Sheet1'!$L$16"}</definedName>
    <definedName name="____hu1" localSheetId="5" hidden="1">{"'Sheet1'!$L$16"}</definedName>
    <definedName name="____hu1" localSheetId="7" hidden="1">{"'Sheet1'!$L$16"}</definedName>
    <definedName name="____hu1" hidden="1">{"'Sheet1'!$L$16"}</definedName>
    <definedName name="____hu2" localSheetId="1" hidden="1">{"'Sheet1'!$L$16"}</definedName>
    <definedName name="____hu2" localSheetId="3" hidden="1">{"'Sheet1'!$L$16"}</definedName>
    <definedName name="____hu2" localSheetId="4" hidden="1">{"'Sheet1'!$L$16"}</definedName>
    <definedName name="____hu2" localSheetId="5" hidden="1">{"'Sheet1'!$L$16"}</definedName>
    <definedName name="____hu2" localSheetId="7" hidden="1">{"'Sheet1'!$L$16"}</definedName>
    <definedName name="____hu2" hidden="1">{"'Sheet1'!$L$16"}</definedName>
    <definedName name="____hu5" localSheetId="1" hidden="1">{"'Sheet1'!$L$16"}</definedName>
    <definedName name="____hu5" localSheetId="3" hidden="1">{"'Sheet1'!$L$16"}</definedName>
    <definedName name="____hu5" localSheetId="4" hidden="1">{"'Sheet1'!$L$16"}</definedName>
    <definedName name="____hu5" localSheetId="5" hidden="1">{"'Sheet1'!$L$16"}</definedName>
    <definedName name="____hu5" localSheetId="7" hidden="1">{"'Sheet1'!$L$16"}</definedName>
    <definedName name="____hu5" hidden="1">{"'Sheet1'!$L$16"}</definedName>
    <definedName name="____hu6" localSheetId="1" hidden="1">{"'Sheet1'!$L$16"}</definedName>
    <definedName name="____hu6" localSheetId="3" hidden="1">{"'Sheet1'!$L$16"}</definedName>
    <definedName name="____hu6" localSheetId="4" hidden="1">{"'Sheet1'!$L$16"}</definedName>
    <definedName name="____hu6" localSheetId="5" hidden="1">{"'Sheet1'!$L$16"}</definedName>
    <definedName name="____hu6" localSheetId="7" hidden="1">{"'Sheet1'!$L$16"}</definedName>
    <definedName name="____hu6" hidden="1">{"'Sheet1'!$L$16"}</definedName>
    <definedName name="____hu7">{"'Sheet1'!$L$16"}</definedName>
    <definedName name="____huy1" hidden="1">{"'Sheet1'!$L$16"}</definedName>
    <definedName name="____huy2" hidden="1">{"'Sheet1'!$L$16"}</definedName>
    <definedName name="____key2" hidden="1">#REF!</definedName>
    <definedName name="____Lan1" localSheetId="1" hidden="1">{"'Sheet1'!$L$16"}</definedName>
    <definedName name="____Lan1" localSheetId="3" hidden="1">{"'Sheet1'!$L$16"}</definedName>
    <definedName name="____Lan1" localSheetId="4" hidden="1">{"'Sheet1'!$L$16"}</definedName>
    <definedName name="____Lan1" localSheetId="5" hidden="1">{"'Sheet1'!$L$16"}</definedName>
    <definedName name="____Lan1" localSheetId="7" hidden="1">{"'Sheet1'!$L$16"}</definedName>
    <definedName name="____Lan1" hidden="1">{"'Sheet1'!$L$16"}</definedName>
    <definedName name="____LAN3" localSheetId="1" hidden="1">{"'Sheet1'!$L$16"}</definedName>
    <definedName name="____LAN3" localSheetId="3" hidden="1">{"'Sheet1'!$L$16"}</definedName>
    <definedName name="____LAN3" localSheetId="4" hidden="1">{"'Sheet1'!$L$16"}</definedName>
    <definedName name="____LAN3" localSheetId="5" hidden="1">{"'Sheet1'!$L$16"}</definedName>
    <definedName name="____LAN3" localSheetId="7" hidden="1">{"'Sheet1'!$L$16"}</definedName>
    <definedName name="____LAN3" hidden="1">{"'Sheet1'!$L$16"}</definedName>
    <definedName name="____ld2">{"'Sheet1'!$L$16"}</definedName>
    <definedName name="____lop111" hidden="1">{#N/A,#N/A,FALSE,"特殊室（ＢＱ表）"}</definedName>
    <definedName name="____m4" localSheetId="1" hidden="1">{"'Sheet1'!$L$16"}</definedName>
    <definedName name="____m4" localSheetId="3" hidden="1">{"'Sheet1'!$L$16"}</definedName>
    <definedName name="____m4" localSheetId="4" hidden="1">{"'Sheet1'!$L$16"}</definedName>
    <definedName name="____m4" localSheetId="5" hidden="1">{"'Sheet1'!$L$16"}</definedName>
    <definedName name="____m4" localSheetId="7" hidden="1">{"'Sheet1'!$L$16"}</definedName>
    <definedName name="____m4" hidden="1">{"'Sheet1'!$L$16"}</definedName>
    <definedName name="____MCC3" hidden="1">{#N/A,#N/A,FALSE,"CCTV"}</definedName>
    <definedName name="____nso1" hidden="1">{"'Sheet1'!$L$16"}</definedName>
    <definedName name="____NSO2" localSheetId="1" hidden="1">{"'Sheet1'!$L$16"}</definedName>
    <definedName name="____NSO2" localSheetId="3" hidden="1">{"'Sheet1'!$L$16"}</definedName>
    <definedName name="____NSO2" localSheetId="4" hidden="1">{"'Sheet1'!$L$16"}</definedName>
    <definedName name="____NSO2" localSheetId="5" hidden="1">{"'Sheet1'!$L$16"}</definedName>
    <definedName name="____NSO2" localSheetId="7" hidden="1">{"'Sheet1'!$L$16"}</definedName>
    <definedName name="____NSO2" hidden="1">{"'Sheet1'!$L$16"}</definedName>
    <definedName name="____p06">{"'Sheet1'!$L$16"}</definedName>
    <definedName name="____PA3" localSheetId="1" hidden="1">{"'Sheet1'!$L$16"}</definedName>
    <definedName name="____PA3" localSheetId="3" hidden="1">{"'Sheet1'!$L$16"}</definedName>
    <definedName name="____PA3" localSheetId="4" hidden="1">{"'Sheet1'!$L$16"}</definedName>
    <definedName name="____PA3" localSheetId="5" hidden="1">{"'Sheet1'!$L$16"}</definedName>
    <definedName name="____PA3" localSheetId="7" hidden="1">{"'Sheet1'!$L$16"}</definedName>
    <definedName name="____PA3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SCL4" localSheetId="1" hidden="1">{"'Sheet1'!$L$16"}</definedName>
    <definedName name="____SCL4" localSheetId="3" hidden="1">{"'Sheet1'!$L$16"}</definedName>
    <definedName name="____SCL4" localSheetId="4" hidden="1">{"'Sheet1'!$L$16"}</definedName>
    <definedName name="____SCL4" localSheetId="5" hidden="1">{"'Sheet1'!$L$16"}</definedName>
    <definedName name="____SCL4" localSheetId="7" hidden="1">{"'Sheet1'!$L$16"}</definedName>
    <definedName name="____SCL4" hidden="1">{"'Sheet1'!$L$16"}</definedName>
    <definedName name="____sxt5" localSheetId="1" hidden="1">{"'Sheet1'!$L$16"}</definedName>
    <definedName name="____sxt5" localSheetId="3" hidden="1">{"'Sheet1'!$L$16"}</definedName>
    <definedName name="____sxt5" localSheetId="4" hidden="1">{"'Sheet1'!$L$16"}</definedName>
    <definedName name="____sxt5" localSheetId="5" hidden="1">{"'Sheet1'!$L$16"}</definedName>
    <definedName name="____sxt5" localSheetId="7" hidden="1">{"'Sheet1'!$L$16"}</definedName>
    <definedName name="____sxt5" hidden="1">{"'Sheet1'!$L$16"}</definedName>
    <definedName name="____T1" hidden="1">{#N/A,#N/A,FALSE,"Chi tiÆt"}</definedName>
    <definedName name="____T10">{"'Sheet1'!$L$16"}</definedName>
    <definedName name="____t2">{"'Sheet1'!$L$16"}</definedName>
    <definedName name="____t3">{"'Sheet1'!$L$16"}</definedName>
    <definedName name="____t5">{"'Sheet1'!$L$16"}</definedName>
    <definedName name="____TM2">{"'Sheet1'!$L$16"}</definedName>
    <definedName name="____tt3" localSheetId="1" hidden="1">{"'Sheet1'!$L$16"}</definedName>
    <definedName name="____tt3" localSheetId="3" hidden="1">{"'Sheet1'!$L$16"}</definedName>
    <definedName name="____tt3" localSheetId="4" hidden="1">{"'Sheet1'!$L$16"}</definedName>
    <definedName name="____tt3" localSheetId="5" hidden="1">{"'Sheet1'!$L$16"}</definedName>
    <definedName name="____tt3" localSheetId="7" hidden="1">{"'Sheet1'!$L$16"}</definedName>
    <definedName name="____tt3" hidden="1">{"'Sheet1'!$L$16"}</definedName>
    <definedName name="____ttt1" hidden="1">{"'Sheet1'!$L$16"}</definedName>
    <definedName name="____tu4" localSheetId="1" hidden="1">{"'Sheet1'!$L$16"}</definedName>
    <definedName name="____tu4" localSheetId="3" hidden="1">{"'Sheet1'!$L$16"}</definedName>
    <definedName name="____tu4" localSheetId="4" hidden="1">{"'Sheet1'!$L$16"}</definedName>
    <definedName name="____tu4" localSheetId="5" hidden="1">{"'Sheet1'!$L$16"}</definedName>
    <definedName name="____tu4" localSheetId="7" hidden="1">{"'Sheet1'!$L$16"}</definedName>
    <definedName name="____tu4" hidden="1">{"'Sheet1'!$L$16"}</definedName>
    <definedName name="____vpt5" localSheetId="1" hidden="1">{"'Sheet1'!$L$16"}</definedName>
    <definedName name="____vpt5" localSheetId="3" hidden="1">{"'Sheet1'!$L$16"}</definedName>
    <definedName name="____vpt5" localSheetId="4" hidden="1">{"'Sheet1'!$L$16"}</definedName>
    <definedName name="____vpt5" localSheetId="5" hidden="1">{"'Sheet1'!$L$16"}</definedName>
    <definedName name="____vpt5" localSheetId="7" hidden="1">{"'Sheet1'!$L$16"}</definedName>
    <definedName name="____vpt5" hidden="1">{"'Sheet1'!$L$16"}</definedName>
    <definedName name="____vpt6" localSheetId="1" hidden="1">{"'Sheet1'!$L$16"}</definedName>
    <definedName name="____vpt6" localSheetId="3" hidden="1">{"'Sheet1'!$L$16"}</definedName>
    <definedName name="____vpt6" localSheetId="4" hidden="1">{"'Sheet1'!$L$16"}</definedName>
    <definedName name="____vpt6" localSheetId="5" hidden="1">{"'Sheet1'!$L$16"}</definedName>
    <definedName name="____vpt6" localSheetId="7" hidden="1">{"'Sheet1'!$L$16"}</definedName>
    <definedName name="____vpt6" hidden="1">{"'Sheet1'!$L$16"}</definedName>
    <definedName name="____xlfn.BAHTTEXT" hidden="1">#NAME?</definedName>
    <definedName name="___1__123Graph_ACHART_1" hidden="1">#REF!</definedName>
    <definedName name="___10__123Graph_DCHART_1" hidden="1">#REF!</definedName>
    <definedName name="___11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4" hidden="1">#REF!</definedName>
    <definedName name="___15__123Graph_Xｸﾞﾗﾌ_5" hidden="1">#REF!</definedName>
    <definedName name="___2__123Graph_ACHART_2" hidden="1">#REF!</definedName>
    <definedName name="___3__123Graph_Aｸﾞﾗﾌ_1" hidden="1">#REF!</definedName>
    <definedName name="___4__123Graph_Aｸﾞﾗﾌ_2" hidden="1">#REF!</definedName>
    <definedName name="___5__123Graph_Aｸﾞﾗﾌ_3" hidden="1">#REF!</definedName>
    <definedName name="___6__123Graph_Aｸﾞﾗﾌ_4" hidden="1">#REF!</definedName>
    <definedName name="___7__123Graph_Aｸﾞﾗﾌ_5" hidden="1">#REF!</definedName>
    <definedName name="___8__123Graph_BCHART_2" hidden="1">#REF!</definedName>
    <definedName name="___9__123Graph_CCHART_1" hidden="1">#REF!</definedName>
    <definedName name="___a1" localSheetId="1" hidden="1">{"'Sheet1'!$L$16"}</definedName>
    <definedName name="___a1" localSheetId="3" hidden="1">{"'Sheet1'!$L$16"}</definedName>
    <definedName name="___a1" localSheetId="4" hidden="1">{"'Sheet1'!$L$16"}</definedName>
    <definedName name="___a1" localSheetId="5" hidden="1">{"'Sheet1'!$L$16"}</definedName>
    <definedName name="___a1" localSheetId="7" hidden="1">{"'Sheet1'!$L$16"}</definedName>
    <definedName name="___a1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1" hidden="1">{"'Sheet1'!$L$16"}</definedName>
    <definedName name="___a2" hidden="1">{"'Sheet1'!$L$16"}</definedName>
    <definedName name="___A4" localSheetId="1" hidden="1">{"'Sheet1'!$L$16"}</definedName>
    <definedName name="___A4" localSheetId="3" hidden="1">{"'Sheet1'!$L$16"}</definedName>
    <definedName name="___A4" localSheetId="4" hidden="1">{"'Sheet1'!$L$16"}</definedName>
    <definedName name="___A4" localSheetId="5" hidden="1">{"'Sheet1'!$L$16"}</definedName>
    <definedName name="___A4" localSheetId="7" hidden="1">{"'Sheet1'!$L$16"}</definedName>
    <definedName name="___A4" hidden="1">{"'Sheet1'!$L$16"}</definedName>
    <definedName name="___BG12" localSheetId="1" hidden="1">{"'Sheet1'!$L$16"}</definedName>
    <definedName name="___BG12" localSheetId="3" hidden="1">{"'Sheet1'!$L$16"}</definedName>
    <definedName name="___BG12" localSheetId="4" hidden="1">{"'Sheet1'!$L$16"}</definedName>
    <definedName name="___BG12" localSheetId="5" hidden="1">{"'Sheet1'!$L$16"}</definedName>
    <definedName name="___BG12" localSheetId="7" hidden="1">{"'Sheet1'!$L$16"}</definedName>
    <definedName name="___BG12" hidden="1">{"'Sheet1'!$L$16"}</definedName>
    <definedName name="___bht6" localSheetId="1" hidden="1">{"'Sheet1'!$L$16"}</definedName>
    <definedName name="___bht6" localSheetId="3" hidden="1">{"'Sheet1'!$L$16"}</definedName>
    <definedName name="___bht6" localSheetId="4" hidden="1">{"'Sheet1'!$L$16"}</definedName>
    <definedName name="___bht6" localSheetId="5" hidden="1">{"'Sheet1'!$L$16"}</definedName>
    <definedName name="___bht6" localSheetId="7" hidden="1">{"'Sheet1'!$L$16"}</definedName>
    <definedName name="___bht6" hidden="1">{"'Sheet1'!$L$16"}</definedName>
    <definedName name="___CN1" localSheetId="1" hidden="1">{"'Sheet1'!$L$16"}</definedName>
    <definedName name="___CN1" localSheetId="3" hidden="1">{"'Sheet1'!$L$16"}</definedName>
    <definedName name="___CN1" localSheetId="4" hidden="1">{"'Sheet1'!$L$16"}</definedName>
    <definedName name="___CN1" localSheetId="5" hidden="1">{"'Sheet1'!$L$16"}</definedName>
    <definedName name="___CN1" localSheetId="7" hidden="1">{"'Sheet1'!$L$16"}</definedName>
    <definedName name="___CN1" hidden="1">{"'Sheet1'!$L$16"}</definedName>
    <definedName name="___coc1000" localSheetId="1" hidden="1">{#N/A,#N/A,FALSE,"Chi tiÆt"}</definedName>
    <definedName name="___coc1000" localSheetId="3" hidden="1">{#N/A,#N/A,FALSE,"Chi tiÆt"}</definedName>
    <definedName name="___coc1000" localSheetId="4" hidden="1">{#N/A,#N/A,FALSE,"Chi tiÆt"}</definedName>
    <definedName name="___coc1000" localSheetId="5" hidden="1">{#N/A,#N/A,FALSE,"Chi tiÆt"}</definedName>
    <definedName name="___coc1000" localSheetId="7" hidden="1">{#N/A,#N/A,FALSE,"Chi tiÆt"}</definedName>
    <definedName name="___coc1000" hidden="1">{#N/A,#N/A,FALSE,"Chi tiÆt"}</definedName>
    <definedName name="___Coc39">{"'Sheet1'!$L$16"}</definedName>
    <definedName name="___CON1">#REF!</definedName>
    <definedName name="___CON2">#REF!</definedName>
    <definedName name="___ct2005">{"'Sheet1'!$L$16"}</definedName>
    <definedName name="___Cty501">{"'Sheet1'!$L$16"}</definedName>
    <definedName name="___d1500">{"'Sheet1'!$L$16"}</definedName>
    <definedName name="___Goi8" localSheetId="1" hidden="1">{"'Sheet1'!$L$16"}</definedName>
    <definedName name="___Goi8" localSheetId="3" hidden="1">{"'Sheet1'!$L$16"}</definedName>
    <definedName name="___Goi8" localSheetId="4" hidden="1">{"'Sheet1'!$L$16"}</definedName>
    <definedName name="___Goi8" localSheetId="5" hidden="1">{"'Sheet1'!$L$16"}</definedName>
    <definedName name="___Goi8" localSheetId="7" hidden="1">{"'Sheet1'!$L$16"}</definedName>
    <definedName name="___Goi8" hidden="1">{"'Sheet1'!$L$16"}</definedName>
    <definedName name="___h1" localSheetId="1" hidden="1">{"'Sheet1'!$L$16"}</definedName>
    <definedName name="___h1" localSheetId="3" hidden="1">{"'Sheet1'!$L$16"}</definedName>
    <definedName name="___h1" localSheetId="4" hidden="1">{"'Sheet1'!$L$16"}</definedName>
    <definedName name="___h1" localSheetId="5" hidden="1">{"'Sheet1'!$L$16"}</definedName>
    <definedName name="___h1" localSheetId="7" hidden="1">{"'Sheet1'!$L$16"}</definedName>
    <definedName name="___h1" hidden="1">{"'Sheet1'!$L$16"}</definedName>
    <definedName name="___hh1219" hidden="1">{"'Sheet1'!$L$16"}</definedName>
    <definedName name="___hu1" localSheetId="1" hidden="1">{"'Sheet1'!$L$16"}</definedName>
    <definedName name="___hu1" localSheetId="3" hidden="1">{"'Sheet1'!$L$16"}</definedName>
    <definedName name="___hu1" localSheetId="4" hidden="1">{"'Sheet1'!$L$16"}</definedName>
    <definedName name="___hu1" localSheetId="5" hidden="1">{"'Sheet1'!$L$16"}</definedName>
    <definedName name="___hu1" localSheetId="7" hidden="1">{"'Sheet1'!$L$16"}</definedName>
    <definedName name="___hu1" hidden="1">{"'Sheet1'!$L$16"}</definedName>
    <definedName name="___hu2" localSheetId="1" hidden="1">{"'Sheet1'!$L$16"}</definedName>
    <definedName name="___hu2" localSheetId="3" hidden="1">{"'Sheet1'!$L$16"}</definedName>
    <definedName name="___hu2" localSheetId="4" hidden="1">{"'Sheet1'!$L$16"}</definedName>
    <definedName name="___hu2" localSheetId="5" hidden="1">{"'Sheet1'!$L$16"}</definedName>
    <definedName name="___hu2" localSheetId="7" hidden="1">{"'Sheet1'!$L$16"}</definedName>
    <definedName name="___hu2" hidden="1">{"'Sheet1'!$L$16"}</definedName>
    <definedName name="___hu5" localSheetId="1" hidden="1">{"'Sheet1'!$L$16"}</definedName>
    <definedName name="___hu5" localSheetId="3" hidden="1">{"'Sheet1'!$L$16"}</definedName>
    <definedName name="___hu5" localSheetId="4" hidden="1">{"'Sheet1'!$L$16"}</definedName>
    <definedName name="___hu5" localSheetId="5" hidden="1">{"'Sheet1'!$L$16"}</definedName>
    <definedName name="___hu5" localSheetId="7" hidden="1">{"'Sheet1'!$L$16"}</definedName>
    <definedName name="___hu5" hidden="1">{"'Sheet1'!$L$16"}</definedName>
    <definedName name="___hu6" localSheetId="1" hidden="1">{"'Sheet1'!$L$16"}</definedName>
    <definedName name="___hu6" localSheetId="3" hidden="1">{"'Sheet1'!$L$16"}</definedName>
    <definedName name="___hu6" localSheetId="4" hidden="1">{"'Sheet1'!$L$16"}</definedName>
    <definedName name="___hu6" localSheetId="5" hidden="1">{"'Sheet1'!$L$16"}</definedName>
    <definedName name="___hu6" localSheetId="7" hidden="1">{"'Sheet1'!$L$16"}</definedName>
    <definedName name="___hu6" hidden="1">{"'Sheet1'!$L$16"}</definedName>
    <definedName name="___hu7">{"'Sheet1'!$L$16"}</definedName>
    <definedName name="___huy1" hidden="1">{"'Sheet1'!$L$16"}</definedName>
    <definedName name="___huy2" hidden="1">{"'Sheet1'!$L$16"}</definedName>
    <definedName name="___key1" hidden="1">#REF!</definedName>
    <definedName name="___key2" hidden="1">#REF!</definedName>
    <definedName name="___KM34">{"'Sheet1'!$L$16"}</definedName>
    <definedName name="___km51">{"'Sheet1'!$L$16"}</definedName>
    <definedName name="___Lan1" localSheetId="1" hidden="1">{"'Sheet1'!$L$16"}</definedName>
    <definedName name="___Lan1" localSheetId="3" hidden="1">{"'Sheet1'!$L$16"}</definedName>
    <definedName name="___Lan1" localSheetId="4" hidden="1">{"'Sheet1'!$L$16"}</definedName>
    <definedName name="___Lan1" localSheetId="5" hidden="1">{"'Sheet1'!$L$16"}</definedName>
    <definedName name="___Lan1" localSheetId="7" hidden="1">{"'Sheet1'!$L$16"}</definedName>
    <definedName name="___Lan1" hidden="1">{"'Sheet1'!$L$16"}</definedName>
    <definedName name="___LAN3" localSheetId="1" hidden="1">{"'Sheet1'!$L$16"}</definedName>
    <definedName name="___LAN3" localSheetId="3" hidden="1">{"'Sheet1'!$L$16"}</definedName>
    <definedName name="___LAN3" localSheetId="4" hidden="1">{"'Sheet1'!$L$16"}</definedName>
    <definedName name="___LAN3" localSheetId="5" hidden="1">{"'Sheet1'!$L$16"}</definedName>
    <definedName name="___LAN3" localSheetId="7" hidden="1">{"'Sheet1'!$L$16"}</definedName>
    <definedName name="___LAN3" hidden="1">{"'Sheet1'!$L$16"}</definedName>
    <definedName name="___lap1">#REF!</definedName>
    <definedName name="___lap2">#REF!</definedName>
    <definedName name="___ld2">{"'Sheet1'!$L$16"}</definedName>
    <definedName name="___lk2">{"'Sheet1'!$L$16"}</definedName>
    <definedName name="___lop111" hidden="1">{#N/A,#N/A,FALSE,"特殊室（ＢＱ表）"}</definedName>
    <definedName name="___M2">{"'Sheet1'!$L$16"}</definedName>
    <definedName name="___m4" localSheetId="1" hidden="1">{"'Sheet1'!$L$16"}</definedName>
    <definedName name="___m4" localSheetId="3" hidden="1">{"'Sheet1'!$L$16"}</definedName>
    <definedName name="___m4" localSheetId="4" hidden="1">{"'Sheet1'!$L$16"}</definedName>
    <definedName name="___m4" localSheetId="5" hidden="1">{"'Sheet1'!$L$16"}</definedName>
    <definedName name="___m4" localSheetId="7" hidden="1">{"'Sheet1'!$L$16"}</definedName>
    <definedName name="___m4" hidden="1">{"'Sheet1'!$L$16"}</definedName>
    <definedName name="___MCC3" localSheetId="1" hidden="1">{#N/A,#N/A,FALSE,"CCTV"}</definedName>
    <definedName name="___MCC3" hidden="1">{#N/A,#N/A,FALSE,"CCTV"}</definedName>
    <definedName name="___NET2">#REF!</definedName>
    <definedName name="___NO2" hidden="1">#REF!</definedName>
    <definedName name="___nso1" hidden="1">{"'Sheet1'!$L$16"}</definedName>
    <definedName name="___NSO2" localSheetId="1" hidden="1">{"'Sheet1'!$L$16"}</definedName>
    <definedName name="___NSO2" localSheetId="3" hidden="1">{"'Sheet1'!$L$16"}</definedName>
    <definedName name="___NSO2" localSheetId="4" hidden="1">{"'Sheet1'!$L$16"}</definedName>
    <definedName name="___NSO2" localSheetId="5" hidden="1">{"'Sheet1'!$L$16"}</definedName>
    <definedName name="___NSO2" localSheetId="7" hidden="1">{"'Sheet1'!$L$16"}</definedName>
    <definedName name="___NSO2" hidden="1">{"'Sheet1'!$L$16"}</definedName>
    <definedName name="___p06">{"'Sheet1'!$L$16"}</definedName>
    <definedName name="___P3" hidden="1">{#N/A,#N/A,FALSE,"特殊室（ＢＱ表）"}</definedName>
    <definedName name="___PA3" localSheetId="1" hidden="1">{"'Sheet1'!$L$16"}</definedName>
    <definedName name="___PA3" localSheetId="3" hidden="1">{"'Sheet1'!$L$16"}</definedName>
    <definedName name="___PA3" localSheetId="4" hidden="1">{"'Sheet1'!$L$16"}</definedName>
    <definedName name="___PA3" localSheetId="5" hidden="1">{"'Sheet1'!$L$16"}</definedName>
    <definedName name="___PA3" localSheetId="7" hidden="1">{"'Sheet1'!$L$16"}</definedName>
    <definedName name="___PA3" hidden="1">{"'Sheet1'!$L$16"}</definedName>
    <definedName name="___PPP3" localSheetId="1" hidden="1">{#N/A,#N/A,FALSE,"特殊室（ＢＱ表）"}</definedName>
    <definedName name="___PPP3" localSheetId="3" hidden="1">{#N/A,#N/A,FALSE,"特殊室（ＢＱ表）"}</definedName>
    <definedName name="___PPP3" localSheetId="4" hidden="1">{#N/A,#N/A,FALSE,"特殊室（ＢＱ表）"}</definedName>
    <definedName name="___PPP3" localSheetId="5" hidden="1">{#N/A,#N/A,FALSE,"特殊室（ＢＱ表）"}</definedName>
    <definedName name="___PPP3" localSheetId="7" hidden="1">{#N/A,#N/A,FALSE,"特殊室（ＢＱ表）"}</definedName>
    <definedName name="___PPP3" hidden="1">{#N/A,#N/A,FALSE,"特殊室（ＢＱ表）"}</definedName>
    <definedName name="___PPP33" localSheetId="1" hidden="1">{#N/A,#N/A,FALSE,"特殊室（ＢＱ表）"}</definedName>
    <definedName name="___PPP33" localSheetId="3" hidden="1">{#N/A,#N/A,FALSE,"特殊室（ＢＱ表）"}</definedName>
    <definedName name="___PPP33" localSheetId="4" hidden="1">{#N/A,#N/A,FALSE,"特殊室（ＢＱ表）"}</definedName>
    <definedName name="___PPP33" localSheetId="5" hidden="1">{#N/A,#N/A,FALSE,"特殊室（ＢＱ表）"}</definedName>
    <definedName name="___PPP33" localSheetId="7" hidden="1">{#N/A,#N/A,FALSE,"特殊室（ＢＱ表）"}</definedName>
    <definedName name="___PPP33" hidden="1">{#N/A,#N/A,FALSE,"特殊室（ＢＱ表）"}</definedName>
    <definedName name="___ppp34" localSheetId="1" hidden="1">{#N/A,#N/A,FALSE,"特殊室（ＢＱ表）"}</definedName>
    <definedName name="___ppp34" localSheetId="3" hidden="1">{#N/A,#N/A,FALSE,"特殊室（ＢＱ表）"}</definedName>
    <definedName name="___ppp34" localSheetId="4" hidden="1">{#N/A,#N/A,FALSE,"特殊室（ＢＱ表）"}</definedName>
    <definedName name="___ppp34" localSheetId="5" hidden="1">{#N/A,#N/A,FALSE,"特殊室（ＢＱ表）"}</definedName>
    <definedName name="___ppp34" localSheetId="7" hidden="1">{#N/A,#N/A,FALSE,"特殊室（ＢＱ表）"}</definedName>
    <definedName name="___ppp34" hidden="1">{#N/A,#N/A,FALSE,"特殊室（ＢＱ表）"}</definedName>
    <definedName name="___ppp3444" localSheetId="1" hidden="1">{#N/A,#N/A,FALSE,"特殊室（ＢＱ表）"}</definedName>
    <definedName name="___ppp3444" localSheetId="3" hidden="1">{#N/A,#N/A,FALSE,"特殊室（ＢＱ表）"}</definedName>
    <definedName name="___ppp3444" localSheetId="4" hidden="1">{#N/A,#N/A,FALSE,"特殊室（ＢＱ表）"}</definedName>
    <definedName name="___ppp3444" localSheetId="5" hidden="1">{#N/A,#N/A,FALSE,"特殊室（ＢＱ表）"}</definedName>
    <definedName name="___ppp3444" localSheetId="7" hidden="1">{#N/A,#N/A,FALSE,"特殊室（ＢＱ表）"}</definedName>
    <definedName name="___ppp3444" hidden="1">{#N/A,#N/A,FALSE,"特殊室（ＢＱ表）"}</definedName>
    <definedName name="___SCL4" localSheetId="1" hidden="1">{"'Sheet1'!$L$16"}</definedName>
    <definedName name="___SCL4" localSheetId="3" hidden="1">{"'Sheet1'!$L$16"}</definedName>
    <definedName name="___SCL4" localSheetId="4" hidden="1">{"'Sheet1'!$L$16"}</definedName>
    <definedName name="___SCL4" localSheetId="5" hidden="1">{"'Sheet1'!$L$16"}</definedName>
    <definedName name="___SCL4" localSheetId="7" hidden="1">{"'Sheet1'!$L$16"}</definedName>
    <definedName name="___SCL4" hidden="1">{"'Sheet1'!$L$16"}</definedName>
    <definedName name="___sxt5" localSheetId="1" hidden="1">{"'Sheet1'!$L$16"}</definedName>
    <definedName name="___sxt5" localSheetId="3" hidden="1">{"'Sheet1'!$L$16"}</definedName>
    <definedName name="___sxt5" localSheetId="4" hidden="1">{"'Sheet1'!$L$16"}</definedName>
    <definedName name="___sxt5" localSheetId="5" hidden="1">{"'Sheet1'!$L$16"}</definedName>
    <definedName name="___sxt5" localSheetId="7" hidden="1">{"'Sheet1'!$L$16"}</definedName>
    <definedName name="___sxt5" hidden="1">{"'Sheet1'!$L$16"}</definedName>
    <definedName name="___T1" hidden="1">{#N/A,#N/A,FALSE,"Chi tiÆt"}</definedName>
    <definedName name="___T10">{"'Sheet1'!$L$16"}</definedName>
    <definedName name="___t2">{"'Sheet1'!$L$16"}</definedName>
    <definedName name="___T3" hidden="1">{"'Sheet1'!$L$16"}</definedName>
    <definedName name="___t5">{"'Sheet1'!$L$16"}</definedName>
    <definedName name="___td1">{"'Sheet1'!$L$16"}</definedName>
    <definedName name="___TM2" localSheetId="1" hidden="1">{"'Sheet1'!$L$16"}</definedName>
    <definedName name="___TM2" localSheetId="3" hidden="1">{"'Sheet1'!$L$16"}</definedName>
    <definedName name="___TM2" localSheetId="4" hidden="1">{"'Sheet1'!$L$16"}</definedName>
    <definedName name="___TM2" localSheetId="5" hidden="1">{"'Sheet1'!$L$16"}</definedName>
    <definedName name="___TM2" localSheetId="7" hidden="1">{"'Sheet1'!$L$16"}</definedName>
    <definedName name="___TM2" hidden="1">{"'Sheet1'!$L$16"}</definedName>
    <definedName name="___tt3" localSheetId="1" hidden="1">{"'Sheet1'!$L$16"}</definedName>
    <definedName name="___tt3" localSheetId="3" hidden="1">{"'Sheet1'!$L$16"}</definedName>
    <definedName name="___tt3" localSheetId="4" hidden="1">{"'Sheet1'!$L$16"}</definedName>
    <definedName name="___tt3" localSheetId="5" hidden="1">{"'Sheet1'!$L$16"}</definedName>
    <definedName name="___tt3" localSheetId="7" hidden="1">{"'Sheet1'!$L$16"}</definedName>
    <definedName name="___tt3" hidden="1">{"'Sheet1'!$L$16"}</definedName>
    <definedName name="___ttt1" hidden="1">{"'Sheet1'!$L$16"}</definedName>
    <definedName name="___tu4" localSheetId="1" hidden="1">{"'Sheet1'!$L$16"}</definedName>
    <definedName name="___tu4" localSheetId="3" hidden="1">{"'Sheet1'!$L$16"}</definedName>
    <definedName name="___tu4" localSheetId="4" hidden="1">{"'Sheet1'!$L$16"}</definedName>
    <definedName name="___tu4" localSheetId="5" hidden="1">{"'Sheet1'!$L$16"}</definedName>
    <definedName name="___tu4" localSheetId="7" hidden="1">{"'Sheet1'!$L$16"}</definedName>
    <definedName name="___tu4" hidden="1">{"'Sheet1'!$L$16"}</definedName>
    <definedName name="___th30">1.7875</definedName>
    <definedName name="___th40">1.925</definedName>
    <definedName name="___vpt5" localSheetId="1" hidden="1">{"'Sheet1'!$L$16"}</definedName>
    <definedName name="___vpt5" localSheetId="3" hidden="1">{"'Sheet1'!$L$16"}</definedName>
    <definedName name="___vpt5" localSheetId="4" hidden="1">{"'Sheet1'!$L$16"}</definedName>
    <definedName name="___vpt5" localSheetId="5" hidden="1">{"'Sheet1'!$L$16"}</definedName>
    <definedName name="___vpt5" localSheetId="7" hidden="1">{"'Sheet1'!$L$16"}</definedName>
    <definedName name="___vpt5" hidden="1">{"'Sheet1'!$L$16"}</definedName>
    <definedName name="___vpt6" localSheetId="1" hidden="1">{"'Sheet1'!$L$16"}</definedName>
    <definedName name="___vpt6" localSheetId="3" hidden="1">{"'Sheet1'!$L$16"}</definedName>
    <definedName name="___vpt6" localSheetId="4" hidden="1">{"'Sheet1'!$L$16"}</definedName>
    <definedName name="___vpt6" localSheetId="5" hidden="1">{"'Sheet1'!$L$16"}</definedName>
    <definedName name="___vpt6" localSheetId="7" hidden="1">{"'Sheet1'!$L$16"}</definedName>
    <definedName name="___vpt6" hidden="1">{"'Sheet1'!$L$16"}</definedName>
    <definedName name="___xlfn.BAHTTEXT" hidden="1">#NAME?</definedName>
    <definedName name="__1__123Graph_ACHART_1" hidden="1">#REF!</definedName>
    <definedName name="__1__123Graph_BCHART_2" hidden="1">#REF!</definedName>
    <definedName name="__10__123Graph_Aｸﾞﾗﾌ_2" localSheetId="1" hidden="1">#REF!</definedName>
    <definedName name="__10__123Graph_Aｸﾞﾗﾌ_2" hidden="1">#REF!</definedName>
    <definedName name="__10__123Graph_DCHART_1" hidden="1">#REF!</definedName>
    <definedName name="__11__123Graph_Aｸﾞﾗﾌ_3" localSheetId="1" hidden="1">#REF!</definedName>
    <definedName name="__11__123Graph_Aｸﾞﾗﾌ_3" hidden="1">#REF!</definedName>
    <definedName name="__11__123Graph_Xｸﾞﾗﾌ_1" hidden="1">#REF!</definedName>
    <definedName name="__12__123Graph_Aｸﾞﾗﾌ_4" localSheetId="1" hidden="1">#REF!</definedName>
    <definedName name="__12__123Graph_Aｸﾞﾗﾌ_4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URRENT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PERFORMANCE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sdfsdfs" hidden="1">#REF!</definedName>
    <definedName name="__13__123Graph_Aｸﾞﾗﾌ_5" localSheetId="1" hidden="1">#REF!</definedName>
    <definedName name="__13__123Graph_Aｸﾞﾗﾌ_5" hidden="1">#REF!</definedName>
    <definedName name="__13__123Graph_Xｸﾞﾗﾌ_3" hidden="1">#REF!</definedName>
    <definedName name="__14__123Graph_Xｸﾞﾗﾌ_1" localSheetId="1" hidden="1">#REF!</definedName>
    <definedName name="__14__123Graph_Xｸﾞﾗﾌ_1" hidden="1">#REF!</definedName>
    <definedName name="__14__123Graph_Xｸﾞﾗﾌ_4" hidden="1">#REF!</definedName>
    <definedName name="__15__123Graph_Xｸﾞﾗﾌ_2" localSheetId="1" hidden="1">#REF!</definedName>
    <definedName name="__15__123Graph_Xｸﾞﾗﾌ_2" hidden="1">#REF!</definedName>
    <definedName name="__15__123Graph_Xｸﾞﾗﾌ_5" hidden="1">#REF!</definedName>
    <definedName name="__16__123Graph_Xｸﾞﾗﾌ_3" hidden="1">#REF!</definedName>
    <definedName name="__17__123Graph_Xｸﾞﾗﾌ_4" hidden="1">#REF!</definedName>
    <definedName name="__18__123Graph_Xｸﾞﾗﾌ_5" hidden="1">#REF!</definedName>
    <definedName name="__2__123Graph_ACHART_2" hidden="1">#REF!</definedName>
    <definedName name="__2__123Graph_CCHART_2" hidden="1">#REF!</definedName>
    <definedName name="__3__123Graph_Aｸﾞﾗﾌ_1" hidden="1">#REF!</definedName>
    <definedName name="__3__123Graph_DCHART_2" hidden="1">#REF!</definedName>
    <definedName name="__4__123Graph_Aｸﾞﾗﾌ_2" hidden="1">#REF!</definedName>
    <definedName name="__5__123Graph_Aｸﾞﾗﾌ_3" hidden="1">#REF!</definedName>
    <definedName name="__6__123Graph_Aｸﾞﾗﾌ_4" hidden="1">#REF!</definedName>
    <definedName name="__7__123Graph_Aｸﾞﾗﾌ_5" hidden="1">#REF!</definedName>
    <definedName name="__8__123Graph_BCHART_2" hidden="1">#REF!</definedName>
    <definedName name="__9__123Graph_Aｸﾞﾗﾌ_1" hidden="1">#REF!</definedName>
    <definedName name="__9__123Graph_CCHART_1" hidden="1">#REF!</definedName>
    <definedName name="__a1" localSheetId="1" hidden="1">{"'Sheet1'!$L$16"}</definedName>
    <definedName name="__a1" localSheetId="3" hidden="1">{"'Sheet1'!$L$16"}</definedName>
    <definedName name="__a1" localSheetId="4" hidden="1">{"'Sheet1'!$L$16"}</definedName>
    <definedName name="__a1" localSheetId="5" hidden="1">{"'Sheet1'!$L$16"}</definedName>
    <definedName name="__a1" localSheetId="7" hidden="1">{"'Sheet1'!$L$16"}</definedName>
    <definedName name="__a1" hidden="1">{"'Sheet1'!$L$16"}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1" hidden="1">{"'Sheet1'!$L$16"}</definedName>
    <definedName name="__a2" localSheetId="3" hidden="1">{"'Sheet1'!$L$16"}</definedName>
    <definedName name="__a2" localSheetId="4" hidden="1">{"'Sheet1'!$L$16"}</definedName>
    <definedName name="__a2" localSheetId="5" hidden="1">{"'Sheet1'!$L$16"}</definedName>
    <definedName name="__a2" localSheetId="7" hidden="1">{"'Sheet1'!$L$16"}</definedName>
    <definedName name="__a2" hidden="1">{"'Sheet1'!$L$16"}</definedName>
    <definedName name="__A4" localSheetId="1" hidden="1">{"'Sheet1'!$L$16"}</definedName>
    <definedName name="__A4" localSheetId="3" hidden="1">{"'Sheet1'!$L$16"}</definedName>
    <definedName name="__A4" localSheetId="4" hidden="1">{"'Sheet1'!$L$16"}</definedName>
    <definedName name="__A4" localSheetId="5" hidden="1">{"'Sheet1'!$L$16"}</definedName>
    <definedName name="__A4" localSheetId="7" hidden="1">{"'Sheet1'!$L$16"}</definedName>
    <definedName name="__A4" hidden="1">{"'Sheet1'!$L$16"}</definedName>
    <definedName name="__a9" localSheetId="1" hidden="1">{"'Sheet1'!$L$16"}</definedName>
    <definedName name="__a9" localSheetId="3" hidden="1">{"'Sheet1'!$L$16"}</definedName>
    <definedName name="__a9" localSheetId="4" hidden="1">{"'Sheet1'!$L$16"}</definedName>
    <definedName name="__a9" localSheetId="5" hidden="1">{"'Sheet1'!$L$16"}</definedName>
    <definedName name="__a9" localSheetId="7" hidden="1">{"'Sheet1'!$L$16"}</definedName>
    <definedName name="__a9" hidden="1">{"'Sheet1'!$L$16"}</definedName>
    <definedName name="__ahu100">#REF!</definedName>
    <definedName name="__ahu150">#REF!</definedName>
    <definedName name="__B19">{"'Sheet1'!$L$16"}</definedName>
    <definedName name="__BG12" localSheetId="1" hidden="1">{"'Sheet1'!$L$16"}</definedName>
    <definedName name="__BG12" localSheetId="3" hidden="1">{"'Sheet1'!$L$16"}</definedName>
    <definedName name="__BG12" localSheetId="4" hidden="1">{"'Sheet1'!$L$16"}</definedName>
    <definedName name="__BG12" localSheetId="5" hidden="1">{"'Sheet1'!$L$16"}</definedName>
    <definedName name="__BG12" localSheetId="7" hidden="1">{"'Sheet1'!$L$16"}</definedName>
    <definedName name="__BG12" hidden="1">{"'Sheet1'!$L$16"}</definedName>
    <definedName name="__bht6" localSheetId="1" hidden="1">{"'Sheet1'!$L$16"}</definedName>
    <definedName name="__bht6" localSheetId="3" hidden="1">{"'Sheet1'!$L$16"}</definedName>
    <definedName name="__bht6" localSheetId="4" hidden="1">{"'Sheet1'!$L$16"}</definedName>
    <definedName name="__bht6" localSheetId="5" hidden="1">{"'Sheet1'!$L$16"}</definedName>
    <definedName name="__bht6" localSheetId="7" hidden="1">{"'Sheet1'!$L$16"}</definedName>
    <definedName name="__bht6" hidden="1">{"'Sheet1'!$L$16"}</definedName>
    <definedName name="__Can2">#REF!</definedName>
    <definedName name="__CN1" localSheetId="1" hidden="1">{"'Sheet1'!$L$16"}</definedName>
    <definedName name="__CN1" localSheetId="3" hidden="1">{"'Sheet1'!$L$16"}</definedName>
    <definedName name="__CN1" localSheetId="4" hidden="1">{"'Sheet1'!$L$16"}</definedName>
    <definedName name="__CN1" localSheetId="5" hidden="1">{"'Sheet1'!$L$16"}</definedName>
    <definedName name="__CN1" localSheetId="7" hidden="1">{"'Sheet1'!$L$16"}</definedName>
    <definedName name="__CN1" hidden="1">{"'Sheet1'!$L$16"}</definedName>
    <definedName name="__coc1000" localSheetId="1" hidden="1">{#N/A,#N/A,FALSE,"Chi tiÆt"}</definedName>
    <definedName name="__coc1000" localSheetId="3" hidden="1">{#N/A,#N/A,FALSE,"Chi tiÆt"}</definedName>
    <definedName name="__coc1000" localSheetId="4" hidden="1">{#N/A,#N/A,FALSE,"Chi tiÆt"}</definedName>
    <definedName name="__coc1000" localSheetId="5" hidden="1">{#N/A,#N/A,FALSE,"Chi tiÆt"}</definedName>
    <definedName name="__coc1000" localSheetId="7" hidden="1">{#N/A,#N/A,FALSE,"Chi tiÆt"}</definedName>
    <definedName name="__coc1000" hidden="1">{#N/A,#N/A,FALSE,"Chi tiÆt"}</definedName>
    <definedName name="__Coc39">{"'Sheet1'!$L$16"}</definedName>
    <definedName name="__CON1">#REF!</definedName>
    <definedName name="__CON2">#REF!</definedName>
    <definedName name="__ct2005" localSheetId="1" hidden="1">{"'Sheet1'!$L$16"}</definedName>
    <definedName name="__ct2005" localSheetId="3" hidden="1">{"'Sheet1'!$L$16"}</definedName>
    <definedName name="__ct2005" localSheetId="4" hidden="1">{"'Sheet1'!$L$16"}</definedName>
    <definedName name="__ct2005" localSheetId="5" hidden="1">{"'Sheet1'!$L$16"}</definedName>
    <definedName name="__ct2005" localSheetId="7" hidden="1">{"'Sheet1'!$L$16"}</definedName>
    <definedName name="__ct2005" hidden="1">{"'Sheet1'!$L$16"}</definedName>
    <definedName name="__Cty501">{"'Sheet1'!$L$16"}</definedName>
    <definedName name="__d1500">{"'Sheet1'!$L$16"}</definedName>
    <definedName name="__DAF10">#REF!</definedName>
    <definedName name="__DIV10">#REF!</definedName>
    <definedName name="__DIV11">#REF!</definedName>
    <definedName name="__DIV12">#REF!</definedName>
    <definedName name="__DIV15">#REF!</definedName>
    <definedName name="__DIV16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E1200">{"'Sheet1'!$L$16"}</definedName>
    <definedName name="__FAB4" hidden="1">#REF!</definedName>
    <definedName name="__Goi8" localSheetId="1" hidden="1">{"'Sheet1'!$L$16"}</definedName>
    <definedName name="__Goi8" localSheetId="3" hidden="1">{"'Sheet1'!$L$16"}</definedName>
    <definedName name="__Goi8" localSheetId="4" hidden="1">{"'Sheet1'!$L$16"}</definedName>
    <definedName name="__Goi8" localSheetId="5" hidden="1">{"'Sheet1'!$L$16"}</definedName>
    <definedName name="__Goi8" localSheetId="7" hidden="1">{"'Sheet1'!$L$16"}</definedName>
    <definedName name="__Goi8" hidden="1">{"'Sheet1'!$L$16"}</definedName>
    <definedName name="__grc1">#REF!</definedName>
    <definedName name="__h1" localSheetId="1" hidden="1">{"'Sheet1'!$L$16"}</definedName>
    <definedName name="__h1" localSheetId="3" hidden="1">{"'Sheet1'!$L$16"}</definedName>
    <definedName name="__h1" localSheetId="4" hidden="1">{"'Sheet1'!$L$16"}</definedName>
    <definedName name="__h1" localSheetId="5" hidden="1">{"'Sheet1'!$L$16"}</definedName>
    <definedName name="__h1" localSheetId="7" hidden="1">{"'Sheet1'!$L$16"}</definedName>
    <definedName name="__h1" hidden="1">{"'Sheet1'!$L$16"}</definedName>
    <definedName name="__hh1219">{"'Sheet1'!$L$16"}</definedName>
    <definedName name="__hh2" localSheetId="1" hidden="1">{"'Sheet1'!$L$16"}</definedName>
    <definedName name="__hh2" localSheetId="3" hidden="1">{"'Sheet1'!$L$16"}</definedName>
    <definedName name="__hh2" localSheetId="4" hidden="1">{"'Sheet1'!$L$16"}</definedName>
    <definedName name="__hh2" localSheetId="5" hidden="1">{"'Sheet1'!$L$16"}</definedName>
    <definedName name="__hh2" localSheetId="7" hidden="1">{"'Sheet1'!$L$16"}</definedName>
    <definedName name="__hh2" hidden="1">{"'Sheet1'!$L$16"}</definedName>
    <definedName name="__hom2">#REF!</definedName>
    <definedName name="__hsm2">1.1289</definedName>
    <definedName name="__hu1" localSheetId="1" hidden="1">{"'Sheet1'!$L$16"}</definedName>
    <definedName name="__hu1" localSheetId="3" hidden="1">{"'Sheet1'!$L$16"}</definedName>
    <definedName name="__hu1" localSheetId="4" hidden="1">{"'Sheet1'!$L$16"}</definedName>
    <definedName name="__hu1" localSheetId="5" hidden="1">{"'Sheet1'!$L$16"}</definedName>
    <definedName name="__hu1" localSheetId="7" hidden="1">{"'Sheet1'!$L$16"}</definedName>
    <definedName name="__hu1" hidden="1">{"'Sheet1'!$L$16"}</definedName>
    <definedName name="__hu2" localSheetId="1" hidden="1">{"'Sheet1'!$L$16"}</definedName>
    <definedName name="__hu2" localSheetId="3" hidden="1">{"'Sheet1'!$L$16"}</definedName>
    <definedName name="__hu2" localSheetId="4" hidden="1">{"'Sheet1'!$L$16"}</definedName>
    <definedName name="__hu2" localSheetId="5" hidden="1">{"'Sheet1'!$L$16"}</definedName>
    <definedName name="__hu2" localSheetId="7" hidden="1">{"'Sheet1'!$L$16"}</definedName>
    <definedName name="__hu2" hidden="1">{"'Sheet1'!$L$16"}</definedName>
    <definedName name="__hu5" localSheetId="1" hidden="1">{"'Sheet1'!$L$16"}</definedName>
    <definedName name="__hu5" localSheetId="3" hidden="1">{"'Sheet1'!$L$16"}</definedName>
    <definedName name="__hu5" localSheetId="4" hidden="1">{"'Sheet1'!$L$16"}</definedName>
    <definedName name="__hu5" localSheetId="5" hidden="1">{"'Sheet1'!$L$16"}</definedName>
    <definedName name="__hu5" localSheetId="7" hidden="1">{"'Sheet1'!$L$16"}</definedName>
    <definedName name="__hu5" hidden="1">{"'Sheet1'!$L$16"}</definedName>
    <definedName name="__hu6" localSheetId="1" hidden="1">{"'Sheet1'!$L$16"}</definedName>
    <definedName name="__hu6" localSheetId="3" hidden="1">{"'Sheet1'!$L$16"}</definedName>
    <definedName name="__hu6" localSheetId="4" hidden="1">{"'Sheet1'!$L$16"}</definedName>
    <definedName name="__hu6" localSheetId="5" hidden="1">{"'Sheet1'!$L$16"}</definedName>
    <definedName name="__hu6" localSheetId="7" hidden="1">{"'Sheet1'!$L$16"}</definedName>
    <definedName name="__hu6" hidden="1">{"'Sheet1'!$L$16"}</definedName>
    <definedName name="__hu7">{"'Sheet1'!$L$16"}</definedName>
    <definedName name="__huy1" hidden="1">{"'Sheet1'!$L$16"}</definedName>
    <definedName name="__huy2" hidden="1">{"'Sheet1'!$L$16"}</definedName>
    <definedName name="__IntlFixup" hidden="1">TRUE</definedName>
    <definedName name="__jum5">#REF!</definedName>
    <definedName name="__key1" hidden="1">#REF!</definedName>
    <definedName name="__key2" hidden="1">#REF!</definedName>
    <definedName name="__KM34">{"'Sheet1'!$L$16"}</definedName>
    <definedName name="__km51">{"'Sheet1'!$L$16"}</definedName>
    <definedName name="__Lan1" localSheetId="1" hidden="1">{"'Sheet1'!$L$16"}</definedName>
    <definedName name="__Lan1" localSheetId="3" hidden="1">{"'Sheet1'!$L$16"}</definedName>
    <definedName name="__Lan1" localSheetId="4" hidden="1">{"'Sheet1'!$L$16"}</definedName>
    <definedName name="__Lan1" localSheetId="5" hidden="1">{"'Sheet1'!$L$16"}</definedName>
    <definedName name="__Lan1" localSheetId="7" hidden="1">{"'Sheet1'!$L$16"}</definedName>
    <definedName name="__Lan1" hidden="1">{"'Sheet1'!$L$16"}</definedName>
    <definedName name="__Lan2">{"'Sheet1'!$L$16"}</definedName>
    <definedName name="__LAN3" localSheetId="1" hidden="1">{"'Sheet1'!$L$16"}</definedName>
    <definedName name="__LAN3" localSheetId="3" hidden="1">{"'Sheet1'!$L$16"}</definedName>
    <definedName name="__LAN3" localSheetId="4" hidden="1">{"'Sheet1'!$L$16"}</definedName>
    <definedName name="__LAN3" localSheetId="5" hidden="1">{"'Sheet1'!$L$16"}</definedName>
    <definedName name="__LAN3" localSheetId="7" hidden="1">{"'Sheet1'!$L$16"}</definedName>
    <definedName name="__LAN3" hidden="1">{"'Sheet1'!$L$16"}</definedName>
    <definedName name="__lap1">#REF!</definedName>
    <definedName name="__lap2">#REF!</definedName>
    <definedName name="__ld2">{"'Sheet1'!$L$16"}</definedName>
    <definedName name="__lk2">{"'Sheet1'!$L$16"}</definedName>
    <definedName name="__lop111" hidden="1">{#N/A,#N/A,FALSE,"特殊室（ＢＱ表）"}</definedName>
    <definedName name="__m1233">{"'Sheet1'!$L$16"}</definedName>
    <definedName name="__M2">{"'Sheet1'!$L$16"}</definedName>
    <definedName name="__m4" localSheetId="1" hidden="1">{"'Sheet1'!$L$16"}</definedName>
    <definedName name="__m4" localSheetId="3" hidden="1">{"'Sheet1'!$L$16"}</definedName>
    <definedName name="__m4" localSheetId="4" hidden="1">{"'Sheet1'!$L$16"}</definedName>
    <definedName name="__m4" localSheetId="5" hidden="1">{"'Sheet1'!$L$16"}</definedName>
    <definedName name="__m4" localSheetId="7" hidden="1">{"'Sheet1'!$L$16"}</definedName>
    <definedName name="__m4" hidden="1">{"'Sheet1'!$L$16"}</definedName>
    <definedName name="__mat1">#REF!</definedName>
    <definedName name="__MCC3" hidden="1">{#N/A,#N/A,FALSE,"CCTV"}</definedName>
    <definedName name="__NC2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O2" hidden="1">#REF!</definedName>
    <definedName name="__nso1" hidden="1">{"'Sheet1'!$L$16"}</definedName>
    <definedName name="__NSO2" localSheetId="1" hidden="1">{"'Sheet1'!$L$16"}</definedName>
    <definedName name="__NSO2" localSheetId="3" hidden="1">{"'Sheet1'!$L$16"}</definedName>
    <definedName name="__NSO2" localSheetId="4" hidden="1">{"'Sheet1'!$L$16"}</definedName>
    <definedName name="__NSO2" localSheetId="5" hidden="1">{"'Sheet1'!$L$16"}</definedName>
    <definedName name="__NSO2" localSheetId="7" hidden="1">{"'Sheet1'!$L$16"}</definedName>
    <definedName name="__NSO2" hidden="1">{"'Sheet1'!$L$16"}</definedName>
    <definedName name="__nyf46">#REF!</definedName>
    <definedName name="__nyy2150">#REF!</definedName>
    <definedName name="__nyy2185">#REF!</definedName>
    <definedName name="__p06" localSheetId="1" hidden="1">{"'Sheet1'!$L$16"}</definedName>
    <definedName name="__p06" localSheetId="3" hidden="1">{"'Sheet1'!$L$16"}</definedName>
    <definedName name="__p06" localSheetId="4" hidden="1">{"'Sheet1'!$L$16"}</definedName>
    <definedName name="__p06" localSheetId="5" hidden="1">{"'Sheet1'!$L$16"}</definedName>
    <definedName name="__p06" localSheetId="7" hidden="1">{"'Sheet1'!$L$16"}</definedName>
    <definedName name="__p06" hidden="1">{"'Sheet1'!$L$16"}</definedName>
    <definedName name="__P3" hidden="1">{#N/A,#N/A,FALSE,"特殊室（ＢＱ表）"}</definedName>
    <definedName name="__PA3" localSheetId="1" hidden="1">{"'Sheet1'!$L$16"}</definedName>
    <definedName name="__PA3" localSheetId="3" hidden="1">{"'Sheet1'!$L$16"}</definedName>
    <definedName name="__PA3" localSheetId="4" hidden="1">{"'Sheet1'!$L$16"}</definedName>
    <definedName name="__PA3" localSheetId="5" hidden="1">{"'Sheet1'!$L$16"}</definedName>
    <definedName name="__PA3" localSheetId="7" hidden="1">{"'Sheet1'!$L$16"}</definedName>
    <definedName name="__PA3" hidden="1">{"'Sheet1'!$L$16"}</definedName>
    <definedName name="__pah150">#REF!</definedName>
    <definedName name="__PPP3" localSheetId="1" hidden="1">{#N/A,#N/A,FALSE,"特殊室（ＢＱ表）"}</definedName>
    <definedName name="__PPP3" localSheetId="3" hidden="1">{#N/A,#N/A,FALSE,"特殊室（ＢＱ表）"}</definedName>
    <definedName name="__PPP3" localSheetId="4" hidden="1">{#N/A,#N/A,FALSE,"特殊室（ＢＱ表）"}</definedName>
    <definedName name="__PPP3" localSheetId="5" hidden="1">{#N/A,#N/A,FALSE,"特殊室（ＢＱ表）"}</definedName>
    <definedName name="__PPP3" localSheetId="7" hidden="1">{#N/A,#N/A,FALSE,"特殊室（ＢＱ表）"}</definedName>
    <definedName name="__PPP3" hidden="1">{#N/A,#N/A,FALSE,"特殊室（ＢＱ表）"}</definedName>
    <definedName name="__PPP33" localSheetId="1" hidden="1">{#N/A,#N/A,FALSE,"特殊室（ＢＱ表）"}</definedName>
    <definedName name="__PPP33" localSheetId="3" hidden="1">{#N/A,#N/A,FALSE,"特殊室（ＢＱ表）"}</definedName>
    <definedName name="__PPP33" localSheetId="4" hidden="1">{#N/A,#N/A,FALSE,"特殊室（ＢＱ表）"}</definedName>
    <definedName name="__PPP33" localSheetId="5" hidden="1">{#N/A,#N/A,FALSE,"特殊室（ＢＱ表）"}</definedName>
    <definedName name="__PPP33" localSheetId="7" hidden="1">{#N/A,#N/A,FALSE,"特殊室（ＢＱ表）"}</definedName>
    <definedName name="__PPP33" hidden="1">{#N/A,#N/A,FALSE,"特殊室（ＢＱ表）"}</definedName>
    <definedName name="__ppp34" localSheetId="1" hidden="1">{#N/A,#N/A,FALSE,"特殊室（ＢＱ表）"}</definedName>
    <definedName name="__ppp34" localSheetId="3" hidden="1">{#N/A,#N/A,FALSE,"特殊室（ＢＱ表）"}</definedName>
    <definedName name="__ppp34" localSheetId="4" hidden="1">{#N/A,#N/A,FALSE,"特殊室（ＢＱ表）"}</definedName>
    <definedName name="__ppp34" localSheetId="5" hidden="1">{#N/A,#N/A,FALSE,"特殊室（ＢＱ表）"}</definedName>
    <definedName name="__ppp34" localSheetId="7" hidden="1">{#N/A,#N/A,FALSE,"特殊室（ＢＱ表）"}</definedName>
    <definedName name="__ppp34" hidden="1">{#N/A,#N/A,FALSE,"特殊室（ＢＱ表）"}</definedName>
    <definedName name="__ppp3444" localSheetId="1" hidden="1">{#N/A,#N/A,FALSE,"特殊室（ＢＱ表）"}</definedName>
    <definedName name="__ppp3444" localSheetId="3" hidden="1">{#N/A,#N/A,FALSE,"特殊室（ＢＱ表）"}</definedName>
    <definedName name="__ppp3444" localSheetId="4" hidden="1">{#N/A,#N/A,FALSE,"特殊室（ＢＱ表）"}</definedName>
    <definedName name="__ppp3444" localSheetId="5" hidden="1">{#N/A,#N/A,FALSE,"特殊室（ＢＱ表）"}</definedName>
    <definedName name="__ppp3444" localSheetId="7" hidden="1">{#N/A,#N/A,FALSE,"特殊室（ＢＱ表）"}</definedName>
    <definedName name="__ppp3444" hidden="1">{#N/A,#N/A,FALSE,"特殊室（ＢＱ表）"}</definedName>
    <definedName name="__pv100">#REF!</definedName>
    <definedName name="__pv50">#REF!</definedName>
    <definedName name="__pv80">#REF!</definedName>
    <definedName name="__pvf100">#REF!</definedName>
    <definedName name="__pvf80">#REF!</definedName>
    <definedName name="__ph100">#REF!</definedName>
    <definedName name="__ph150">#REF!</definedName>
    <definedName name="__phf100">#REF!</definedName>
    <definedName name="__phf150">#REF!</definedName>
    <definedName name="__rkl10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SB22">{"'Sheet1'!$L$16"}</definedName>
    <definedName name="__SCL4" localSheetId="1" hidden="1">{"'Sheet1'!$L$16"}</definedName>
    <definedName name="__SCL4" localSheetId="3" hidden="1">{"'Sheet1'!$L$16"}</definedName>
    <definedName name="__SCL4" localSheetId="4" hidden="1">{"'Sheet1'!$L$16"}</definedName>
    <definedName name="__SCL4" localSheetId="5" hidden="1">{"'Sheet1'!$L$16"}</definedName>
    <definedName name="__SCL4" localSheetId="7" hidden="1">{"'Sheet1'!$L$16"}</definedName>
    <definedName name="__SCL4" hidden="1">{"'Sheet1'!$L$16"}</definedName>
    <definedName name="__SN3">#REF!</definedName>
    <definedName name="__SS2">{"'Sheet1'!$L$16"}</definedName>
    <definedName name="__sua20">#REF!</definedName>
    <definedName name="__sua30">#REF!</definedName>
    <definedName name="__sxt5" localSheetId="1" hidden="1">{"'Sheet1'!$L$16"}</definedName>
    <definedName name="__sxt5" localSheetId="3" hidden="1">{"'Sheet1'!$L$16"}</definedName>
    <definedName name="__sxt5" localSheetId="4" hidden="1">{"'Sheet1'!$L$16"}</definedName>
    <definedName name="__sxt5" localSheetId="5" hidden="1">{"'Sheet1'!$L$16"}</definedName>
    <definedName name="__sxt5" localSheetId="7" hidden="1">{"'Sheet1'!$L$16"}</definedName>
    <definedName name="__sxt5" hidden="1">{"'Sheet1'!$L$16"}</definedName>
    <definedName name="__T1" localSheetId="1" hidden="1">{#N/A,#N/A,FALSE,"Chi tiÆt"}</definedName>
    <definedName name="__T1" localSheetId="3" hidden="1">{#N/A,#N/A,FALSE,"Chi tiÆt"}</definedName>
    <definedName name="__T1" localSheetId="4" hidden="1">{#N/A,#N/A,FALSE,"Chi tiÆt"}</definedName>
    <definedName name="__T1" localSheetId="5" hidden="1">{#N/A,#N/A,FALSE,"Chi tiÆt"}</definedName>
    <definedName name="__T1" localSheetId="7" hidden="1">{#N/A,#N/A,FALSE,"Chi tiÆt"}</definedName>
    <definedName name="__T1" hidden="1">{#N/A,#N/A,FALSE,"Chi tiÆt"}</definedName>
    <definedName name="__T10">{"'Sheet1'!$L$16"}</definedName>
    <definedName name="__t2" localSheetId="1" hidden="1">{"'Sheet1'!$L$16"}</definedName>
    <definedName name="__t2" localSheetId="3" hidden="1">{"'Sheet1'!$L$16"}</definedName>
    <definedName name="__t2" localSheetId="4" hidden="1">{"'Sheet1'!$L$16"}</definedName>
    <definedName name="__t2" localSheetId="5" hidden="1">{"'Sheet1'!$L$16"}</definedName>
    <definedName name="__t2" localSheetId="7" hidden="1">{"'Sheet1'!$L$16"}</definedName>
    <definedName name="__t2" hidden="1">{"'Sheet1'!$L$16"}</definedName>
    <definedName name="__t3" localSheetId="1" hidden="1">{"'Sheet1'!$L$16"}</definedName>
    <definedName name="__t3" localSheetId="3" hidden="1">{"'Sheet1'!$L$16"}</definedName>
    <definedName name="__t3" localSheetId="4" hidden="1">{"'Sheet1'!$L$16"}</definedName>
    <definedName name="__t3" localSheetId="5" hidden="1">{"'Sheet1'!$L$16"}</definedName>
    <definedName name="__t3" localSheetId="7" hidden="1">{"'Sheet1'!$L$16"}</definedName>
    <definedName name="__t3" hidden="1">{"'Sheet1'!$L$16"}</definedName>
    <definedName name="__t5" localSheetId="1" hidden="1">{"'Sheet1'!$L$16"}</definedName>
    <definedName name="__t5" localSheetId="3" hidden="1">{"'Sheet1'!$L$16"}</definedName>
    <definedName name="__t5" localSheetId="4" hidden="1">{"'Sheet1'!$L$16"}</definedName>
    <definedName name="__t5" localSheetId="5" hidden="1">{"'Sheet1'!$L$16"}</definedName>
    <definedName name="__t5" localSheetId="7" hidden="1">{"'Sheet1'!$L$16"}</definedName>
    <definedName name="__t5" hidden="1">{"'Sheet1'!$L$16"}</definedName>
    <definedName name="__t9" hidden="1">{#N/A,#N/A,FALSE,"Chi tiÆt"}</definedName>
    <definedName name="__TB1">#REF!</definedName>
    <definedName name="__td1">{"'Sheet1'!$L$16"}</definedName>
    <definedName name="__tg427">#REF!</definedName>
    <definedName name="__TL3">#REF!</definedName>
    <definedName name="__tlc20">#REF!</definedName>
    <definedName name="__TM2" localSheetId="1" hidden="1">{"'Sheet1'!$L$16"}</definedName>
    <definedName name="__TM2" localSheetId="3" hidden="1">{"'Sheet1'!$L$16"}</definedName>
    <definedName name="__TM2" localSheetId="4" hidden="1">{"'Sheet1'!$L$16"}</definedName>
    <definedName name="__TM2" localSheetId="5" hidden="1">{"'Sheet1'!$L$16"}</definedName>
    <definedName name="__TM2" localSheetId="7" hidden="1">{"'Sheet1'!$L$16"}</definedName>
    <definedName name="__TM2" hidden="1">{"'Sheet1'!$L$16"}</definedName>
    <definedName name="__TS2004">{"'Sheet1'!$L$16"}</definedName>
    <definedName name="__tt3" localSheetId="1" hidden="1">{"'Sheet1'!$L$16"}</definedName>
    <definedName name="__tt3" localSheetId="3" hidden="1">{"'Sheet1'!$L$16"}</definedName>
    <definedName name="__tt3" localSheetId="4" hidden="1">{"'Sheet1'!$L$16"}</definedName>
    <definedName name="__tt3" localSheetId="5" hidden="1">{"'Sheet1'!$L$16"}</definedName>
    <definedName name="__tt3" localSheetId="7" hidden="1">{"'Sheet1'!$L$16"}</definedName>
    <definedName name="__tt3" hidden="1">{"'Sheet1'!$L$16"}</definedName>
    <definedName name="__ttt1" hidden="1">{"'Sheet1'!$L$16"}</definedName>
    <definedName name="__tu4" localSheetId="1" hidden="1">{"'Sheet1'!$L$16"}</definedName>
    <definedName name="__tu4" localSheetId="3" hidden="1">{"'Sheet1'!$L$16"}</definedName>
    <definedName name="__tu4" localSheetId="4" hidden="1">{"'Sheet1'!$L$16"}</definedName>
    <definedName name="__tu4" localSheetId="5" hidden="1">{"'Sheet1'!$L$16"}</definedName>
    <definedName name="__tu4" localSheetId="7" hidden="1">{"'Sheet1'!$L$16"}</definedName>
    <definedName name="__tu4" hidden="1">{"'Sheet1'!$L$16"}</definedName>
    <definedName name="__tz593">#REF!</definedName>
    <definedName name="__th30">1.7875</definedName>
    <definedName name="__th40">1.925</definedName>
    <definedName name="__tha1">{"'Sheet1'!$L$16"}</definedName>
    <definedName name="__thu1">#REF!</definedName>
    <definedName name="__usd1">#REF!</definedName>
    <definedName name="__UT2">#REF!</definedName>
    <definedName name="__VL100">#REF!</definedName>
    <definedName name="__VL200">#REF!</definedName>
    <definedName name="__VL250">#REF!</definedName>
    <definedName name="__VLP2">{"'Sheet1'!$L$16"}</definedName>
    <definedName name="__vnt100">#REF!</definedName>
    <definedName name="__vnt50">#REF!</definedName>
    <definedName name="__vnt80">#REF!</definedName>
    <definedName name="__vpt5" localSheetId="1" hidden="1">{"'Sheet1'!$L$16"}</definedName>
    <definedName name="__vpt5" localSheetId="3" hidden="1">{"'Sheet1'!$L$16"}</definedName>
    <definedName name="__vpt5" localSheetId="4" hidden="1">{"'Sheet1'!$L$16"}</definedName>
    <definedName name="__vpt5" localSheetId="5" hidden="1">{"'Sheet1'!$L$16"}</definedName>
    <definedName name="__vpt5" localSheetId="7" hidden="1">{"'Sheet1'!$L$16"}</definedName>
    <definedName name="__vpt5" hidden="1">{"'Sheet1'!$L$16"}</definedName>
    <definedName name="__vpt6" localSheetId="1" hidden="1">{"'Sheet1'!$L$16"}</definedName>
    <definedName name="__vpt6" localSheetId="3" hidden="1">{"'Sheet1'!$L$16"}</definedName>
    <definedName name="__vpt6" localSheetId="4" hidden="1">{"'Sheet1'!$L$16"}</definedName>
    <definedName name="__vpt6" localSheetId="5" hidden="1">{"'Sheet1'!$L$16"}</definedName>
    <definedName name="__vpt6" localSheetId="7" hidden="1">{"'Sheet1'!$L$16"}</definedName>
    <definedName name="__vpt6" hidden="1">{"'Sheet1'!$L$16"}</definedName>
    <definedName name="__VT675" localSheetId="1" hidden="1">{"Offgrid",#N/A,FALSE,"OFFGRID";"Region",#N/A,FALSE,"REGION";"Offgrid -2",#N/A,FALSE,"OFFGRID";"WTP",#N/A,FALSE,"WTP";"WTP -2",#N/A,FALSE,"WTP";"Project",#N/A,FALSE,"PROJECT";"Summary -2",#N/A,FALSE,"SUMMARY"}</definedName>
    <definedName name="__VT675" localSheetId="3" hidden="1">{"Offgrid",#N/A,FALSE,"OFFGRID";"Region",#N/A,FALSE,"REGION";"Offgrid -2",#N/A,FALSE,"OFFGRID";"WTP",#N/A,FALSE,"WTP";"WTP -2",#N/A,FALSE,"WTP";"Project",#N/A,FALSE,"PROJECT";"Summary -2",#N/A,FALSE,"SUMMARY"}</definedName>
    <definedName name="__VT675" localSheetId="4" hidden="1">{"Offgrid",#N/A,FALSE,"OFFGRID";"Region",#N/A,FALSE,"REGION";"Offgrid -2",#N/A,FALSE,"OFFGRID";"WTP",#N/A,FALSE,"WTP";"WTP -2",#N/A,FALSE,"WTP";"Project",#N/A,FALSE,"PROJECT";"Summary -2",#N/A,FALSE,"SUMMARY"}</definedName>
    <definedName name="__VT675" localSheetId="5" hidden="1">{"Offgrid",#N/A,FALSE,"OFFGRID";"Region",#N/A,FALSE,"REGION";"Offgrid -2",#N/A,FALSE,"OFFGRID";"WTP",#N/A,FALSE,"WTP";"WTP -2",#N/A,FALSE,"WTP";"Project",#N/A,FALSE,"PROJECT";"Summary -2",#N/A,FALSE,"SUMMARY"}</definedName>
    <definedName name="__VT675" localSheetId="7" hidden="1">{"Offgrid",#N/A,FALSE,"OFFGRID";"Region",#N/A,FALSE,"REGION";"Offgrid -2",#N/A,FALSE,"OFFGRID";"WTP",#N/A,FALSE,"WTP";"WTP -2",#N/A,FALSE,"WTP";"Project",#N/A,FALSE,"PROJECT";"Summary -2",#N/A,FALSE,"SUMMARY"}</definedName>
    <definedName name="__VT675" hidden="1">{"Offgrid",#N/A,FALSE,"OFFGRID";"Region",#N/A,FALSE,"REGION";"Offgrid -2",#N/A,FALSE,"OFFGRID";"WTP",#N/A,FALSE,"WTP";"WTP -2",#N/A,FALSE,"WTP";"Project",#N/A,FALSE,"PROJECT";"Summary -2",#N/A,FALSE,"SUMMARY"}</definedName>
    <definedName name="__VT676" localSheetId="1" hidden="1">{"Offgrid",#N/A,FALSE,"OFFGRID";"Region",#N/A,FALSE,"REGION";"Offgrid -2",#N/A,FALSE,"OFFGRID";"WTP",#N/A,FALSE,"WTP";"WTP -2",#N/A,FALSE,"WTP";"Project",#N/A,FALSE,"PROJECT";"Summary -2",#N/A,FALSE,"SUMMARY"}</definedName>
    <definedName name="__VT676" localSheetId="3" hidden="1">{"Offgrid",#N/A,FALSE,"OFFGRID";"Region",#N/A,FALSE,"REGION";"Offgrid -2",#N/A,FALSE,"OFFGRID";"WTP",#N/A,FALSE,"WTP";"WTP -2",#N/A,FALSE,"WTP";"Project",#N/A,FALSE,"PROJECT";"Summary -2",#N/A,FALSE,"SUMMARY"}</definedName>
    <definedName name="__VT676" localSheetId="4" hidden="1">{"Offgrid",#N/A,FALSE,"OFFGRID";"Region",#N/A,FALSE,"REGION";"Offgrid -2",#N/A,FALSE,"OFFGRID";"WTP",#N/A,FALSE,"WTP";"WTP -2",#N/A,FALSE,"WTP";"Project",#N/A,FALSE,"PROJECT";"Summary -2",#N/A,FALSE,"SUMMARY"}</definedName>
    <definedName name="__VT676" localSheetId="5" hidden="1">{"Offgrid",#N/A,FALSE,"OFFGRID";"Region",#N/A,FALSE,"REGION";"Offgrid -2",#N/A,FALSE,"OFFGRID";"WTP",#N/A,FALSE,"WTP";"WTP -2",#N/A,FALSE,"WTP";"Project",#N/A,FALSE,"PROJECT";"Summary -2",#N/A,FALSE,"SUMMARY"}</definedName>
    <definedName name="__VT676" localSheetId="7" hidden="1">{"Offgrid",#N/A,FALSE,"OFFGRID";"Region",#N/A,FALSE,"REGION";"Offgrid -2",#N/A,FALSE,"OFFGRID";"WTP",#N/A,FALSE,"WTP";"WTP -2",#N/A,FALSE,"WTP";"Project",#N/A,FALSE,"PROJECT";"Summary -2",#N/A,FALSE,"SUMMARY"}</definedName>
    <definedName name="__VT676" hidden="1">{"Offgrid",#N/A,FALSE,"OFFGRID";"Region",#N/A,FALSE,"REGION";"Offgrid -2",#N/A,FALSE,"OFFGRID";"WTP",#N/A,FALSE,"WTP";"WTP -2",#N/A,FALSE,"WTP";"Project",#N/A,FALSE,"PROJECT";"Summary -2",#N/A,FALSE,"SUMMARY"}</definedName>
    <definedName name="__VT677" localSheetId="1" hidden="1">{"Offgrid",#N/A,FALSE,"OFFGRID";"Region",#N/A,FALSE,"REGION";"Offgrid -2",#N/A,FALSE,"OFFGRID";"WTP",#N/A,FALSE,"WTP";"WTP -2",#N/A,FALSE,"WTP";"Project",#N/A,FALSE,"PROJECT";"Summary -2",#N/A,FALSE,"SUMMARY"}</definedName>
    <definedName name="__VT677" localSheetId="3" hidden="1">{"Offgrid",#N/A,FALSE,"OFFGRID";"Region",#N/A,FALSE,"REGION";"Offgrid -2",#N/A,FALSE,"OFFGRID";"WTP",#N/A,FALSE,"WTP";"WTP -2",#N/A,FALSE,"WTP";"Project",#N/A,FALSE,"PROJECT";"Summary -2",#N/A,FALSE,"SUMMARY"}</definedName>
    <definedName name="__VT677" localSheetId="4" hidden="1">{"Offgrid",#N/A,FALSE,"OFFGRID";"Region",#N/A,FALSE,"REGION";"Offgrid -2",#N/A,FALSE,"OFFGRID";"WTP",#N/A,FALSE,"WTP";"WTP -2",#N/A,FALSE,"WTP";"Project",#N/A,FALSE,"PROJECT";"Summary -2",#N/A,FALSE,"SUMMARY"}</definedName>
    <definedName name="__VT677" localSheetId="5" hidden="1">{"Offgrid",#N/A,FALSE,"OFFGRID";"Region",#N/A,FALSE,"REGION";"Offgrid -2",#N/A,FALSE,"OFFGRID";"WTP",#N/A,FALSE,"WTP";"WTP -2",#N/A,FALSE,"WTP";"Project",#N/A,FALSE,"PROJECT";"Summary -2",#N/A,FALSE,"SUMMARY"}</definedName>
    <definedName name="__VT677" localSheetId="7" hidden="1">{"Offgrid",#N/A,FALSE,"OFFGRID";"Region",#N/A,FALSE,"REGION";"Offgrid -2",#N/A,FALSE,"OFFGRID";"WTP",#N/A,FALSE,"WTP";"WTP -2",#N/A,FALSE,"WTP";"Project",#N/A,FALSE,"PROJECT";"Summary -2",#N/A,FALSE,"SUMMARY"}</definedName>
    <definedName name="__VT677" hidden="1">{"Offgrid",#N/A,FALSE,"OFFGRID";"Region",#N/A,FALSE,"REGION";"Offgrid -2",#N/A,FALSE,"OFFGRID";"WTP",#N/A,FALSE,"WTP";"WTP -2",#N/A,FALSE,"WTP";"Project",#N/A,FALSE,"PROJECT";"Summary -2",#N/A,FALSE,"SUMMARY"}</definedName>
    <definedName name="__VT678" localSheetId="1" hidden="1">{"Offgrid",#N/A,FALSE,"OFFGRID";"Region",#N/A,FALSE,"REGION";"Offgrid -2",#N/A,FALSE,"OFFGRID";"WTP",#N/A,FALSE,"WTP";"WTP -2",#N/A,FALSE,"WTP";"Project",#N/A,FALSE,"PROJECT";"Summary -2",#N/A,FALSE,"SUMMARY"}</definedName>
    <definedName name="__VT678" localSheetId="3" hidden="1">{"Offgrid",#N/A,FALSE,"OFFGRID";"Region",#N/A,FALSE,"REGION";"Offgrid -2",#N/A,FALSE,"OFFGRID";"WTP",#N/A,FALSE,"WTP";"WTP -2",#N/A,FALSE,"WTP";"Project",#N/A,FALSE,"PROJECT";"Summary -2",#N/A,FALSE,"SUMMARY"}</definedName>
    <definedName name="__VT678" localSheetId="4" hidden="1">{"Offgrid",#N/A,FALSE,"OFFGRID";"Region",#N/A,FALSE,"REGION";"Offgrid -2",#N/A,FALSE,"OFFGRID";"WTP",#N/A,FALSE,"WTP";"WTP -2",#N/A,FALSE,"WTP";"Project",#N/A,FALSE,"PROJECT";"Summary -2",#N/A,FALSE,"SUMMARY"}</definedName>
    <definedName name="__VT678" localSheetId="5" hidden="1">{"Offgrid",#N/A,FALSE,"OFFGRID";"Region",#N/A,FALSE,"REGION";"Offgrid -2",#N/A,FALSE,"OFFGRID";"WTP",#N/A,FALSE,"WTP";"WTP -2",#N/A,FALSE,"WTP";"Project",#N/A,FALSE,"PROJECT";"Summary -2",#N/A,FALSE,"SUMMARY"}</definedName>
    <definedName name="__VT678" localSheetId="7" hidden="1">{"Offgrid",#N/A,FALSE,"OFFGRID";"Region",#N/A,FALSE,"REGION";"Offgrid -2",#N/A,FALSE,"OFFGRID";"WTP",#N/A,FALSE,"WTP";"WTP -2",#N/A,FALSE,"WTP";"Project",#N/A,FALSE,"PROJECT";"Summary -2",#N/A,FALSE,"SUMMARY"}</definedName>
    <definedName name="__VT678" hidden="1">{"Offgrid",#N/A,FALSE,"OFFGRID";"Region",#N/A,FALSE,"REGION";"Offgrid -2",#N/A,FALSE,"OFFGRID";"WTP",#N/A,FALSE,"WTP";"WTP -2",#N/A,FALSE,"WTP";"Project",#N/A,FALSE,"PROJECT";"Summary -2",#N/A,FALSE,"SUMMARY"}</definedName>
    <definedName name="__VT67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VT67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VT67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VT67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VT67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VT679" hidden="1">{"Offgrid",#N/A,FALSE,"OFFGRID";"Region",#N/A,FALSE,"REGION";"Offgrid -2",#N/A,FALSE,"OFFGRID";"WTP",#N/A,FALSE,"WTP";"WTP -2",#N/A,FALSE,"WTP";"Project",#N/A,FALSE,"PROJECT";"Summary -2",#N/A,FALSE,"SUMMARY"}</definedName>
    <definedName name="__VTQ1">{"'Sheet1'!$L$16"}</definedName>
    <definedName name="__xlfn.BAHTTEXT" hidden="1">#NAME?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#N/A</definedName>
    <definedName name="_1_??" localSheetId="1">BlankMacro1</definedName>
    <definedName name="_1_??" localSheetId="4">BlankMacro1</definedName>
    <definedName name="_1_??" localSheetId="13">BlankMacro1</definedName>
    <definedName name="_1_??" localSheetId="15">BlankMacro1</definedName>
    <definedName name="_1_??" localSheetId="12">BlankMacro1</definedName>
    <definedName name="_1_??" localSheetId="14">BlankMacro1</definedName>
    <definedName name="_1_??" localSheetId="11">BlankMacro1</definedName>
    <definedName name="_1_??" localSheetId="10">BlankMacro1</definedName>
    <definedName name="_1_??">BlankMacro1</definedName>
    <definedName name="_1__123Graph_A????_1" localSheetId="1" hidden="1">#REF!</definedName>
    <definedName name="_1__123Graph_A????_1" hidden="1">#REF!</definedName>
    <definedName name="_1__123Graph_ACHART_1" hidden="1">#REF!</definedName>
    <definedName name="_1__123Graph_Aｸﾞﾗﾌ_1" localSheetId="1" hidden="1">#REF!</definedName>
    <definedName name="_1__123Graph_Aｸﾞﾗﾌ_1" hidden="1">#REF!</definedName>
    <definedName name="_1__123Graph_BCHART_2" hidden="1">#REF!</definedName>
    <definedName name="_1_0_F" hidden="1">#REF!</definedName>
    <definedName name="_10__123Graph_Aｸﾞﾗﾌ_1" hidden="1">#REF!</definedName>
    <definedName name="_10__123Graph_Aｸﾞﾗﾌ_2" localSheetId="1" hidden="1">#REF!</definedName>
    <definedName name="_10__123Graph_Aｸﾞﾗﾌ_2" hidden="1">#REF!</definedName>
    <definedName name="_10__123Graph_Aｸﾞﾗﾌ_5" hidden="1">#REF!</definedName>
    <definedName name="_10__123Graph_DCHART_1" hidden="1">#REF!</definedName>
    <definedName name="_10__123Graph_Xｸﾞﾗﾌ_5" hidden="1">#REF!</definedName>
    <definedName name="_100__123Graph_Xｸﾞﾗﾌ_3" hidden="1">#REF!</definedName>
    <definedName name="_1000A01">#N/A</definedName>
    <definedName name="_103__123Graph_X????_4" localSheetId="1" hidden="1">#REF!</definedName>
    <definedName name="_103__123Graph_X????_4" hidden="1">#REF!</definedName>
    <definedName name="_103__123Graph_Xｸﾞﾗﾌ_5" localSheetId="1" hidden="1">#REF!</definedName>
    <definedName name="_103__123Graph_Xｸﾞﾗﾌ_5" hidden="1">#REF!</definedName>
    <definedName name="_106__123Graph_Xｸﾞﾗﾌ_4" localSheetId="1" hidden="1">#REF!</definedName>
    <definedName name="_106__123Graph_Xｸﾞﾗﾌ_4" hidden="1">#REF!</definedName>
    <definedName name="_108__123Graph_X????_5" hidden="1">#REF!</definedName>
    <definedName name="_10A1_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11__123Graph_Aｸﾞﾗﾌ_2" hidden="1">#REF!</definedName>
    <definedName name="_11__123Graph_Aｸﾞﾗﾌ_3" hidden="1">#REF!</definedName>
    <definedName name="_11__123Graph_X????_1" hidden="1">#REF!</definedName>
    <definedName name="_11__123Graph_Xｸﾞﾗﾌ_1" hidden="1">#REF!</definedName>
    <definedName name="_112__123Graph_Xｸﾞﾗﾌ_5" hidden="1">#REF!</definedName>
    <definedName name="_116__123Graph_Xｸﾞﾗﾌ_1" hidden="1">#REF!</definedName>
    <definedName name="_11P3_" localSheetId="1" hidden="1">{#N/A,#N/A,FALSE,"特殊室（ＢＱ表）"}</definedName>
    <definedName name="_11P3_" localSheetId="3" hidden="1">{#N/A,#N/A,FALSE,"特殊室（ＢＱ表）"}</definedName>
    <definedName name="_11P3_" localSheetId="4" hidden="1">{#N/A,#N/A,FALSE,"特殊室（ＢＱ表）"}</definedName>
    <definedName name="_11P3_" localSheetId="5" hidden="1">{#N/A,#N/A,FALSE,"特殊室（ＢＱ表）"}</definedName>
    <definedName name="_11P3_" localSheetId="7" hidden="1">{#N/A,#N/A,FALSE,"特殊室（ＢＱ表）"}</definedName>
    <definedName name="_11P3_" hidden="1">{#N/A,#N/A,FALSE,"特殊室（ＢＱ表）"}</definedName>
    <definedName name="_12__123Graph_A????_2" localSheetId="1" hidden="1">#REF!</definedName>
    <definedName name="_12__123Graph_A????_2" hidden="1">#REF!</definedName>
    <definedName name="_12__123Graph_Aｸﾞﾗﾌ_3" hidden="1">#REF!</definedName>
    <definedName name="_12__123Graph_Aｸﾞﾗﾌ_4" localSheetId="1" hidden="1">#REF!</definedName>
    <definedName name="_12__123Graph_Aｸﾞﾗﾌ_4" hidden="1">#REF!</definedName>
    <definedName name="_12__123Graph_X????_2" localSheetId="1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3321" hidden="1">#REF!</definedName>
    <definedName name="_12345" hidden="1">#REF!</definedName>
    <definedName name="_123678" hidden="1">#REF!</definedName>
    <definedName name="_124__123Graph_Xｸﾞﾗﾌ_2" hidden="1">#REF!</definedName>
    <definedName name="_12A10_" hidden="1">{#N/A,#N/A,FALSE,"CCTV"}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3" hidden="1">#REF!</definedName>
    <definedName name="_132__123Graph_Xｸﾞﾗﾌ_3" hidden="1">#REF!</definedName>
    <definedName name="_14__123Graph_Aｸﾞﾗﾌ_5" hidden="1">#REF!</definedName>
    <definedName name="_14__123Graph_X????_1" localSheetId="1" hidden="1">#REF!</definedName>
    <definedName name="_14__123Graph_X????_1" hidden="1">#REF!</definedName>
    <definedName name="_14__123Graph_X????_4" localSheetId="1" hidden="1">#REF!</definedName>
    <definedName name="_14__123Graph_X????_4" hidden="1">#REF!</definedName>
    <definedName name="_14__123Graph_Xｸﾞﾗﾌ_1" localSheetId="1" hidden="1">#REF!</definedName>
    <definedName name="_14__123Graph_Xｸﾞﾗﾌ_1" hidden="1">#REF!</definedName>
    <definedName name="_14__123Graph_Xｸﾞﾗﾌ_2" hidden="1">#REF!</definedName>
    <definedName name="_14__123Graph_Xｸﾞﾗﾌ_4" hidden="1">#REF!</definedName>
    <definedName name="_140__123Graph_Xｸﾞﾗﾌ_4" hidden="1">#REF!</definedName>
    <definedName name="_148__123Graph_Xｸﾞﾗﾌ_5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2" hidden="1">#REF!</definedName>
    <definedName name="_15__123Graph_Xｸﾞﾗﾌ_5" hidden="1">#REF!</definedName>
    <definedName name="_16__123Graph_Aｸﾞﾗﾌ_1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3" hidden="1">#REF!</definedName>
    <definedName name="_16P3_" hidden="1">{#N/A,#N/A,FALSE,"特殊室（ＢＱ表）"}</definedName>
    <definedName name="_17__123Graph_A????_1" hidden="1">#REF!</definedName>
    <definedName name="_17__123Graph_A????_3" hidden="1">#REF!</definedName>
    <definedName name="_17__123Graph_Aｸﾞﾗﾌ_1" hidden="1">#REF!</definedName>
    <definedName name="_17__123Graph_Aｸﾞﾗﾌ_2" hidden="1">#REF!</definedName>
    <definedName name="_17__123Graph_X????_3" hidden="1">#REF!</definedName>
    <definedName name="_17__123Graph_X????_4" hidden="1">#REF!</definedName>
    <definedName name="_17__123Graph_Xｸﾞﾗﾌ_2" hidden="1">#REF!</definedName>
    <definedName name="_17__123Graph_Xｸﾞﾗﾌ_4" hidden="1">#REF!</definedName>
    <definedName name="_17a1_">{"'Sheet1'!$L$16"}</definedName>
    <definedName name="_17P3_" hidden="1">{#N/A,#N/A,FALSE,"特殊室（ＢＱ表）"}</definedName>
    <definedName name="_18__123Graph_Aｸﾞﾗﾌ_1" hidden="1">#REF!</definedName>
    <definedName name="_18__123Graph_Aｸﾞﾗﾌ_2" hidden="1">#REF!</definedName>
    <definedName name="_18__123Graph_Aｸﾞﾗﾌ_3" hidden="1">#REF!</definedName>
    <definedName name="_18__123Graph_X????_4" hidden="1">#REF!</definedName>
    <definedName name="_18__123Graph_X????_5" hidden="1">#REF!</definedName>
    <definedName name="_18__123Graph_Xｸﾞﾗﾌ_3" hidden="1">#REF!</definedName>
    <definedName name="_18__123Graph_Xｸﾞﾗﾌ_4" hidden="1">#REF!</definedName>
    <definedName name="_18__123Graph_Xｸﾞﾗﾌ_5" hidden="1">#REF!</definedName>
    <definedName name="_19__123Graph_Aｸﾞﾗﾌ_2" hidden="1">#REF!</definedName>
    <definedName name="_19__123Graph_Aｸﾞﾗﾌ_3" hidden="1">#REF!</definedName>
    <definedName name="_19__123Graph_Aｸﾞﾗﾌ_4" hidden="1">#REF!</definedName>
    <definedName name="_19__123Graph_X????_5" hidden="1">#REF!</definedName>
    <definedName name="_19__123Graph_Xｸﾞﾗﾌ_1" hidden="1">#REF!</definedName>
    <definedName name="_19__123Graph_Xｸﾞﾗﾌ_4" hidden="1">#REF!</definedName>
    <definedName name="_1BA2500">#REF!</definedName>
    <definedName name="_1BA3250">#REF!</definedName>
    <definedName name="_1BA400P">#REF!</definedName>
    <definedName name="_1CAP00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3_" localSheetId="1" hidden="1">{#N/A,#N/A,FALSE,"特殊室（ＢＱ表）"}</definedName>
    <definedName name="_1P3_" localSheetId="3" hidden="1">{#N/A,#N/A,FALSE,"特殊室（ＢＱ表）"}</definedName>
    <definedName name="_1P3_" localSheetId="4" hidden="1">{#N/A,#N/A,FALSE,"特殊室（ＢＱ表）"}</definedName>
    <definedName name="_1P3_" localSheetId="5" hidden="1">{#N/A,#N/A,FALSE,"特殊室（ＢＱ表）"}</definedName>
    <definedName name="_1P3_" localSheetId="7" hidden="1">{#N/A,#N/A,FALSE,"特殊室（ＢＱ表）"}</definedName>
    <definedName name="_1P3_" hidden="1">{#N/A,#N/A,FALSE,"特殊室（ＢＱ表）"}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#N/A</definedName>
    <definedName name="_2_??????1" localSheetId="1">BlankMacro1</definedName>
    <definedName name="_2_??????1" localSheetId="4">BlankMacro1</definedName>
    <definedName name="_2_??????1" localSheetId="13">BlankMacro1</definedName>
    <definedName name="_2_??????1" localSheetId="15">BlankMacro1</definedName>
    <definedName name="_2_??????1" localSheetId="12">BlankMacro1</definedName>
    <definedName name="_2_??????1" localSheetId="14">BlankMacro1</definedName>
    <definedName name="_2_??????1" localSheetId="11">BlankMacro1</definedName>
    <definedName name="_2_??????1" localSheetId="10">BlankMacro1</definedName>
    <definedName name="_2_??????1">BlankMacro1</definedName>
    <definedName name="_2__123Graph_A????_2" localSheetId="1" hidden="1">#REF!</definedName>
    <definedName name="_2__123Graph_A????_2" hidden="1">#REF!</definedName>
    <definedName name="_2__123Graph_ACHART_2" hidden="1">#REF!</definedName>
    <definedName name="_2__123Graph_Aｸﾞﾗﾌ_1" hidden="1">#REF!</definedName>
    <definedName name="_2__123Graph_Aｸﾞﾗﾌ_2" localSheetId="1" hidden="1">#REF!</definedName>
    <definedName name="_2__123Graph_Aｸﾞﾗﾌ_2" hidden="1">#REF!</definedName>
    <definedName name="_2__123Graph_CCHART_2" hidden="1">#REF!</definedName>
    <definedName name="_2_0_0_F" hidden="1">#REF!</definedName>
    <definedName name="_20__123Graph_Aｸﾞﾗﾌ_3" localSheetId="1" hidden="1">#REF!</definedName>
    <definedName name="_20__123Graph_Aｸﾞﾗﾌ_3" hidden="1">#REF!</definedName>
    <definedName name="_20__123Graph_Aｸﾞﾗﾌ_4" hidden="1">#REF!</definedName>
    <definedName name="_20__123Graph_Aｸﾞﾗﾌ_5" hidden="1">#REF!</definedName>
    <definedName name="_20__123Graph_Xｸﾞﾗﾌ_1" hidden="1">#REF!</definedName>
    <definedName name="_20__123Graph_Xｸﾞﾗﾌ_2" hidden="1">#REF!</definedName>
    <definedName name="_20__123Graph_Xｸﾞﾗﾌ_5" hidden="1">#REF!</definedName>
    <definedName name="_20h1_">{"'Sheet1'!$L$16"}</definedName>
    <definedName name="_21__123Graph_A????_2" localSheetId="1" hidden="1">#REF!</definedName>
    <definedName name="_21__123Graph_A????_2" hidden="1">#REF!</definedName>
    <definedName name="_21__123Graph_Aｸﾞﾗﾌ_4" localSheetId="1" hidden="1">#REF!</definedName>
    <definedName name="_21__123Graph_Aｸﾞﾗﾌ_4" hidden="1">#REF!</definedName>
    <definedName name="_21__123Graph_Aｸﾞﾗﾌ_5" localSheetId="1" hidden="1">#REF!</definedName>
    <definedName name="_21__123Graph_Aｸﾞﾗﾌ_5" hidden="1">#REF!</definedName>
    <definedName name="_21__123Graph_Xｸﾞﾗﾌ_1" hidden="1">#REF!</definedName>
    <definedName name="_21__123Graph_Xｸﾞﾗﾌ_2" hidden="1">#REF!</definedName>
    <definedName name="_21__123Graph_Xｸﾞﾗﾌ_3" hidden="1">#REF!</definedName>
    <definedName name="_22__123Graph_A????_4" hidden="1">#REF!</definedName>
    <definedName name="_22__123Graph_Aｸﾞﾗﾌ_5" hidden="1">#REF!</definedName>
    <definedName name="_22__123Graph_Xｸﾞﾗﾌ_1" hidden="1">#REF!</definedName>
    <definedName name="_22__123Graph_Xｸﾞﾗﾌ_2" hidden="1">#REF!</definedName>
    <definedName name="_22__123Graph_Xｸﾞﾗﾌ_3" hidden="1">#REF!</definedName>
    <definedName name="_22__123Graph_Xｸﾞﾗﾌ_4" hidden="1">#REF!</definedName>
    <definedName name="_23__123Graph_A????_1" hidden="1">#REF!</definedName>
    <definedName name="_23__123Graph_Xｸﾞﾗﾌ_1" hidden="1">#REF!</definedName>
    <definedName name="_23__123Graph_Xｸﾞﾗﾌ_2" hidden="1">#REF!</definedName>
    <definedName name="_23__123Graph_Xｸﾞﾗﾌ_3" hidden="1">#REF!</definedName>
    <definedName name="_23__123Graph_Xｸﾞﾗﾌ_4" hidden="1">#REF!</definedName>
    <definedName name="_23__123Graph_Xｸﾞﾗﾌ_5" hidden="1">#REF!</definedName>
    <definedName name="_24__123Graph_Xｸﾞﾗﾌ_2" hidden="1">#REF!</definedName>
    <definedName name="_24__123Graph_Xｸﾞﾗﾌ_3" hidden="1">#REF!</definedName>
    <definedName name="_24__123Graph_Xｸﾞﾗﾌ_4" hidden="1">#REF!</definedName>
    <definedName name="_24__123Graph_Xｸﾞﾗﾌ_5" hidden="1">#REF!</definedName>
    <definedName name="_25__123Graph_A????_3" hidden="1">#REF!</definedName>
    <definedName name="_25__123Graph_Aｸﾞﾗﾌ_1" hidden="1">#REF!</definedName>
    <definedName name="_25__123Graph_Xｸﾞﾗﾌ_3" hidden="1">#REF!</definedName>
    <definedName name="_25__123Graph_Xｸﾞﾗﾌ_4" hidden="1">#REF!</definedName>
    <definedName name="_25__123Graph_Xｸﾞﾗﾌ_5" hidden="1">#REF!</definedName>
    <definedName name="_26__123Graph_Aｸﾞﾗﾌ_2" hidden="1">#REF!</definedName>
    <definedName name="_26__123Graph_Xｸﾞﾗﾌ_4" hidden="1">#REF!</definedName>
    <definedName name="_26__123Graph_Xｸﾞﾗﾌ_5" hidden="1">#REF!</definedName>
    <definedName name="_27__123Graph_A????_5" hidden="1">#REF!</definedName>
    <definedName name="_27__123Graph_Aｸﾞﾗﾌ_3" hidden="1">#REF!</definedName>
    <definedName name="_27__123Graph_Xｸﾞﾗﾌ_5" hidden="1">#REF!</definedName>
    <definedName name="_28__123Graph_A????_2" hidden="1">#REF!</definedName>
    <definedName name="_28__123Graph_Aｸﾞﾗﾌ_4" hidden="1">#REF!</definedName>
    <definedName name="_29__123Graph_A????_4" hidden="1">#REF!</definedName>
    <definedName name="_29__123Graph_Aｸﾞﾗﾌ_5" hidden="1">#REF!</definedName>
    <definedName name="_2BLA100">#REF!</definedName>
    <definedName name="_2DAL201">#REF!</definedName>
    <definedName name="_3_??????2" localSheetId="1">BlankMacro1</definedName>
    <definedName name="_3_??????2" localSheetId="4">BlankMacro1</definedName>
    <definedName name="_3_??????2" localSheetId="13">BlankMacro1</definedName>
    <definedName name="_3_??????2" localSheetId="15">BlankMacro1</definedName>
    <definedName name="_3_??????2" localSheetId="12">BlankMacro1</definedName>
    <definedName name="_3_??????2" localSheetId="14">BlankMacro1</definedName>
    <definedName name="_3_??????2" localSheetId="11">BlankMacro1</definedName>
    <definedName name="_3_??????2" localSheetId="10">BlankMacro1</definedName>
    <definedName name="_3_??????2">BlankMacro1</definedName>
    <definedName name="_3__123Graph_A????_3" localSheetId="1" hidden="1">#REF!</definedName>
    <definedName name="_3__123Graph_A????_3" hidden="1">#REF!</definedName>
    <definedName name="_3__123Graph_ACHART_1A" hidden="1">#N/A</definedName>
    <definedName name="_3__123Graph_Aｸﾞﾗﾌ_1" hidden="1">#REF!</definedName>
    <definedName name="_3__123Graph_Aｸﾞﾗﾌ_3" localSheetId="1" hidden="1">#REF!</definedName>
    <definedName name="_3__123Graph_Aｸﾞﾗﾌ_3" hidden="1">#REF!</definedName>
    <definedName name="_3__123Graph_DCHART_2" hidden="1">#REF!</definedName>
    <definedName name="_3_2_0_Parse" hidden="1">#REF!</definedName>
    <definedName name="_30__123Graph_Xｸﾞﾗﾌ_1" localSheetId="1" hidden="1">#REF!</definedName>
    <definedName name="_30__123Graph_Xｸﾞﾗﾌ_1" hidden="1">#REF!</definedName>
    <definedName name="_31__123Graph_Xｸﾞﾗﾌ_2" hidden="1">#REF!</definedName>
    <definedName name="_32__123Graph_Xｸﾞﾗﾌ_3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Xｸﾞﾗﾌ_4" hidden="1">#REF!</definedName>
    <definedName name="_34__123Graph_Xｸﾞﾗﾌ_5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3BLXMD">#REF!</definedName>
    <definedName name="_3TU0609">#REF!</definedName>
    <definedName name="_4_??????3" localSheetId="1">BlankMacro1</definedName>
    <definedName name="_4_??????3" localSheetId="4">BlankMacro1</definedName>
    <definedName name="_4_??????3" localSheetId="13">BlankMacro1</definedName>
    <definedName name="_4_??????3" localSheetId="15">BlankMacro1</definedName>
    <definedName name="_4_??????3" localSheetId="12">BlankMacro1</definedName>
    <definedName name="_4_??????3" localSheetId="14">BlankMacro1</definedName>
    <definedName name="_4_??????3" localSheetId="11">BlankMacro1</definedName>
    <definedName name="_4_??????3" localSheetId="10">BlankMacro1</definedName>
    <definedName name="_4_??????3">BlankMacro1</definedName>
    <definedName name="_4__123Graph_A????_1" localSheetId="1" hidden="1">#REF!</definedName>
    <definedName name="_4__123Graph_A????_1" hidden="1">#REF!</definedName>
    <definedName name="_4__123Graph_A????_4" localSheetId="1" hidden="1">#REF!</definedName>
    <definedName name="_4__123Graph_A????_4" hidden="1">#REF!</definedName>
    <definedName name="_4__123Graph_Aｸﾞﾗﾌ_2" hidden="1">#REF!</definedName>
    <definedName name="_4__123Graph_Aｸﾞﾗﾌ_4" localSheetId="1" hidden="1">#REF!</definedName>
    <definedName name="_4__123Graph_Aｸﾞﾗﾌ_4" hidden="1">#REF!</definedName>
    <definedName name="_4__123Graph_XCHART_1A" hidden="1">#N/A</definedName>
    <definedName name="_40x4">5100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OSLCTT">#REF!</definedName>
    <definedName name="_5_??????4" localSheetId="1">BlankMacro1</definedName>
    <definedName name="_5_??????4" localSheetId="4">BlankMacro1</definedName>
    <definedName name="_5_??????4" localSheetId="13">BlankMacro1</definedName>
    <definedName name="_5_??????4" localSheetId="15">BlankMacro1</definedName>
    <definedName name="_5_??????4" localSheetId="12">BlankMacro1</definedName>
    <definedName name="_5_??????4" localSheetId="14">BlankMacro1</definedName>
    <definedName name="_5_??????4" localSheetId="11">BlankMacro1</definedName>
    <definedName name="_5_??????4" localSheetId="10">BlankMacro1</definedName>
    <definedName name="_5_??????4">BlankMacro1</definedName>
    <definedName name="_5__123Graph_A????_1" hidden="1">#REF!</definedName>
    <definedName name="_5__123Graph_A????_2" localSheetId="1" hidden="1">#REF!</definedName>
    <definedName name="_5__123Graph_A????_2" hidden="1">#REF!</definedName>
    <definedName name="_5__123Graph_A????_5" localSheetId="1" hidden="1">#REF!</definedName>
    <definedName name="_5__123Graph_A????_5" hidden="1">#REF!</definedName>
    <definedName name="_5__123Graph_Aｸﾞﾗﾌ_3" hidden="1">#REF!</definedName>
    <definedName name="_5__123Graph_Aｸﾞﾗﾌ_5" localSheetId="1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??????5" localSheetId="1">BlankMacro1</definedName>
    <definedName name="_6_??????5" localSheetId="4">BlankMacro1</definedName>
    <definedName name="_6_??????5" localSheetId="13">BlankMacro1</definedName>
    <definedName name="_6_??????5" localSheetId="15">BlankMacro1</definedName>
    <definedName name="_6_??????5" localSheetId="12">BlankMacro1</definedName>
    <definedName name="_6_??????5" localSheetId="14">BlankMacro1</definedName>
    <definedName name="_6_??????5" localSheetId="11">BlankMacro1</definedName>
    <definedName name="_6_??????5" localSheetId="10">BlankMacro1</definedName>
    <definedName name="_6_??????5">BlankMacro1</definedName>
    <definedName name="_6__123Graph_A????_2" hidden="1">#REF!</definedName>
    <definedName name="_6__123Graph_A????_3" localSheetId="1" hidden="1">#REF!</definedName>
    <definedName name="_6__123Graph_A????_3" hidden="1">#REF!</definedName>
    <definedName name="_6__123Graph_Aｸﾞﾗﾌ_1" localSheetId="1" hidden="1">#REF!</definedName>
    <definedName name="_6__123Graph_Aｸﾞﾗﾌ_1" hidden="1">#REF!</definedName>
    <definedName name="_6__123Graph_Aｸﾞﾗﾌ_3" hidden="1">#REF!</definedName>
    <definedName name="_6__123Graph_Aｸﾞﾗﾌ_4" hidden="1">#REF!</definedName>
    <definedName name="_6__123Graph_Xｸﾞﾗﾌ_1" localSheetId="1" hidden="1">#REF!</definedName>
    <definedName name="_6__123Graph_Xｸﾞﾗﾌ_1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??????6" localSheetId="1">BlankMacro1</definedName>
    <definedName name="_7_??????6" localSheetId="4">BlankMacro1</definedName>
    <definedName name="_7_??????6" localSheetId="13">BlankMacro1</definedName>
    <definedName name="_7_??????6" localSheetId="15">BlankMacro1</definedName>
    <definedName name="_7_??????6" localSheetId="12">BlankMacro1</definedName>
    <definedName name="_7_??????6" localSheetId="14">BlankMacro1</definedName>
    <definedName name="_7_??????6" localSheetId="11">BlankMacro1</definedName>
    <definedName name="_7_??????6" localSheetId="10">BlankMacro1</definedName>
    <definedName name="_7_??????6">BlankMacro1</definedName>
    <definedName name="_7__123Graph_A????_1" localSheetId="1" hidden="1">#REF!</definedName>
    <definedName name="_7__123Graph_A????_1" hidden="1">#REF!</definedName>
    <definedName name="_7__123Graph_A????_3" hidden="1">#REF!</definedName>
    <definedName name="_7__123Graph_A????_4" localSheetId="1" hidden="1">#REF!</definedName>
    <definedName name="_7__123Graph_A????_4" hidden="1">#REF!</definedName>
    <definedName name="_7__123Graph_Aｸﾞﾗﾌ_2" localSheetId="1" hidden="1">#REF!</definedName>
    <definedName name="_7__123Graph_Aｸﾞﾗﾌ_2" hidden="1">#REF!</definedName>
    <definedName name="_7__123Graph_Aｸﾞﾗﾌ_5" hidden="1">#REF!</definedName>
    <definedName name="_7__123Graph_Xｸﾞﾗﾌ_2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4" hidden="1">#REF!</definedName>
    <definedName name="_8__123Graph_A????_5" hidden="1">#REF!</definedName>
    <definedName name="_8__123Graph_Aｸﾞﾗﾌ_3" hidden="1">#REF!</definedName>
    <definedName name="_8__123Graph_Aｸﾞﾗﾌ_4" hidden="1">#REF!</definedName>
    <definedName name="_8__123Graph_BCHART_2" hidden="1">#REF!</definedName>
    <definedName name="_8__123Graph_Xｸﾞﾗﾌ_3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????_5" hidden="1">#REF!</definedName>
    <definedName name="_9__123Graph_Aｸﾞﾗﾌ_1" hidden="1">#REF!</definedName>
    <definedName name="_9__123Graph_Aｸﾞﾗﾌ_4" hidden="1">#REF!</definedName>
    <definedName name="_9__123Graph_CCHART_1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8__123Graph_X????_3" hidden="1">#REF!</definedName>
    <definedName name="_98__123Graph_Xｸﾞﾗﾌ_4" hidden="1">#REF!</definedName>
    <definedName name="_a1" localSheetId="1" hidden="1">{"'Sheet1'!$L$16"}</definedName>
    <definedName name="_a1" localSheetId="3" hidden="1">{"'Sheet1'!$L$16"}</definedName>
    <definedName name="_a1" localSheetId="4" hidden="1">{"'Sheet1'!$L$16"}</definedName>
    <definedName name="_a1" localSheetId="5" hidden="1">{"'Sheet1'!$L$16"}</definedName>
    <definedName name="_a1" localSheetId="7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localSheetId="1" hidden="1">{"'Sheet1'!$L$16"}</definedName>
    <definedName name="_a1s" hidden="1">{"'Sheet1'!$L$16"}</definedName>
    <definedName name="_a2" localSheetId="1" hidden="1">{"'Sheet1'!$L$16"}</definedName>
    <definedName name="_a2" localSheetId="3" hidden="1">{"'Sheet1'!$L$16"}</definedName>
    <definedName name="_a2" localSheetId="4" hidden="1">{"'Sheet1'!$L$16"}</definedName>
    <definedName name="_a2" localSheetId="5" hidden="1">{"'Sheet1'!$L$16"}</definedName>
    <definedName name="_a2" localSheetId="7" hidden="1">{"'Sheet1'!$L$16"}</definedName>
    <definedName name="_a2" hidden="1">{"'Sheet1'!$L$16"}</definedName>
    <definedName name="_A4" localSheetId="1" hidden="1">{"'Sheet1'!$L$16"}</definedName>
    <definedName name="_A4" localSheetId="3" hidden="1">{"'Sheet1'!$L$16"}</definedName>
    <definedName name="_A4" localSheetId="4" hidden="1">{"'Sheet1'!$L$16"}</definedName>
    <definedName name="_A4" localSheetId="5" hidden="1">{"'Sheet1'!$L$16"}</definedName>
    <definedName name="_A4" localSheetId="7" hidden="1">{"'Sheet1'!$L$16"}</definedName>
    <definedName name="_A4" hidden="1">{"'Sheet1'!$L$16"}</definedName>
    <definedName name="_A65700">#N/A</definedName>
    <definedName name="_A65800">#N/A</definedName>
    <definedName name="_A66000">#N/A</definedName>
    <definedName name="_A67000">#N/A</definedName>
    <definedName name="_A68000">#N/A</definedName>
    <definedName name="_A70000">#N/A</definedName>
    <definedName name="_A75000">#N/A</definedName>
    <definedName name="_A85000">#N/A</definedName>
    <definedName name="_a9" localSheetId="1" hidden="1">{"'Sheet1'!$L$16"}</definedName>
    <definedName name="_a9" hidden="1">{"'Sheet1'!$L$16"}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B19">{"'Sheet1'!$L$16"}</definedName>
    <definedName name="_bcv100">#REF!</definedName>
    <definedName name="_bcv125">#REF!</definedName>
    <definedName name="_bcv150">#REF!</definedName>
    <definedName name="_BEP1">#REF!</definedName>
    <definedName name="_BG12" localSheetId="1" hidden="1">{"'Sheet1'!$L$16"}</definedName>
    <definedName name="_BG12" localSheetId="3" hidden="1">{"'Sheet1'!$L$16"}</definedName>
    <definedName name="_BG12" localSheetId="4" hidden="1">{"'Sheet1'!$L$16"}</definedName>
    <definedName name="_BG12" localSheetId="5" hidden="1">{"'Sheet1'!$L$16"}</definedName>
    <definedName name="_BG12" localSheetId="7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localSheetId="1" hidden="1">{"'Sheet1'!$L$16"}</definedName>
    <definedName name="_bht6" localSheetId="3" hidden="1">{"'Sheet1'!$L$16"}</definedName>
    <definedName name="_bht6" localSheetId="4" hidden="1">{"'Sheet1'!$L$16"}</definedName>
    <definedName name="_bht6" localSheetId="5" hidden="1">{"'Sheet1'!$L$16"}</definedName>
    <definedName name="_bht6" localSheetId="7" hidden="1">{"'Sheet1'!$L$16"}</definedName>
    <definedName name="_bht6" hidden="1">{"'Sheet1'!$L$16"}</definedName>
    <definedName name="_Bm2" hidden="1">{"'Sheet1'!$L$16"}</definedName>
    <definedName name="_boi1">#REF!</definedName>
    <definedName name="_boi2">#REF!</definedName>
    <definedName name="_BTF">#REF!</definedName>
    <definedName name="_BTG">#REF!</definedName>
    <definedName name="_BTK">#REF!</definedName>
    <definedName name="_BTM150">#REF!</definedName>
    <definedName name="_BTM200">#REF!</definedName>
    <definedName name="_BTM50">#REF!</definedName>
    <definedName name="_BTH">#REF!</definedName>
    <definedName name="_Builtin0" localSheetId="1" hidden="1">#REF!</definedName>
    <definedName name="_Builtin0" hidden="1">#REF!</definedName>
    <definedName name="_Builtin155" hidden="1">#N/A</definedName>
    <definedName name="_C_Lphi_4ab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s80">#REF!</definedName>
    <definedName name="_CD2" localSheetId="1" hidden="1">{"'Sheet1'!$L$16"}</definedName>
    <definedName name="_CD2" localSheetId="3" hidden="1">{"'Sheet1'!$L$16"}</definedName>
    <definedName name="_CD2" localSheetId="4" hidden="1">{"'Sheet1'!$L$16"}</definedName>
    <definedName name="_CD2" localSheetId="5" hidden="1">{"'Sheet1'!$L$16"}</definedName>
    <definedName name="_CD2" localSheetId="7" hidden="1">{"'Sheet1'!$L$16"}</definedName>
    <definedName name="_CD2" hidden="1">{"'Sheet1'!$L$16"}</definedName>
    <definedName name="_CN1" localSheetId="1" hidden="1">{"'Sheet1'!$L$16"}</definedName>
    <definedName name="_CN1" localSheetId="3" hidden="1">{"'Sheet1'!$L$16"}</definedName>
    <definedName name="_CN1" localSheetId="4" hidden="1">{"'Sheet1'!$L$16"}</definedName>
    <definedName name="_CN1" localSheetId="5" hidden="1">{"'Sheet1'!$L$16"}</definedName>
    <definedName name="_CN1" localSheetId="7" hidden="1">{"'Sheet1'!$L$16"}</definedName>
    <definedName name="_CN1" hidden="1">{"'Sheet1'!$L$16"}</definedName>
    <definedName name="_coc1000" localSheetId="1" hidden="1">{#N/A,#N/A,FALSE,"Chi tiÆt"}</definedName>
    <definedName name="_coc1000" localSheetId="3" hidden="1">{#N/A,#N/A,FALSE,"Chi tiÆt"}</definedName>
    <definedName name="_coc1000" localSheetId="4" hidden="1">{#N/A,#N/A,FALSE,"Chi tiÆt"}</definedName>
    <definedName name="_coc1000" localSheetId="5" hidden="1">{#N/A,#N/A,FALSE,"Chi tiÆt"}</definedName>
    <definedName name="_coc1000" localSheetId="7" hidden="1">{#N/A,#N/A,FALSE,"Chi tiÆt"}</definedName>
    <definedName name="_coc1000" hidden="1">{#N/A,#N/A,FALSE,"Chi tiÆt"}</definedName>
    <definedName name="_coc250">#REF!</definedName>
    <definedName name="_coc300">#REF!</definedName>
    <definedName name="_coc350">#REF!</definedName>
    <definedName name="_Coc39">{"'Sheet1'!$L$16"}</definedName>
    <definedName name="_CON1">#REF!</definedName>
    <definedName name="_CON2">#REF!</definedName>
    <definedName name="_CP31" hidden="1">{"'Sheet1'!$L$16"}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t2005" localSheetId="1" hidden="1">{"'Sheet1'!$L$16"}</definedName>
    <definedName name="_ct2005" localSheetId="3" hidden="1">{"'Sheet1'!$L$16"}</definedName>
    <definedName name="_ct2005" localSheetId="4" hidden="1">{"'Sheet1'!$L$16"}</definedName>
    <definedName name="_ct2005" localSheetId="5" hidden="1">{"'Sheet1'!$L$16"}</definedName>
    <definedName name="_ct2005" localSheetId="7" hidden="1">{"'Sheet1'!$L$16"}</definedName>
    <definedName name="_ct2005" hidden="1">{"'Sheet1'!$L$16"}</definedName>
    <definedName name="_Cty501">{"'Sheet1'!$L$16"}</definedName>
    <definedName name="_CVC1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1">{"'Sheet1'!$L$16"}</definedName>
    <definedName name="_d1500">{"'Sheet1'!$L$16"}</definedName>
    <definedName name="_D2">{"'Sheet1'!$L$16"}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dn400">#REF!</definedName>
    <definedName name="_ddn600">#REF!</definedName>
    <definedName name="_dia6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IV10">#REF!</definedName>
    <definedName name="_DIV11">#REF!</definedName>
    <definedName name="_DIV12">#REF!</definedName>
    <definedName name="_DIV15">#REF!</definedName>
    <definedName name="_DIV16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t1" localSheetId="1" hidden="1">{"'Sheet1'!$L$16"}</definedName>
    <definedName name="_dt1" localSheetId="3" hidden="1">{"'Sheet1'!$L$16"}</definedName>
    <definedName name="_dt1" localSheetId="4" hidden="1">{"'Sheet1'!$L$16"}</definedName>
    <definedName name="_dt1" localSheetId="5" hidden="1">{"'Sheet1'!$L$16"}</definedName>
    <definedName name="_dt1" localSheetId="7" hidden="1">{"'Sheet1'!$L$16"}</definedName>
    <definedName name="_dt1" hidden="1">{"'Sheet1'!$L$16"}</definedName>
    <definedName name="_E1200" localSheetId="1" hidden="1">{"'Sheet1'!$L$16"}</definedName>
    <definedName name="_E1200" localSheetId="3" hidden="1">{"'Sheet1'!$L$16"}</definedName>
    <definedName name="_E1200" localSheetId="4" hidden="1">{"'Sheet1'!$L$16"}</definedName>
    <definedName name="_E1200" localSheetId="5" hidden="1">{"'Sheet1'!$L$16"}</definedName>
    <definedName name="_E1200" localSheetId="7" hidden="1">{"'Sheet1'!$L$16"}</definedName>
    <definedName name="_E1200" hidden="1">{"'Sheet1'!$L$16"}</definedName>
    <definedName name="_f5" localSheetId="1" hidden="1">{"'Sheet1'!$L$16"}</definedName>
    <definedName name="_f5" localSheetId="3" hidden="1">{"'Sheet1'!$L$16"}</definedName>
    <definedName name="_f5" localSheetId="4" hidden="1">{"'Sheet1'!$L$16"}</definedName>
    <definedName name="_f5" localSheetId="5" hidden="1">{"'Sheet1'!$L$16"}</definedName>
    <definedName name="_f5" localSheetId="7" hidden="1">{"'Sheet1'!$L$16"}</definedName>
    <definedName name="_f5" hidden="1">{"'Sheet1'!$L$16"}</definedName>
    <definedName name="_Fill" localSheetId="1" hidden="1">#REF!</definedName>
    <definedName name="_Fill" hidden="1">#REF!</definedName>
    <definedName name="_Fill1" hidden="1">#REF!</definedName>
    <definedName name="_Fill2" hidden="1">#REF!</definedName>
    <definedName name="_xlnm._FilterDatabase" localSheetId="1" hidden="1">#REF!</definedName>
    <definedName name="_xlnm._FilterDatabase" localSheetId="3" hidden="1">'02.1-ĐNTT'!$A$12:$N$155</definedName>
    <definedName name="_xlnm._FilterDatabase" localSheetId="13" hidden="1">'thép dầm bể bơi'!$A$7:$P$112</definedName>
    <definedName name="_xlnm._FilterDatabase" localSheetId="9" hidden="1">'thép dầm bồn cây'!$A$7:$P$481</definedName>
    <definedName name="_xlnm._FilterDatabase" localSheetId="15" hidden="1">'thép sàn bể bơi'!$A$7:$M$77</definedName>
    <definedName name="_xlnm._FilterDatabase" localSheetId="12" hidden="1">'thép sàn bồn cây'!$A$7:$P$243</definedName>
    <definedName name="_xlnm._FilterDatabase" localSheetId="14" hidden="1">'thép vách bể bơi'!$A$7:$P$41</definedName>
    <definedName name="_xlnm._FilterDatabase" localSheetId="11" hidden="1">'thép vách bồn cây'!$A$7:$P$196</definedName>
    <definedName name="_xlnm._FilterDatabase" localSheetId="10" hidden="1">'thép vách giếng gió'!$A$7:$P$28</definedName>
    <definedName name="_xlnm._FilterDatabase" hidden="1">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D1" hidden="1">{#N/A,#N/A,FALSE,"Chi tiÆt"}</definedName>
    <definedName name="_GD2">{"'Sheet1'!$L$16"}</definedName>
    <definedName name="_Goi8" localSheetId="1" hidden="1">{"'Sheet1'!$L$16"}</definedName>
    <definedName name="_Goi8" localSheetId="3" hidden="1">{"'Sheet1'!$L$16"}</definedName>
    <definedName name="_Goi8" localSheetId="4" hidden="1">{"'Sheet1'!$L$16"}</definedName>
    <definedName name="_Goi8" localSheetId="5" hidden="1">{"'Sheet1'!$L$16"}</definedName>
    <definedName name="_Goi8" localSheetId="7" hidden="1">{"'Sheet1'!$L$16"}</definedName>
    <definedName name="_Goi8" hidden="1">{"'Sheet1'!$L$16"}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1" localSheetId="1" hidden="1">{"'Sheet1'!$L$16"}</definedName>
    <definedName name="_h1" localSheetId="3" hidden="1">{"'Sheet1'!$L$16"}</definedName>
    <definedName name="_h1" localSheetId="4" hidden="1">{"'Sheet1'!$L$16"}</definedName>
    <definedName name="_h1" localSheetId="5" hidden="1">{"'Sheet1'!$L$16"}</definedName>
    <definedName name="_h1" localSheetId="7" hidden="1">{"'Sheet1'!$L$16"}</definedName>
    <definedName name="_h1" hidden="1">{"'Sheet1'!$L$16"}</definedName>
    <definedName name="_hdw1">#REF!</definedName>
    <definedName name="_hh1219" localSheetId="1" hidden="1">{"'Sheet1'!$L$16"}</definedName>
    <definedName name="_hh1219" localSheetId="3" hidden="1">{"'Sheet1'!$L$16"}</definedName>
    <definedName name="_hh1219" localSheetId="4" hidden="1">{"'Sheet1'!$L$16"}</definedName>
    <definedName name="_hh1219" localSheetId="5" hidden="1">{"'Sheet1'!$L$16"}</definedName>
    <definedName name="_hh1219" localSheetId="7" hidden="1">{"'Sheet1'!$L$16"}</definedName>
    <definedName name="_hh1219" hidden="1">{"'Sheet1'!$L$16"}</definedName>
    <definedName name="_hom2">#REF!</definedName>
    <definedName name="_hsm2">1.1289</definedName>
    <definedName name="_HTD1">#REF!</definedName>
    <definedName name="_HTN1">#REF!</definedName>
    <definedName name="_hu1" localSheetId="1" hidden="1">{"'Sheet1'!$L$16"}</definedName>
    <definedName name="_hu1" localSheetId="3" hidden="1">{"'Sheet1'!$L$16"}</definedName>
    <definedName name="_hu1" localSheetId="4" hidden="1">{"'Sheet1'!$L$16"}</definedName>
    <definedName name="_hu1" localSheetId="5" hidden="1">{"'Sheet1'!$L$16"}</definedName>
    <definedName name="_hu1" localSheetId="7" hidden="1">{"'Sheet1'!$L$16"}</definedName>
    <definedName name="_hu1" hidden="1">{"'Sheet1'!$L$16"}</definedName>
    <definedName name="_hu2" localSheetId="1" hidden="1">{"'Sheet1'!$L$16"}</definedName>
    <definedName name="_hu2" localSheetId="3" hidden="1">{"'Sheet1'!$L$16"}</definedName>
    <definedName name="_hu2" localSheetId="4" hidden="1">{"'Sheet1'!$L$16"}</definedName>
    <definedName name="_hu2" localSheetId="5" hidden="1">{"'Sheet1'!$L$16"}</definedName>
    <definedName name="_hu2" localSheetId="7" hidden="1">{"'Sheet1'!$L$16"}</definedName>
    <definedName name="_hu2" hidden="1">{"'Sheet1'!$L$16"}</definedName>
    <definedName name="_hu5" localSheetId="1" hidden="1">{"'Sheet1'!$L$16"}</definedName>
    <definedName name="_hu5" localSheetId="3" hidden="1">{"'Sheet1'!$L$16"}</definedName>
    <definedName name="_hu5" localSheetId="4" hidden="1">{"'Sheet1'!$L$16"}</definedName>
    <definedName name="_hu5" localSheetId="5" hidden="1">{"'Sheet1'!$L$16"}</definedName>
    <definedName name="_hu5" localSheetId="7" hidden="1">{"'Sheet1'!$L$16"}</definedName>
    <definedName name="_hu5" hidden="1">{"'Sheet1'!$L$16"}</definedName>
    <definedName name="_hu57" hidden="1">{"'Sheet1'!$L$16"}</definedName>
    <definedName name="_hu6" localSheetId="1" hidden="1">{"'Sheet1'!$L$16"}</definedName>
    <definedName name="_hu6" localSheetId="3" hidden="1">{"'Sheet1'!$L$16"}</definedName>
    <definedName name="_hu6" localSheetId="4" hidden="1">{"'Sheet1'!$L$16"}</definedName>
    <definedName name="_hu6" localSheetId="5" hidden="1">{"'Sheet1'!$L$16"}</definedName>
    <definedName name="_hu6" localSheetId="7" hidden="1">{"'Sheet1'!$L$16"}</definedName>
    <definedName name="_hu6" hidden="1">{"'Sheet1'!$L$16"}</definedName>
    <definedName name="_hu7" localSheetId="1" hidden="1">{"'Sheet1'!$L$16"}</definedName>
    <definedName name="_hu7" localSheetId="3" hidden="1">{"'Sheet1'!$L$16"}</definedName>
    <definedName name="_hu7" localSheetId="4" hidden="1">{"'Sheet1'!$L$16"}</definedName>
    <definedName name="_hu7" localSheetId="5" hidden="1">{"'Sheet1'!$L$16"}</definedName>
    <definedName name="_hu7" localSheetId="7" hidden="1">{"'Sheet1'!$L$16"}</definedName>
    <definedName name="_hu7" hidden="1">{"'Sheet1'!$L$16"}</definedName>
    <definedName name="_huy1" localSheetId="1" hidden="1">{"'Sheet1'!$L$16"}</definedName>
    <definedName name="_huy1" localSheetId="3" hidden="1">{"'Sheet1'!$L$16"}</definedName>
    <definedName name="_huy1" localSheetId="4" hidden="1">{"'Sheet1'!$L$16"}</definedName>
    <definedName name="_huy1" localSheetId="5" hidden="1">{"'Sheet1'!$L$16"}</definedName>
    <definedName name="_huy1" localSheetId="7" hidden="1">{"'Sheet1'!$L$16"}</definedName>
    <definedName name="_huy1" hidden="1">{"'Sheet1'!$L$16"}</definedName>
    <definedName name="_huy2" localSheetId="1" hidden="1">{"'Sheet1'!$L$16"}</definedName>
    <definedName name="_huy2" localSheetId="3" hidden="1">{"'Sheet1'!$L$16"}</definedName>
    <definedName name="_huy2" localSheetId="4" hidden="1">{"'Sheet1'!$L$16"}</definedName>
    <definedName name="_huy2" localSheetId="5" hidden="1">{"'Sheet1'!$L$16"}</definedName>
    <definedName name="_huy2" localSheetId="7" hidden="1">{"'Sheet1'!$L$16"}</definedName>
    <definedName name="_huy2" hidden="1">{"'Sheet1'!$L$16"}</definedName>
    <definedName name="_huy5655" localSheetId="1" hidden="1">{"'Sheet1'!$L$16"}</definedName>
    <definedName name="_huy5655" localSheetId="3" hidden="1">{"'Sheet1'!$L$16"}</definedName>
    <definedName name="_huy5655" localSheetId="4" hidden="1">{"'Sheet1'!$L$16"}</definedName>
    <definedName name="_huy5655" localSheetId="5" hidden="1">{"'Sheet1'!$L$16"}</definedName>
    <definedName name="_huy5655" localSheetId="7" hidden="1">{"'Sheet1'!$L$16"}</definedName>
    <definedName name="_huy5655" hidden="1">{"'Sheet1'!$L$16"}</definedName>
    <definedName name="_jum4">#REF!</definedName>
    <definedName name="_jum5">#REF!</definedName>
    <definedName name="_K146">{"'Sheet1'!$L$16"}</definedName>
    <definedName name="_Key1" localSheetId="1" hidden="1">#REF!</definedName>
    <definedName name="_Key1" hidden="1">#REF!</definedName>
    <definedName name="_KEY12" hidden="1">#REF!</definedName>
    <definedName name="_Key2" hidden="1">#REF!</definedName>
    <definedName name="_keydd" hidden="1">#REF!</definedName>
    <definedName name="_kl1">#REF!</definedName>
    <definedName name="_kl11">{"'Sheet1'!$L$16"}</definedName>
    <definedName name="_kl4">{"'Sheet1'!$L$16"}</definedName>
    <definedName name="_kl6">{"'Sheet1'!$L$16"}</definedName>
    <definedName name="_Km92" hidden="1">{"'Sheet1'!$L$16"}</definedName>
    <definedName name="_KH12" hidden="1">{#N/A,#N/A,FALSE,"Chi tiÆt"}</definedName>
    <definedName name="_L2" hidden="1">{"'Sheet1'!$L$16"}</definedName>
    <definedName name="_Lan1" localSheetId="1" hidden="1">{"'Sheet1'!$L$16"}</definedName>
    <definedName name="_Lan1" localSheetId="3" hidden="1">{"'Sheet1'!$L$16"}</definedName>
    <definedName name="_Lan1" localSheetId="4" hidden="1">{"'Sheet1'!$L$16"}</definedName>
    <definedName name="_Lan1" localSheetId="5" hidden="1">{"'Sheet1'!$L$16"}</definedName>
    <definedName name="_Lan1" localSheetId="7" hidden="1">{"'Sheet1'!$L$16"}</definedName>
    <definedName name="_Lan1" hidden="1">{"'Sheet1'!$L$16"}</definedName>
    <definedName name="_Lan2">{"'Sheet1'!$L$16"}</definedName>
    <definedName name="_LAN3" localSheetId="1" hidden="1">{"'Sheet1'!$L$16"}</definedName>
    <definedName name="_LAN3" localSheetId="3" hidden="1">{"'Sheet1'!$L$16"}</definedName>
    <definedName name="_LAN3" localSheetId="4" hidden="1">{"'Sheet1'!$L$16"}</definedName>
    <definedName name="_LAN3" localSheetId="5" hidden="1">{"'Sheet1'!$L$16"}</definedName>
    <definedName name="_LAN3" localSheetId="7" hidden="1">{"'Sheet1'!$L$16"}</definedName>
    <definedName name="_LAN3" hidden="1">{"'Sheet1'!$L$16"}</definedName>
    <definedName name="_lap1">#REF!</definedName>
    <definedName name="_lap2">#REF!</definedName>
    <definedName name="_LCB1">#REF!</definedName>
    <definedName name="_ld2" localSheetId="1" hidden="1">{"'Sheet1'!$L$16"}</definedName>
    <definedName name="_ld2" localSheetId="3" hidden="1">{"'Sheet1'!$L$16"}</definedName>
    <definedName name="_ld2" localSheetId="4" hidden="1">{"'Sheet1'!$L$16"}</definedName>
    <definedName name="_ld2" localSheetId="5" hidden="1">{"'Sheet1'!$L$16"}</definedName>
    <definedName name="_ld2" localSheetId="7" hidden="1">{"'Sheet1'!$L$16"}</definedName>
    <definedName name="_ld2" hidden="1">{"'Sheet1'!$L$16"}</definedName>
    <definedName name="_lk2">{"'Sheet1'!$L$16"}</definedName>
    <definedName name="_lop111" hidden="1">{#N/A,#N/A,FALSE,"特殊室（ＢＱ表）"}</definedName>
    <definedName name="_m1233" hidden="1">{"'Sheet1'!$L$16"}</definedName>
    <definedName name="_M2">{"'Sheet1'!$L$16"}</definedName>
    <definedName name="_M36" localSheetId="1" hidden="1">{"'Sheet1'!$L$16"}</definedName>
    <definedName name="_M36" localSheetId="3" hidden="1">{"'Sheet1'!$L$16"}</definedName>
    <definedName name="_M36" localSheetId="4" hidden="1">{"'Sheet1'!$L$16"}</definedName>
    <definedName name="_M36" localSheetId="5" hidden="1">{"'Sheet1'!$L$16"}</definedName>
    <definedName name="_M36" localSheetId="7" hidden="1">{"'Sheet1'!$L$16"}</definedName>
    <definedName name="_M36" hidden="1">{"'Sheet1'!$L$16"}</definedName>
    <definedName name="_m4">{"'Sheet1'!$L$16"}</definedName>
    <definedName name="_MAC12">#REF!</definedName>
    <definedName name="_MAC46">#REF!</definedName>
    <definedName name="_mat1">#REF!</definedName>
    <definedName name="_MatInverse_In" hidden="1">#REF!</definedName>
    <definedName name="_MCC3" localSheetId="1" hidden="1">{#N/A,#N/A,FALSE,"CCTV"}</definedName>
    <definedName name="_MCC3" localSheetId="3" hidden="1">{#N/A,#N/A,FALSE,"CCTV"}</definedName>
    <definedName name="_MCC3" localSheetId="4" hidden="1">{#N/A,#N/A,FALSE,"CCTV"}</definedName>
    <definedName name="_MCC3" localSheetId="5" hidden="1">{#N/A,#N/A,FALSE,"CCTV"}</definedName>
    <definedName name="_MCC3" localSheetId="7" hidden="1">{#N/A,#N/A,FALSE,"CCTV"}</definedName>
    <definedName name="_MCC3" hidden="1">{#N/A,#N/A,FALSE,"CCTV"}</definedName>
    <definedName name="_NC251">#REF!</definedName>
    <definedName name="_NCL100">#REF!</definedName>
    <definedName name="_NCL200">#REF!</definedName>
    <definedName name="_NCL250">#REF!</definedName>
    <definedName name="_ncm200">#REF!</definedName>
    <definedName name="_NET2">#REF!</definedName>
    <definedName name="_nin190">#REF!</definedName>
    <definedName name="_NK5">{"'Sheet1'!$L$16"}</definedName>
    <definedName name="_NO1">#REF!</definedName>
    <definedName name="_NO2" hidden="1">#REF!</definedName>
    <definedName name="_nso1" hidden="1">{"'Sheet1'!$L$16"}</definedName>
    <definedName name="_NSO2" localSheetId="1" hidden="1">{"'Sheet1'!$L$16"}</definedName>
    <definedName name="_NSO2" localSheetId="3" hidden="1">{"'Sheet1'!$L$16"}</definedName>
    <definedName name="_NSO2" localSheetId="4" hidden="1">{"'Sheet1'!$L$16"}</definedName>
    <definedName name="_NSO2" localSheetId="5" hidden="1">{"'Sheet1'!$L$16"}</definedName>
    <definedName name="_NSO2" localSheetId="7" hidden="1">{"'Sheet1'!$L$16"}</definedName>
    <definedName name="_NSO2" hidden="1">{"'Sheet1'!$L$16"}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20">#REF!</definedName>
    <definedName name="_nyy4150">#REF!</definedName>
    <definedName name="_nyy416">#REF!</definedName>
    <definedName name="_nyy4185">#REF!</definedName>
    <definedName name="_nyy4240">#REF!</definedName>
    <definedName name="_nyy425">#REF!</definedName>
    <definedName name="_nyy4300">#REF!</definedName>
    <definedName name="_nyy435">#REF!</definedName>
    <definedName name="_nyy44">#REF!</definedName>
    <definedName name="_nyy450">#REF!</definedName>
    <definedName name="_nyy46">#REF!</definedName>
    <definedName name="_nyy470">#REF!</definedName>
    <definedName name="_nyy495">#REF!</definedName>
    <definedName name="_Order1" hidden="1">255</definedName>
    <definedName name="_Order2" hidden="1">255</definedName>
    <definedName name="_oto10">#N/A</definedName>
    <definedName name="_p06" localSheetId="1" hidden="1">{"'Sheet1'!$L$16"}</definedName>
    <definedName name="_p06" localSheetId="3" hidden="1">{"'Sheet1'!$L$16"}</definedName>
    <definedName name="_p06" localSheetId="4" hidden="1">{"'Sheet1'!$L$16"}</definedName>
    <definedName name="_p06" localSheetId="5" hidden="1">{"'Sheet1'!$L$16"}</definedName>
    <definedName name="_p06" localSheetId="7" hidden="1">{"'Sheet1'!$L$16"}</definedName>
    <definedName name="_p06" hidden="1">{"'Sheet1'!$L$16"}</definedName>
    <definedName name="_P3" localSheetId="1" hidden="1">{#N/A,#N/A,FALSE,"特殊室（ＢＱ表）"}</definedName>
    <definedName name="_P3" localSheetId="3" hidden="1">{#N/A,#N/A,FALSE,"特殊室（ＢＱ表）"}</definedName>
    <definedName name="_P3" localSheetId="4" hidden="1">{#N/A,#N/A,FALSE,"特殊室（ＢＱ表）"}</definedName>
    <definedName name="_P3" localSheetId="5" hidden="1">{#N/A,#N/A,FALSE,"特殊室（ＢＱ表）"}</definedName>
    <definedName name="_P3" localSheetId="7" hidden="1">{#N/A,#N/A,FALSE,"特殊室（ＢＱ表）"}</definedName>
    <definedName name="_P3" hidden="1">{#N/A,#N/A,FALSE,"特殊室（ＢＱ表）"}</definedName>
    <definedName name="_PA3" localSheetId="1" hidden="1">{"'Sheet1'!$L$16"}</definedName>
    <definedName name="_PA3" localSheetId="3" hidden="1">{"'Sheet1'!$L$16"}</definedName>
    <definedName name="_PA3" localSheetId="4" hidden="1">{"'Sheet1'!$L$16"}</definedName>
    <definedName name="_PA3" localSheetId="5" hidden="1">{"'Sheet1'!$L$16"}</definedName>
    <definedName name="_PA3" localSheetId="7" hidden="1">{"'Sheet1'!$L$16"}</definedName>
    <definedName name="_PA3" hidden="1">{"'Sheet1'!$L$16"}</definedName>
    <definedName name="_pa4">{"'Sheet1'!$L$16"}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In" localSheetId="1" hidden="1">#REF!</definedName>
    <definedName name="_Parse_In" hidden="1">#REF!</definedName>
    <definedName name="_Parse_Out" hidden="1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30">#N/A</definedName>
    <definedName name="_pc40">#N/A</definedName>
    <definedName name="_pc50">#REF!</definedName>
    <definedName name="_pc80">#REF!</definedName>
    <definedName name="_pcf80">#REF!</definedName>
    <definedName name="_PG2">#REF!</definedName>
    <definedName name="_PG3">#REF!</definedName>
    <definedName name="_PPP3" localSheetId="1" hidden="1">{#N/A,#N/A,FALSE,"特殊室（ＢＱ表）"}</definedName>
    <definedName name="_PPP3" localSheetId="3" hidden="1">{#N/A,#N/A,FALSE,"特殊室（ＢＱ表）"}</definedName>
    <definedName name="_PPP3" localSheetId="4" hidden="1">{#N/A,#N/A,FALSE,"特殊室（ＢＱ表）"}</definedName>
    <definedName name="_PPP3" localSheetId="5" hidden="1">{#N/A,#N/A,FALSE,"特殊室（ＢＱ表）"}</definedName>
    <definedName name="_PPP3" localSheetId="7" hidden="1">{#N/A,#N/A,FALSE,"特殊室（ＢＱ表）"}</definedName>
    <definedName name="_PPP3" hidden="1">{#N/A,#N/A,FALSE,"特殊室（ＢＱ表）"}</definedName>
    <definedName name="_PPP33" localSheetId="1" hidden="1">{#N/A,#N/A,FALSE,"特殊室（ＢＱ表）"}</definedName>
    <definedName name="_PPP33" localSheetId="3" hidden="1">{#N/A,#N/A,FALSE,"特殊室（ＢＱ表）"}</definedName>
    <definedName name="_PPP33" localSheetId="4" hidden="1">{#N/A,#N/A,FALSE,"特殊室（ＢＱ表）"}</definedName>
    <definedName name="_PPP33" localSheetId="5" hidden="1">{#N/A,#N/A,FALSE,"特殊室（ＢＱ表）"}</definedName>
    <definedName name="_PPP33" localSheetId="7" hidden="1">{#N/A,#N/A,FALSE,"特殊室（ＢＱ表）"}</definedName>
    <definedName name="_PPP33" hidden="1">{#N/A,#N/A,FALSE,"特殊室（ＢＱ表）"}</definedName>
    <definedName name="_ppp34" localSheetId="1" hidden="1">{#N/A,#N/A,FALSE,"特殊室（ＢＱ表）"}</definedName>
    <definedName name="_ppp34" localSheetId="3" hidden="1">{#N/A,#N/A,FALSE,"特殊室（ＢＱ表）"}</definedName>
    <definedName name="_ppp34" localSheetId="4" hidden="1">{#N/A,#N/A,FALSE,"特殊室（ＢＱ表）"}</definedName>
    <definedName name="_ppp34" localSheetId="5" hidden="1">{#N/A,#N/A,FALSE,"特殊室（ＢＱ表）"}</definedName>
    <definedName name="_ppp34" localSheetId="7" hidden="1">{#N/A,#N/A,FALSE,"特殊室（ＢＱ表）"}</definedName>
    <definedName name="_ppp34" hidden="1">{#N/A,#N/A,FALSE,"特殊室（ＢＱ表）"}</definedName>
    <definedName name="_ppp3444" localSheetId="1" hidden="1">{#N/A,#N/A,FALSE,"特殊室（ＢＱ表）"}</definedName>
    <definedName name="_ppp3444" localSheetId="3" hidden="1">{#N/A,#N/A,FALSE,"特殊室（ＢＱ表）"}</definedName>
    <definedName name="_ppp3444" localSheetId="4" hidden="1">{#N/A,#N/A,FALSE,"特殊室（ＢＱ表）"}</definedName>
    <definedName name="_ppp3444" localSheetId="5" hidden="1">{#N/A,#N/A,FALSE,"特殊室（ＢＱ表）"}</definedName>
    <definedName name="_ppp3444" localSheetId="7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pZ1">#REF!</definedName>
    <definedName name="_pZ2">#REF!</definedName>
    <definedName name="_pZ3">#REF!</definedName>
    <definedName name="_ph100">#REF!</definedName>
    <definedName name="_ph150">#REF!</definedName>
    <definedName name="_phf100">#REF!</definedName>
    <definedName name="_phf15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q123" localSheetId="1" hidden="1">#REF!</definedName>
    <definedName name="_q123" hidden="1">#REF!</definedName>
    <definedName name="_QLO7" localSheetId="1" hidden="1">#REF!</definedName>
    <definedName name="_QLO7" hidden="1">#REF!</definedName>
    <definedName name="_Regression_Int" hidden="1">1</definedName>
    <definedName name="_Regression_Out" hidden="1">#REF!</definedName>
    <definedName name="_Regression_X" localSheetId="1" hidden="1">#REF!</definedName>
    <definedName name="_Regression_X" hidden="1">#REF!</definedName>
    <definedName name="_Regression_Y" hidden="1">#REF!</definedName>
    <definedName name="_REV1" localSheetId="1" hidden="1">{#N/A,#N/A,TRUE,"Str.";#N/A,#N/A,TRUE,"Steel &amp; Roof";#N/A,#N/A,TRUE,"Arc.";#N/A,#N/A,TRUE,"Preliminary";#N/A,#N/A,TRUE,"Sum_Prelim"}</definedName>
    <definedName name="_REV1" hidden="1">{#N/A,#N/A,TRUE,"Str.";#N/A,#N/A,TRUE,"Steel &amp; Roof";#N/A,#N/A,TRUE,"Arc.";#N/A,#N/A,TRUE,"Preliminary";#N/A,#N/A,TRUE,"Sum_Prelim"}</definedName>
    <definedName name="_RFZ3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o1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c1">#REF!</definedName>
    <definedName name="_SC2">#REF!</definedName>
    <definedName name="_sc3">#REF!</definedName>
    <definedName name="_SCL4" localSheetId="1" hidden="1">{"'Sheet1'!$L$16"}</definedName>
    <definedName name="_SCL4" localSheetId="3" hidden="1">{"'Sheet1'!$L$16"}</definedName>
    <definedName name="_SCL4" localSheetId="4" hidden="1">{"'Sheet1'!$L$16"}</definedName>
    <definedName name="_SCL4" localSheetId="5" hidden="1">{"'Sheet1'!$L$16"}</definedName>
    <definedName name="_SCL4" localSheetId="7" hidden="1">{"'Sheet1'!$L$16"}</definedName>
    <definedName name="_SCL4" hidden="1">{"'Sheet1'!$L$16"}</definedName>
    <definedName name="_sfv150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localSheetId="1" hidden="1">#REF!</definedName>
    <definedName name="_Sort" hidden="1">#REF!</definedName>
    <definedName name="_Sortmoi" hidden="1">#REF!</definedName>
    <definedName name="_std100">#REF!</definedName>
    <definedName name="_std150">#REF!</definedName>
    <definedName name="_std50">#REF!</definedName>
    <definedName name="_std65">#REF!</definedName>
    <definedName name="_sua20">#REF!</definedName>
    <definedName name="_sua30">#REF!</definedName>
    <definedName name="_sum1" localSheetId="1" hidden="1">#REF!</definedName>
    <definedName name="_sum1" hidden="1">#REF!</definedName>
    <definedName name="_SXT3" hidden="1">{#N/A,#N/A,FALSE,"Chi tiÆt"}</definedName>
    <definedName name="_sxt5" localSheetId="1" hidden="1">{"'Sheet1'!$L$16"}</definedName>
    <definedName name="_sxt5" localSheetId="3" hidden="1">{"'Sheet1'!$L$16"}</definedName>
    <definedName name="_sxt5" localSheetId="4" hidden="1">{"'Sheet1'!$L$16"}</definedName>
    <definedName name="_sxt5" localSheetId="5" hidden="1">{"'Sheet1'!$L$16"}</definedName>
    <definedName name="_sxt5" localSheetId="7" hidden="1">{"'Sheet1'!$L$16"}</definedName>
    <definedName name="_sxt5" hidden="1">{"'Sheet1'!$L$16"}</definedName>
    <definedName name="_sxt6" hidden="1">{#N/A,#N/A,FALSE,"Chi tiÆt"}</definedName>
    <definedName name="_T1" localSheetId="1" hidden="1">{#N/A,#N/A,FALSE,"Chi tiÆt"}</definedName>
    <definedName name="_T1" localSheetId="3" hidden="1">{#N/A,#N/A,FALSE,"Chi tiÆt"}</definedName>
    <definedName name="_T1" localSheetId="4" hidden="1">{#N/A,#N/A,FALSE,"Chi tiÆt"}</definedName>
    <definedName name="_T1" localSheetId="5" hidden="1">{#N/A,#N/A,FALSE,"Chi tiÆt"}</definedName>
    <definedName name="_T1" localSheetId="7" hidden="1">{#N/A,#N/A,FALSE,"Chi tiÆt"}</definedName>
    <definedName name="_T1" hidden="1">{#N/A,#N/A,FALSE,"Chi tiÆt"}</definedName>
    <definedName name="_T10" localSheetId="1" hidden="1">{"'Sheet1'!$L$16"}</definedName>
    <definedName name="_T10" localSheetId="3" hidden="1">{"'Sheet1'!$L$16"}</definedName>
    <definedName name="_T10" localSheetId="4" hidden="1">{"'Sheet1'!$L$16"}</definedName>
    <definedName name="_T10" localSheetId="5" hidden="1">{"'Sheet1'!$L$16"}</definedName>
    <definedName name="_T10" localSheetId="7" hidden="1">{"'Sheet1'!$L$16"}</definedName>
    <definedName name="_T10" hidden="1">{"'Sheet1'!$L$16"}</definedName>
    <definedName name="_t112" localSheetId="1" hidden="1">{#N/A,#N/A,FALSE,"Chi tiÆt"}</definedName>
    <definedName name="_t112" localSheetId="3" hidden="1">{#N/A,#N/A,FALSE,"Chi tiÆt"}</definedName>
    <definedName name="_t112" localSheetId="4" hidden="1">{#N/A,#N/A,FALSE,"Chi tiÆt"}</definedName>
    <definedName name="_t112" localSheetId="5" hidden="1">{#N/A,#N/A,FALSE,"Chi tiÆt"}</definedName>
    <definedName name="_t112" localSheetId="7" hidden="1">{#N/A,#N/A,FALSE,"Chi tiÆt"}</definedName>
    <definedName name="_t112" hidden="1">{#N/A,#N/A,FALSE,"Chi tiÆt"}</definedName>
    <definedName name="_t12" hidden="1">{#N/A,#N/A,FALSE,"Chi tiÆt"}</definedName>
    <definedName name="_t2" localSheetId="1" hidden="1">{"'Sheet1'!$L$16"}</definedName>
    <definedName name="_t2" localSheetId="3" hidden="1">{"'Sheet1'!$L$16"}</definedName>
    <definedName name="_t2" localSheetId="4" hidden="1">{"'Sheet1'!$L$16"}</definedName>
    <definedName name="_t2" localSheetId="5" hidden="1">{"'Sheet1'!$L$16"}</definedName>
    <definedName name="_t2" localSheetId="7" hidden="1">{"'Sheet1'!$L$16"}</definedName>
    <definedName name="_t2" hidden="1">{"'Sheet1'!$L$16"}</definedName>
    <definedName name="_t3" localSheetId="1" hidden="1">{"'Sheet1'!$L$16"}</definedName>
    <definedName name="_t3" localSheetId="3" hidden="1">{"'Sheet1'!$L$16"}</definedName>
    <definedName name="_t3" localSheetId="4" hidden="1">{"'Sheet1'!$L$16"}</definedName>
    <definedName name="_t3" localSheetId="5" hidden="1">{"'Sheet1'!$L$16"}</definedName>
    <definedName name="_t3" localSheetId="7" hidden="1">{"'Sheet1'!$L$16"}</definedName>
    <definedName name="_t3" hidden="1">{"'Sheet1'!$L$16"}</definedName>
    <definedName name="_t5" localSheetId="1" hidden="1">{"'Sheet1'!$L$16"}</definedName>
    <definedName name="_t5" localSheetId="3" hidden="1">{"'Sheet1'!$L$16"}</definedName>
    <definedName name="_t5" localSheetId="4" hidden="1">{"'Sheet1'!$L$16"}</definedName>
    <definedName name="_t5" localSheetId="5" hidden="1">{"'Sheet1'!$L$16"}</definedName>
    <definedName name="_t5" localSheetId="7" hidden="1">{"'Sheet1'!$L$16"}</definedName>
    <definedName name="_t5" hidden="1">{"'Sheet1'!$L$16"}</definedName>
    <definedName name="_t9" localSheetId="1" hidden="1">{"'Sheet1'!$L$16"}</definedName>
    <definedName name="_t9" localSheetId="3" hidden="1">{"'Sheet1'!$L$16"}</definedName>
    <definedName name="_t9" localSheetId="4" hidden="1">{"'Sheet1'!$L$16"}</definedName>
    <definedName name="_t9" localSheetId="5" hidden="1">{"'Sheet1'!$L$16"}</definedName>
    <definedName name="_t9" localSheetId="7" hidden="1">{"'Sheet1'!$L$16"}</definedName>
    <definedName name="_t9" hidden="1">{"'Sheet1'!$L$16"}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Out" hidden="1">#REF!</definedName>
    <definedName name="_TB1">#REF!</definedName>
    <definedName name="_tb2">{"'Sheet1'!$L$16"}</definedName>
    <definedName name="_tct3">#N/A</definedName>
    <definedName name="_tct5">#REF!</definedName>
    <definedName name="_td1">{"'Sheet1'!$L$16"}</definedName>
    <definedName name="_TF">#REF!</definedName>
    <definedName name="_TG">#REF!</definedName>
    <definedName name="_tg1">#REF!</definedName>
    <definedName name="_tg427">#REF!</definedName>
    <definedName name="_TK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M2" localSheetId="1" hidden="1">{"'Sheet1'!$L$16"}</definedName>
    <definedName name="_TM2" localSheetId="3" hidden="1">{"'Sheet1'!$L$16"}</definedName>
    <definedName name="_TM2" localSheetId="4" hidden="1">{"'Sheet1'!$L$16"}</definedName>
    <definedName name="_TM2" localSheetId="5" hidden="1">{"'Sheet1'!$L$16"}</definedName>
    <definedName name="_TM2" localSheetId="7" hidden="1">{"'Sheet1'!$L$16"}</definedName>
    <definedName name="_TM2" hidden="1">{"'Sheet1'!$L$16"}</definedName>
    <definedName name="_tsv25">#REF!</definedName>
    <definedName name="_TT_B">1.2</definedName>
    <definedName name="_tt3" localSheetId="1" hidden="1">{"'Sheet1'!$L$16"}</definedName>
    <definedName name="_tt3" localSheetId="3" hidden="1">{"'Sheet1'!$L$16"}</definedName>
    <definedName name="_tt3" localSheetId="4" hidden="1">{"'Sheet1'!$L$16"}</definedName>
    <definedName name="_tt3" localSheetId="5" hidden="1">{"'Sheet1'!$L$16"}</definedName>
    <definedName name="_tt3" localSheetId="7" hidden="1">{"'Sheet1'!$L$16"}</definedName>
    <definedName name="_tt3" hidden="1">{"'Sheet1'!$L$16"}</definedName>
    <definedName name="_ttt1" hidden="1">{"'Sheet1'!$L$16"}</definedName>
    <definedName name="_tu4" localSheetId="1" hidden="1">{"'Sheet1'!$L$16"}</definedName>
    <definedName name="_tu4" localSheetId="3" hidden="1">{"'Sheet1'!$L$16"}</definedName>
    <definedName name="_tu4" localSheetId="4" hidden="1">{"'Sheet1'!$L$16"}</definedName>
    <definedName name="_tu4" localSheetId="5" hidden="1">{"'Sheet1'!$L$16"}</definedName>
    <definedName name="_tu4" localSheetId="7" hidden="1">{"'Sheet1'!$L$16"}</definedName>
    <definedName name="_tu4" hidden="1">{"'Sheet1'!$L$16"}</definedName>
    <definedName name="_TVL1">#REF!</definedName>
    <definedName name="_TX1">#REF!</definedName>
    <definedName name="_tz593">#REF!</definedName>
    <definedName name="_TH">#REF!</definedName>
    <definedName name="_TH1">{"'Sheet1'!$L$16"}</definedName>
    <definedName name="_TH20">#REF!</definedName>
    <definedName name="_TH20004" hidden="1">{"'Sheet1'!$L$16"}</definedName>
    <definedName name="_th30">1.7875</definedName>
    <definedName name="_th40">1.925</definedName>
    <definedName name="_tha1">{"'Sheet1'!$L$16"}</definedName>
    <definedName name="_thu1">#REF!</definedName>
    <definedName name="_UI33" localSheetId="1" hidden="1">{"'Sheet1'!$L$16"}</definedName>
    <definedName name="_UI33" localSheetId="3" hidden="1">{"'Sheet1'!$L$16"}</definedName>
    <definedName name="_UI33" localSheetId="4" hidden="1">{"'Sheet1'!$L$16"}</definedName>
    <definedName name="_UI33" localSheetId="5" hidden="1">{"'Sheet1'!$L$16"}</definedName>
    <definedName name="_UI33" localSheetId="7" hidden="1">{"'Sheet1'!$L$16"}</definedName>
    <definedName name="_UI33" hidden="1">{"'Sheet1'!$L$16"}</definedName>
    <definedName name="_Unknown_User_Defined_Name_0" localSheetId="1" hidden="1">#REF!</definedName>
    <definedName name="_Unknown_User_Defined_Name_0" hidden="1">#REF!</definedName>
    <definedName name="_Unknown_User_Defined_Name_1" localSheetId="1" hidden="1">#REF!</definedName>
    <definedName name="_Unknown_User_Defined_Name_1" hidden="1">#REF!</definedName>
    <definedName name="_Unknown_User_Defined_Name_2" localSheetId="1" hidden="1">#REF!</definedName>
    <definedName name="_Unknown_User_Defined_Name_2" hidden="1">#REF!</definedName>
    <definedName name="_Unknown_User_Defined_Name_3" hidden="1">#REF!</definedName>
    <definedName name="_usd1">#REF!</definedName>
    <definedName name="_UT2">#REF!</definedName>
    <definedName name="_VKF">#REF!</definedName>
    <definedName name="_VKG">#REF!</definedName>
    <definedName name="_VKK">#REF!</definedName>
    <definedName name="_VKH">#REF!</definedName>
    <definedName name="_vl1">#REF!</definedName>
    <definedName name="_VL100">#REF!</definedName>
    <definedName name="_VL150">#REF!</definedName>
    <definedName name="_VL250">#REF!</definedName>
    <definedName name="_VL50">#REF!</definedName>
    <definedName name="_VLP2">{"'Sheet1'!$L$16"}</definedName>
    <definedName name="_vnt100">#REF!</definedName>
    <definedName name="_vnt40">#REF!</definedName>
    <definedName name="_vnt50">#REF!</definedName>
    <definedName name="_vnt80">#REF!</definedName>
    <definedName name="_vpt5" localSheetId="1" hidden="1">{"'Sheet1'!$L$16"}</definedName>
    <definedName name="_vpt5" localSheetId="3" hidden="1">{"'Sheet1'!$L$16"}</definedName>
    <definedName name="_vpt5" localSheetId="4" hidden="1">{"'Sheet1'!$L$16"}</definedName>
    <definedName name="_vpt5" localSheetId="5" hidden="1">{"'Sheet1'!$L$16"}</definedName>
    <definedName name="_vpt5" localSheetId="7" hidden="1">{"'Sheet1'!$L$16"}</definedName>
    <definedName name="_vpt5" hidden="1">{"'Sheet1'!$L$16"}</definedName>
    <definedName name="_vpt6" localSheetId="1" hidden="1">{"'Sheet1'!$L$16"}</definedName>
    <definedName name="_vpt6" localSheetId="3" hidden="1">{"'Sheet1'!$L$16"}</definedName>
    <definedName name="_vpt6" localSheetId="4" hidden="1">{"'Sheet1'!$L$16"}</definedName>
    <definedName name="_vpt6" localSheetId="5" hidden="1">{"'Sheet1'!$L$16"}</definedName>
    <definedName name="_vpt6" localSheetId="7" hidden="1">{"'Sheet1'!$L$16"}</definedName>
    <definedName name="_vpt6" hidden="1">{"'Sheet1'!$L$16"}</definedName>
    <definedName name="_VT675" localSheetId="1" hidden="1">{"Offgrid",#N/A,FALSE,"OFFGRID";"Region",#N/A,FALSE,"REGION";"Offgrid -2",#N/A,FALSE,"OFFGRID";"WTP",#N/A,FALSE,"WTP";"WTP -2",#N/A,FALSE,"WTP";"Project",#N/A,FALSE,"PROJECT";"Summary -2",#N/A,FALSE,"SUMMARY"}</definedName>
    <definedName name="_VT675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5" localSheetId="4" hidden="1">{"Offgrid",#N/A,FALSE,"OFFGRID";"Region",#N/A,FALSE,"REGION";"Offgrid -2",#N/A,FALSE,"OFFGRID";"WTP",#N/A,FALSE,"WTP";"WTP -2",#N/A,FALSE,"WTP";"Project",#N/A,FALSE,"PROJECT";"Summary -2",#N/A,FALSE,"SUMMARY"}</definedName>
    <definedName name="_VT675" localSheetId="5" hidden="1">{"Offgrid",#N/A,FALSE,"OFFGRID";"Region",#N/A,FALSE,"REGION";"Offgrid -2",#N/A,FALSE,"OFFGRID";"WTP",#N/A,FALSE,"WTP";"WTP -2",#N/A,FALSE,"WTP";"Project",#N/A,FALSE,"PROJECT";"Summary -2",#N/A,FALSE,"SUMMARY"}</definedName>
    <definedName name="_VT675" localSheetId="7" hidden="1">{"Offgrid",#N/A,FALSE,"OFFGRID";"Region",#N/A,FALSE,"REGION";"Offgrid -2",#N/A,FALSE,"OFFGRID";"WTP",#N/A,FALSE,"WTP";"WTP -2",#N/A,FALSE,"WTP";"Project",#N/A,FALSE,"PROJECT";"Summary -2",#N/A,FALSE,"SUMMARY"}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1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4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5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7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1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4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5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7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1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4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5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1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4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5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7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>{"'Sheet1'!$L$16"}</definedName>
    <definedName name="_xo1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zz1" hidden="1">#REF!</definedName>
    <definedName name="¸df" localSheetId="1" hidden="1">#REF!</definedName>
    <definedName name="¸df" hidden="1">#REF!</definedName>
    <definedName name="¸dfsad" hidden="1">#REF!</definedName>
    <definedName name="¼QRWERQWR" hidden="1">#REF!</definedName>
    <definedName name="­234w4q324q32" hidden="1">#REF!</definedName>
    <definedName name="a" localSheetId="1" hidden="1">{"'Sheet1'!$L$16"}</definedName>
    <definedName name="a" localSheetId="3" hidden="1">{"'Sheet1'!$L$16"}</definedName>
    <definedName name="a" localSheetId="4" hidden="1">{"'Sheet1'!$L$16"}</definedName>
    <definedName name="a" localSheetId="5" hidden="1">{"'Sheet1'!$L$16"}</definedName>
    <definedName name="a" localSheetId="7" hidden="1">{"'Sheet1'!$L$16"}</definedName>
    <definedName name="a" hidden="1">{"'Sheet1'!$L$16"}</definedName>
    <definedName name="A.">#REF!</definedName>
    <definedName name="a_">#REF!</definedName>
    <definedName name="A_1">#REF!</definedName>
    <definedName name="a_101">#REF!</definedName>
    <definedName name="a_102">#REF!</definedName>
    <definedName name="a_103">#REF!</definedName>
    <definedName name="A_2">#REF!</definedName>
    <definedName name="a_21">#REF!</definedName>
    <definedName name="a_22">#REF!</definedName>
    <definedName name="a_23">#REF!</definedName>
    <definedName name="a_31">#REF!</definedName>
    <definedName name="a_32">#REF!</definedName>
    <definedName name="a_33">#REF!</definedName>
    <definedName name="a_34">#REF!</definedName>
    <definedName name="a_35">#REF!</definedName>
    <definedName name="a_36">#REF!</definedName>
    <definedName name="a_37">#REF!</definedName>
    <definedName name="a_41">#REF!</definedName>
    <definedName name="a_42">#REF!</definedName>
    <definedName name="a_51">#REF!</definedName>
    <definedName name="a_52">#REF!</definedName>
    <definedName name="a_71">#REF!</definedName>
    <definedName name="a_72">#REF!</definedName>
    <definedName name="a_81">#REF!</definedName>
    <definedName name="a_82">#REF!</definedName>
    <definedName name="a_83">#REF!</definedName>
    <definedName name="a_91">#REF!</definedName>
    <definedName name="a_92">#REF!</definedName>
    <definedName name="a_93">#REF!</definedName>
    <definedName name="a_94">#REF!</definedName>
    <definedName name="a_95">#REF!</definedName>
    <definedName name="a_96">#REF!</definedName>
    <definedName name="a_97">#REF!</definedName>
    <definedName name="a_98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.2349">#REF!</definedName>
    <definedName name="A120_">#REF!</definedName>
    <definedName name="a129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1" hidden="1">{"'Sheet1'!$L$16"}</definedName>
    <definedName name="a1moi" localSheetId="3" hidden="1">{"'Sheet1'!$L$16"}</definedName>
    <definedName name="a1moi" localSheetId="4" hidden="1">{"'Sheet1'!$L$16"}</definedName>
    <definedName name="a1moi" localSheetId="5" hidden="1">{"'Sheet1'!$L$16"}</definedName>
    <definedName name="a1moi" localSheetId="7" hidden="1">{"'Sheet1'!$L$16"}</definedName>
    <definedName name="a1moi" hidden="1">{"'Sheet1'!$L$16"}</definedName>
    <definedName name="a277Print_Titles">#REF!</definedName>
    <definedName name="A2WQSDEA">#REF!</definedName>
    <definedName name="A35_">#REF!</definedName>
    <definedName name="a3rt" localSheetId="1" hidden="1">{"'Sheet1'!$L$16"}</definedName>
    <definedName name="a3rt" localSheetId="3" hidden="1">{"'Sheet1'!$L$16"}</definedName>
    <definedName name="a3rt" localSheetId="4" hidden="1">{"'Sheet1'!$L$16"}</definedName>
    <definedName name="a3rt" localSheetId="5" hidden="1">{"'Sheet1'!$L$16"}</definedName>
    <definedName name="a3rt" localSheetId="7" hidden="1">{"'Sheet1'!$L$16"}</definedName>
    <definedName name="a3rt" hidden="1">{"'Sheet1'!$L$16"}</definedName>
    <definedName name="A50_">#REF!</definedName>
    <definedName name="A6N2">#REF!</definedName>
    <definedName name="A6N3">#N/A</definedName>
    <definedName name="A70_">#REF!</definedName>
    <definedName name="A95_">#REF!</definedName>
    <definedName name="AA">#REF!</definedName>
    <definedName name="a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localSheetId="1" hidden="1">{0}</definedName>
    <definedName name="AAAAA" hidden="1">{0}</definedName>
    <definedName name="aaaaaa" localSheetId="1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3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4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5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7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_11111111111111111">#REF!</definedName>
    <definedName name="aaaaaaaaaaaaaaaaaa" localSheetId="1" hidden="1">{"'Sheet1'!$L$16"}</definedName>
    <definedName name="aaaaaaaaaaaaaaaaaa" localSheetId="3" hidden="1">{"'Sheet1'!$L$16"}</definedName>
    <definedName name="aaaaaaaaaaaaaaaaaa" localSheetId="4" hidden="1">{"'Sheet1'!$L$16"}</definedName>
    <definedName name="aaaaaaaaaaaaaaaaaa" localSheetId="5" hidden="1">{"'Sheet1'!$L$16"}</definedName>
    <definedName name="aaaaaaaaaaaaaaaaaa" localSheetId="7" hidden="1">{"'Sheet1'!$L$16"}</definedName>
    <definedName name="aaaaaaaaaaaaaaaaaa" hidden="1">{"'Sheet1'!$L$16"}</definedName>
    <definedName name="AAAAAAAAAAAAAAAAAAAAAAAAAAAA">#REF!</definedName>
    <definedName name="aaag" hidden="1">{#N/A,#N/A,TRUE,"SUM";#N/A,#N/A,TRUE,"EE";#N/A,#N/A,TRUE,"AC";#N/A,#N/A,TRUE,"SN"}</definedName>
    <definedName name="AABB" hidden="1">#REF!</definedName>
    <definedName name="ÀASA" localSheetId="1" hidden="1">{"'Sheet1'!$L$16"}</definedName>
    <definedName name="ÀASA" localSheetId="3" hidden="1">{"'Sheet1'!$L$16"}</definedName>
    <definedName name="ÀASA" localSheetId="4" hidden="1">{"'Sheet1'!$L$16"}</definedName>
    <definedName name="ÀASA" localSheetId="5" hidden="1">{"'Sheet1'!$L$16"}</definedName>
    <definedName name="ÀASA" localSheetId="7" hidden="1">{"'Sheet1'!$L$16"}</definedName>
    <definedName name="ÀASA" hidden="1">{"'Sheet1'!$L$16"}</definedName>
    <definedName name="aassa" localSheetId="1" hidden="1">{"'Sheet1'!$L$16"}</definedName>
    <definedName name="aassa" localSheetId="3" hidden="1">{"'Sheet1'!$L$16"}</definedName>
    <definedName name="aassa" localSheetId="4" hidden="1">{"'Sheet1'!$L$16"}</definedName>
    <definedName name="aassa" localSheetId="5" hidden="1">{"'Sheet1'!$L$16"}</definedName>
    <definedName name="aassa" localSheetId="7" hidden="1">{"'Sheet1'!$L$16"}</definedName>
    <definedName name="aassa" hidden="1">{"'Sheet1'!$L$16"}</definedName>
    <definedName name="aassdffgb" hidden="1">#REF!</definedName>
    <definedName name="aax">#REF!</definedName>
    <definedName name="Ab">#REF!</definedName>
    <definedName name="ABAB" localSheetId="1" hidden="1">{#N/A,#N/A,FALSE,"CCTV"}</definedName>
    <definedName name="ABAB" localSheetId="3" hidden="1">{#N/A,#N/A,FALSE,"CCTV"}</definedName>
    <definedName name="ABAB" localSheetId="4" hidden="1">{#N/A,#N/A,FALSE,"CCTV"}</definedName>
    <definedName name="ABAB" localSheetId="5" hidden="1">{#N/A,#N/A,FALSE,"CCTV"}</definedName>
    <definedName name="ABAB" localSheetId="7" hidden="1">{#N/A,#N/A,FALSE,"CCTV"}</definedName>
    <definedName name="ABAB" hidden="1">{#N/A,#N/A,FALSE,"CCTV"}</definedName>
    <definedName name="abc" hidden="1">{"Offgrid",#N/A,FALSE,"OFFGRID";"Region",#N/A,FALSE,"REGION";"Offgrid -2",#N/A,FALSE,"OFFGRID";"WTP",#N/A,FALSE,"WTP";"WTP -2",#N/A,FALSE,"WTP";"Project",#N/A,FALSE,"PROJECT";"Summary -2",#N/A,FALSE,"SUMMARY"}</definedName>
    <definedName name="abcd" hidden="1">{"'Sheet1'!$L$16"}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wl">#REF!</definedName>
    <definedName name="ABX">#REF!</definedName>
    <definedName name="ac" localSheetId="1" hidden="1">#REF!</definedName>
    <definedName name="ac" hidden="1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>"남가내역_data작업_List"</definedName>
    <definedName name="AccessDatabase" hidden="1">"C:\My Documents\HAU\Danhsach\List Cpn.mdb"</definedName>
    <definedName name="Acell" hidden="1">INDIRECT(ADDRESS(ROW(),COLUMN()))</definedName>
    <definedName name="ACMV" localSheetId="1" hidden="1">{"'Sheet1'!$L$16"}</definedName>
    <definedName name="ACMV" localSheetId="3" hidden="1">{"'Sheet1'!$L$16"}</definedName>
    <definedName name="ACMV" localSheetId="4" hidden="1">{"'Sheet1'!$L$16"}</definedName>
    <definedName name="ACMV" localSheetId="5" hidden="1">{"'Sheet1'!$L$16"}</definedName>
    <definedName name="ACMV" localSheetId="7" hidden="1">{"'Sheet1'!$L$16"}</definedName>
    <definedName name="ACMV" hidden="1">{"'Sheet1'!$L$16"}</definedName>
    <definedName name="act" hidden="1">#REF!</definedName>
    <definedName name="ACX">#REF!</definedName>
    <definedName name="AD" localSheetId="1" hidden="1">#REF!</definedName>
    <definedName name="AD" hidden="1">#REF!</definedName>
    <definedName name="ÁD" hidden="1">#REF!</definedName>
    <definedName name="AD_69">#REF!</definedName>
    <definedName name="ada" localSheetId="1" hidden="1">{"'Sheet1'!$L$16"}</definedName>
    <definedName name="ada" localSheetId="3" hidden="1">{"'Sheet1'!$L$16"}</definedName>
    <definedName name="ada" localSheetId="4" hidden="1">{"'Sheet1'!$L$16"}</definedName>
    <definedName name="ada" localSheetId="5" hidden="1">{"'Sheet1'!$L$16"}</definedName>
    <definedName name="ada" localSheetId="7" hidden="1">{"'Sheet1'!$L$16"}</definedName>
    <definedName name="ada" hidden="1">{"'Sheet1'!$L$16"}</definedName>
    <definedName name="adadada">{0,0,0,0;0,0,0,0;0,0,0,0;0,0,0,0;0,0,0,0;0,0,0,0;0,0,0,0}</definedName>
    <definedName name="ÁDAF" localSheetId="1" hidden="1">{"'Sheet1'!$L$16"}</definedName>
    <definedName name="ÁDAF" localSheetId="3" hidden="1">{"'Sheet1'!$L$16"}</definedName>
    <definedName name="ÁDAF" localSheetId="4" hidden="1">{"'Sheet1'!$L$16"}</definedName>
    <definedName name="ÁDAF" localSheetId="5" hidden="1">{"'Sheet1'!$L$16"}</definedName>
    <definedName name="ÁDAF" localSheetId="7" hidden="1">{"'Sheet1'!$L$16"}</definedName>
    <definedName name="ÁDAF" hidden="1">{"'Sheet1'!$L$16"}</definedName>
    <definedName name="ÁDAFAS">#REF!</definedName>
    <definedName name="ÁDAGFF">#REF!</definedName>
    <definedName name="adasasdda" hidden="1">#REF!</definedName>
    <definedName name="ÁDASDA" hidden="1">#REF!</definedName>
    <definedName name="ádasdasd" localSheetId="1" hidden="1">#REF!</definedName>
    <definedName name="ádasdasd" hidden="1">#REF!</definedName>
    <definedName name="ÁDASDASDADA">#REF!</definedName>
    <definedName name="ÁDASDAW" hidden="1">#REF!</definedName>
    <definedName name="ÁDASF">#REF!</definedName>
    <definedName name="adasfgdsg" localSheetId="1" hidden="1">{"'Sheet1'!$L$16"}</definedName>
    <definedName name="adasfgdsg" hidden="1">{"'Sheet1'!$L$16"}</definedName>
    <definedName name="ádasfwer">#REF!</definedName>
    <definedName name="ÁDASZX">#REF!</definedName>
    <definedName name="ÁDAV" hidden="1">#REF!</definedName>
    <definedName name="ÁDAWD">#REF!</definedName>
    <definedName name="ADAY">#REF!</definedName>
    <definedName name="ádazxxz">#REF!</definedName>
    <definedName name="adc" localSheetId="1" hidden="1">{#N/A,#N/A,FALSE,"CCTV"}</definedName>
    <definedName name="adc" localSheetId="3" hidden="1">{#N/A,#N/A,FALSE,"CCTV"}</definedName>
    <definedName name="adc" localSheetId="4" hidden="1">{#N/A,#N/A,FALSE,"CCTV"}</definedName>
    <definedName name="adc" localSheetId="5" hidden="1">{#N/A,#N/A,FALSE,"CCTV"}</definedName>
    <definedName name="adc" localSheetId="7" hidden="1">{#N/A,#N/A,FALSE,"CCTV"}</definedName>
    <definedName name="adc" hidden="1">{#N/A,#N/A,FALSE,"CCTV"}</definedName>
    <definedName name="ADCD" hidden="1">{#N/A,#N/A,FALSE,"特殊室（ＢＱ表）"}</definedName>
    <definedName name="ÁDCZXC">#REF!</definedName>
    <definedName name="ade" hidden="1">{#N/A,#N/A,FALSE,"Chi tiÆt"}</definedName>
    <definedName name="ÁDERWER">#REF!</definedName>
    <definedName name="adf" localSheetId="1" hidden="1">{"'Sheet1'!$L$16"}</definedName>
    <definedName name="adf" localSheetId="3" hidden="1">{"'Sheet1'!$L$16"}</definedName>
    <definedName name="adf" localSheetId="4" hidden="1">{"'Sheet1'!$L$16"}</definedName>
    <definedName name="adf" localSheetId="5" hidden="1">{"'Sheet1'!$L$16"}</definedName>
    <definedName name="adf" localSheetId="7" hidden="1">{"'Sheet1'!$L$16"}</definedName>
    <definedName name="adf" hidden="1">{"'Sheet1'!$L$16"}</definedName>
    <definedName name="ádfasdf">#REF!</definedName>
    <definedName name="ádfczxc">#REF!</definedName>
    <definedName name="ádfdffasd" hidden="1">#REF!</definedName>
    <definedName name="ÁDFSADA">#REF!</definedName>
    <definedName name="ádga">#REF!</definedName>
    <definedName name="ádgasdg">#REF!</definedName>
    <definedName name="ádgfsdfgsdfg">#REF!</definedName>
    <definedName name="ádgsga">#REF!</definedName>
    <definedName name="Adn">#REF!</definedName>
    <definedName name="ádqweqw">#REF!</definedName>
    <definedName name="ÁDQWQE">#REF!</definedName>
    <definedName name="ÁDQWQW">#REF!</definedName>
    <definedName name="áds" hidden="1">#REF!</definedName>
    <definedName name="adsads" localSheetId="1" hidden="1">{"'Sheet1'!$L$16"}</definedName>
    <definedName name="adsads" localSheetId="3" hidden="1">{"'Sheet1'!$L$16"}</definedName>
    <definedName name="adsads" localSheetId="4" hidden="1">{"'Sheet1'!$L$16"}</definedName>
    <definedName name="adsads" localSheetId="5" hidden="1">{"'Sheet1'!$L$16"}</definedName>
    <definedName name="adsads" localSheetId="7" hidden="1">{"'Sheet1'!$L$16"}</definedName>
    <definedName name="adsads" hidden="1">{"'Sheet1'!$L$16"}</definedName>
    <definedName name="adsadsa" localSheetId="1" hidden="1">{#N/A,#N/A,TRUE,"CS&amp;SS(AG)";#N/A,#N/A,TRUE,"CS(UG)";#N/A,#N/A,TRUE,"CSCL(UG)";#N/A,#N/A,TRUE,"KYNAR";#N/A,#N/A,TRUE,"ALLOY904";#N/A,#N/A,TRUE,"TITANIUM";#N/A,#N/A,TRUE,"STMTRACE"}</definedName>
    <definedName name="adsadsa" localSheetId="3" hidden="1">{#N/A,#N/A,TRUE,"CS&amp;SS(AG)";#N/A,#N/A,TRUE,"CS(UG)";#N/A,#N/A,TRUE,"CSCL(UG)";#N/A,#N/A,TRUE,"KYNAR";#N/A,#N/A,TRUE,"ALLOY904";#N/A,#N/A,TRUE,"TITANIUM";#N/A,#N/A,TRUE,"STMTRACE"}</definedName>
    <definedName name="adsadsa" localSheetId="4" hidden="1">{#N/A,#N/A,TRUE,"CS&amp;SS(AG)";#N/A,#N/A,TRUE,"CS(UG)";#N/A,#N/A,TRUE,"CSCL(UG)";#N/A,#N/A,TRUE,"KYNAR";#N/A,#N/A,TRUE,"ALLOY904";#N/A,#N/A,TRUE,"TITANIUM";#N/A,#N/A,TRUE,"STMTRACE"}</definedName>
    <definedName name="adsadsa" localSheetId="5" hidden="1">{#N/A,#N/A,TRUE,"CS&amp;SS(AG)";#N/A,#N/A,TRUE,"CS(UG)";#N/A,#N/A,TRUE,"CSCL(UG)";#N/A,#N/A,TRUE,"KYNAR";#N/A,#N/A,TRUE,"ALLOY904";#N/A,#N/A,TRUE,"TITANIUM";#N/A,#N/A,TRUE,"STMTRACE"}</definedName>
    <definedName name="adsadsa" localSheetId="7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ádsấ" localSheetId="1" hidden="1">{#N/A,#N/A,FALSE,"Tabelle2";#N/A,#N/A,FALSE,"Tabelle1"}</definedName>
    <definedName name="ádsấ" localSheetId="3" hidden="1">{#N/A,#N/A,FALSE,"Tabelle2";#N/A,#N/A,FALSE,"Tabelle1"}</definedName>
    <definedName name="ádsấ" localSheetId="4" hidden="1">{#N/A,#N/A,FALSE,"Tabelle2";#N/A,#N/A,FALSE,"Tabelle1"}</definedName>
    <definedName name="ádsấ" localSheetId="5" hidden="1">{#N/A,#N/A,FALSE,"Tabelle2";#N/A,#N/A,FALSE,"Tabelle1"}</definedName>
    <definedName name="ádsấ" localSheetId="7" hidden="1">{#N/A,#N/A,FALSE,"Tabelle2";#N/A,#N/A,FALSE,"Tabelle1"}</definedName>
    <definedName name="ádsấ" hidden="1">{#N/A,#N/A,FALSE,"Tabelle2";#N/A,#N/A,FALSE,"Tabelle1"}</definedName>
    <definedName name="adsdghtyyuiui" hidden="1">#REF!</definedName>
    <definedName name="àdsfer">#REF!</definedName>
    <definedName name="advass" localSheetId="1" hidden="1">{"'Sheet1'!$L$16"}</definedName>
    <definedName name="advass" localSheetId="3" hidden="1">{"'Sheet1'!$L$16"}</definedName>
    <definedName name="advass" localSheetId="4" hidden="1">{"'Sheet1'!$L$16"}</definedName>
    <definedName name="advass" localSheetId="5" hidden="1">{"'Sheet1'!$L$16"}</definedName>
    <definedName name="advass" localSheetId="7" hidden="1">{"'Sheet1'!$L$16"}</definedName>
    <definedName name="advass" hidden="1">{"'Sheet1'!$L$16"}</definedName>
    <definedName name="ádwer">#REF!</definedName>
    <definedName name="ADX">#REF!</definedName>
    <definedName name="ÁDXZZC">#REF!</definedName>
    <definedName name="ÁDZX">#REF!</definedName>
    <definedName name="ÁDZXC">#REF!</definedName>
    <definedName name="ÁDZXCZ">#REF!</definedName>
    <definedName name="ae">{"'Sheet1'!$L$16"}</definedName>
    <definedName name="aerqwer">#REF!</definedName>
    <definedName name="aerqwerasdf">#REF!</definedName>
    <definedName name="áerwer">#REF!</definedName>
    <definedName name="aesde" localSheetId="1" hidden="1">{#N/A,#N/A,FALSE,"CCTV"}</definedName>
    <definedName name="aesde" localSheetId="3" hidden="1">{#N/A,#N/A,FALSE,"CCTV"}</definedName>
    <definedName name="aesde" localSheetId="4" hidden="1">{#N/A,#N/A,FALSE,"CCTV"}</definedName>
    <definedName name="aesde" localSheetId="5" hidden="1">{#N/A,#N/A,FALSE,"CCTV"}</definedName>
    <definedName name="aesde" localSheetId="7" hidden="1">{#N/A,#N/A,FALSE,"CCTV"}</definedName>
    <definedName name="aesde" hidden="1">{#N/A,#N/A,FALSE,"CCTV"}</definedName>
    <definedName name="AEWWQAFDASF" localSheetId="1" hidden="1">{"'Sheet1'!$L$16"}</definedName>
    <definedName name="AEWWQAFDASF" localSheetId="3" hidden="1">{"'Sheet1'!$L$16"}</definedName>
    <definedName name="AEWWQAFDASF" localSheetId="4" hidden="1">{"'Sheet1'!$L$16"}</definedName>
    <definedName name="AEWWQAFDASF" localSheetId="5" hidden="1">{"'Sheet1'!$L$16"}</definedName>
    <definedName name="AEWWQAFDASF" localSheetId="7" hidden="1">{"'Sheet1'!$L$16"}</definedName>
    <definedName name="AEWWQAFDASF" hidden="1">{"'Sheet1'!$L$16"}</definedName>
    <definedName name="af" hidden="1">{#N/A,#N/A,FALSE,"Chi tiÆt"}</definedName>
    <definedName name="afaf" hidden="1">{#N/A,#N/A,FALSE,"Chi tiÆt"}</definedName>
    <definedName name="afasfsagfas" localSheetId="1" hidden="1">{#N/A,#N/A,FALSE,"Chi tiÆt"}</definedName>
    <definedName name="afasfsagfas" localSheetId="3" hidden="1">{#N/A,#N/A,FALSE,"Chi tiÆt"}</definedName>
    <definedName name="afasfsagfas" localSheetId="4" hidden="1">{#N/A,#N/A,FALSE,"Chi tiÆt"}</definedName>
    <definedName name="afasfsagfas" localSheetId="5" hidden="1">{#N/A,#N/A,FALSE,"Chi tiÆt"}</definedName>
    <definedName name="afasfsagfas" localSheetId="7" hidden="1">{#N/A,#N/A,FALSE,"Chi tiÆt"}</definedName>
    <definedName name="afasfsagfas" hidden="1">{#N/A,#N/A,FALSE,"Chi tiÆt"}</definedName>
    <definedName name="afdasgh" hidden="1">{#N/A,#N/A,FALSE,"CCTV"}</definedName>
    <definedName name="afdf">{"'Sheet1'!$L$16"}</definedName>
    <definedName name="AFDFD" localSheetId="1" hidden="1">{#N/A,#N/A,FALSE,"Chi tiÆt"}</definedName>
    <definedName name="AFDFD" localSheetId="3" hidden="1">{#N/A,#N/A,FALSE,"Chi tiÆt"}</definedName>
    <definedName name="AFDFD" localSheetId="4" hidden="1">{#N/A,#N/A,FALSE,"Chi tiÆt"}</definedName>
    <definedName name="AFDFD" localSheetId="5" hidden="1">{#N/A,#N/A,FALSE,"Chi tiÆt"}</definedName>
    <definedName name="AFDFD" localSheetId="7" hidden="1">{#N/A,#N/A,FALSE,"Chi tiÆt"}</definedName>
    <definedName name="AFDFD" hidden="1">{#N/A,#N/A,FALSE,"Chi tiÆt"}</definedName>
    <definedName name="afdsfdg" hidden="1">{#N/A,#N/A,FALSE,"CCTV"}</definedName>
    <definedName name="afff" hidden="1">{"'Sheet1'!$L$16"}</definedName>
    <definedName name="afffgff" hidden="1">{#N/A,#N/A,FALSE,"CCTV"}</definedName>
    <definedName name="Ag_">#REF!</definedName>
    <definedName name="ag15F80">#REF!</definedName>
    <definedName name="AGE" localSheetId="1" hidden="1">{"'Sheet1'!$L$16"}</definedName>
    <definedName name="AGE" localSheetId="3" hidden="1">{"'Sheet1'!$L$16"}</definedName>
    <definedName name="AGE" localSheetId="4" hidden="1">{"'Sheet1'!$L$16"}</definedName>
    <definedName name="AGE" localSheetId="5" hidden="1">{"'Sheet1'!$L$16"}</definedName>
    <definedName name="AGE" localSheetId="7" hidden="1">{"'Sheet1'!$L$16"}</definedName>
    <definedName name="AGE" hidden="1">{"'Sheet1'!$L$16"}</definedName>
    <definedName name="ahah" hidden="1">{"'Sheet1'!$L$16"}</definedName>
    <definedName name="ahajdks" hidden="1">{"'Sheet1'!$L$16"}</definedName>
    <definedName name="AHGA">{"'Sheet1'!$L$16"}</definedName>
    <definedName name="aho">#REF!</definedName>
    <definedName name="ahrd100">#REF!</definedName>
    <definedName name="ahrd150">#REF!</definedName>
    <definedName name="ahs">#REF!</definedName>
    <definedName name="ahtjht" localSheetId="1" hidden="1">{"'Sheet1'!$L$16"}</definedName>
    <definedName name="ahtjht" localSheetId="3" hidden="1">{"'Sheet1'!$L$16"}</definedName>
    <definedName name="ahtjht" localSheetId="4" hidden="1">{"'Sheet1'!$L$16"}</definedName>
    <definedName name="ahtjht" localSheetId="5" hidden="1">{"'Sheet1'!$L$16"}</definedName>
    <definedName name="ahtjht" localSheetId="7" hidden="1">{"'Sheet1'!$L$16"}</definedName>
    <definedName name="ahtjht" hidden="1">{"'Sheet1'!$L$16"}</definedName>
    <definedName name="ahuf100">#REF!</definedName>
    <definedName name="ahuf150">#REF!</definedName>
    <definedName name="ahuf150ahuf150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lask">#REF!</definedName>
    <definedName name="All_Item">#REF!</definedName>
    <definedName name="ALPIN">#N/A</definedName>
    <definedName name="ALPJYOU">#N/A</definedName>
    <definedName name="ALPTOI">#N/A</definedName>
    <definedName name="am_30">#REF!</definedName>
    <definedName name="am_grout">#REF!</definedName>
    <definedName name="amiang">#N/A</definedName>
    <definedName name="an" hidden="1">{#N/A,#N/A,FALSE,"Chi tiÆt"}</definedName>
    <definedName name="anscount" hidden="1">1</definedName>
    <definedName name="Antoan" localSheetId="1" hidden="1">{"'Sheet1'!$L$16"}</definedName>
    <definedName name="Antoan" localSheetId="3" hidden="1">{"'Sheet1'!$L$16"}</definedName>
    <definedName name="Antoan" localSheetId="4" hidden="1">{"'Sheet1'!$L$16"}</definedName>
    <definedName name="Antoan" localSheetId="5" hidden="1">{"'Sheet1'!$L$16"}</definedName>
    <definedName name="Antoan" localSheetId="7" hidden="1">{"'Sheet1'!$L$16"}</definedName>
    <definedName name="Antoan" hidden="1">{"'Sheet1'!$L$16"}</definedName>
    <definedName name="anh" localSheetId="1" hidden="1">{"'Sheet1'!$L$16"}</definedName>
    <definedName name="anh" localSheetId="3" hidden="1">{"'Sheet1'!$L$16"}</definedName>
    <definedName name="anh" localSheetId="4" hidden="1">{"'Sheet1'!$L$16"}</definedName>
    <definedName name="anh" localSheetId="5" hidden="1">{"'Sheet1'!$L$16"}</definedName>
    <definedName name="anh" localSheetId="7" hidden="1">{"'Sheet1'!$L$16"}</definedName>
    <definedName name="anh" hidden="1">{"'Sheet1'!$L$16"}</definedName>
    <definedName name="anh\">{"'Sheet1'!$L$16"}</definedName>
    <definedName name="Aq">#REF!</definedName>
    <definedName name="aqe" localSheetId="1" hidden="1">{"'Sheet1'!$L$16"}</definedName>
    <definedName name="aqe" localSheetId="3" hidden="1">{"'Sheet1'!$L$16"}</definedName>
    <definedName name="aqe" localSheetId="4" hidden="1">{"'Sheet1'!$L$16"}</definedName>
    <definedName name="aqe" localSheetId="5" hidden="1">{"'Sheet1'!$L$16"}</definedName>
    <definedName name="aqe" localSheetId="7" hidden="1">{"'Sheet1'!$L$16"}</definedName>
    <definedName name="aqe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CHITECT">#REF!</definedName>
    <definedName name="ars">#REF!</definedName>
    <definedName name="arsitek">#REF!</definedName>
    <definedName name="arsitektur">#REF!</definedName>
    <definedName name="as" localSheetId="1" hidden="1">{"'Sheet1'!$L$16"}</definedName>
    <definedName name="AS" hidden="1">#REF!</definedName>
    <definedName name="As_">#REF!</definedName>
    <definedName name="AS2DocOpenMode" hidden="1">"AS2DocumentEdit"</definedName>
    <definedName name="AS2HasNoAutoHeaderFooter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a" hidden="1">#REF!</definedName>
    <definedName name="asas" localSheetId="1" hidden="1">{#N/A,#N/A,FALSE,"Sheet2";#N/A,#N/A,FALSE,"Sheet4";#N/A,#N/A,FALSE,"Sheet6"}</definedName>
    <definedName name="asas" localSheetId="3" hidden="1">{#N/A,#N/A,FALSE,"Sheet2";#N/A,#N/A,FALSE,"Sheet4";#N/A,#N/A,FALSE,"Sheet6"}</definedName>
    <definedName name="asas" localSheetId="4" hidden="1">{#N/A,#N/A,FALSE,"Sheet2";#N/A,#N/A,FALSE,"Sheet4";#N/A,#N/A,FALSE,"Sheet6"}</definedName>
    <definedName name="asas" localSheetId="5" hidden="1">{#N/A,#N/A,FALSE,"Sheet2";#N/A,#N/A,FALSE,"Sheet4";#N/A,#N/A,FALSE,"Sheet6"}</definedName>
    <definedName name="asas" localSheetId="7" hidden="1">{#N/A,#N/A,FALSE,"Sheet2";#N/A,#N/A,FALSE,"Sheet4";#N/A,#N/A,FALSE,"Sheet6"}</definedName>
    <definedName name="asas" hidden="1">{#N/A,#N/A,FALSE,"Sheet2";#N/A,#N/A,FALSE,"Sheet4";#N/A,#N/A,FALSE,"Sheet6"}</definedName>
    <definedName name="asdada" hidden="1">{#N/A,#N/A,FALSE,"特殊室（ＢＱ表）"}</definedName>
    <definedName name="asdadad">#REF!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a" hidden="1">#REF!</definedName>
    <definedName name="asdfas" hidden="1">#REF!</definedName>
    <definedName name="asdffgggh" hidden="1">{"'Sheet1'!$L$16"}</definedName>
    <definedName name="asdfg">{"'Sheet1'!$L$16"}</definedName>
    <definedName name="aserasdea">{"'Sheet1'!$L$16"}</definedName>
    <definedName name="ASEW" hidden="1">{"'Sheet1'!$L$16"}</definedName>
    <definedName name="asf" localSheetId="1" hidden="1">{"'Sheet1'!$L$16"}</definedName>
    <definedName name="asf" localSheetId="3" hidden="1">{"'Sheet1'!$L$16"}</definedName>
    <definedName name="asf" localSheetId="4" hidden="1">{"'Sheet1'!$L$16"}</definedName>
    <definedName name="asf" localSheetId="5" hidden="1">{"'Sheet1'!$L$16"}</definedName>
    <definedName name="asf" localSheetId="7" hidden="1">{"'Sheet1'!$L$16"}</definedName>
    <definedName name="asf" hidden="1">{"'Sheet1'!$L$16"}</definedName>
    <definedName name="asGDBhsN" hidden="1">{"'Sheet1'!$L$16"}</definedName>
    <definedName name="asli">#REF!</definedName>
    <definedName name="asq" hidden="1">{"'Sheet1'!$L$16"}</definedName>
    <definedName name="asss">{"'Sheet1'!$L$16"}</definedName>
    <definedName name="assss" hidden="1">#REF!</definedName>
    <definedName name="asssss" localSheetId="1" hidden="1">{"'Sheet1'!$L$16"}</definedName>
    <definedName name="asssss" localSheetId="3" hidden="1">{"'Sheet1'!$L$16"}</definedName>
    <definedName name="asssss" localSheetId="4" hidden="1">{"'Sheet1'!$L$16"}</definedName>
    <definedName name="asssss" localSheetId="5" hidden="1">{"'Sheet1'!$L$16"}</definedName>
    <definedName name="asssss" localSheetId="7" hidden="1">{"'Sheet1'!$L$16"}</definedName>
    <definedName name="asssss" hidden="1">{"'Sheet1'!$L$16"}</definedName>
    <definedName name="aswd" hidden="1">{"'Sheet1'!$L$16"}</definedName>
    <definedName name="AT" localSheetId="1" hidden="1">#REF!</definedName>
    <definedName name="AT" hidden="1">#REF!</definedName>
    <definedName name="atdakdh" hidden="1">#REF!</definedName>
    <definedName name="ATGT" localSheetId="1" hidden="1">{"'Sheet1'!$L$16"}</definedName>
    <definedName name="ATGT" localSheetId="3" hidden="1">{"'Sheet1'!$L$16"}</definedName>
    <definedName name="ATGT" localSheetId="4" hidden="1">{"'Sheet1'!$L$16"}</definedName>
    <definedName name="ATGT" localSheetId="5" hidden="1">{"'Sheet1'!$L$16"}</definedName>
    <definedName name="ATGT" localSheetId="7" hidden="1">{"'Sheet1'!$L$16"}</definedName>
    <definedName name="ATGT" hidden="1">{"'Sheet1'!$L$16"}</definedName>
    <definedName name="atien1" hidden="1">{"'Sheet1'!$L$16"}</definedName>
    <definedName name="ATRAM">#REF!</definedName>
    <definedName name="avađsf" localSheetId="1" hidden="1">{0,#N/A,FALSE,0;0,#N/A,FALSE,0;0,#N/A,FALSE,0;0,#N/A,FALSE,0;0,#N/A,FALSE,0;0,#N/A,FALSE,0;0,#N/A,FALSE,0}</definedName>
    <definedName name="avađsf" localSheetId="3" hidden="1">{0,#N/A,FALSE,0;0,#N/A,FALSE,0;0,#N/A,FALSE,0;0,#N/A,FALSE,0;0,#N/A,FALSE,0;0,#N/A,FALSE,0;0,#N/A,FALSE,0}</definedName>
    <definedName name="avađsf" localSheetId="4" hidden="1">{0,#N/A,FALSE,0;0,#N/A,FALSE,0;0,#N/A,FALSE,0;0,#N/A,FALSE,0;0,#N/A,FALSE,0;0,#N/A,FALSE,0;0,#N/A,FALSE,0}</definedName>
    <definedName name="avađsf" localSheetId="5" hidden="1">{0,#N/A,FALSE,0;0,#N/A,FALSE,0;0,#N/A,FALSE,0;0,#N/A,FALSE,0;0,#N/A,FALSE,0;0,#N/A,FALSE,0;0,#N/A,FALSE,0}</definedName>
    <definedName name="avađsf" localSheetId="7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Avl">#REF!</definedName>
    <definedName name="awegw" hidden="1">{#N/A,#N/A,TRUE,"BT M200 da 10x20"}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 hidden="1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ZZ" hidden="1">#REF!</definedName>
    <definedName name="ắd">#REF!</definedName>
    <definedName name="ĂEQWEA">#REF!</definedName>
    <definedName name="ĂERASD">#REF!</definedName>
    <definedName name="ĂFRSGDF" localSheetId="1" hidden="1">{"'Sheet1'!$L$16"}</definedName>
    <definedName name="ĂFRSGDF" localSheetId="3" hidden="1">{"'Sheet1'!$L$16"}</definedName>
    <definedName name="ĂFRSGDF" localSheetId="4" hidden="1">{"'Sheet1'!$L$16"}</definedName>
    <definedName name="ĂFRSGDF" localSheetId="5" hidden="1">{"'Sheet1'!$L$16"}</definedName>
    <definedName name="ĂFRSGDF" localSheetId="7" hidden="1">{"'Sheet1'!$L$16"}</definedName>
    <definedName name="ĂFRSGDF" hidden="1">{"'Sheet1'!$L$16"}</definedName>
    <definedName name="â">{"'Sheet1'!$L$16"}</definedName>
    <definedName name="ầ" localSheetId="1" hidden="1">{"'Sheet1'!$L$16"}</definedName>
    <definedName name="ầ" localSheetId="3" hidden="1">{"'Sheet1'!$L$16"}</definedName>
    <definedName name="ầ" localSheetId="4" hidden="1">{"'Sheet1'!$L$16"}</definedName>
    <definedName name="ầ" localSheetId="5" hidden="1">{"'Sheet1'!$L$16"}</definedName>
    <definedName name="ầ" localSheetId="7" hidden="1">{"'Sheet1'!$L$16"}</definedName>
    <definedName name="ầ" hidden="1">{"'Sheet1'!$L$16"}</definedName>
    <definedName name="ầấgdf">#REF!</definedName>
    <definedName name="ấdfas">#REF!</definedName>
    <definedName name="ầgfabg" hidden="1">#REF!</definedName>
    <definedName name="b" localSheetId="1" hidden="1">#REF!</definedName>
    <definedName name="b" hidden="1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_101">#REF!</definedName>
    <definedName name="b_102">#REF!</definedName>
    <definedName name="b_103">#REF!</definedName>
    <definedName name="b_31">#REF!</definedName>
    <definedName name="b_32">#REF!</definedName>
    <definedName name="b_33">#REF!</definedName>
    <definedName name="b_34">#REF!</definedName>
    <definedName name="b_41">#REF!</definedName>
    <definedName name="b_42">#REF!</definedName>
    <definedName name="b_51">#REF!</definedName>
    <definedName name="b_52">#REF!</definedName>
    <definedName name="b_71">#REF!</definedName>
    <definedName name="b_72">#REF!</definedName>
    <definedName name="b_81">#REF!</definedName>
    <definedName name="b_82">#REF!</definedName>
    <definedName name="b_83">#REF!</definedName>
    <definedName name="b_91">#REF!</definedName>
    <definedName name="b_92">#REF!</definedName>
    <definedName name="b_93">#REF!</definedName>
    <definedName name="b_94">#REF!</definedName>
    <definedName name="b_95">#REF!</definedName>
    <definedName name="b_96">#REF!</definedName>
    <definedName name="b_97">#REF!</definedName>
    <definedName name="B_BALOK">#REF!</definedName>
    <definedName name="B_Isc">#REF!</definedName>
    <definedName name="B_KOLOM">#REF!</definedName>
    <definedName name="B_LISPLANK">#REF!</definedName>
    <definedName name="B_PLAT">#REF!</definedName>
    <definedName name="B_SLOOF">#REF!</definedName>
    <definedName name="B_TANGGA">#REF!</definedName>
    <definedName name="B_tinh">#REF!</definedName>
    <definedName name="B_WALL">#REF!</definedName>
    <definedName name="b14b" localSheetId="1" hidden="1">{"'Sheet1'!$L$16"}</definedName>
    <definedName name="b14b" localSheetId="3" hidden="1">{"'Sheet1'!$L$16"}</definedName>
    <definedName name="b14b" localSheetId="4" hidden="1">{"'Sheet1'!$L$16"}</definedName>
    <definedName name="b14b" localSheetId="5" hidden="1">{"'Sheet1'!$L$16"}</definedName>
    <definedName name="b14b" localSheetId="7" hidden="1">{"'Sheet1'!$L$16"}</definedName>
    <definedName name="b14b" hidden="1">{"'Sheet1'!$L$16"}</definedName>
    <definedName name="b14b1" localSheetId="1" hidden="1">{"'Sheet1'!$L$16"}</definedName>
    <definedName name="b14b1" localSheetId="3" hidden="1">{"'Sheet1'!$L$16"}</definedName>
    <definedName name="b14b1" localSheetId="4" hidden="1">{"'Sheet1'!$L$16"}</definedName>
    <definedName name="b14b1" localSheetId="5" hidden="1">{"'Sheet1'!$L$16"}</definedName>
    <definedName name="b14b1" localSheetId="7" hidden="1">{"'Sheet1'!$L$16"}</definedName>
    <definedName name="b14b1" hidden="1">{"'Sheet1'!$L$16"}</definedName>
    <definedName name="B6a" localSheetId="1" hidden="1">{"'Sheet1'!$L$16"}</definedName>
    <definedName name="B6a" hidden="1">{"'Sheet1'!$L$16"}</definedName>
    <definedName name="BacHang">#REF!</definedName>
    <definedName name="BAHAN">#REF!</definedName>
    <definedName name="Bai_ducdam_coc">#REF!</definedName>
    <definedName name="BALOK">#REF!</definedName>
    <definedName name="ban_dan">#REF!</definedName>
    <definedName name="banding">#REF!</definedName>
    <definedName name="banQL" localSheetId="1" hidden="1">{"'Sheet1'!$L$16"}</definedName>
    <definedName name="banQL" localSheetId="3" hidden="1">{"'Sheet1'!$L$16"}</definedName>
    <definedName name="banQL" localSheetId="4" hidden="1">{"'Sheet1'!$L$16"}</definedName>
    <definedName name="banQL" localSheetId="5" hidden="1">{"'Sheet1'!$L$16"}</definedName>
    <definedName name="banQL" localSheetId="7" hidden="1">{"'Sheet1'!$L$16"}</definedName>
    <definedName name="banQL" hidden="1">{"'Sheet1'!$L$16"}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chu">#REF!</definedName>
    <definedName name="BangGia">#REF!</definedName>
    <definedName name="Bangtienluong">#REF!</definedName>
    <definedName name="BarData">#REF!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a">#REF!</definedName>
    <definedName name="bataco">#REF!</definedName>
    <definedName name="BAVF" hidden="1">{"'Sheet1'!$L$16"}</definedName>
    <definedName name="BAX">#REF!</definedName>
    <definedName name="baxvvvv">{"'Sheet1'!$L$16"}</definedName>
    <definedName name="BB">#REF!</definedName>
    <definedName name="BBB" localSheetId="1" hidden="1">{"'Sheet1'!$L$16"}</definedName>
    <definedName name="BBB" localSheetId="3" hidden="1">{"'Sheet1'!$L$16"}</definedName>
    <definedName name="BBB" localSheetId="4" hidden="1">{"'Sheet1'!$L$16"}</definedName>
    <definedName name="BBB" localSheetId="5" hidden="1">{"'Sheet1'!$L$16"}</definedName>
    <definedName name="BBB" localSheetId="7" hidden="1">{"'Sheet1'!$L$16"}</definedName>
    <definedName name="BBB" hidden="1">{"'Sheet1'!$L$16"}</definedName>
    <definedName name="ｂｂｂ">{"'Sheet1'!$L$16"}</definedName>
    <definedName name="bbbb" localSheetId="1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3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4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5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7" hidden="1">{"Offgrid",#N/A,FALSE,"OFFGRID";"Region",#N/A,FALSE,"REGION";"Offgrid -2",#N/A,FALSE,"OFFGRID";"WTP",#N/A,FALSE,"WTP";"WTP -2",#N/A,FALSE,"WTP";"Project",#N/A,FALSE,"PROJECT";"Summary -2",#N/A,FALSE,"SUMMARY"}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>{"'Sheet1'!$L$16"}</definedName>
    <definedName name="ｂｂｂｂｂ">{"'Sheet1'!$L$16"}</definedName>
    <definedName name="BBBG" localSheetId="1" hidden="1">{"'Sheet1'!$L$16"}</definedName>
    <definedName name="BBBG" localSheetId="3" hidden="1">{"'Sheet1'!$L$16"}</definedName>
    <definedName name="BBBG" localSheetId="4" hidden="1">{"'Sheet1'!$L$16"}</definedName>
    <definedName name="BBBG" localSheetId="5" hidden="1">{"'Sheet1'!$L$16"}</definedName>
    <definedName name="BBBG" localSheetId="7" hidden="1">{"'Sheet1'!$L$16"}</definedName>
    <definedName name="BBBG" hidden="1">{"'Sheet1'!$L$16"}</definedName>
    <definedName name="bbfd" localSheetId="1" hidden="1">{#N/A,#N/A,FALSE,"Chi tiÆt"}</definedName>
    <definedName name="bbfd" localSheetId="3" hidden="1">{#N/A,#N/A,FALSE,"Chi tiÆt"}</definedName>
    <definedName name="bbfd" localSheetId="4" hidden="1">{#N/A,#N/A,FALSE,"Chi tiÆt"}</definedName>
    <definedName name="bbfd" localSheetId="5" hidden="1">{#N/A,#N/A,FALSE,"Chi tiÆt"}</definedName>
    <definedName name="bbfd" localSheetId="7" hidden="1">{#N/A,#N/A,FALSE,"Chi tiÆt"}</definedName>
    <definedName name="bbfd" hidden="1">{#N/A,#N/A,FALSE,"Chi tiÆt"}</definedName>
    <definedName name="BBKK" localSheetId="1" hidden="1">{"'Sheet1'!$L$16"}</definedName>
    <definedName name="BBKK" localSheetId="3" hidden="1">{"'Sheet1'!$L$16"}</definedName>
    <definedName name="BBKK" localSheetId="4" hidden="1">{"'Sheet1'!$L$16"}</definedName>
    <definedName name="BBKK" localSheetId="5" hidden="1">{"'Sheet1'!$L$16"}</definedName>
    <definedName name="BBKK" localSheetId="7" hidden="1">{"'Sheet1'!$L$16"}</definedName>
    <definedName name="BBKK" hidden="1">{"'Sheet1'!$L$16"}</definedName>
    <definedName name="bbtd" hidden="1">{"'Sheet1'!$L$16"}</definedName>
    <definedName name="BBX">#REF!</definedName>
    <definedName name="bc" localSheetId="1" hidden="1">{"'Sheet1'!$L$16"}</definedName>
    <definedName name="bc" localSheetId="3" hidden="1">{"'Sheet1'!$L$16"}</definedName>
    <definedName name="bc" localSheetId="4" hidden="1">{"'Sheet1'!$L$16"}</definedName>
    <definedName name="bc" localSheetId="5" hidden="1">{"'Sheet1'!$L$16"}</definedName>
    <definedName name="bc" localSheetId="7" hidden="1">{"'Sheet1'!$L$16"}</definedName>
    <definedName name="bc" hidden="1">{"'Sheet1'!$L$16"}</definedName>
    <definedName name="bcktktbtg">#REF!</definedName>
    <definedName name="bcktktx">#REF!</definedName>
    <definedName name="bcktkty1">#REF!</definedName>
    <definedName name="bcktkty2">#REF!</definedName>
    <definedName name="bcktkty3">#REF!</definedName>
    <definedName name="bcktkty4">#REF!</definedName>
    <definedName name="bcktkty5">#REF!</definedName>
    <definedName name="BCTQ" localSheetId="1" hidden="1">{"'Sheet1'!$L$16"}</definedName>
    <definedName name="BCTQ" localSheetId="3" hidden="1">{"'Sheet1'!$L$16"}</definedName>
    <definedName name="BCTQ" localSheetId="4" hidden="1">{"'Sheet1'!$L$16"}</definedName>
    <definedName name="BCTQ" localSheetId="5" hidden="1">{"'Sheet1'!$L$16"}</definedName>
    <definedName name="BCTQ" localSheetId="7" hidden="1">{"'Sheet1'!$L$16"}</definedName>
    <definedName name="BCTQ" hidden="1">{"'Sheet1'!$L$16"}</definedName>
    <definedName name="bcv" localSheetId="1" hidden="1">{"'Sheet1'!$L$16"}</definedName>
    <definedName name="bcv" localSheetId="3" hidden="1">{"'Sheet1'!$L$16"}</definedName>
    <definedName name="bcv" localSheetId="4" hidden="1">{"'Sheet1'!$L$16"}</definedName>
    <definedName name="bcv" localSheetId="5" hidden="1">{"'Sheet1'!$L$16"}</definedName>
    <definedName name="bcv" localSheetId="7" hidden="1">{"'Sheet1'!$L$16"}</definedName>
    <definedName name="bcv" hidden="1">{"'Sheet1'!$L$16"}</definedName>
    <definedName name="BCX">#REF!</definedName>
    <definedName name="bd">#N/A</definedName>
    <definedName name="BDAY">#REF!</definedName>
    <definedName name="BDFBDFBDF" localSheetId="1" hidden="1">{"'Sheet1'!$L$16"}</definedName>
    <definedName name="BDFBDFBDF" localSheetId="3" hidden="1">{"'Sheet1'!$L$16"}</definedName>
    <definedName name="BDFBDFBDF" localSheetId="4" hidden="1">{"'Sheet1'!$L$16"}</definedName>
    <definedName name="BDFBDFBDF" localSheetId="5" hidden="1">{"'Sheet1'!$L$16"}</definedName>
    <definedName name="BDFBDFBDF" localSheetId="7" hidden="1">{"'Sheet1'!$L$16"}</definedName>
    <definedName name="BDFBDFBDF" hidden="1">{"'Sheet1'!$L$16"}</definedName>
    <definedName name="BDGNDNGB" localSheetId="1" hidden="1">{"'Sheet1'!$L$16"}</definedName>
    <definedName name="BDGNDNGB" localSheetId="3" hidden="1">{"'Sheet1'!$L$16"}</definedName>
    <definedName name="BDGNDNGB" localSheetId="4" hidden="1">{"'Sheet1'!$L$16"}</definedName>
    <definedName name="BDGNDNGB" localSheetId="5" hidden="1">{"'Sheet1'!$L$16"}</definedName>
    <definedName name="BDGNDNGB" localSheetId="7" hidden="1">{"'Sheet1'!$L$16"}</definedName>
    <definedName name="BDGNDNGB" hidden="1">{"'Sheet1'!$L$16"}</definedName>
    <definedName name="bdia6">#REF!</definedName>
    <definedName name="bdv">{"'Sheet1'!$L$16"}</definedName>
    <definedName name="Be_duc_dam">#REF!</definedName>
    <definedName name="BE_TONG">#REF!</definedName>
    <definedName name="BE100M">#REF!</definedName>
    <definedName name="BE50M">#REF!</definedName>
    <definedName name="Beboi" localSheetId="1" hidden="1">{#N/A,#N/A,FALSE,"Chi tiÆt"}</definedName>
    <definedName name="Beboi" localSheetId="3" hidden="1">{#N/A,#N/A,FALSE,"Chi tiÆt"}</definedName>
    <definedName name="Beboi" localSheetId="4" hidden="1">{#N/A,#N/A,FALSE,"Chi tiÆt"}</definedName>
    <definedName name="Beboi" localSheetId="5" hidden="1">{#N/A,#N/A,FALSE,"Chi tiÆt"}</definedName>
    <definedName name="Beboi" localSheetId="7" hidden="1">{#N/A,#N/A,FALSE,"Chi tiÆt"}</definedName>
    <definedName name="Beboi" hidden="1">{#N/A,#N/A,FALSE,"Chi tiÆt"}</definedName>
    <definedName name="bendrat">#REF!</definedName>
    <definedName name="benuoc">#REF!</definedName>
    <definedName name="bengam">#REF!</definedName>
    <definedName name="Bep">#REF!</definedName>
    <definedName name="beton_175">#REF!</definedName>
    <definedName name="beton_225">#REF!</definedName>
    <definedName name="beton_300">#REF!</definedName>
    <definedName name="betong150">#REF!</definedName>
    <definedName name="betong200">#REF!</definedName>
    <definedName name="Bezugsfeld">#REF!</definedName>
    <definedName name="bfbfdhfdhdfgh" hidden="1">{#N/A,#N/A,FALSE,"CCTV"}</definedName>
    <definedName name="BFDBRBSD" localSheetId="1" hidden="1">{"NGUYEN QUI THIEP - Personal View",#N/A,FALSE,"XDCB.HT.FUR."}</definedName>
    <definedName name="BFDBRBSD" localSheetId="3" hidden="1">{"NGUYEN QUI THIEP - Personal View",#N/A,FALSE,"XDCB.HT.FUR."}</definedName>
    <definedName name="BFDBRBSD" localSheetId="4" hidden="1">{"NGUYEN QUI THIEP - Personal View",#N/A,FALSE,"XDCB.HT.FUR."}</definedName>
    <definedName name="BFDBRBSD" localSheetId="5" hidden="1">{"NGUYEN QUI THIEP - Personal View",#N/A,FALSE,"XDCB.HT.FUR."}</definedName>
    <definedName name="BFDBRBSD" localSheetId="7" hidden="1">{"NGUYEN QUI THIEP - Personal View",#N/A,FALSE,"XDCB.HT.FUR."}</definedName>
    <definedName name="BFDBRBSD" hidden="1">{"NGUYEN QUI THIEP - Personal View",#N/A,FALSE,"XDCB.HT.FUR."}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hhfkjfegg" hidden="1">{"'Sheet1'!$L$16"}</definedName>
    <definedName name="BFSBFD" localSheetId="1" hidden="1">{"'Sheet1'!$L$16"}</definedName>
    <definedName name="BFSBFD" localSheetId="3" hidden="1">{"'Sheet1'!$L$16"}</definedName>
    <definedName name="BFSBFD" localSheetId="4" hidden="1">{"'Sheet1'!$L$16"}</definedName>
    <definedName name="BFSBFD" localSheetId="5" hidden="1">{"'Sheet1'!$L$16"}</definedName>
    <definedName name="BFSBFD" localSheetId="7" hidden="1">{"'Sheet1'!$L$16"}</definedName>
    <definedName name="BFSBFD" hidden="1">{"'Sheet1'!$L$16"}</definedName>
    <definedName name="bg" localSheetId="1" hidden="1">{"'Sheet1'!$L$16"}</definedName>
    <definedName name="bg" localSheetId="3" hidden="1">{"'Sheet1'!$L$16"}</definedName>
    <definedName name="bg" localSheetId="4" hidden="1">{"'Sheet1'!$L$16"}</definedName>
    <definedName name="bg" localSheetId="5" hidden="1">{"'Sheet1'!$L$16"}</definedName>
    <definedName name="bg" localSheetId="7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fdhgfg">#REF!</definedName>
    <definedName name="BGFNC" localSheetId="1" hidden="1">{"'Sheet1'!$L$16"}</definedName>
    <definedName name="BGFNC" localSheetId="3" hidden="1">{"'Sheet1'!$L$16"}</definedName>
    <definedName name="BGFNC" localSheetId="4" hidden="1">{"'Sheet1'!$L$16"}</definedName>
    <definedName name="BGFNC" localSheetId="5" hidden="1">{"'Sheet1'!$L$16"}</definedName>
    <definedName name="BGFNC" localSheetId="7" hidden="1">{"'Sheet1'!$L$16"}</definedName>
    <definedName name="BGFNC" hidden="1">{"'Sheet1'!$L$16"}</definedName>
    <definedName name="BGSFGSD" localSheetId="1" hidden="1">{"'Sheet1'!$L$16"}</definedName>
    <definedName name="BGSFGSD" localSheetId="3" hidden="1">{"'Sheet1'!$L$16"}</definedName>
    <definedName name="BGSFGSD" localSheetId="4" hidden="1">{"'Sheet1'!$L$16"}</definedName>
    <definedName name="BGSFGSD" localSheetId="5" hidden="1">{"'Sheet1'!$L$16"}</definedName>
    <definedName name="BGSFGSD" localSheetId="7" hidden="1">{"'Sheet1'!$L$16"}</definedName>
    <definedName name="BGSFGSD" hidden="1">{"'Sheet1'!$L$16"}</definedName>
    <definedName name="Bgiang" localSheetId="1" hidden="1">{"'Sheet1'!$L$16"}</definedName>
    <definedName name="Bgiang" localSheetId="3" hidden="1">{"'Sheet1'!$L$16"}</definedName>
    <definedName name="Bgiang" localSheetId="4" hidden="1">{"'Sheet1'!$L$16"}</definedName>
    <definedName name="Bgiang" localSheetId="5" hidden="1">{"'Sheet1'!$L$16"}</definedName>
    <definedName name="Bgiang" localSheetId="7" hidden="1">{"'Sheet1'!$L$16"}</definedName>
    <definedName name="Bgiang" hidden="1">{"'Sheet1'!$L$16"}</definedName>
    <definedName name="BHDB">{"'Sheet1'!$L$16"}</definedName>
    <definedName name="bhfh">{"'Sheet1'!$L$16"}</definedName>
    <definedName name="bhfjjrghkh" hidden="1">{"'Sheet1'!$L$16"}</definedName>
    <definedName name="bhhdfhfj" hidden="1">{"'Sheet1'!$L$16"}</definedName>
    <definedName name="Bhthang4" hidden="1">{#N/A,#N/A,FALSE,"Chi tiÆt"}</definedName>
    <definedName name="bhthang5" hidden="1">{#N/A,#N/A,FALSE,"Chi tiÆt"}</definedName>
    <definedName name="bhthang6" localSheetId="1" hidden="1">{"'Sheet1'!$L$16"}</definedName>
    <definedName name="bhthang6" localSheetId="3" hidden="1">{"'Sheet1'!$L$16"}</definedName>
    <definedName name="bhthang6" localSheetId="4" hidden="1">{"'Sheet1'!$L$16"}</definedName>
    <definedName name="bhthang6" localSheetId="5" hidden="1">{"'Sheet1'!$L$16"}</definedName>
    <definedName name="bhthang6" localSheetId="7" hidden="1">{"'Sheet1'!$L$16"}</definedName>
    <definedName name="bhthang6" hidden="1">{"'Sheet1'!$L$16"}</definedName>
    <definedName name="bia">#REF!</definedName>
    <definedName name="Bien1" hidden="1">#REF!</definedName>
    <definedName name="bienbanthamdinh">#REF!</definedName>
    <definedName name="BIGC" localSheetId="1" hidden="1">{#N/A,#N/A,TRUE,"Str.";#N/A,#N/A,TRUE,"Steel &amp; Roof";#N/A,#N/A,TRUE,"Arc.";#N/A,#N/A,TRUE,"Preliminary";#N/A,#N/A,TRUE,"Sum_Prelim"}</definedName>
    <definedName name="BIGC" localSheetId="3" hidden="1">{#N/A,#N/A,TRUE,"Str.";#N/A,#N/A,TRUE,"Steel &amp; Roof";#N/A,#N/A,TRUE,"Arc.";#N/A,#N/A,TRUE,"Preliminary";#N/A,#N/A,TRUE,"Sum_Prelim"}</definedName>
    <definedName name="BIGC" localSheetId="4" hidden="1">{#N/A,#N/A,TRUE,"Str.";#N/A,#N/A,TRUE,"Steel &amp; Roof";#N/A,#N/A,TRUE,"Arc.";#N/A,#N/A,TRUE,"Preliminary";#N/A,#N/A,TRUE,"Sum_Prelim"}</definedName>
    <definedName name="BIGC" localSheetId="5" hidden="1">{#N/A,#N/A,TRUE,"Str.";#N/A,#N/A,TRUE,"Steel &amp; Roof";#N/A,#N/A,TRUE,"Arc.";#N/A,#N/A,TRUE,"Preliminary";#N/A,#N/A,TRUE,"Sum_Prelim"}</definedName>
    <definedName name="BIGC" localSheetId="7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nh" localSheetId="1" hidden="1">{"'Sheet1'!$L$16"}</definedName>
    <definedName name="Binh" localSheetId="3" hidden="1">{"'Sheet1'!$L$16"}</definedName>
    <definedName name="Binh" localSheetId="4" hidden="1">{"'Sheet1'!$L$16"}</definedName>
    <definedName name="Binh" localSheetId="5" hidden="1">{"'Sheet1'!$L$16"}</definedName>
    <definedName name="Binh" localSheetId="7" hidden="1">{"'Sheet1'!$L$16"}</definedName>
    <definedName name="Binh" hidden="1">{"'Sheet1'!$L$16"}</definedName>
    <definedName name="BJ">#REF!</definedName>
    <definedName name="BldRatio">#REF!</definedName>
    <definedName name="blkh">#REF!</definedName>
    <definedName name="blkh1">#REF!</definedName>
    <definedName name="BM" hidden="1">#REF!</definedName>
    <definedName name="bmcb">#REF!</definedName>
    <definedName name="BMS" localSheetId="1" hidden="1">{"'Sheet1'!$L$16"}</definedName>
    <definedName name="BMS" localSheetId="3" hidden="1">{"'Sheet1'!$L$16"}</definedName>
    <definedName name="BMS" localSheetId="4" hidden="1">{"'Sheet1'!$L$16"}</definedName>
    <definedName name="BMS" localSheetId="5" hidden="1">{"'Sheet1'!$L$16"}</definedName>
    <definedName name="BMS" localSheetId="7" hidden="1">{"'Sheet1'!$L$16"}</definedName>
    <definedName name="BMS" hidden="1">{"'Sheet1'!$L$16"}</definedName>
    <definedName name="BN" localSheetId="1" hidden="1">{"'Sheet1'!$L$16"}</definedName>
    <definedName name="BN" localSheetId="3" hidden="1">{"'Sheet1'!$L$16"}</definedName>
    <definedName name="BN" localSheetId="4" hidden="1">{"'Sheet1'!$L$16"}</definedName>
    <definedName name="BN" localSheetId="5" hidden="1">{"'Sheet1'!$L$16"}</definedName>
    <definedName name="BN" localSheetId="7" hidden="1">{"'Sheet1'!$L$16"}</definedName>
    <definedName name="BN" hidden="1">{"'Sheet1'!$L$16"}</definedName>
    <definedName name="bnm" localSheetId="1" hidden="1">{#N/A,#N/A,FALSE,"Chi tiÆt"}</definedName>
    <definedName name="bnm" localSheetId="3" hidden="1">{#N/A,#N/A,FALSE,"Chi tiÆt"}</definedName>
    <definedName name="bnm" localSheetId="4" hidden="1">{#N/A,#N/A,FALSE,"Chi tiÆt"}</definedName>
    <definedName name="bnm" localSheetId="5" hidden="1">{#N/A,#N/A,FALSE,"Chi tiÆt"}</definedName>
    <definedName name="bnm" localSheetId="7" hidden="1">{#N/A,#N/A,FALSE,"Chi tiÆt"}</definedName>
    <definedName name="bnm" hidden="1">{#N/A,#N/A,FALSE,"Chi tiÆt"}</definedName>
    <definedName name="bo" localSheetId="1" hidden="1">{0,0,0,0;0,0,0,0;0,0,0,0;0,0,0,0;0,0,0,0;0,0,0,0;0,0,0,0}</definedName>
    <definedName name="bo" localSheetId="3" hidden="1">{0,0,0,0;0,0,0,0;0,0,0,0;0,0,0,0;0,0,0,0;0,0,0,0;0,0,0,0}</definedName>
    <definedName name="bo" localSheetId="4" hidden="1">{0,0,0,0;0,0,0,0;0,0,0,0;0,0,0,0;0,0,0,0;0,0,0,0;0,0,0,0}</definedName>
    <definedName name="bo" localSheetId="5" hidden="1">{0,0,0,0;0,0,0,0;0,0,0,0;0,0,0,0;0,0,0,0;0,0,0,0;0,0,0,0}</definedName>
    <definedName name="bo" localSheetId="7" hidden="1">{0,0,0,0;0,0,0,0;0,0,0,0;0,0,0,0;0,0,0,0;0,0,0,0;0,0,0,0}</definedName>
    <definedName name="bo" hidden="1">{0,0,0,0;0,0,0,0;0,0,0,0;0,0,0,0;0,0,0,0;0,0,0,0;0,0,0,0}</definedName>
    <definedName name="BocXep">#REF!</definedName>
    <definedName name="Book2">#REF!</definedName>
    <definedName name="boom">#REF!</definedName>
    <definedName name="BOQ" localSheetId="1">{"Book1","BoQ2.XLS"}</definedName>
    <definedName name="BOQ">{"Book1","BoQ2.XLS"}</definedName>
    <definedName name="BOQA2" localSheetId="1" hidden="1">{"'Sheet1'!$L$16"}</definedName>
    <definedName name="BOQA2" hidden="1">{"'Sheet1'!$L$16"}</definedName>
    <definedName name="BOQCongtruong" hidden="1">#REF!</definedName>
    <definedName name="bosung">{"'Sheet1'!$L$16"}</definedName>
    <definedName name="botda">#REF!</definedName>
    <definedName name="botmau">#REF!</definedName>
    <definedName name="BQLTB">#REF!</definedName>
    <definedName name="BQLXL">#REF!</definedName>
    <definedName name="BREAK" localSheetId="1" hidden="1">{#N/A,#N/A,FALSE,"CCTV"}</definedName>
    <definedName name="BREAK" localSheetId="3" hidden="1">{#N/A,#N/A,FALSE,"CCTV"}</definedName>
    <definedName name="BREAK" localSheetId="4" hidden="1">{#N/A,#N/A,FALSE,"CCTV"}</definedName>
    <definedName name="BREAK" localSheetId="5" hidden="1">{#N/A,#N/A,FALSE,"CCTV"}</definedName>
    <definedName name="BREAK" localSheetId="7" hidden="1">{#N/A,#N/A,FALSE,"CCTV"}</definedName>
    <definedName name="BREAK" hidden="1">{#N/A,#N/A,FALSE,"CCTV"}</definedName>
    <definedName name="BS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" hidden="1">{"'Sheet1'!$L$16"}</definedName>
    <definedName name="BSFSDBVSD" localSheetId="1" hidden="1">{"'Sheet1'!$L$16"}</definedName>
    <definedName name="BSFSDBVSD" localSheetId="3" hidden="1">{"'Sheet1'!$L$16"}</definedName>
    <definedName name="BSFSDBVSD" localSheetId="4" hidden="1">{"'Sheet1'!$L$16"}</definedName>
    <definedName name="BSFSDBVSD" localSheetId="5" hidden="1">{"'Sheet1'!$L$16"}</definedName>
    <definedName name="BSFSDBVSD" localSheetId="7" hidden="1">{"'Sheet1'!$L$16"}</definedName>
    <definedName name="BSFSDBVSD" hidden="1">{"'Sheet1'!$L$16"}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">#REF!</definedName>
    <definedName name="BT_CT_Mong_Mo_Tru_Cau">#REF!</definedName>
    <definedName name="bt_kali">#REF!</definedName>
    <definedName name="btai">#N/A</definedName>
    <definedName name="btcot">#REF!</definedName>
    <definedName name="BTCOTM3">#REF!</definedName>
    <definedName name="btdam">#REF!</definedName>
    <definedName name="BTK">#REF!</definedName>
    <definedName name="btl" localSheetId="1" hidden="1">{"'Sheet1'!$L$16"}</definedName>
    <definedName name="btl" localSheetId="3" hidden="1">{"'Sheet1'!$L$16"}</definedName>
    <definedName name="btl" localSheetId="4" hidden="1">{"'Sheet1'!$L$16"}</definedName>
    <definedName name="btl" localSheetId="5" hidden="1">{"'Sheet1'!$L$16"}</definedName>
    <definedName name="btl" localSheetId="7" hidden="1">{"'Sheet1'!$L$16"}</definedName>
    <definedName name="btl" hidden="1">{"'Sheet1'!$L$16"}</definedName>
    <definedName name="btn">#REF!</definedName>
    <definedName name="BTN_CPDD_tuoi_nhua_lot">#REF!</definedName>
    <definedName name="btnhuamin">#REF!</definedName>
    <definedName name="btnhuatho">#REF!</definedName>
    <definedName name="btsan">#REF!</definedName>
    <definedName name="BTSANMAIM3">#REF!</definedName>
    <definedName name="btthuongpham200">#REF!</definedName>
    <definedName name="btthuongpham250">#REF!</definedName>
    <definedName name="BTXADAMM3">#REF!</definedName>
    <definedName name="BTH" localSheetId="1" hidden="1">{"'Sheet1'!$L$16"}</definedName>
    <definedName name="BTH" localSheetId="3" hidden="1">{"'Sheet1'!$L$16"}</definedName>
    <definedName name="BTH" localSheetId="4" hidden="1">{"'Sheet1'!$L$16"}</definedName>
    <definedName name="BTH" localSheetId="5" hidden="1">{"'Sheet1'!$L$16"}</definedName>
    <definedName name="BTH" localSheetId="7" hidden="1">{"'Sheet1'!$L$16"}</definedName>
    <definedName name="BTH" hidden="1">{"'Sheet1'!$L$16"}</definedName>
    <definedName name="BTRAM">#REF!</definedName>
    <definedName name="bu" localSheetId="1" hidden="1">{"'Sheet1'!$L$16"}</definedName>
    <definedName name="bu" localSheetId="3" hidden="1">{"'Sheet1'!$L$16"}</definedName>
    <definedName name="bu" localSheetId="4" hidden="1">{"'Sheet1'!$L$16"}</definedName>
    <definedName name="bu" localSheetId="5" hidden="1">{"'Sheet1'!$L$16"}</definedName>
    <definedName name="bu" localSheetId="7" hidden="1">{"'Sheet1'!$L$16"}</definedName>
    <definedName name="bu" hidden="1">{"'Sheet1'!$L$16"}</definedName>
    <definedName name="BuGia">#REF!</definedName>
    <definedName name="bulan">#REF!</definedName>
    <definedName name="bulong">#REF!</definedName>
    <definedName name="Bulongma">8700</definedName>
    <definedName name="buoc">#REF!</definedName>
    <definedName name="Bust">#REF!</definedName>
    <definedName name="BVCISUMMARY">#REF!</definedName>
    <definedName name="bvhjggj" localSheetId="1" hidden="1">#REF!</definedName>
    <definedName name="bvhjggj" hidden="1">#REF!</definedName>
    <definedName name="BXBXCBC" localSheetId="1" hidden="1">{"'Sheet1'!$L$16"}</definedName>
    <definedName name="BXBXCBC" localSheetId="3" hidden="1">{"'Sheet1'!$L$16"}</definedName>
    <definedName name="BXBXCBC" localSheetId="4" hidden="1">{"'Sheet1'!$L$16"}</definedName>
    <definedName name="BXBXCBC" localSheetId="5" hidden="1">{"'Sheet1'!$L$16"}</definedName>
    <definedName name="BXBXCBC" localSheetId="7" hidden="1">{"'Sheet1'!$L$16"}</definedName>
    <definedName name="BXBXCBC" hidden="1">{"'Sheet1'!$L$16"}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101">#REF!</definedName>
    <definedName name="c_102">#REF!</definedName>
    <definedName name="c_103">#REF!</definedName>
    <definedName name="c_31">#REF!</definedName>
    <definedName name="c_32">#REF!</definedName>
    <definedName name="c_33">#REF!</definedName>
    <definedName name="c_34">#REF!</definedName>
    <definedName name="c_41">#REF!</definedName>
    <definedName name="c_42">#REF!</definedName>
    <definedName name="c_51">#REF!</definedName>
    <definedName name="c_52">#REF!</definedName>
    <definedName name="c_71">#REF!</definedName>
    <definedName name="c_72">#REF!</definedName>
    <definedName name="c_81">#REF!</definedName>
    <definedName name="c_82">#REF!</definedName>
    <definedName name="c_83">#REF!</definedName>
    <definedName name="c_83\">#REF!</definedName>
    <definedName name="c_91">#REF!</definedName>
    <definedName name="c_92">#REF!</definedName>
    <definedName name="c_93">#REF!</definedName>
    <definedName name="c_94">#REF!</definedName>
    <definedName name="c_95">#REF!</definedName>
    <definedName name="c_96">#REF!</definedName>
    <definedName name="c_97">#REF!</definedName>
    <definedName name="ca" localSheetId="1" hidden="1">{#N/A,#N/A,FALSE,"Chi tiÆt"}</definedName>
    <definedName name="ca" localSheetId="3" hidden="1">{#N/A,#N/A,FALSE,"Chi tiÆt"}</definedName>
    <definedName name="ca" localSheetId="4" hidden="1">{#N/A,#N/A,FALSE,"Chi tiÆt"}</definedName>
    <definedName name="ca" localSheetId="5" hidden="1">{#N/A,#N/A,FALSE,"Chi tiÆt"}</definedName>
    <definedName name="ca" localSheetId="7" hidden="1">{#N/A,#N/A,FALSE,"Chi tiÆt"}</definedName>
    <definedName name="ca" hidden="1">{#N/A,#N/A,FALSE,"Chi tiÆt"}</definedName>
    <definedName name="CA_PTVT">#REF!</definedName>
    <definedName name="cab" localSheetId="1" hidden="1">{#N/A,#N/A,FALSE,"Chi tiÆt"}</definedName>
    <definedName name="cab" localSheetId="3" hidden="1">{#N/A,#N/A,FALSE,"Chi tiÆt"}</definedName>
    <definedName name="cab" localSheetId="4" hidden="1">{#N/A,#N/A,FALSE,"Chi tiÆt"}</definedName>
    <definedName name="cab" localSheetId="5" hidden="1">{#N/A,#N/A,FALSE,"Chi tiÆt"}</definedName>
    <definedName name="cab" localSheetId="7" hidden="1">{#N/A,#N/A,FALSE,"Chi tiÆt"}</definedName>
    <definedName name="cab" hidden="1">{#N/A,#N/A,FALSE,"Chi tiÆt"}</definedName>
    <definedName name="Cable">{"'Sheet1'!$L$16"}</definedName>
    <definedName name="CAC_CONG_TAC_BE_TONG">#REF!</definedName>
    <definedName name="CACAU">298161</definedName>
    <definedName name="CachtinhCN1">#REF!</definedName>
    <definedName name="CachtinhCN2">#REF!</definedName>
    <definedName name="CachtinhCPLBCKTKT">#REF!</definedName>
    <definedName name="CachtinhCPLDADT">#REF!</definedName>
    <definedName name="CachtinhCPTKKT">#REF!</definedName>
    <definedName name="CachtinhCPTKTC">#REF!</definedName>
    <definedName name="CachtinhCPTKHTKT1">#REF!</definedName>
    <definedName name="CachtinhCPTKHTKT2">#REF!</definedName>
    <definedName name="CachtinhCPTTTKBVTC">#REF!</definedName>
    <definedName name="CachtinhCPTTTKKT">#REF!</definedName>
    <definedName name="CALBE">{"'Sheet1'!$L$16"}</definedName>
    <definedName name="cald" localSheetId="1" hidden="1">{#N/A,#N/A,FALSE,"CCTV"}</definedName>
    <definedName name="cald" localSheetId="3" hidden="1">{#N/A,#N/A,FALSE,"CCTV"}</definedName>
    <definedName name="cald" localSheetId="4" hidden="1">{#N/A,#N/A,FALSE,"CCTV"}</definedName>
    <definedName name="cald" localSheetId="5" hidden="1">{#N/A,#N/A,FALSE,"CCTV"}</definedName>
    <definedName name="cald" localSheetId="7" hidden="1">{#N/A,#N/A,FALSE,"CCTV"}</definedName>
    <definedName name="cald" hidden="1">{#N/A,#N/A,FALSE,"CCTV"}</definedName>
    <definedName name="CAMayTC">#REF!</definedName>
    <definedName name="came" localSheetId="1" hidden="1">{"'Sheet1'!$L$16"}</definedName>
    <definedName name="came" hidden="1">{"'Sheet1'!$L$16"}</definedName>
    <definedName name="CanBQL">#REF!</definedName>
    <definedName name="CANC">#REF!</definedName>
    <definedName name="CANCMay">#REF!</definedName>
    <definedName name="CanLePhi">#REF!</definedName>
    <definedName name="CanMT">#REF!</definedName>
    <definedName name="cao">#REF!</definedName>
    <definedName name="CaododayGa">{"'Sheet1'!$L$16"}</definedName>
    <definedName name="cap">#REF!</definedName>
    <definedName name="cap_DUL_va_TC">#REF!</definedName>
    <definedName name="cap0.7">#REF!</definedName>
    <definedName name="CAPTVT">#REF!</definedName>
    <definedName name="CARL" localSheetId="1" hidden="1">{#N/A,#N/A,FALSE,"CCTV"}</definedName>
    <definedName name="CARL" localSheetId="3" hidden="1">{#N/A,#N/A,FALSE,"CCTV"}</definedName>
    <definedName name="CARL" localSheetId="4" hidden="1">{#N/A,#N/A,FALSE,"CCTV"}</definedName>
    <definedName name="CARL" localSheetId="5" hidden="1">{#N/A,#N/A,FALSE,"CCTV"}</definedName>
    <definedName name="CARL" localSheetId="7" hidden="1">{#N/A,#N/A,FALSE,"CCTV"}</definedName>
    <definedName name="CARL" hidden="1">{#N/A,#N/A,FALSE,"CCTV"}</definedName>
    <definedName name="CARL1" localSheetId="1" hidden="1">{#N/A,#N/A,FALSE,"CCTV"}</definedName>
    <definedName name="CARL1" localSheetId="3" hidden="1">{#N/A,#N/A,FALSE,"CCTV"}</definedName>
    <definedName name="CARL1" localSheetId="4" hidden="1">{#N/A,#N/A,FALSE,"CCTV"}</definedName>
    <definedName name="CARL1" localSheetId="5" hidden="1">{#N/A,#N/A,FALSE,"CCTV"}</definedName>
    <definedName name="CARL1" localSheetId="7" hidden="1">{#N/A,#N/A,FALSE,"CCTV"}</definedName>
    <definedName name="CARL1" hidden="1">{#N/A,#N/A,FALSE,"CCTV"}</definedName>
    <definedName name="CARL2" localSheetId="1" hidden="1">{#N/A,#N/A,FALSE,"CCTV"}</definedName>
    <definedName name="CARL2" localSheetId="3" hidden="1">{#N/A,#N/A,FALSE,"CCTV"}</definedName>
    <definedName name="CARL2" localSheetId="4" hidden="1">{#N/A,#N/A,FALSE,"CCTV"}</definedName>
    <definedName name="CARL2" localSheetId="5" hidden="1">{#N/A,#N/A,FALSE,"CCTV"}</definedName>
    <definedName name="CARL2" localSheetId="7" hidden="1">{#N/A,#N/A,FALSE,"CCTV"}</definedName>
    <definedName name="CARL2" hidden="1">{#N/A,#N/A,FALSE,"CCTV"}</definedName>
    <definedName name="casf80">#REF!</definedName>
    <definedName name="cat">#REF!</definedName>
    <definedName name="Category_All">#REF!</definedName>
    <definedName name="CATIN">#N/A</definedName>
    <definedName name="CATJYOU">#N/A</definedName>
    <definedName name="catmin">#REF!</definedName>
    <definedName name="catnen">#REF!</definedName>
    <definedName name="CATSYU">#N/A</definedName>
    <definedName name="catvang">#REF!</definedName>
    <definedName name="CATHVT">#REF!</definedName>
    <definedName name="CATREC">#N/A</definedName>
    <definedName name="cau">#REF!</definedName>
    <definedName name="Caw">0.45-0.11</definedName>
    <definedName name="cay" localSheetId="1" hidden="1">{"'Sheet1'!$L$16"}</definedName>
    <definedName name="cay" localSheetId="3" hidden="1">{"'Sheet1'!$L$16"}</definedName>
    <definedName name="cay" localSheetId="4" hidden="1">{"'Sheet1'!$L$16"}</definedName>
    <definedName name="cay" localSheetId="5" hidden="1">{"'Sheet1'!$L$16"}</definedName>
    <definedName name="cay" localSheetId="7" hidden="1">{"'Sheet1'!$L$16"}</definedName>
    <definedName name="cay" hidden="1">{"'Sheet1'!$L$16"}</definedName>
    <definedName name="caychong">#REF!</definedName>
    <definedName name="CẪ" localSheetId="1" hidden="1">{"'Sheet1'!$L$16"}</definedName>
    <definedName name="CẪ" localSheetId="3" hidden="1">{"'Sheet1'!$L$16"}</definedName>
    <definedName name="CẪ" localSheetId="4" hidden="1">{"'Sheet1'!$L$16"}</definedName>
    <definedName name="CẪ" localSheetId="5" hidden="1">{"'Sheet1'!$L$16"}</definedName>
    <definedName name="CẪ" localSheetId="7" hidden="1">{"'Sheet1'!$L$16"}</definedName>
    <definedName name="CẪ" hidden="1">{"'Sheet1'!$L$16"}</definedName>
    <definedName name="Cb">#REF!</definedName>
    <definedName name="CBE50M">#REF!</definedName>
    <definedName name="cbnnbn">{"'Sheet1'!$L$16"}</definedName>
    <definedName name="Cbw">0.45/2-0.11</definedName>
    <definedName name="CBWorkbookPriority">-1807836116</definedName>
    <definedName name="cc">#REF!</definedName>
    <definedName name="ccc" localSheetId="1" hidden="1">{"'Sheet1'!$L$16"}</definedName>
    <definedName name="ccc" localSheetId="3" hidden="1">{"'Sheet1'!$L$16"}</definedName>
    <definedName name="ccc" localSheetId="4" hidden="1">{"'Sheet1'!$L$16"}</definedName>
    <definedName name="ccc" localSheetId="5" hidden="1">{"'Sheet1'!$L$16"}</definedName>
    <definedName name="ccc" localSheetId="7" hidden="1">{"'Sheet1'!$L$16"}</definedName>
    <definedName name="ccc" hidden="1">{"'Sheet1'!$L$16"}</definedName>
    <definedName name="cccc" hidden="1">{#N/A,#N/A,TRUE,"SUM";#N/A,#N/A,TRUE,"EE";#N/A,#N/A,TRUE,"AC";#N/A,#N/A,TRUE,"SN"}</definedName>
    <definedName name="CCS">#REF!</definedName>
    <definedName name="CCT">#REF!</definedName>
    <definedName name="cd">#REF!</definedName>
    <definedName name="CDAI">#REF!</definedName>
    <definedName name="CDAY">#REF!</definedName>
    <definedName name="CDD">#REF!</definedName>
    <definedName name="CDDD1PHA">#REF!</definedName>
    <definedName name="CDDD3PHA">#REF!</definedName>
    <definedName name="Cdnum">#REF!</definedName>
    <definedName name="cds" localSheetId="1" hidden="1">#REF!</definedName>
    <definedName name="cds" hidden="1">#REF!</definedName>
    <definedName name="cdsad">#REF!</definedName>
    <definedName name="ced" localSheetId="1" hidden="1">{#N/A,#N/A,FALSE,"Chi tiÆt"}</definedName>
    <definedName name="ced" localSheetId="3" hidden="1">{#N/A,#N/A,FALSE,"Chi tiÆt"}</definedName>
    <definedName name="ced" localSheetId="4" hidden="1">{#N/A,#N/A,FALSE,"Chi tiÆt"}</definedName>
    <definedName name="ced" localSheetId="5" hidden="1">{#N/A,#N/A,FALSE,"Chi tiÆt"}</definedName>
    <definedName name="ced" localSheetId="7" hidden="1">{#N/A,#N/A,FALSE,"Chi tiÆt"}</definedName>
    <definedName name="ced" hidden="1">{#N/A,#N/A,FALSE,"Chi tiÆt"}</definedName>
    <definedName name="ceiling">#REF!</definedName>
    <definedName name="Celling">{"'Sheet1'!$L$16"}</definedName>
    <definedName name="cfk">#REF!</definedName>
    <definedName name="cg" localSheetId="1" hidden="1">{"'Sheet1'!$L$16"}</definedName>
    <definedName name="cg" localSheetId="3" hidden="1">{"'Sheet1'!$L$16"}</definedName>
    <definedName name="cg" localSheetId="4" hidden="1">{"'Sheet1'!$L$16"}</definedName>
    <definedName name="cg" localSheetId="5" hidden="1">{"'Sheet1'!$L$16"}</definedName>
    <definedName name="cg" localSheetId="7" hidden="1">{"'Sheet1'!$L$16"}</definedName>
    <definedName name="cg" hidden="1">{"'Sheet1'!$L$16"}</definedName>
    <definedName name="CI_PTVT">#REF!</definedName>
    <definedName name="cjh" hidden="1">#REF!</definedName>
    <definedName name="CK">#REF!</definedName>
    <definedName name="CL">#REF!</definedName>
    <definedName name="CLECT">#REF!</definedName>
    <definedName name="CLIEOS">#REF!</definedName>
    <definedName name="clscw420j">#REF!</definedName>
    <definedName name="CLVC3">0.1</definedName>
    <definedName name="CLVC35">#REF!</definedName>
    <definedName name="CLVCTB">#REF!</definedName>
    <definedName name="CLVL">#REF!</definedName>
    <definedName name="CMC">{"'Sheet1'!$L$16"}</definedName>
    <definedName name="CN">#REF!</definedName>
    <definedName name="CN1btg">#REF!</definedName>
    <definedName name="CN1x">#REF!</definedName>
    <definedName name="CN1y1">#REF!</definedName>
    <definedName name="CN1y2">#REF!</definedName>
    <definedName name="CN1y3">#REF!</definedName>
    <definedName name="CN2btg">#REF!</definedName>
    <definedName name="CN2x">#REF!</definedName>
    <definedName name="CN2y1">#REF!</definedName>
    <definedName name="CN2y2">#REF!</definedName>
    <definedName name="CN2y3">#REF!</definedName>
    <definedName name="CN2y4">#REF!</definedName>
    <definedName name="CN2y5">#REF!</definedName>
    <definedName name="CNC">#REF!</definedName>
    <definedName name="CND">#REF!</definedName>
    <definedName name="CNG">#REF!</definedName>
    <definedName name="Co">#REF!</definedName>
    <definedName name="COAT">#N/A</definedName>
    <definedName name="coc">#REF!</definedName>
    <definedName name="Coc_60">{"'Sheet1'!$L$16"}</definedName>
    <definedName name="Coc_BTCT">#REF!</definedName>
    <definedName name="cocbtct">#REF!</definedName>
    <definedName name="coccat" localSheetId="1" hidden="1">{"'Sheet1'!$L$16"}</definedName>
    <definedName name="coccat" localSheetId="3" hidden="1">{"'Sheet1'!$L$16"}</definedName>
    <definedName name="coccat" localSheetId="4" hidden="1">{"'Sheet1'!$L$16"}</definedName>
    <definedName name="coccat" localSheetId="5" hidden="1">{"'Sheet1'!$L$16"}</definedName>
    <definedName name="coccat" localSheetId="7" hidden="1">{"'Sheet1'!$L$16"}</definedName>
    <definedName name="coccat" hidden="1">{"'Sheet1'!$L$16"}</definedName>
    <definedName name="cocot">#REF!</definedName>
    <definedName name="cocott">#REF!</definedName>
    <definedName name="Code" localSheetId="1" hidden="1">#REF!</definedName>
    <definedName name="Code" hidden="1">#REF!</definedName>
    <definedName name="CODE_ID">"A. NTHAT!$R$10:$R$22"</definedName>
    <definedName name="Cöï_ly_vaän_chuyeãn">#REF!</definedName>
    <definedName name="CÖÏ_LY_VAÄN_CHUYEÅN">#REF!</definedName>
    <definedName name="Col">0.45</definedName>
    <definedName name="Coladarce1">#REF!</definedName>
    <definedName name="colo" hidden="1">{"'Sheet1'!$L$16"}</definedName>
    <definedName name="colo1" hidden="1">{"'Sheet1'!$L$16"}</definedName>
    <definedName name="column" localSheetId="1" hidden="1">#REF!</definedName>
    <definedName name="column" hidden="1">#REF!</definedName>
    <definedName name="Comm" localSheetId="1">BlankMacro1</definedName>
    <definedName name="Comm" localSheetId="4">BlankMacro1</definedName>
    <definedName name="Comm" localSheetId="13">BlankMacro1</definedName>
    <definedName name="Comm" localSheetId="15">BlankMacro1</definedName>
    <definedName name="Comm" localSheetId="12">BlankMacro1</definedName>
    <definedName name="Comm" localSheetId="14">BlankMacro1</definedName>
    <definedName name="Comm" localSheetId="11">BlankMacro1</definedName>
    <definedName name="Comm" localSheetId="10">BlankMacro1</definedName>
    <definedName name="Comm">BlankMacro1</definedName>
    <definedName name="COMMON">#REF!</definedName>
    <definedName name="comong">#REF!</definedName>
    <definedName name="con" localSheetId="1" hidden="1">{#N/A,#N/A,FALSE,"Chi tiÆt"}</definedName>
    <definedName name="con" localSheetId="3" hidden="1">{#N/A,#N/A,FALSE,"Chi tiÆt"}</definedName>
    <definedName name="con" localSheetId="4" hidden="1">{#N/A,#N/A,FALSE,"Chi tiÆt"}</definedName>
    <definedName name="con" localSheetId="5" hidden="1">{#N/A,#N/A,FALSE,"Chi tiÆt"}</definedName>
    <definedName name="con" localSheetId="7" hidden="1">{#N/A,#N/A,FALSE,"Chi tiÆt"}</definedName>
    <definedName name="con" hidden="1">{#N/A,#N/A,FALSE,"Chi tiÆt"}</definedName>
    <definedName name="CON_EQP_COS">#REF!</definedName>
    <definedName name="CON_EQP_COST">#REF!</definedName>
    <definedName name="concrete">#REF!</definedName>
    <definedName name="CONST_EQ">#REF!</definedName>
    <definedName name="Continue">#REF!</definedName>
    <definedName name="control" hidden="1">{"'Sheet1'!$L$16"}</definedName>
    <definedName name="Cong_HM_DTCT">#REF!</definedName>
    <definedName name="Cong_M_DTCT">#REF!</definedName>
    <definedName name="Cong_NC_DTCT">#REF!</definedName>
    <definedName name="CONG_TAC_BE_TONG">#REF!</definedName>
    <definedName name="Cong_VL_DTCT">#REF!</definedName>
    <definedName name="congbenuoc">#REF!</definedName>
    <definedName name="congbengam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1" localSheetId="1" hidden="1">{"'Sheet1'!$L$16"}</definedName>
    <definedName name="CONGPA1" localSheetId="3" hidden="1">{"'Sheet1'!$L$16"}</definedName>
    <definedName name="CONGPA1" localSheetId="4" hidden="1">{"'Sheet1'!$L$16"}</definedName>
    <definedName name="CONGPA1" localSheetId="5" hidden="1">{"'Sheet1'!$L$16"}</definedName>
    <definedName name="CONGPA1" localSheetId="7" hidden="1">{"'Sheet1'!$L$16"}</definedName>
    <definedName name="CONGPA1" hidden="1">{"'Sheet1'!$L$16"}</definedName>
    <definedName name="congpanen">#REF!</definedName>
    <definedName name="congsan">#REF!</definedName>
    <definedName name="congthang">#REF!</definedName>
    <definedName name="coping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localSheetId="1" hidden="1">{"'Sheet1'!$L$16"}</definedName>
    <definedName name="copphathepviÎttung" localSheetId="3" hidden="1">{"'Sheet1'!$L$16"}</definedName>
    <definedName name="copphathepviÎttung" localSheetId="4" hidden="1">{"'Sheet1'!$L$16"}</definedName>
    <definedName name="copphathepviÎttung" localSheetId="5" hidden="1">{"'Sheet1'!$L$16"}</definedName>
    <definedName name="copphathepviÎttung" localSheetId="7" hidden="1">{"'Sheet1'!$L$16"}</definedName>
    <definedName name="copphathepviÎttung" hidden="1">{"'Sheet1'!$L$16"}</definedName>
    <definedName name="copy" localSheetId="1" hidden="1">{"'Sheet1'!$L$16"}</definedName>
    <definedName name="copy" localSheetId="3" hidden="1">{"'Sheet1'!$L$16"}</definedName>
    <definedName name="copy" localSheetId="4" hidden="1">{"'Sheet1'!$L$16"}</definedName>
    <definedName name="copy" localSheetId="5" hidden="1">{"'Sheet1'!$L$16"}</definedName>
    <definedName name="copy" localSheetId="7" hidden="1">{"'Sheet1'!$L$16"}</definedName>
    <definedName name="copy" hidden="1">{"'Sheet1'!$L$16"}</definedName>
    <definedName name="cot">#REF!</definedName>
    <definedName name="Cot12b">#REF!</definedName>
    <definedName name="cot7.5">#REF!</definedName>
    <definedName name="cot8.5">#REF!</definedName>
    <definedName name="CotM">#REF!</definedName>
    <definedName name="Cotsatma">9726</definedName>
    <definedName name="CotSau">#REF!</definedName>
    <definedName name="Cotthepma">9726</definedName>
    <definedName name="cottron">#REF!</definedName>
    <definedName name="cotvuong">#REF!</definedName>
    <definedName name="COÙ">#REF!</definedName>
    <definedName name="counxlkcs">#REF!</definedName>
    <definedName name="couxlkcs">#REF!</definedName>
    <definedName name="couxlkd">#REF!</definedName>
    <definedName name="couxlktnl">#REF!</definedName>
    <definedName name="couxlkttv">#REF!</definedName>
    <definedName name="couxlkh">#REF!</definedName>
    <definedName name="couxlpxsx">#REF!</definedName>
    <definedName name="couxltc">#REF!</definedName>
    <definedName name="COVE">{"'Sheet1'!$L$16"}</definedName>
    <definedName name="COVER">#REF!</definedName>
    <definedName name="CP" localSheetId="1" hidden="1">#REF!</definedName>
    <definedName name="CP" hidden="1">#REF!</definedName>
    <definedName name="CPC">#REF!</definedName>
    <definedName name="CPChung">#REF!</definedName>
    <definedName name="cpd">#N/A</definedName>
    <definedName name="cpdd">#N/A</definedName>
    <definedName name="cpdd2">#REF!</definedName>
    <definedName name="CPDGHSMTTB">#REF!</definedName>
    <definedName name="CPDGHSMTXD">#REF!</definedName>
    <definedName name="CPGSLDTB">#REF!</definedName>
    <definedName name="CPGSTCXD">#REF!</definedName>
    <definedName name="CPKTVDT">#REF!</definedName>
    <definedName name="CPLBCKTKT">#REF!</definedName>
    <definedName name="CPLHSMTTB">#REF!</definedName>
    <definedName name="CPLHSMTXD">#REF!</definedName>
    <definedName name="CPM" hidden="1">{#N/A,#N/A,FALSE,"Chi tiÆt"}</definedName>
    <definedName name="CPMTC">#REF!</definedName>
    <definedName name="CPNC">#REF!</definedName>
    <definedName name="CPQLDA">#REF!</definedName>
    <definedName name="CPTDKQDT">#REF!</definedName>
    <definedName name="CPTK">#REF!</definedName>
    <definedName name="CPTKCN1">#REF!</definedName>
    <definedName name="CPTKCN2">#REF!</definedName>
    <definedName name="CPTKHTKT1">#REF!</definedName>
    <definedName name="CPTKHTKT2">#REF!</definedName>
    <definedName name="CPTTDT">#REF!</definedName>
    <definedName name="CPTTQTVDT">#REF!</definedName>
    <definedName name="CPVC100">#REF!</definedName>
    <definedName name="CPVC35">#REF!</definedName>
    <definedName name="CPVL">#REF!</definedName>
    <definedName name="CPVLXDTT">#REF!</definedName>
    <definedName name="CPXD">{"'Sheet1'!$L$16"}</definedName>
    <definedName name="CPHA">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CE3CR\" hidden="1">#REF!</definedName>
    <definedName name="CRD">#REF!</definedName>
    <definedName name="_xlnm.Criteria" localSheetId="1" hidden="1">#REF!</definedName>
    <definedName name="_xlnm.Criteria" hidden="1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" localSheetId="1" hidden="1">{#N/A,#N/A,FALSE,"Chi tiÆt"}</definedName>
    <definedName name="csa" localSheetId="3" hidden="1">{#N/A,#N/A,FALSE,"Chi tiÆt"}</definedName>
    <definedName name="csa" localSheetId="4" hidden="1">{#N/A,#N/A,FALSE,"Chi tiÆt"}</definedName>
    <definedName name="csa" localSheetId="5" hidden="1">{#N/A,#N/A,FALSE,"Chi tiÆt"}</definedName>
    <definedName name="csa" localSheetId="7" hidden="1">{#N/A,#N/A,FALSE,"Chi tiÆt"}</definedName>
    <definedName name="csa" hidden="1">{#N/A,#N/A,FALSE,"Chi tiÆt"}</definedName>
    <definedName name="csd3p">#REF!</definedName>
    <definedName name="csddg1p">#REF!</definedName>
    <definedName name="csddt1p">#REF!</definedName>
    <definedName name="csht3p">#REF!</definedName>
    <definedName name="CSMBA">#REF!</definedName>
    <definedName name="CSODJWO" hidden="1">{#N/A,#N/A,TRUE,"SUM";#N/A,#N/A,TRUE,"EE";#N/A,#N/A,TRUE,"AC";#N/A,#N/A,TRUE,"SN"}</definedName>
    <definedName name="ct">{"'Sheet1'!$L$16"}</definedName>
    <definedName name="CT_CPC">#REF!</definedName>
    <definedName name="ctbb">#REF!</definedName>
    <definedName name="ctbbt" localSheetId="1" hidden="1">{"'Sheet1'!$L$16"}</definedName>
    <definedName name="ctbbt" localSheetId="3" hidden="1">{"'Sheet1'!$L$16"}</definedName>
    <definedName name="ctbbt" localSheetId="4" hidden="1">{"'Sheet1'!$L$16"}</definedName>
    <definedName name="ctbbt" localSheetId="5" hidden="1">{"'Sheet1'!$L$16"}</definedName>
    <definedName name="ctbbt" localSheetId="7" hidden="1">{"'Sheet1'!$L$16"}</definedName>
    <definedName name="ctbbt" hidden="1">{"'Sheet1'!$L$16"}</definedName>
    <definedName name="ctct">{"'Sheet1'!$L$16"}</definedName>
    <definedName name="CTCT1" localSheetId="1" hidden="1">{"'Sheet1'!$L$16"}</definedName>
    <definedName name="CTCT1" localSheetId="3" hidden="1">{"'Sheet1'!$L$16"}</definedName>
    <definedName name="CTCT1" localSheetId="4" hidden="1">{"'Sheet1'!$L$16"}</definedName>
    <definedName name="CTCT1" localSheetId="5" hidden="1">{"'Sheet1'!$L$16"}</definedName>
    <definedName name="CTCT1" localSheetId="7" hidden="1">{"'Sheet1'!$L$16"}</definedName>
    <definedName name="CTCT1" hidden="1">{"'Sheet1'!$L$16"}</definedName>
    <definedName name="ctctct">{"'Sheet1'!$L$16"}</definedName>
    <definedName name="ctdn9697">#REF!</definedName>
    <definedName name="CTDZ">#REF!</definedName>
    <definedName name="CTG">#REF!</definedName>
    <definedName name="ctiep">#REF!</definedName>
    <definedName name="CTIET">#REF!</definedName>
    <definedName name="ctieu" localSheetId="1" hidden="1">{"'Sheet1'!$L$16"}</definedName>
    <definedName name="ctieu" localSheetId="3" hidden="1">{"'Sheet1'!$L$16"}</definedName>
    <definedName name="ctieu" localSheetId="4" hidden="1">{"'Sheet1'!$L$16"}</definedName>
    <definedName name="ctieu" localSheetId="5" hidden="1">{"'Sheet1'!$L$16"}</definedName>
    <definedName name="ctieu" localSheetId="7" hidden="1">{"'Sheet1'!$L$16"}</definedName>
    <definedName name="ctieu" hidden="1">{"'Sheet1'!$L$16"}</definedName>
    <definedName name="CTL">#REF!</definedName>
    <definedName name="cto">#REF!</definedName>
    <definedName name="CTH">#REF!</definedName>
    <definedName name="CTHT">#REF!</definedName>
    <definedName name="CTRAM">#REF!</definedName>
    <definedName name="cu">#REF!</definedName>
    <definedName name="CU_LY">#REF!</definedName>
    <definedName name="cu_ly_1">#REF!</definedName>
    <definedName name="cung" localSheetId="1" hidden="1">{"'Sheet1'!$L$16"}</definedName>
    <definedName name="cung" localSheetId="3" hidden="1">{"'Sheet1'!$L$16"}</definedName>
    <definedName name="cung" localSheetId="4" hidden="1">{"'Sheet1'!$L$16"}</definedName>
    <definedName name="cung" localSheetId="5" hidden="1">{"'Sheet1'!$L$16"}</definedName>
    <definedName name="cung" localSheetId="7" hidden="1">{"'Sheet1'!$L$16"}</definedName>
    <definedName name="cung" hidden="1">{"'Sheet1'!$L$16"}</definedName>
    <definedName name="cuoc_vc">#REF!</definedName>
    <definedName name="Cuoc_vc_1">#REF!</definedName>
    <definedName name="cuond">#REF!</definedName>
    <definedName name="cuong" localSheetId="1" hidden="1">{"'Sheet1'!$L$16"}</definedName>
    <definedName name="cuong" localSheetId="3" hidden="1">{"'Sheet1'!$L$16"}</definedName>
    <definedName name="cuong" localSheetId="4" hidden="1">{"'Sheet1'!$L$16"}</definedName>
    <definedName name="cuong" localSheetId="5" hidden="1">{"'Sheet1'!$L$16"}</definedName>
    <definedName name="cuong" localSheetId="7" hidden="1">{"'Sheet1'!$L$16"}</definedName>
    <definedName name="cuong" hidden="1">{"'Sheet1'!$L$16"}</definedName>
    <definedName name="CurDate" hidden="1">#REF!</definedName>
    <definedName name="CURRENCY">#REF!</definedName>
    <definedName name="cv">#REF!</definedName>
    <definedName name="cv16toyo10">#REF!</definedName>
    <definedName name="cv16toyo12">#REF!</definedName>
    <definedName name="CVBCXBCV" localSheetId="1" hidden="1">{"'Sheet1'!$L$16"}</definedName>
    <definedName name="CVBCXBCV" localSheetId="3" hidden="1">{"'Sheet1'!$L$16"}</definedName>
    <definedName name="CVBCXBCV" localSheetId="4" hidden="1">{"'Sheet1'!$L$16"}</definedName>
    <definedName name="CVBCXBCV" localSheetId="5" hidden="1">{"'Sheet1'!$L$16"}</definedName>
    <definedName name="CVBCXBCV" localSheetId="7" hidden="1">{"'Sheet1'!$L$16"}</definedName>
    <definedName name="CVBCXBCV" hidden="1">{"'Sheet1'!$L$16"}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BGH">#REF!</definedName>
    <definedName name="cvbxbv">#REF!</definedName>
    <definedName name="cvc">#REF!</definedName>
    <definedName name="cvfr" localSheetId="1" hidden="1">{"'Sheet1'!$L$16"}</definedName>
    <definedName name="cvfr" localSheetId="3" hidden="1">{"'Sheet1'!$L$16"}</definedName>
    <definedName name="cvfr" localSheetId="4" hidden="1">{"'Sheet1'!$L$16"}</definedName>
    <definedName name="cvfr" localSheetId="5" hidden="1">{"'Sheet1'!$L$16"}</definedName>
    <definedName name="cvfr" localSheetId="7" hidden="1">{"'Sheet1'!$L$16"}</definedName>
    <definedName name="cvfr" hidden="1">{"'Sheet1'!$L$16"}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X">#REF!</definedName>
    <definedName name="CH">#REF!</definedName>
    <definedName name="Chdate" hidden="1">#REF!</definedName>
    <definedName name="Chi_tieát_phi">#REF!</definedName>
    <definedName name="chietchai2" localSheetId="1" hidden="1">{"'Sheet1'!$L$16"}</definedName>
    <definedName name="chietchai2" localSheetId="3" hidden="1">{"'Sheet1'!$L$16"}</definedName>
    <definedName name="chietchai2" localSheetId="4" hidden="1">{"'Sheet1'!$L$16"}</definedName>
    <definedName name="chietchai2" localSheetId="5" hidden="1">{"'Sheet1'!$L$16"}</definedName>
    <definedName name="chietchai2" localSheetId="7" hidden="1">{"'Sheet1'!$L$16"}</definedName>
    <definedName name="chietchai2" hidden="1">{"'Sheet1'!$L$16"}</definedName>
    <definedName name="chilk" localSheetId="1" hidden="1">{"'Sheet1'!$L$16"}</definedName>
    <definedName name="chilk" localSheetId="3" hidden="1">{"'Sheet1'!$L$16"}</definedName>
    <definedName name="chilk" localSheetId="4" hidden="1">{"'Sheet1'!$L$16"}</definedName>
    <definedName name="chilk" localSheetId="5" hidden="1">{"'Sheet1'!$L$16"}</definedName>
    <definedName name="chilk" localSheetId="7" hidden="1">{"'Sheet1'!$L$16"}</definedName>
    <definedName name="chilk" hidden="1">{"'Sheet1'!$L$16"}</definedName>
    <definedName name="Chiphi" localSheetId="1" hidden="1">{"'Sheet1'!$L$16"}</definedName>
    <definedName name="Chiphi" localSheetId="3" hidden="1">{"'Sheet1'!$L$16"}</definedName>
    <definedName name="Chiphi" localSheetId="4" hidden="1">{"'Sheet1'!$L$16"}</definedName>
    <definedName name="Chiphi" localSheetId="5" hidden="1">{"'Sheet1'!$L$16"}</definedName>
    <definedName name="Chiphi" localSheetId="7" hidden="1">{"'Sheet1'!$L$16"}</definedName>
    <definedName name="Chiphi" hidden="1">{"'Sheet1'!$L$16"}</definedName>
    <definedName name="ChiphiHTKT2">#REF!</definedName>
    <definedName name="ChiphiLapBCKTKT">#REF!</definedName>
    <definedName name="ChiphiLapDADT">#REF!</definedName>
    <definedName name="ChiphiTKCTCapngam">#REF!</definedName>
    <definedName name="ChiphiTKCTCNkhac">#REF!</definedName>
    <definedName name="ChiphiTKHTKT1">#REF!</definedName>
    <definedName name="ChiphithamdinhKQDT">#REF!</definedName>
    <definedName name="ChiphiThamtraTKBVTC">#REF!</definedName>
    <definedName name="ChiphiThamtraTKKT">#REF!</definedName>
    <definedName name="ChiphiThietkeKythuat">#REF!</definedName>
    <definedName name="ChiphiThietkeToChucThiCong">#REF!</definedName>
    <definedName name="CHIPHIVANCHUYEN">#REF!</definedName>
    <definedName name="chitiet3">{"'Sheet1'!$L$16"}</definedName>
    <definedName name="chitietbgiang2" localSheetId="1" hidden="1">{"'Sheet1'!$L$16"}</definedName>
    <definedName name="chitietbgiang2" localSheetId="3" hidden="1">{"'Sheet1'!$L$16"}</definedName>
    <definedName name="chitietbgiang2" localSheetId="4" hidden="1">{"'Sheet1'!$L$16"}</definedName>
    <definedName name="chitietbgiang2" localSheetId="5" hidden="1">{"'Sheet1'!$L$16"}</definedName>
    <definedName name="chitietbgiang2" localSheetId="7" hidden="1">{"'Sheet1'!$L$16"}</definedName>
    <definedName name="chitietbgiang2" hidden="1">{"'Sheet1'!$L$16"}</definedName>
    <definedName name="chithang">{"'Sheet1'!$L$16"}</definedName>
    <definedName name="chiyoko">#REF!</definedName>
    <definedName name="chl" localSheetId="1" hidden="1">{"'Sheet1'!$L$16"}</definedName>
    <definedName name="chl" localSheetId="3" hidden="1">{"'Sheet1'!$L$16"}</definedName>
    <definedName name="chl" localSheetId="4" hidden="1">{"'Sheet1'!$L$16"}</definedName>
    <definedName name="chl" localSheetId="5" hidden="1">{"'Sheet1'!$L$16"}</definedName>
    <definedName name="chl" localSheetId="7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localSheetId="1" hidden="1">{"'Sheet1'!$L$16"}</definedName>
    <definedName name="chot3" localSheetId="3" hidden="1">{"'Sheet1'!$L$16"}</definedName>
    <definedName name="chot3" localSheetId="4" hidden="1">{"'Sheet1'!$L$16"}</definedName>
    <definedName name="chot3" localSheetId="5" hidden="1">{"'Sheet1'!$L$16"}</definedName>
    <definedName name="chot3" localSheetId="7" hidden="1">{"'Sheet1'!$L$16"}</definedName>
    <definedName name="chot3" hidden="1">{"'Sheet1'!$L$16"}</definedName>
    <definedName name="chottda" localSheetId="1" hidden="1">{"'Sheet1'!$L$16"}</definedName>
    <definedName name="chottda" localSheetId="3" hidden="1">{"'Sheet1'!$L$16"}</definedName>
    <definedName name="chottda" localSheetId="4" hidden="1">{"'Sheet1'!$L$16"}</definedName>
    <definedName name="chottda" localSheetId="5" hidden="1">{"'Sheet1'!$L$16"}</definedName>
    <definedName name="chottda" localSheetId="7" hidden="1">{"'Sheet1'!$L$16"}</definedName>
    <definedName name="chottda" hidden="1">{"'Sheet1'!$L$16"}</definedName>
    <definedName name="CHRIS" hidden="1">{#N/A,#N/A,FALSE,"CCTV"}</definedName>
    <definedName name="Chu">#REF!</definedName>
    <definedName name="chung">66</definedName>
    <definedName name="chuyen" localSheetId="1" hidden="1">{"'Sheet1'!$L$16"}</definedName>
    <definedName name="chuyen" localSheetId="3" hidden="1">{"'Sheet1'!$L$16"}</definedName>
    <definedName name="chuyen" localSheetId="4" hidden="1">{"'Sheet1'!$L$16"}</definedName>
    <definedName name="chuyen" localSheetId="5" hidden="1">{"'Sheet1'!$L$16"}</definedName>
    <definedName name="chuyen" localSheetId="7" hidden="1">{"'Sheet1'!$L$16"}</definedName>
    <definedName name="chuyen" hidden="1">{"'Sheet1'!$L$16"}</definedName>
    <definedName name="d" localSheetId="1" hidden="1">#REF!</definedName>
    <definedName name="d" hidden="1">#REF!</definedName>
    <definedName name="Ð">{"'Sheet1'!$L$16"}</definedName>
    <definedName name="d_101">#REF!</definedName>
    <definedName name="d_102">#REF!</definedName>
    <definedName name="d_103">#REF!</definedName>
    <definedName name="d_103\">#REF!</definedName>
    <definedName name="D_13">#REF!</definedName>
    <definedName name="D_16">#REF!</definedName>
    <definedName name="d_21">#REF!</definedName>
    <definedName name="d_22">#REF!</definedName>
    <definedName name="D_29">#REF!</definedName>
    <definedName name="d_31">#REF!</definedName>
    <definedName name="d_32">#REF!</definedName>
    <definedName name="d_33">#REF!</definedName>
    <definedName name="d_34">#REF!</definedName>
    <definedName name="d_41">#REF!</definedName>
    <definedName name="d_42">#REF!</definedName>
    <definedName name="d_51">#REF!</definedName>
    <definedName name="d_52">#REF!</definedName>
    <definedName name="d_71">#REF!</definedName>
    <definedName name="D_7101A_B">#REF!</definedName>
    <definedName name="d_72">#REF!</definedName>
    <definedName name="d_81">#REF!</definedName>
    <definedName name="d_82">#REF!</definedName>
    <definedName name="d_83">#REF!</definedName>
    <definedName name="d_91">#REF!</definedName>
    <definedName name="d_92">#REF!</definedName>
    <definedName name="d_93">#REF!</definedName>
    <definedName name="d_94">#REF!</definedName>
    <definedName name="d_95">#REF!</definedName>
    <definedName name="d_bataco">#REF!</definedName>
    <definedName name="d1_">#REF!</definedName>
    <definedName name="D1Z">#REF!</definedName>
    <definedName name="d2_">#REF!</definedName>
    <definedName name="d3_">#REF!</definedName>
    <definedName name="D4Z">#REF!</definedName>
    <definedName name="da" localSheetId="1" hidden="1">{"'Sheet1'!$L$16"}</definedName>
    <definedName name="da" localSheetId="3" hidden="1">{"'Sheet1'!$L$16"}</definedName>
    <definedName name="da" localSheetId="4" hidden="1">{"'Sheet1'!$L$16"}</definedName>
    <definedName name="da" localSheetId="5" hidden="1">{"'Sheet1'!$L$16"}</definedName>
    <definedName name="da" localSheetId="7" hidden="1">{"'Sheet1'!$L$16"}</definedName>
    <definedName name="da" hidden="1">{"'Sheet1'!$L$16"}</definedName>
    <definedName name="dà">{"'Sheet1'!$L$16"}</definedName>
    <definedName name="dá">{"'Sheet1'!$L$16"}</definedName>
    <definedName name="da_hoc_xay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a">#REF!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sws" hidden="1">{"'Sheet1'!$L$16"}</definedName>
    <definedName name="Daewoo1">#REF!</definedName>
    <definedName name="Daf.4">#REF!</definedName>
    <definedName name="DAF_10">#REF!</definedName>
    <definedName name="DAF_4">#REF!</definedName>
    <definedName name="dafas" hidden="1">{#N/A,#N/A,TRUE,"BT M200 da 10x20"}</definedName>
    <definedName name="dahoc">#REF!</definedName>
    <definedName name="Dai" hidden="1">{"'Sheet1'!$L$16"}</definedName>
    <definedName name="dak">#REF!</definedName>
    <definedName name="dam">78000</definedName>
    <definedName name="dam_cau_BTCT">#REF!</definedName>
    <definedName name="Dan_dung">#REF!</definedName>
    <definedName name="danducsan">#REF!</definedName>
    <definedName name="danep">#REF!</definedName>
    <definedName name="dang">{"'Sheet1'!$L$16"}</definedName>
    <definedName name="danho">#REF!</definedName>
    <definedName name="dao_dap_dat">#REF!</definedName>
    <definedName name="daomuong" localSheetId="1" hidden="1">{"'Sheet1'!$L$16"}</definedName>
    <definedName name="daomuong" localSheetId="3" hidden="1">{"'Sheet1'!$L$16"}</definedName>
    <definedName name="daomuong" localSheetId="4" hidden="1">{"'Sheet1'!$L$16"}</definedName>
    <definedName name="daomuong" localSheetId="5" hidden="1">{"'Sheet1'!$L$16"}</definedName>
    <definedName name="daomuong" localSheetId="7" hidden="1">{"'Sheet1'!$L$16"}</definedName>
    <definedName name="daomuong" hidden="1">{"'Sheet1'!$L$16"}</definedName>
    <definedName name="daøy" hidden="1">#REF!</definedName>
    <definedName name="dasasasa" hidden="1">{"'Sheet1'!$L$16"}</definedName>
    <definedName name="dase" localSheetId="1" hidden="1">{#N/A,#N/A,FALSE,"CCTV"}</definedName>
    <definedName name="dase" localSheetId="3" hidden="1">{#N/A,#N/A,FALSE,"CCTV"}</definedName>
    <definedName name="dase" localSheetId="4" hidden="1">{#N/A,#N/A,FALSE,"CCTV"}</definedName>
    <definedName name="dase" localSheetId="5" hidden="1">{#N/A,#N/A,FALSE,"CCTV"}</definedName>
    <definedName name="dase" localSheetId="7" hidden="1">{#N/A,#N/A,FALSE,"CCTV"}</definedName>
    <definedName name="dase" hidden="1">{#N/A,#N/A,FALSE,"CCTV"}</definedName>
    <definedName name="DAT">#REF!</definedName>
    <definedName name="DATA">#REF!</definedName>
    <definedName name="DATA_DATA2_List">#REF!</definedName>
    <definedName name="data1" localSheetId="1" hidden="1">#REF!</definedName>
    <definedName name="data1" hidden="1">#REF!</definedName>
    <definedName name="Data11">#REF!</definedName>
    <definedName name="Data1Benuoc">#REF!</definedName>
    <definedName name="Data1Bephot">#REF!</definedName>
    <definedName name="Data1Cua">#REF!</definedName>
    <definedName name="Data1Hoanthien">#REF!</definedName>
    <definedName name="Data1Ketcau">#REF!</definedName>
    <definedName name="Data1Mong">#REF!</definedName>
    <definedName name="data2" hidden="1">#REF!</definedName>
    <definedName name="Data2BeDau">#REF!</definedName>
    <definedName name="data3" hidden="1">#REF!</definedName>
    <definedName name="Data3PhanMong">#REF!</definedName>
    <definedName name="Data3PhanThan">#REF!</definedName>
    <definedName name="DATA4_DienNhaChinh">#REF!</definedName>
    <definedName name="Data41">#REF!</definedName>
    <definedName name="DATA5_ChongSet">#REF!</definedName>
    <definedName name="DATA6_CapNuoc">#REF!</definedName>
    <definedName name="DATA6_HoGa">#REF!</definedName>
    <definedName name="DATA6_ThoatNuoc">#REF!</definedName>
    <definedName name="_xlnm.Database" hidden="1">#REF!</definedName>
    <definedName name="DataFilter">#REF!</definedName>
    <definedName name="DataSort">#REF!</definedName>
    <definedName name="DATATKDT">#REF!</definedName>
    <definedName name="datden">#REF!</definedName>
    <definedName name="dau">#REF!</definedName>
    <definedName name="davdacsa" localSheetId="1" hidden="1">{"'Sheet1'!$L$16"}</definedName>
    <definedName name="davdacsa" localSheetId="3" hidden="1">{"'Sheet1'!$L$16"}</definedName>
    <definedName name="davdacsa" localSheetId="4" hidden="1">{"'Sheet1'!$L$16"}</definedName>
    <definedName name="davdacsa" localSheetId="5" hidden="1">{"'Sheet1'!$L$16"}</definedName>
    <definedName name="davdacsa" localSheetId="7" hidden="1">{"'Sheet1'!$L$16"}</definedName>
    <definedName name="davdacsa" hidden="1">{"'Sheet1'!$L$16"}</definedName>
    <definedName name="DAX">#REF!</definedName>
    <definedName name="dayAE35">#REF!</definedName>
    <definedName name="dayAE50">#REF!</definedName>
    <definedName name="dayAE70">#REF!</definedName>
    <definedName name="dayAE95">#REF!</definedName>
    <definedName name="daybuoc">#REF!</definedName>
    <definedName name="db">#N/A</definedName>
    <definedName name="DBSDVSDVS" localSheetId="1" hidden="1">{"'Sheet1'!$L$16"}</definedName>
    <definedName name="DBSDVSDVS" localSheetId="3" hidden="1">{"'Sheet1'!$L$16"}</definedName>
    <definedName name="DBSDVSDVS" localSheetId="4" hidden="1">{"'Sheet1'!$L$16"}</definedName>
    <definedName name="DBSDVSDVS" localSheetId="5" hidden="1">{"'Sheet1'!$L$16"}</definedName>
    <definedName name="DBSDVSDVS" localSheetId="7" hidden="1">{"'Sheet1'!$L$16"}</definedName>
    <definedName name="DBSDVSDVS" hidden="1">{"'Sheet1'!$L$16"}</definedName>
    <definedName name="DBX">#REF!</definedName>
    <definedName name="dc" localSheetId="1" hidden="1">{"'Sheet1'!$L$16"}</definedName>
    <definedName name="dc" localSheetId="3" hidden="1">{"'Sheet1'!$L$16"}</definedName>
    <definedName name="dc" localSheetId="4" hidden="1">{"'Sheet1'!$L$16"}</definedName>
    <definedName name="dc" localSheetId="5" hidden="1">{"'Sheet1'!$L$16"}</definedName>
    <definedName name="dc" localSheetId="7" hidden="1">{"'Sheet1'!$L$16"}</definedName>
    <definedName name="dc" hidden="1">{"'Sheet1'!$L$16"}</definedName>
    <definedName name="dca" localSheetId="1" hidden="1">{#N/A,#N/A,FALSE,"Chi tiÆt"}</definedName>
    <definedName name="dca" localSheetId="3" hidden="1">{#N/A,#N/A,FALSE,"Chi tiÆt"}</definedName>
    <definedName name="dca" localSheetId="4" hidden="1">{#N/A,#N/A,FALSE,"Chi tiÆt"}</definedName>
    <definedName name="dca" localSheetId="5" hidden="1">{#N/A,#N/A,FALSE,"Chi tiÆt"}</definedName>
    <definedName name="dca" localSheetId="7" hidden="1">{#N/A,#N/A,FALSE,"Chi tiÆt"}</definedName>
    <definedName name="dca" hidden="1">{#N/A,#N/A,FALSE,"Chi tiÆt"}</definedName>
    <definedName name="dcc">#N/A</definedName>
    <definedName name="dcl">#N/A</definedName>
    <definedName name="DCL_22">12117600</definedName>
    <definedName name="DCL_35">13127400</definedName>
    <definedName name="dCuocVC_Bachang" hidden="1">#REF!</definedName>
    <definedName name="DCX">#REF!</definedName>
    <definedName name="dd" localSheetId="1" hidden="1">{"'Sheet1'!$L$16"}</definedName>
    <definedName name="dd" localSheetId="3" hidden="1">{"'Sheet1'!$L$16"}</definedName>
    <definedName name="dd" localSheetId="4" hidden="1">{"'Sheet1'!$L$16"}</definedName>
    <definedName name="dd" localSheetId="5" hidden="1">{"'Sheet1'!$L$16"}</definedName>
    <definedName name="dd" localSheetId="7" hidden="1">{"'Sheet1'!$L$16"}</definedName>
    <definedName name="dd" hidden="1">{"'Sheet1'!$L$16"}</definedName>
    <definedName name="dd0.5x1">#N/A</definedName>
    <definedName name="dd1x2">#REF!</definedName>
    <definedName name="dd2x4">#N/A</definedName>
    <definedName name="dda" hidden="1">{"'Sheet1'!$L$16"}</definedName>
    <definedName name="ddamlot" hidden="1">{"'Sheet1'!$L$16"}</definedName>
    <definedName name="ddång" localSheetId="1" hidden="1">{"'Sheet1'!$L$16"}</definedName>
    <definedName name="ddång" localSheetId="3" hidden="1">{"'Sheet1'!$L$16"}</definedName>
    <definedName name="ddång" localSheetId="4" hidden="1">{"'Sheet1'!$L$16"}</definedName>
    <definedName name="ddång" localSheetId="5" hidden="1">{"'Sheet1'!$L$16"}</definedName>
    <definedName name="ddång" localSheetId="7" hidden="1">{"'Sheet1'!$L$16"}</definedName>
    <definedName name="ddång" hidden="1">{"'Sheet1'!$L$16"}</definedName>
    <definedName name="DDAY">#REF!</definedName>
    <definedName name="ddc" localSheetId="1" hidden="1">{"'Sheet1'!$L$16"}</definedName>
    <definedName name="ddc" localSheetId="3" hidden="1">{"'Sheet1'!$L$16"}</definedName>
    <definedName name="ddc" localSheetId="4" hidden="1">{"'Sheet1'!$L$16"}</definedName>
    <definedName name="ddc" localSheetId="5" hidden="1">{"'Sheet1'!$L$16"}</definedName>
    <definedName name="ddc" localSheetId="7" hidden="1">{"'Sheet1'!$L$16"}</definedName>
    <definedName name="ddc" hidden="1">{"'Sheet1'!$L$16"}</definedName>
    <definedName name="ddd" localSheetId="1" hidden="1">{"'Sheet1'!$L$16"}</definedName>
    <definedName name="ddd" localSheetId="3" hidden="1">{"'Sheet1'!$L$16"}</definedName>
    <definedName name="ddd" localSheetId="4" hidden="1">{"'Sheet1'!$L$16"}</definedName>
    <definedName name="ddd" localSheetId="5" hidden="1">{"'Sheet1'!$L$16"}</definedName>
    <definedName name="ddd" localSheetId="7" hidden="1">{"'Sheet1'!$L$16"}</definedName>
    <definedName name="ddd" hidden="1">{"'Sheet1'!$L$16"}</definedName>
    <definedName name="dddd" localSheetId="1" hidden="1">{"'Sheet1'!$L$16"}</definedName>
    <definedName name="dddd" localSheetId="3" hidden="1">{"'Sheet1'!$L$16"}</definedName>
    <definedName name="dddd" localSheetId="4" hidden="1">{"'Sheet1'!$L$16"}</definedName>
    <definedName name="dddd" localSheetId="5" hidden="1">{"'Sheet1'!$L$16"}</definedName>
    <definedName name="dddd" localSheetId="7" hidden="1">{"'Sheet1'!$L$16"}</definedName>
    <definedName name="dddd" hidden="1">{"'Sheet1'!$L$16"}</definedName>
    <definedName name="ddddd" localSheetId="1" hidden="1">{"'Sheet1'!$L$16"}</definedName>
    <definedName name="ddddd" localSheetId="3" hidden="1">{"'Sheet1'!$L$16"}</definedName>
    <definedName name="ddddd" localSheetId="4" hidden="1">{"'Sheet1'!$L$16"}</definedName>
    <definedName name="ddddd" localSheetId="5" hidden="1">{"'Sheet1'!$L$16"}</definedName>
    <definedName name="ddddd" localSheetId="7" hidden="1">{"'Sheet1'!$L$16"}</definedName>
    <definedName name="ddddd" hidden="1">{"'Sheet1'!$L$16"}</definedName>
    <definedName name="dddddd" localSheetId="1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3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4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5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7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localSheetId="1" hidden="1">#REF!</definedName>
    <definedName name="dddddddd" hidden="1">#REF!</definedName>
    <definedName name="dddghgghjhk" hidden="1">{"'Sheet1'!$L$16"}</definedName>
    <definedName name="DDFD" hidden="1">{#N/A,#N/A,FALSE,"CCTV"}</definedName>
    <definedName name="ddien">#N/A</definedName>
    <definedName name="DDX">#REF!</definedName>
    <definedName name="dede" localSheetId="1" hidden="1">{"'Sheet1'!$L$16"}</definedName>
    <definedName name="dede" hidden="1">{"'Sheet1'!$L$16"}</definedName>
    <definedName name="den_bu">#REF!</definedName>
    <definedName name="DenDK">{"'Sheet1'!$L$16"}</definedName>
    <definedName name="DesRatio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s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viation" localSheetId="1" hidden="1">{#N/A,#N/A,FALSE,"CCTV"}</definedName>
    <definedName name="deviation" localSheetId="3" hidden="1">{#N/A,#N/A,FALSE,"CCTV"}</definedName>
    <definedName name="deviation" localSheetId="4" hidden="1">{#N/A,#N/A,FALSE,"CCTV"}</definedName>
    <definedName name="deviation" localSheetId="5" hidden="1">{#N/A,#N/A,FALSE,"CCTV"}</definedName>
    <definedName name="deviation" localSheetId="7" hidden="1">{#N/A,#N/A,FALSE,"CCTV"}</definedName>
    <definedName name="deviation" hidden="1">{#N/A,#N/A,FALSE,"CCTV"}</definedName>
    <definedName name="DEWSLDW" hidden="1">{#N/A,#N/A,TRUE,"SUM";#N/A,#N/A,TRUE,"EE";#N/A,#N/A,TRUE,"AC";#N/A,#N/A,TRUE,"SN"}</definedName>
    <definedName name="dex" localSheetId="1" hidden="1">{"'Sheet1'!$L$16"}</definedName>
    <definedName name="dex" localSheetId="3" hidden="1">{"'Sheet1'!$L$16"}</definedName>
    <definedName name="dex" localSheetId="4" hidden="1">{"'Sheet1'!$L$16"}</definedName>
    <definedName name="dex" localSheetId="5" hidden="1">{"'Sheet1'!$L$16"}</definedName>
    <definedName name="dex" localSheetId="7" hidden="1">{"'Sheet1'!$L$16"}</definedName>
    <definedName name="dex" hidden="1">{"'Sheet1'!$L$16"}</definedName>
    <definedName name="dÊd" hidden="1">#REF!</definedName>
    <definedName name="df">#REF!</definedName>
    <definedName name="DFA" hidden="1">#REF!</definedName>
    <definedName name="DFADFDA" localSheetId="1" hidden="1">{"'Sheet1'!$L$16"}</definedName>
    <definedName name="DFADFDA" localSheetId="3" hidden="1">{"'Sheet1'!$L$16"}</definedName>
    <definedName name="DFADFDA" localSheetId="4" hidden="1">{"'Sheet1'!$L$16"}</definedName>
    <definedName name="DFADFDA" localSheetId="5" hidden="1">{"'Sheet1'!$L$16"}</definedName>
    <definedName name="DFADFDA" localSheetId="7" hidden="1">{"'Sheet1'!$L$16"}</definedName>
    <definedName name="DFADFDA" hidden="1">{"'Sheet1'!$L$16"}</definedName>
    <definedName name="dfafa" hidden="1">{#N/A,#N/A,FALSE,"Chi tiÆt"}</definedName>
    <definedName name="dfaffffffffffffffffffffffff" hidden="1">#REF!</definedName>
    <definedName name="dfasdfawe">#REF!</definedName>
    <definedName name="dfầd" hidden="1">#REF!</definedName>
    <definedName name="dfầdfadfdsà" hidden="1">#REF!</definedName>
    <definedName name="dfd" localSheetId="1" hidden="1">{#N/A,#N/A,FALSE,"Sheet1";#N/A,#N/A,FALSE,"Sheet3";#N/A,#N/A,FALSE,"Sheet5"}</definedName>
    <definedName name="dfd" localSheetId="3" hidden="1">{#N/A,#N/A,FALSE,"Sheet1";#N/A,#N/A,FALSE,"Sheet3";#N/A,#N/A,FALSE,"Sheet5"}</definedName>
    <definedName name="dfd" localSheetId="4" hidden="1">{#N/A,#N/A,FALSE,"Sheet1";#N/A,#N/A,FALSE,"Sheet3";#N/A,#N/A,FALSE,"Sheet5"}</definedName>
    <definedName name="dfd" localSheetId="5" hidden="1">{#N/A,#N/A,FALSE,"Sheet1";#N/A,#N/A,FALSE,"Sheet3";#N/A,#N/A,FALSE,"Sheet5"}</definedName>
    <definedName name="dfd" localSheetId="7" hidden="1">{#N/A,#N/A,FALSE,"Sheet1";#N/A,#N/A,FALSE,"Sheet3";#N/A,#N/A,FALSE,"Sheet5"}</definedName>
    <definedName name="dfd" hidden="1">{#N/A,#N/A,FALSE,"Sheet1";#N/A,#N/A,FALSE,"Sheet3";#N/A,#N/A,FALSE,"Sheet5"}</definedName>
    <definedName name="DFDF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#REF!</definedName>
    <definedName name="DFDFDS" hidden="1">{#N/A,#N/A,TRUE,"SUM";#N/A,#N/A,TRUE,"EE";#N/A,#N/A,TRUE,"AC";#N/A,#N/A,TRUE,"SN"}</definedName>
    <definedName name="DFDFGE" hidden="1">{#N/A,#N/A,FALSE,"Chi tiÆt"}</definedName>
    <definedName name="DFDFSADFA" localSheetId="1" hidden="1">{"NGUYEN QUI THIEP - Personal View",#N/A,FALSE,"XDCB.HT.FUR."}</definedName>
    <definedName name="DFDFSADFA" localSheetId="3" hidden="1">{"NGUYEN QUI THIEP - Personal View",#N/A,FALSE,"XDCB.HT.FUR."}</definedName>
    <definedName name="DFDFSADFA" localSheetId="4" hidden="1">{"NGUYEN QUI THIEP - Personal View",#N/A,FALSE,"XDCB.HT.FUR."}</definedName>
    <definedName name="DFDFSADFA" localSheetId="5" hidden="1">{"NGUYEN QUI THIEP - Personal View",#N/A,FALSE,"XDCB.HT.FUR."}</definedName>
    <definedName name="DFDFSADFA" localSheetId="7" hidden="1">{"NGUYEN QUI THIEP - Personal View",#N/A,FALSE,"XDCB.HT.FUR."}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ljfdsl.xls" hidden="1">{"'Sheet1'!$L$16"}</definedName>
    <definedName name="dfdsf" localSheetId="1" hidden="1">#REF!</definedName>
    <definedName name="dfdsf" hidden="1">#REF!</definedName>
    <definedName name="DFDSFA" localSheetId="1" hidden="1">{"'Sheet1'!$L$16"}</definedName>
    <definedName name="DFDSFA" localSheetId="3" hidden="1">{"'Sheet1'!$L$16"}</definedName>
    <definedName name="DFDSFA" localSheetId="4" hidden="1">{"'Sheet1'!$L$16"}</definedName>
    <definedName name="DFDSFA" localSheetId="5" hidden="1">{"'Sheet1'!$L$16"}</definedName>
    <definedName name="DFDSFA" localSheetId="7" hidden="1">{"'Sheet1'!$L$16"}</definedName>
    <definedName name="DFDSFA" hidden="1">{"'Sheet1'!$L$16"}</definedName>
    <definedName name="DFF" hidden="1">{#N/A,#N/A,TRUE,"SUM";#N/A,#N/A,TRUE,"EE";#N/A,#N/A,TRUE,"AC";#N/A,#N/A,TRUE,"SN"}</definedName>
    <definedName name="dfg" localSheetId="1" hidden="1">{"Offgrid",#N/A,FALSE,"OFFGRID";"Region",#N/A,FALSE,"REGION";"Offgrid -2",#N/A,FALSE,"OFFGRID";"WTP",#N/A,FALSE,"WTP";"WTP -2",#N/A,FALSE,"WTP";"Project",#N/A,FALSE,"PROJECT";"Summary -2",#N/A,FALSE,"SUMMARY"}</definedName>
    <definedName name="dfg" localSheetId="3" hidden="1">{"Offgrid",#N/A,FALSE,"OFFGRID";"Region",#N/A,FALSE,"REGION";"Offgrid -2",#N/A,FALSE,"OFFGRID";"WTP",#N/A,FALSE,"WTP";"WTP -2",#N/A,FALSE,"WTP";"Project",#N/A,FALSE,"PROJECT";"Summary -2",#N/A,FALSE,"SUMMARY"}</definedName>
    <definedName name="dfg" localSheetId="4" hidden="1">{"Offgrid",#N/A,FALSE,"OFFGRID";"Region",#N/A,FALSE,"REGION";"Offgrid -2",#N/A,FALSE,"OFFGRID";"WTP",#N/A,FALSE,"WTP";"WTP -2",#N/A,FALSE,"WTP";"Project",#N/A,FALSE,"PROJECT";"Summary -2",#N/A,FALSE,"SUMMARY"}</definedName>
    <definedName name="dfg" localSheetId="5" hidden="1">{"Offgrid",#N/A,FALSE,"OFFGRID";"Region",#N/A,FALSE,"REGION";"Offgrid -2",#N/A,FALSE,"OFFGRID";"WTP",#N/A,FALSE,"WTP";"WTP -2",#N/A,FALSE,"WTP";"Project",#N/A,FALSE,"PROJECT";"Summary -2",#N/A,FALSE,"SUMMARY"}</definedName>
    <definedName name="dfg" localSheetId="7" hidden="1">{"Offgrid",#N/A,FALSE,"OFFGRID";"Region",#N/A,FALSE,"REGION";"Offgrid -2",#N/A,FALSE,"OFFGRID";"WTP",#N/A,FALSE,"WTP";"WTP -2",#N/A,FALSE,"WTP";"Project",#N/A,FALSE,"PROJECT";"Summary -2",#N/A,FALSE,"SUMMARY"}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dfa" hidden="1">{#N/A,#N/A,TRUE,"BT M200 da 10x20"}</definedName>
    <definedName name="DFGASDFA" localSheetId="1" hidden="1">{"'Sheet1'!$L$16"}</definedName>
    <definedName name="DFGASDFA" localSheetId="3" hidden="1">{"'Sheet1'!$L$16"}</definedName>
    <definedName name="DFGASDFA" localSheetId="4" hidden="1">{"'Sheet1'!$L$16"}</definedName>
    <definedName name="DFGASDFA" localSheetId="5" hidden="1">{"'Sheet1'!$L$16"}</definedName>
    <definedName name="DFGASDFA" localSheetId="7" hidden="1">{"'Sheet1'!$L$16"}</definedName>
    <definedName name="DFGASDFA" hidden="1">{"'Sheet1'!$L$16"}</definedName>
    <definedName name="dfgcfzxc">#REF!</definedName>
    <definedName name="dfgdfer">#REF!</definedName>
    <definedName name="dfgdfg">#REF!</definedName>
    <definedName name="dfgdfgd">#REF!</definedName>
    <definedName name="dfgdfgdgdfgdg">#REF!</definedName>
    <definedName name="dfgdfhgh">#REF!</definedName>
    <definedName name="dfgdg">#REF!</definedName>
    <definedName name="DFGDGFDF">#REF!</definedName>
    <definedName name="dfger">#REF!</definedName>
    <definedName name="dfgfdg">{"'Sheet1'!$L$16"}</definedName>
    <definedName name="dfgg">#N/A</definedName>
    <definedName name="dfggg">{"'Sheet1'!$L$16"}</definedName>
    <definedName name="dfgh" localSheetId="1" hidden="1">{#N/A,#N/A,FALSE,"Chi tiÆt"}</definedName>
    <definedName name="dfgh" localSheetId="3" hidden="1">{#N/A,#N/A,FALSE,"Chi tiÆt"}</definedName>
    <definedName name="dfgh" localSheetId="4" hidden="1">{#N/A,#N/A,FALSE,"Chi tiÆt"}</definedName>
    <definedName name="dfgh" localSheetId="5" hidden="1">{#N/A,#N/A,FALSE,"Chi tiÆt"}</definedName>
    <definedName name="dfgh" localSheetId="7" hidden="1">{#N/A,#N/A,FALSE,"Chi tiÆt"}</definedName>
    <definedName name="dfgh" hidden="1">{#N/A,#N/A,FALSE,"Chi tiÆt"}</definedName>
    <definedName name="dfghdfg">#REF!</definedName>
    <definedName name="dfghdfgh">#REF!</definedName>
    <definedName name="dfghdfghd">#REF!</definedName>
    <definedName name="dfghdh">#REF!</definedName>
    <definedName name="dfghfgh">#REF!</definedName>
    <definedName name="DFGHFSGFDS" localSheetId="1" hidden="1">{"'Sheet1'!$L$16"}</definedName>
    <definedName name="DFGHFSGFDS" localSheetId="3" hidden="1">{"'Sheet1'!$L$16"}</definedName>
    <definedName name="DFGHFSGFDS" localSheetId="4" hidden="1">{"'Sheet1'!$L$16"}</definedName>
    <definedName name="DFGHFSGFDS" localSheetId="5" hidden="1">{"'Sheet1'!$L$16"}</definedName>
    <definedName name="DFGHFSGFDS" localSheetId="7" hidden="1">{"'Sheet1'!$L$16"}</definedName>
    <definedName name="DFGHFSGFDS" hidden="1">{"'Sheet1'!$L$16"}</definedName>
    <definedName name="dfgsdfg">#REF!</definedName>
    <definedName name="dfgsdfgdfgdfg">#REF!</definedName>
    <definedName name="dfgsdfh">#REF!</definedName>
    <definedName name="dfgsdsdfe" hidden="1">{"'Sheet1'!$L$16"}</definedName>
    <definedName name="dfgzxdf" localSheetId="1" hidden="1">{0,#N/A,FALSE,0;0,#N/A,FALSE,0;0,#N/A,FALSE,0;0,#N/A,FALSE,0;0,#N/A,FALSE,0;0,#N/A,FALSE,0;0,#N/A,FALSE,0}</definedName>
    <definedName name="dfgzxdf" localSheetId="3" hidden="1">{0,#N/A,FALSE,0;0,#N/A,FALSE,0;0,#N/A,FALSE,0;0,#N/A,FALSE,0;0,#N/A,FALSE,0;0,#N/A,FALSE,0;0,#N/A,FALSE,0}</definedName>
    <definedName name="dfgzxdf" localSheetId="4" hidden="1">{0,#N/A,FALSE,0;0,#N/A,FALSE,0;0,#N/A,FALSE,0;0,#N/A,FALSE,0;0,#N/A,FALSE,0;0,#N/A,FALSE,0;0,#N/A,FALSE,0}</definedName>
    <definedName name="dfgzxdf" localSheetId="5" hidden="1">{0,#N/A,FALSE,0;0,#N/A,FALSE,0;0,#N/A,FALSE,0;0,#N/A,FALSE,0;0,#N/A,FALSE,0;0,#N/A,FALSE,0;0,#N/A,FALSE,0}</definedName>
    <definedName name="dfgzxdf" localSheetId="7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1" hidden="1">{"'Sheet1'!$L$16"}</definedName>
    <definedName name="dfh" localSheetId="3" hidden="1">{"'Sheet1'!$L$16"}</definedName>
    <definedName name="dfh" localSheetId="4" hidden="1">{"'Sheet1'!$L$16"}</definedName>
    <definedName name="dfh" localSheetId="5" hidden="1">{"'Sheet1'!$L$16"}</definedName>
    <definedName name="dfh" localSheetId="7" hidden="1">{"'Sheet1'!$L$16"}</definedName>
    <definedName name="dfh" hidden="1">{"'Sheet1'!$L$16"}</definedName>
    <definedName name="dfhf" localSheetId="1" hidden="1">{"'Sheet1'!$L$16"}</definedName>
    <definedName name="dfhf" localSheetId="3" hidden="1">{"'Sheet1'!$L$16"}</definedName>
    <definedName name="dfhf" localSheetId="4" hidden="1">{"'Sheet1'!$L$16"}</definedName>
    <definedName name="dfhf" localSheetId="5" hidden="1">{"'Sheet1'!$L$16"}</definedName>
    <definedName name="dfhf" localSheetId="7" hidden="1">{"'Sheet1'!$L$16"}</definedName>
    <definedName name="dfhf" hidden="1">{"'Sheet1'!$L$16"}</definedName>
    <definedName name="dfhfgh">#REF!</definedName>
    <definedName name="dfhgfh">#REF!</definedName>
    <definedName name="dfhh" localSheetId="1" hidden="1">{#N/A,#N/A,FALSE,"Chi tiÆt"}</definedName>
    <definedName name="dfhh" localSheetId="3" hidden="1">{#N/A,#N/A,FALSE,"Chi tiÆt"}</definedName>
    <definedName name="dfhh" localSheetId="4" hidden="1">{#N/A,#N/A,FALSE,"Chi tiÆt"}</definedName>
    <definedName name="dfhh" localSheetId="5" hidden="1">{#N/A,#N/A,FALSE,"Chi tiÆt"}</definedName>
    <definedName name="dfhh" localSheetId="7" hidden="1">{#N/A,#N/A,FALSE,"Chi tiÆt"}</definedName>
    <definedName name="dfhh" hidden="1">{#N/A,#N/A,FALSE,"Chi tiÆt"}</definedName>
    <definedName name="dfs" hidden="1">{#N/A,#N/A,TRUE,"SUM";#N/A,#N/A,TRUE,"EE";#N/A,#N/A,TRUE,"AC";#N/A,#N/A,TRUE,"SN"}</definedName>
    <definedName name="DFSDF" localSheetId="1" hidden="1">{"'Sheet1'!$L$16"}</definedName>
    <definedName name="DFSDF" hidden="1">{"'Sheet1'!$L$16"}</definedName>
    <definedName name="DFSF" hidden="1">{#N/A,#N/A,FALSE,"特殊室（ＢＱ表）"}</definedName>
    <definedName name="dfsfsd" localSheetId="1" hidden="1">{"'Sheet1'!$L$16"}</definedName>
    <definedName name="dfsfsd" localSheetId="3" hidden="1">{"'Sheet1'!$L$16"}</definedName>
    <definedName name="dfsfsd" localSheetId="4" hidden="1">{"'Sheet1'!$L$16"}</definedName>
    <definedName name="dfsfsd" localSheetId="5" hidden="1">{"'Sheet1'!$L$16"}</definedName>
    <definedName name="dfsfsd" localSheetId="7" hidden="1">{"'Sheet1'!$L$16"}</definedName>
    <definedName name="dfsfsd" hidden="1">{"'Sheet1'!$L$16"}</definedName>
    <definedName name="DG1M3BETONG">#REF!</definedName>
    <definedName name="dgb">#REF!</definedName>
    <definedName name="dgbdII">#REF!</definedName>
    <definedName name="dgct">#REF!</definedName>
    <definedName name="DGCTI592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">#REF!</definedName>
    <definedName name="dgdjdkgd" hidden="1">{#N/A,#N/A,FALSE,"CCTV"}</definedName>
    <definedName name="DGF" hidden="1">{#N/A,#N/A,FALSE,"特殊室（ＢＱ表）"}</definedName>
    <definedName name="dgfdg">{"'Sheet1'!$L$16"}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">{"'Sheet1'!$L$16"}</definedName>
    <definedName name="dgfgjgj" hidden="1">{#N/A,#N/A,FALSE,"CCTV"}</definedName>
    <definedName name="DGG">#REF!</definedName>
    <definedName name="dggfhd" localSheetId="1" hidden="1">{#N/A,#N/A,FALSE,"Chi tiÆt"}</definedName>
    <definedName name="dggfhd" localSheetId="3" hidden="1">{#N/A,#N/A,FALSE,"Chi tiÆt"}</definedName>
    <definedName name="dggfhd" localSheetId="4" hidden="1">{#N/A,#N/A,FALSE,"Chi tiÆt"}</definedName>
    <definedName name="dggfhd" localSheetId="5" hidden="1">{#N/A,#N/A,FALSE,"Chi tiÆt"}</definedName>
    <definedName name="dggfhd" localSheetId="7" hidden="1">{#N/A,#N/A,FALSE,"Chi tiÆt"}</definedName>
    <definedName name="dggfhd" hidden="1">{#N/A,#N/A,FALSE,"Chi tiÆt"}</definedName>
    <definedName name="dghhh" hidden="1">{"'Sheet1'!$L$16"}</definedName>
    <definedName name="dghjyuk" localSheetId="1" hidden="1">{"'Sheet1'!$L$16"}</definedName>
    <definedName name="dghjyuk" localSheetId="3" hidden="1">{"'Sheet1'!$L$16"}</definedName>
    <definedName name="dghjyuk" localSheetId="4" hidden="1">{"'Sheet1'!$L$16"}</definedName>
    <definedName name="dghjyuk" localSheetId="5" hidden="1">{"'Sheet1'!$L$16"}</definedName>
    <definedName name="dghjyuk" localSheetId="7" hidden="1">{"'Sheet1'!$L$16"}</definedName>
    <definedName name="dghjyuk" hidden="1">{"'Sheet1'!$L$16"}</definedName>
    <definedName name="dghsdfg">#REF!</definedName>
    <definedName name="dgk">#REF!</definedName>
    <definedName name="DGKL" hidden="1">#REF!</definedName>
    <definedName name="dgnc">#REF!</definedName>
    <definedName name="dgqndn">#REF!</definedName>
    <definedName name="dgsdf">#REF!</definedName>
    <definedName name="DGSEGWE" localSheetId="1" hidden="1">{"'Sheet1'!$L$16"}</definedName>
    <definedName name="DGSEGWE" localSheetId="3" hidden="1">{"'Sheet1'!$L$16"}</definedName>
    <definedName name="DGSEGWE" localSheetId="4" hidden="1">{"'Sheet1'!$L$16"}</definedName>
    <definedName name="DGSEGWE" localSheetId="5" hidden="1">{"'Sheet1'!$L$16"}</definedName>
    <definedName name="DGSEGWE" localSheetId="7" hidden="1">{"'Sheet1'!$L$16"}</definedName>
    <definedName name="DGSEGWE" hidden="1">{"'Sheet1'!$L$16"}</definedName>
    <definedName name="DGTV">#REF!</definedName>
    <definedName name="dgvf" hidden="1">{"'Sheet1'!$L$16"}</definedName>
    <definedName name="dgvl">#REF!</definedName>
    <definedName name="DGVtu">#REF!</definedName>
    <definedName name="DGWEHWR" localSheetId="1" hidden="1">{"'Sheet1'!$L$16"}</definedName>
    <definedName name="DGWEHWR" localSheetId="3" hidden="1">{"'Sheet1'!$L$16"}</definedName>
    <definedName name="DGWEHWR" localSheetId="4" hidden="1">{"'Sheet1'!$L$16"}</definedName>
    <definedName name="DGWEHWR" localSheetId="5" hidden="1">{"'Sheet1'!$L$16"}</definedName>
    <definedName name="DGWEHWR" localSheetId="7" hidden="1">{"'Sheet1'!$L$16"}</definedName>
    <definedName name="DGWEHWR" hidden="1">{"'Sheet1'!$L$16"}</definedName>
    <definedName name="DHDFGSF" localSheetId="1" hidden="1">{"'Sheet1'!$L$16"}</definedName>
    <definedName name="DHDFGSF" localSheetId="3" hidden="1">{"'Sheet1'!$L$16"}</definedName>
    <definedName name="DHDFGSF" localSheetId="4" hidden="1">{"'Sheet1'!$L$16"}</definedName>
    <definedName name="DHDFGSF" localSheetId="5" hidden="1">{"'Sheet1'!$L$16"}</definedName>
    <definedName name="DHDFGSF" localSheetId="7" hidden="1">{"'Sheet1'!$L$16"}</definedName>
    <definedName name="DHDFGSF" hidden="1">{"'Sheet1'!$L$16"}</definedName>
    <definedName name="dhfsg" hidden="1">#REF!</definedName>
    <definedName name="dhh" localSheetId="1" hidden="1">{"'Sheet1'!$L$16"}</definedName>
    <definedName name="dhh" localSheetId="3" hidden="1">{"'Sheet1'!$L$16"}</definedName>
    <definedName name="dhh" localSheetId="4" hidden="1">{"'Sheet1'!$L$16"}</definedName>
    <definedName name="dhh" localSheetId="5" hidden="1">{"'Sheet1'!$L$16"}</definedName>
    <definedName name="dhh" localSheetId="7" hidden="1">{"'Sheet1'!$L$16"}</definedName>
    <definedName name="dhh" hidden="1">{"'Sheet1'!$L$16"}</definedName>
    <definedName name="dhl">#REF!</definedName>
    <definedName name="dhom">#REF!</definedName>
    <definedName name="DHSRHGR" localSheetId="1" hidden="1">{"'Sheet1'!$L$16"}</definedName>
    <definedName name="DHSRHGR" localSheetId="3" hidden="1">{"'Sheet1'!$L$16"}</definedName>
    <definedName name="DHSRHGR" localSheetId="4" hidden="1">{"'Sheet1'!$L$16"}</definedName>
    <definedName name="DHSRHGR" localSheetId="5" hidden="1">{"'Sheet1'!$L$16"}</definedName>
    <definedName name="DHSRHGR" localSheetId="7" hidden="1">{"'Sheet1'!$L$16"}</definedName>
    <definedName name="DHSRHGR" hidden="1">{"'Sheet1'!$L$16"}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DiemXD">#REF!</definedName>
    <definedName name="Dien">#REF!</definedName>
    <definedName name="DienNuoc">#REF!</definedName>
    <definedName name="dientichck">#REF!</definedName>
    <definedName name="diengiai">{"'Sheet1'!$L$16"}</definedName>
    <definedName name="Diengiaikhoiluong" hidden="1">#REF!</definedName>
    <definedName name="dinh">#REF!</definedName>
    <definedName name="dinhdia">#REF!</definedName>
    <definedName name="Discount" localSheetId="1" hidden="1">#REF!</definedName>
    <definedName name="Discount" hidden="1">#REF!</definedName>
    <definedName name="display_area_2" localSheetId="1" hidden="1">#REF!</definedName>
    <definedName name="display_area_2" hidden="1">#REF!</definedName>
    <definedName name="dj" hidden="1">{"'Sheet1'!$L$16"}</definedName>
    <definedName name="dka">#REF!</definedName>
    <definedName name="dkk">#REF!</definedName>
    <definedName name="dl">#REF!</definedName>
    <definedName name="DLCC">#REF!</definedName>
    <definedName name="dlpar38120">#REF!</definedName>
    <definedName name="dlplc13w">#REF!</definedName>
    <definedName name="dlplc13wbimc">#REF!</definedName>
    <definedName name="DM">#REF!</definedName>
    <definedName name="dm56bxd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CPGSLDTB">#REF!</definedName>
    <definedName name="DMCPGSTCXD">#REF!</definedName>
    <definedName name="DMCPKT">#REF!</definedName>
    <definedName name="DMCPLBCKTKT">#REF!</definedName>
    <definedName name="DMCPLDA">#REF!</definedName>
    <definedName name="DMCPLHSMT">#REF!</definedName>
    <definedName name="DMCPQLDA">#REF!</definedName>
    <definedName name="DMCPTKKT">#REF!</definedName>
    <definedName name="DMCPTKTC">#REF!</definedName>
    <definedName name="DMCPTKHTKT1">#REF!</definedName>
    <definedName name="DMCPTTDT">#REF!</definedName>
    <definedName name="DMCPTTQT">#REF!</definedName>
    <definedName name="DMCPTTTKBVTC">#REF!</definedName>
    <definedName name="DMCPTTTKKT">#REF!</definedName>
    <definedName name="DMCPTTHQKT">#REF!</definedName>
    <definedName name="DMCPHSMTMS">#REF!</definedName>
    <definedName name="DMCPHSMTTC">#REF!</definedName>
    <definedName name="dmxl2">{"'Sheet1'!$L$16"}</definedName>
    <definedName name="dmz">#N/A</definedName>
    <definedName name="DN">#REF!</definedName>
    <definedName name="DN1_CT5" localSheetId="1" hidden="1">{"'Sheet1'!$L$16"}</definedName>
    <definedName name="DN1_CT5" localSheetId="3" hidden="1">{"'Sheet1'!$L$16"}</definedName>
    <definedName name="DN1_CT5" localSheetId="4" hidden="1">{"'Sheet1'!$L$16"}</definedName>
    <definedName name="DN1_CT5" localSheetId="5" hidden="1">{"'Sheet1'!$L$16"}</definedName>
    <definedName name="DN1_CT5" localSheetId="7" hidden="1">{"'Sheet1'!$L$16"}</definedName>
    <definedName name="DN1_CT5" hidden="1">{"'Sheet1'!$L$16"}</definedName>
    <definedName name="dno">#N/A</definedName>
    <definedName name="DÑt45x4">#REF!</definedName>
    <definedName name="DNTT" hidden="1">{"NGUYEN QUI THIEP - Personal View",#N/A,FALSE,"XDCB.HT.FUR."}</definedName>
    <definedName name="dntt10" localSheetId="1" hidden="1">{"'Sheet1'!$L$16"}</definedName>
    <definedName name="dntt10" localSheetId="3" hidden="1">{"'Sheet1'!$L$16"}</definedName>
    <definedName name="dntt10" localSheetId="4" hidden="1">{"'Sheet1'!$L$16"}</definedName>
    <definedName name="dntt10" localSheetId="5" hidden="1">{"'Sheet1'!$L$16"}</definedName>
    <definedName name="dntt10" localSheetId="7" hidden="1">{"'Sheet1'!$L$16"}</definedName>
    <definedName name="dntt10" hidden="1">{"'Sheet1'!$L$16"}</definedName>
    <definedName name="dntt11" localSheetId="1" hidden="1">{"'Sheet1'!$L$16"}</definedName>
    <definedName name="dntt11" localSheetId="3" hidden="1">{"'Sheet1'!$L$16"}</definedName>
    <definedName name="dntt11" localSheetId="4" hidden="1">{"'Sheet1'!$L$16"}</definedName>
    <definedName name="dntt11" localSheetId="5" hidden="1">{"'Sheet1'!$L$16"}</definedName>
    <definedName name="dntt11" localSheetId="7" hidden="1">{"'Sheet1'!$L$16"}</definedName>
    <definedName name="dntt11" hidden="1">{"'Sheet1'!$L$16"}</definedName>
    <definedName name="dntt9" localSheetId="1" hidden="1">{"'Sheet1'!$L$16"}</definedName>
    <definedName name="dntt9" localSheetId="3" hidden="1">{"'Sheet1'!$L$16"}</definedName>
    <definedName name="dntt9" localSheetId="4" hidden="1">{"'Sheet1'!$L$16"}</definedName>
    <definedName name="dntt9" localSheetId="5" hidden="1">{"'Sheet1'!$L$16"}</definedName>
    <definedName name="dntt9" localSheetId="7" hidden="1">{"'Sheet1'!$L$16"}</definedName>
    <definedName name="dntt9" hidden="1">{"'Sheet1'!$L$16"}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so">#REF!</definedName>
    <definedName name="Document_array" localSheetId="1">{"Thuxm2.xls","Sheet1"}</definedName>
    <definedName name="Document_array">{"Thuxm2.xls","Sheet1"}</definedName>
    <definedName name="Documents_array">#REF!</definedName>
    <definedName name="DODOL">#REF!</definedName>
    <definedName name="Doku">#REF!</definedName>
    <definedName name="dolcb">#REF!</definedName>
    <definedName name="dolken">#REF!</definedName>
    <definedName name="Dollar_aus">#REF!</definedName>
    <definedName name="Dollar_Australia">#REF!</definedName>
    <definedName name="Domain" localSheetId="1" hidden="1">#REF!</definedName>
    <definedName name="Domain" hidden="1">#REF!</definedName>
    <definedName name="DOMBA">#REF!</definedName>
    <definedName name="Dong_coc">#REF!</definedName>
    <definedName name="DONGIA">#REF!</definedName>
    <definedName name="door">#REF!</definedName>
    <definedName name="dpa">#REF!</definedName>
    <definedName name="dpk">#REF!</definedName>
    <definedName name="dQlda_GdpVal" hidden="1">#N/A</definedName>
    <definedName name="dQlda_GtongVal" hidden="1">#N/A</definedName>
    <definedName name="dQlda_GxlGtbVal" localSheetId="4" hidden="1">dQlda_GxlVal+dQlda_GtbVal</definedName>
    <definedName name="dQlda_GxlGtbVal" localSheetId="13" hidden="1">dQlda_GxlVal+dQlda_GtbVal</definedName>
    <definedName name="dQlda_GxlGtbVal" localSheetId="15" hidden="1">dQlda_GxlVal+dQlda_GtbVal</definedName>
    <definedName name="dQlda_GxlGtbVal" localSheetId="12" hidden="1">dQlda_GxlVal+dQlda_GtbVal</definedName>
    <definedName name="dQlda_GxlGtbVal" localSheetId="14" hidden="1">dQlda_GxlVal+dQlda_GtbVal</definedName>
    <definedName name="dQlda_GxlGtbVal" localSheetId="11" hidden="1">dQlda_GxlVal+dQlda_GtbVal</definedName>
    <definedName name="dQlda_GxlGtbVal" localSheetId="10" hidden="1">dQlda_GxlVal+dQlda_GtbVal</definedName>
    <definedName name="dQlda_GxlGtbVal" hidden="1">dQlda_GxlVal+dQlda_GtbVal</definedName>
    <definedName name="dr">{"'Sheet1'!$L$16"}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" hidden="1">{#N/A,#N/A,FALSE,"Chi tiÆt"}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ee" hidden="1">{"'Sheet1'!$L$16"}</definedName>
    <definedName name="dsada" localSheetId="1" hidden="1">{"'Sheet1'!$L$16"}</definedName>
    <definedName name="dsada" localSheetId="3" hidden="1">{"'Sheet1'!$L$16"}</definedName>
    <definedName name="dsada" localSheetId="4" hidden="1">{"'Sheet1'!$L$16"}</definedName>
    <definedName name="dsada" localSheetId="5" hidden="1">{"'Sheet1'!$L$16"}</definedName>
    <definedName name="dsada" localSheetId="7" hidden="1">{"'Sheet1'!$L$16"}</definedName>
    <definedName name="dsada" hidden="1">{"'Sheet1'!$L$16"}</definedName>
    <definedName name="dsaddsa">#REF!</definedName>
    <definedName name="dsasdasdasd" hidden="1">#REF!</definedName>
    <definedName name="dsdasd" localSheetId="1" hidden="1">{"'Sheet1'!$L$16"}</definedName>
    <definedName name="dsdasd" localSheetId="3" hidden="1">{"'Sheet1'!$L$16"}</definedName>
    <definedName name="dsdasd" localSheetId="4" hidden="1">{"'Sheet1'!$L$16"}</definedName>
    <definedName name="dsdasd" localSheetId="5" hidden="1">{"'Sheet1'!$L$16"}</definedName>
    <definedName name="dsdasd" localSheetId="7" hidden="1">{"'Sheet1'!$L$16"}</definedName>
    <definedName name="dsdasd" hidden="1">{"'Sheet1'!$L$16"}</definedName>
    <definedName name="dsdsdsa" hidden="1">#REF!</definedName>
    <definedName name="dsdssa" localSheetId="1" hidden="1">{"'Sheet1'!$L$16"}</definedName>
    <definedName name="dsdssa" localSheetId="3" hidden="1">{"'Sheet1'!$L$16"}</definedName>
    <definedName name="dsdssa" localSheetId="4" hidden="1">{"'Sheet1'!$L$16"}</definedName>
    <definedName name="dsdssa" localSheetId="5" hidden="1">{"'Sheet1'!$L$16"}</definedName>
    <definedName name="dsdssa" localSheetId="7" hidden="1">{"'Sheet1'!$L$16"}</definedName>
    <definedName name="dsdssa" hidden="1">{"'Sheet1'!$L$16"}</definedName>
    <definedName name="dse" hidden="1">{"'Sheet1'!$L$16"}</definedName>
    <definedName name="dsfd" hidden="1">#REF!</definedName>
    <definedName name="DSFDS" localSheetId="1" hidden="1">{"'Sheet1'!$L$16"}</definedName>
    <definedName name="DSFDS" localSheetId="3" hidden="1">{"'Sheet1'!$L$16"}</definedName>
    <definedName name="DSFDS" localSheetId="4" hidden="1">{"'Sheet1'!$L$16"}</definedName>
    <definedName name="DSFDS" localSheetId="5" hidden="1">{"'Sheet1'!$L$16"}</definedName>
    <definedName name="DSFDS" localSheetId="7" hidden="1">{"'Sheet1'!$L$16"}</definedName>
    <definedName name="DSFDS" hidden="1">{"'Sheet1'!$L$16"}</definedName>
    <definedName name="dsfsdf">{"'Sheet1'!$L$16"}</definedName>
    <definedName name="dsg" localSheetId="1" hidden="1">{#N/A,#N/A,FALSE,"Chi tiÆt"}</definedName>
    <definedName name="dsg" localSheetId="3" hidden="1">{#N/A,#N/A,FALSE,"Chi tiÆt"}</definedName>
    <definedName name="dsg" localSheetId="4" hidden="1">{#N/A,#N/A,FALSE,"Chi tiÆt"}</definedName>
    <definedName name="dsg" localSheetId="5" hidden="1">{#N/A,#N/A,FALSE,"Chi tiÆt"}</definedName>
    <definedName name="dsg" localSheetId="7" hidden="1">{#N/A,#N/A,FALSE,"Chi tiÆt"}</definedName>
    <definedName name="dsg" hidden="1">{#N/A,#N/A,FALSE,"Chi tiÆt"}</definedName>
    <definedName name="dsgfhtyjjt" hidden="1">#REF!</definedName>
    <definedName name="DSH" localSheetId="1" hidden="1">{#N/A,#N/A,FALSE,"Chi tiÆt"}</definedName>
    <definedName name="DSH" hidden="1">{#N/A,#N/A,FALSE,"Chi tiÆt"}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JKLDE" hidden="1">{#N/A,#N/A,TRUE,"SUM";#N/A,#N/A,TRUE,"EE";#N/A,#N/A,TRUE,"AC";#N/A,#N/A,TRUE,"SN"}</definedName>
    <definedName name="DSPK1p1nc">#REF!</definedName>
    <definedName name="DSPK1p1vl">#REF!</definedName>
    <definedName name="DSPK1pnc">#REF!</definedName>
    <definedName name="DSPK1pvl">#REF!</definedName>
    <definedName name="DSTD_Clear" localSheetId="1">'01-Bia'!DSTD_Clear</definedName>
    <definedName name="DSTD_Clear">#REF!</definedName>
    <definedName name="DSTD_Clear1">#N/A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SUMDATA">#REF!</definedName>
    <definedName name="dt">#REF!</definedName>
    <definedName name="DT_VKHNN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KT3">{"'Sheet1'!$L$16"}</definedName>
    <definedName name="DTTK">{"'Sheet1'!$L$16"}</definedName>
    <definedName name="dthft" localSheetId="1" hidden="1">{"'Sheet1'!$L$16"}</definedName>
    <definedName name="dthft" localSheetId="3" hidden="1">{"'Sheet1'!$L$16"}</definedName>
    <definedName name="dthft" localSheetId="4" hidden="1">{"'Sheet1'!$L$16"}</definedName>
    <definedName name="dthft" localSheetId="5" hidden="1">{"'Sheet1'!$L$16"}</definedName>
    <definedName name="dthft" localSheetId="7" hidden="1">{"'Sheet1'!$L$16"}</definedName>
    <definedName name="dthft" hidden="1">{"'Sheet1'!$L$16"}</definedName>
    <definedName name="dTHKP_Rng" hidden="1">#REF!</definedName>
    <definedName name="du">{"'Sheet1'!$L$16"}</definedName>
    <definedName name="duc" localSheetId="1" hidden="1">{"'Sheet1'!$L$16"}</definedName>
    <definedName name="duc" localSheetId="3" hidden="1">{"'Sheet1'!$L$16"}</definedName>
    <definedName name="duc" localSheetId="4" hidden="1">{"'Sheet1'!$L$16"}</definedName>
    <definedName name="duc" localSheetId="5" hidden="1">{"'Sheet1'!$L$16"}</definedName>
    <definedName name="duc" localSheetId="7" hidden="1">{"'Sheet1'!$L$16"}</definedName>
    <definedName name="duc" hidden="1">{"'Sheet1'!$L$16"}</definedName>
    <definedName name="duc0" hidden="1">{"'Sheet1'!$L$16"}</definedName>
    <definedName name="DucO" localSheetId="1" hidden="1">{"'Sheet1'!$L$16"}</definedName>
    <definedName name="DucO" hidden="1">{"'Sheet1'!$L$16"}</definedName>
    <definedName name="DUCT" localSheetId="1" hidden="1">{#N/A,#N/A,FALSE,"Sheet1"}</definedName>
    <definedName name="DUCT" localSheetId="3" hidden="1">{#N/A,#N/A,FALSE,"Sheet1"}</definedName>
    <definedName name="DUCT" localSheetId="4" hidden="1">{#N/A,#N/A,FALSE,"Sheet1"}</definedName>
    <definedName name="DUCT" localSheetId="5" hidden="1">{#N/A,#N/A,FALSE,"Sheet1"}</definedName>
    <definedName name="DUCT" localSheetId="7" hidden="1">{#N/A,#N/A,FALSE,"Sheet1"}</definedName>
    <definedName name="DUCT" hidden="1">{#N/A,#N/A,FALSE,"Sheet1"}</definedName>
    <definedName name="dumbwaiter" localSheetId="1" hidden="1">{#N/A,#N/A,FALSE,"Sheet1";#N/A,#N/A,FALSE,"Sheet3";#N/A,#N/A,FALSE,"Sheet5"}</definedName>
    <definedName name="dumbwaiter" localSheetId="3" hidden="1">{#N/A,#N/A,FALSE,"Sheet1";#N/A,#N/A,FALSE,"Sheet3";#N/A,#N/A,FALSE,"Sheet5"}</definedName>
    <definedName name="dumbwaiter" localSheetId="4" hidden="1">{#N/A,#N/A,FALSE,"Sheet1";#N/A,#N/A,FALSE,"Sheet3";#N/A,#N/A,FALSE,"Sheet5"}</definedName>
    <definedName name="dumbwaiter" localSheetId="5" hidden="1">{#N/A,#N/A,FALSE,"Sheet1";#N/A,#N/A,FALSE,"Sheet3";#N/A,#N/A,FALSE,"Sheet5"}</definedName>
    <definedName name="dumbwaiter" localSheetId="7" hidden="1">{#N/A,#N/A,FALSE,"Sheet1";#N/A,#N/A,FALSE,"Sheet3";#N/A,#N/A,FALSE,"Sheet5"}</definedName>
    <definedName name="dumbwaiter" hidden="1">{#N/A,#N/A,FALSE,"Sheet1";#N/A,#N/A,FALSE,"Sheet3";#N/A,#N/A,FALSE,"Sheet5"}</definedName>
    <definedName name="DUNG" localSheetId="1" hidden="1">{"'Sheet1'!$L$16"}</definedName>
    <definedName name="DUNG" hidden="1">{"'Sheet1'!$L$16"}</definedName>
    <definedName name="duong" localSheetId="1" hidden="1">{"'Sheet1'!$L$16"}</definedName>
    <definedName name="duong" localSheetId="3" hidden="1">{"'Sheet1'!$L$16"}</definedName>
    <definedName name="duong" localSheetId="4" hidden="1">{"'Sheet1'!$L$16"}</definedName>
    <definedName name="duong" localSheetId="5" hidden="1">{"'Sheet1'!$L$16"}</definedName>
    <definedName name="duong" localSheetId="7" hidden="1">{"'Sheet1'!$L$16"}</definedName>
    <definedName name="duong" hidden="1">{"'Sheet1'!$L$16"}</definedName>
    <definedName name="Duong_dau_cau">#REF!</definedName>
    <definedName name="Duongnaco" localSheetId="1" hidden="1">{"'Sheet1'!$L$16"}</definedName>
    <definedName name="Duongnaco" hidden="1">{"'Sheet1'!$L$16"}</definedName>
    <definedName name="dutoanbenuoc" hidden="1">{"'Sheet1'!$L$16"}</definedName>
    <definedName name="dutoanc2">{"'Sheet1'!$L$16"}</definedName>
    <definedName name="DutoanDongmo">#REF!</definedName>
    <definedName name="dutruchiphi" hidden="1">{"NGUYEN QUI THIEP - Personal View",#N/A,FALSE,"XDCB.HT.FUR."}</definedName>
    <definedName name="DV">#REF!</definedName>
    <definedName name="DVGEWVBEW" localSheetId="1" hidden="1">{"'Sheet1'!$L$16"}</definedName>
    <definedName name="DVGEWVBEW" localSheetId="3" hidden="1">{"'Sheet1'!$L$16"}</definedName>
    <definedName name="DVGEWVBEW" localSheetId="4" hidden="1">{"'Sheet1'!$L$16"}</definedName>
    <definedName name="DVGEWVBEW" localSheetId="5" hidden="1">{"'Sheet1'!$L$16"}</definedName>
    <definedName name="DVGEWVBEW" localSheetId="7" hidden="1">{"'Sheet1'!$L$16"}</definedName>
    <definedName name="DVGEWVBEW" hidden="1">{"'Sheet1'!$L$16"}</definedName>
    <definedName name="dvt">1000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PRICE" hidden="1">#REF!</definedName>
    <definedName name="dwqwq" hidden="1">#REF!</definedName>
    <definedName name="đ">{"'Sheet1'!$L$16"}</definedName>
    <definedName name="ĐÁ" hidden="1">#REF!</definedName>
    <definedName name="đấ">{"'Sheet1'!$L$16"}</definedName>
    <definedName name="E" localSheetId="1" hidden="1">{#N/A,#N/A,FALSE,"CCTV"}</definedName>
    <definedName name="E" localSheetId="3" hidden="1">{#N/A,#N/A,FALSE,"CCTV"}</definedName>
    <definedName name="E" localSheetId="4" hidden="1">{#N/A,#N/A,FALSE,"CCTV"}</definedName>
    <definedName name="E" localSheetId="5" hidden="1">{#N/A,#N/A,FALSE,"CCTV"}</definedName>
    <definedName name="E" localSheetId="7" hidden="1">{#N/A,#N/A,FALSE,"CCTV"}</definedName>
    <definedName name="E" hidden="1">{#N/A,#N/A,FALSE,"CCTV"}</definedName>
    <definedName name="É" hidden="1">{"'Sheet1'!$L$16"}</definedName>
    <definedName name="E_1">#REF!</definedName>
    <definedName name="E1.000">#N/A</definedName>
    <definedName name="E1.010">#N/A</definedName>
    <definedName name="E1.020">#N/A</definedName>
    <definedName name="E1.200">#N/A</definedName>
    <definedName name="E1.210">#N/A</definedName>
    <definedName name="E1.220">#N/A</definedName>
    <definedName name="E1.300">#N/A</definedName>
    <definedName name="E1.310">#N/A</definedName>
    <definedName name="E1.320">#N/A</definedName>
    <definedName name="E1.400">#N/A</definedName>
    <definedName name="E1.410">#N/A</definedName>
    <definedName name="E1.420">#N/A</definedName>
    <definedName name="E1.500">#N/A</definedName>
    <definedName name="E1.510">#N/A</definedName>
    <definedName name="E1.520">#N/A</definedName>
    <definedName name="E1.600">#N/A</definedName>
    <definedName name="E1.611">#N/A</definedName>
    <definedName name="E1.631">#N/A</definedName>
    <definedName name="E2.000">#N/A</definedName>
    <definedName name="E2.000A">#N/A</definedName>
    <definedName name="E2.010">#N/A</definedName>
    <definedName name="E2.010A">#N/A</definedName>
    <definedName name="E2.020">#N/A</definedName>
    <definedName name="E2.020A">#N/A</definedName>
    <definedName name="E2.100">#N/A</definedName>
    <definedName name="E2.100A">#N/A</definedName>
    <definedName name="E2.110">#N/A</definedName>
    <definedName name="E2.110A">#N/A</definedName>
    <definedName name="E2.120">#N/A</definedName>
    <definedName name="E2.120A">#N/A</definedName>
    <definedName name="E3.000">#N/A</definedName>
    <definedName name="E3.010">#N/A</definedName>
    <definedName name="E3.020">#N/A</definedName>
    <definedName name="E3.031">#N/A</definedName>
    <definedName name="E3.032">#N/A</definedName>
    <definedName name="E3.033">#N/A</definedName>
    <definedName name="E4.001">#N/A</definedName>
    <definedName name="E4.011">#N/A</definedName>
    <definedName name="E4.021">#N/A</definedName>
    <definedName name="E4.101">#N/A</definedName>
    <definedName name="E4.111">#N/A</definedName>
    <definedName name="E4.121">#N/A</definedName>
    <definedName name="e4y" localSheetId="1" hidden="1">{#N/A,#N/A,FALSE,"Chi tiÆt"}</definedName>
    <definedName name="e4y" localSheetId="3" hidden="1">{#N/A,#N/A,FALSE,"Chi tiÆt"}</definedName>
    <definedName name="e4y" localSheetId="4" hidden="1">{#N/A,#N/A,FALSE,"Chi tiÆt"}</definedName>
    <definedName name="e4y" localSheetId="5" hidden="1">{#N/A,#N/A,FALSE,"Chi tiÆt"}</definedName>
    <definedName name="e4y" localSheetId="7" hidden="1">{#N/A,#N/A,FALSE,"Chi tiÆt"}</definedName>
    <definedName name="e4y" hidden="1">{#N/A,#N/A,FALSE,"Chi tiÆt"}</definedName>
    <definedName name="E5.010">#N/A</definedName>
    <definedName name="E5.020">#N/A</definedName>
    <definedName name="E5.030">#N/A</definedName>
    <definedName name="E6.001">#N/A</definedName>
    <definedName name="E6.002">#N/A</definedName>
    <definedName name="E6.011">#N/A</definedName>
    <definedName name="E6.012">#N/A</definedName>
    <definedName name="ED" localSheetId="1" hidden="1">{#N/A,#N/A,FALSE,"CCTV"}</definedName>
    <definedName name="ED" localSheetId="3" hidden="1">{#N/A,#N/A,FALSE,"CCTV"}</definedName>
    <definedName name="ED" localSheetId="4" hidden="1">{#N/A,#N/A,FALSE,"CCTV"}</definedName>
    <definedName name="ED" localSheetId="5" hidden="1">{#N/A,#N/A,FALSE,"CCTV"}</definedName>
    <definedName name="ED" localSheetId="7" hidden="1">{#N/A,#N/A,FALSE,"CCTV"}</definedName>
    <definedName name="ED" hidden="1">{#N/A,#N/A,FALSE,"CCTV"}</definedName>
    <definedName name="edwfrhjy" hidden="1">#REF!</definedName>
    <definedName name="edwtgfdsgf">{"'Sheet1'!$L$16"}</definedName>
    <definedName name="ee" localSheetId="1" hidden="1">#REF!</definedName>
    <definedName name="ee" hidden="1">#REF!</definedName>
    <definedName name="eeeee" hidden="1">{#N/A,#N/A,TRUE,"SUM";#N/A,#N/A,TRUE,"EE";#N/A,#N/A,TRUE,"AC";#N/A,#N/A,TRUE,"SN"}</definedName>
    <definedName name="eeeeeeeeeee" hidden="1">#REF!</definedName>
    <definedName name="eef">{"'Sheet1'!$L$16"}</definedName>
    <definedName name="EEX">#REF!</definedName>
    <definedName name="EFX">#REF!</definedName>
    <definedName name="eg">#REF!</definedName>
    <definedName name="ẻger" localSheetId="1" hidden="1">{"'Sheet1'!$L$16"}</definedName>
    <definedName name="ẻger" localSheetId="3" hidden="1">{"'Sheet1'!$L$16"}</definedName>
    <definedName name="ẻger" localSheetId="4" hidden="1">{"'Sheet1'!$L$16"}</definedName>
    <definedName name="ẻger" localSheetId="5" hidden="1">{"'Sheet1'!$L$16"}</definedName>
    <definedName name="ẻger" localSheetId="7" hidden="1">{"'Sheet1'!$L$16"}</definedName>
    <definedName name="ẻger" hidden="1">{"'Sheet1'!$L$16"}</definedName>
    <definedName name="ẻgwe" hidden="1">{"'Sheet1'!$L$16"}</definedName>
    <definedName name="ẻgwrq" hidden="1">#REF!</definedName>
    <definedName name="EGX">#REF!</definedName>
    <definedName name="EHX">#REF!</definedName>
    <definedName name="EJX">#REF!</definedName>
    <definedName name="EKX">#REF!</definedName>
    <definedName name="Electrical">#REF!</definedName>
    <definedName name="elek">#REF!</definedName>
    <definedName name="ELLEN1" localSheetId="1" hidden="1">{#N/A,#N/A,FALSE,"CCTV"}</definedName>
    <definedName name="ELLEN1" localSheetId="3" hidden="1">{#N/A,#N/A,FALSE,"CCTV"}</definedName>
    <definedName name="ELLEN1" localSheetId="4" hidden="1">{#N/A,#N/A,FALSE,"CCTV"}</definedName>
    <definedName name="ELLEN1" localSheetId="5" hidden="1">{#N/A,#N/A,FALSE,"CCTV"}</definedName>
    <definedName name="ELLEN1" localSheetId="7" hidden="1">{#N/A,#N/A,FALSE,"CCTV"}</definedName>
    <definedName name="ELLEN1" hidden="1">{#N/A,#N/A,FALSE,"CCTV"}</definedName>
    <definedName name="ELLEN10" localSheetId="1" hidden="1">{#N/A,#N/A,FALSE,"CCTV"}</definedName>
    <definedName name="ELLEN10" localSheetId="3" hidden="1">{#N/A,#N/A,FALSE,"CCTV"}</definedName>
    <definedName name="ELLEN10" localSheetId="4" hidden="1">{#N/A,#N/A,FALSE,"CCTV"}</definedName>
    <definedName name="ELLEN10" localSheetId="5" hidden="1">{#N/A,#N/A,FALSE,"CCTV"}</definedName>
    <definedName name="ELLEN10" localSheetId="7" hidden="1">{#N/A,#N/A,FALSE,"CCTV"}</definedName>
    <definedName name="ELLEN10" hidden="1">{#N/A,#N/A,FALSE,"CCTV"}</definedName>
    <definedName name="ELLEN11" localSheetId="1" hidden="1">{#N/A,#N/A,FALSE,"CCTV"}</definedName>
    <definedName name="ELLEN11" localSheetId="3" hidden="1">{#N/A,#N/A,FALSE,"CCTV"}</definedName>
    <definedName name="ELLEN11" localSheetId="4" hidden="1">{#N/A,#N/A,FALSE,"CCTV"}</definedName>
    <definedName name="ELLEN11" localSheetId="5" hidden="1">{#N/A,#N/A,FALSE,"CCTV"}</definedName>
    <definedName name="ELLEN11" localSheetId="7" hidden="1">{#N/A,#N/A,FALSE,"CCTV"}</definedName>
    <definedName name="ELLEN11" hidden="1">{#N/A,#N/A,FALSE,"CCTV"}</definedName>
    <definedName name="ELLEN12" localSheetId="1" hidden="1">{#N/A,#N/A,FALSE,"CCTV"}</definedName>
    <definedName name="ELLEN12" localSheetId="3" hidden="1">{#N/A,#N/A,FALSE,"CCTV"}</definedName>
    <definedName name="ELLEN12" localSheetId="4" hidden="1">{#N/A,#N/A,FALSE,"CCTV"}</definedName>
    <definedName name="ELLEN12" localSheetId="5" hidden="1">{#N/A,#N/A,FALSE,"CCTV"}</definedName>
    <definedName name="ELLEN12" localSheetId="7" hidden="1">{#N/A,#N/A,FALSE,"CCTV"}</definedName>
    <definedName name="ELLEN12" hidden="1">{#N/A,#N/A,FALSE,"CCTV"}</definedName>
    <definedName name="ELLEN13" localSheetId="1" hidden="1">{#N/A,#N/A,FALSE,"CCTV"}</definedName>
    <definedName name="ELLEN13" localSheetId="3" hidden="1">{#N/A,#N/A,FALSE,"CCTV"}</definedName>
    <definedName name="ELLEN13" localSheetId="4" hidden="1">{#N/A,#N/A,FALSE,"CCTV"}</definedName>
    <definedName name="ELLEN13" localSheetId="5" hidden="1">{#N/A,#N/A,FALSE,"CCTV"}</definedName>
    <definedName name="ELLEN13" localSheetId="7" hidden="1">{#N/A,#N/A,FALSE,"CCTV"}</definedName>
    <definedName name="ELLEN13" hidden="1">{#N/A,#N/A,FALSE,"CCTV"}</definedName>
    <definedName name="ELLEN14" localSheetId="1" hidden="1">{#N/A,#N/A,FALSE,"CCTV"}</definedName>
    <definedName name="ELLEN14" localSheetId="3" hidden="1">{#N/A,#N/A,FALSE,"CCTV"}</definedName>
    <definedName name="ELLEN14" localSheetId="4" hidden="1">{#N/A,#N/A,FALSE,"CCTV"}</definedName>
    <definedName name="ELLEN14" localSheetId="5" hidden="1">{#N/A,#N/A,FALSE,"CCTV"}</definedName>
    <definedName name="ELLEN14" localSheetId="7" hidden="1">{#N/A,#N/A,FALSE,"CCTV"}</definedName>
    <definedName name="ELLEN14" hidden="1">{#N/A,#N/A,FALSE,"CCTV"}</definedName>
    <definedName name="ELLEN15" localSheetId="1" hidden="1">{#N/A,#N/A,FALSE,"CCTV"}</definedName>
    <definedName name="ELLEN15" localSheetId="3" hidden="1">{#N/A,#N/A,FALSE,"CCTV"}</definedName>
    <definedName name="ELLEN15" localSheetId="4" hidden="1">{#N/A,#N/A,FALSE,"CCTV"}</definedName>
    <definedName name="ELLEN15" localSheetId="5" hidden="1">{#N/A,#N/A,FALSE,"CCTV"}</definedName>
    <definedName name="ELLEN15" localSheetId="7" hidden="1">{#N/A,#N/A,FALSE,"CCTV"}</definedName>
    <definedName name="ELLEN15" hidden="1">{#N/A,#N/A,FALSE,"CCTV"}</definedName>
    <definedName name="ELLEN16" localSheetId="1" hidden="1">{#N/A,#N/A,FALSE,"CCTV"}</definedName>
    <definedName name="ELLEN16" localSheetId="3" hidden="1">{#N/A,#N/A,FALSE,"CCTV"}</definedName>
    <definedName name="ELLEN16" localSheetId="4" hidden="1">{#N/A,#N/A,FALSE,"CCTV"}</definedName>
    <definedName name="ELLEN16" localSheetId="5" hidden="1">{#N/A,#N/A,FALSE,"CCTV"}</definedName>
    <definedName name="ELLEN16" localSheetId="7" hidden="1">{#N/A,#N/A,FALSE,"CCTV"}</definedName>
    <definedName name="ELLEN16" hidden="1">{#N/A,#N/A,FALSE,"CCTV"}</definedName>
    <definedName name="ELLEN17" localSheetId="1" hidden="1">{#N/A,#N/A,FALSE,"CCTV"}</definedName>
    <definedName name="ELLEN17" localSheetId="3" hidden="1">{#N/A,#N/A,FALSE,"CCTV"}</definedName>
    <definedName name="ELLEN17" localSheetId="4" hidden="1">{#N/A,#N/A,FALSE,"CCTV"}</definedName>
    <definedName name="ELLEN17" localSheetId="5" hidden="1">{#N/A,#N/A,FALSE,"CCTV"}</definedName>
    <definedName name="ELLEN17" localSheetId="7" hidden="1">{#N/A,#N/A,FALSE,"CCTV"}</definedName>
    <definedName name="ELLEN17" hidden="1">{#N/A,#N/A,FALSE,"CCTV"}</definedName>
    <definedName name="ELLEN18" localSheetId="1" hidden="1">{#N/A,#N/A,FALSE,"CCTV"}</definedName>
    <definedName name="ELLEN18" localSheetId="3" hidden="1">{#N/A,#N/A,FALSE,"CCTV"}</definedName>
    <definedName name="ELLEN18" localSheetId="4" hidden="1">{#N/A,#N/A,FALSE,"CCTV"}</definedName>
    <definedName name="ELLEN18" localSheetId="5" hidden="1">{#N/A,#N/A,FALSE,"CCTV"}</definedName>
    <definedName name="ELLEN18" localSheetId="7" hidden="1">{#N/A,#N/A,FALSE,"CCTV"}</definedName>
    <definedName name="ELLEN18" hidden="1">{#N/A,#N/A,FALSE,"CCTV"}</definedName>
    <definedName name="ELLEN19" localSheetId="1" hidden="1">{#N/A,#N/A,FALSE,"CCTV"}</definedName>
    <definedName name="ELLEN19" localSheetId="3" hidden="1">{#N/A,#N/A,FALSE,"CCTV"}</definedName>
    <definedName name="ELLEN19" localSheetId="4" hidden="1">{#N/A,#N/A,FALSE,"CCTV"}</definedName>
    <definedName name="ELLEN19" localSheetId="5" hidden="1">{#N/A,#N/A,FALSE,"CCTV"}</definedName>
    <definedName name="ELLEN19" localSheetId="7" hidden="1">{#N/A,#N/A,FALSE,"CCTV"}</definedName>
    <definedName name="ELLEN19" hidden="1">{#N/A,#N/A,FALSE,"CCTV"}</definedName>
    <definedName name="ELLEN2" localSheetId="1" hidden="1">{#N/A,#N/A,FALSE,"CCTV"}</definedName>
    <definedName name="ELLEN2" localSheetId="3" hidden="1">{#N/A,#N/A,FALSE,"CCTV"}</definedName>
    <definedName name="ELLEN2" localSheetId="4" hidden="1">{#N/A,#N/A,FALSE,"CCTV"}</definedName>
    <definedName name="ELLEN2" localSheetId="5" hidden="1">{#N/A,#N/A,FALSE,"CCTV"}</definedName>
    <definedName name="ELLEN2" localSheetId="7" hidden="1">{#N/A,#N/A,FALSE,"CCTV"}</definedName>
    <definedName name="ELLEN2" hidden="1">{#N/A,#N/A,FALSE,"CCTV"}</definedName>
    <definedName name="ELLEN3" localSheetId="1" hidden="1">{#N/A,#N/A,FALSE,"CCTV"}</definedName>
    <definedName name="ELLEN3" localSheetId="3" hidden="1">{#N/A,#N/A,FALSE,"CCTV"}</definedName>
    <definedName name="ELLEN3" localSheetId="4" hidden="1">{#N/A,#N/A,FALSE,"CCTV"}</definedName>
    <definedName name="ELLEN3" localSheetId="5" hidden="1">{#N/A,#N/A,FALSE,"CCTV"}</definedName>
    <definedName name="ELLEN3" localSheetId="7" hidden="1">{#N/A,#N/A,FALSE,"CCTV"}</definedName>
    <definedName name="ELLEN3" hidden="1">{#N/A,#N/A,FALSE,"CCTV"}</definedName>
    <definedName name="ELLEN4" localSheetId="1" hidden="1">{#N/A,#N/A,FALSE,"CCTV"}</definedName>
    <definedName name="ELLEN4" localSheetId="3" hidden="1">{#N/A,#N/A,FALSE,"CCTV"}</definedName>
    <definedName name="ELLEN4" localSheetId="4" hidden="1">{#N/A,#N/A,FALSE,"CCTV"}</definedName>
    <definedName name="ELLEN4" localSheetId="5" hidden="1">{#N/A,#N/A,FALSE,"CCTV"}</definedName>
    <definedName name="ELLEN4" localSheetId="7" hidden="1">{#N/A,#N/A,FALSE,"CCTV"}</definedName>
    <definedName name="ELLEN4" hidden="1">{#N/A,#N/A,FALSE,"CCTV"}</definedName>
    <definedName name="ELLEN5" localSheetId="1" hidden="1">{#N/A,#N/A,FALSE,"CCTV"}</definedName>
    <definedName name="ELLEN5" localSheetId="3" hidden="1">{#N/A,#N/A,FALSE,"CCTV"}</definedName>
    <definedName name="ELLEN5" localSheetId="4" hidden="1">{#N/A,#N/A,FALSE,"CCTV"}</definedName>
    <definedName name="ELLEN5" localSheetId="5" hidden="1">{#N/A,#N/A,FALSE,"CCTV"}</definedName>
    <definedName name="ELLEN5" localSheetId="7" hidden="1">{#N/A,#N/A,FALSE,"CCTV"}</definedName>
    <definedName name="ELLEN5" hidden="1">{#N/A,#N/A,FALSE,"CCTV"}</definedName>
    <definedName name="ELLEN6" localSheetId="1" hidden="1">{#N/A,#N/A,FALSE,"CCTV"}</definedName>
    <definedName name="ELLEN6" localSheetId="3" hidden="1">{#N/A,#N/A,FALSE,"CCTV"}</definedName>
    <definedName name="ELLEN6" localSheetId="4" hidden="1">{#N/A,#N/A,FALSE,"CCTV"}</definedName>
    <definedName name="ELLEN6" localSheetId="5" hidden="1">{#N/A,#N/A,FALSE,"CCTV"}</definedName>
    <definedName name="ELLEN6" localSheetId="7" hidden="1">{#N/A,#N/A,FALSE,"CCTV"}</definedName>
    <definedName name="ELLEN6" hidden="1">{#N/A,#N/A,FALSE,"CCTV"}</definedName>
    <definedName name="ELLEN7" localSheetId="1" hidden="1">{#N/A,#N/A,FALSE,"CCTV"}</definedName>
    <definedName name="ELLEN7" localSheetId="3" hidden="1">{#N/A,#N/A,FALSE,"CCTV"}</definedName>
    <definedName name="ELLEN7" localSheetId="4" hidden="1">{#N/A,#N/A,FALSE,"CCTV"}</definedName>
    <definedName name="ELLEN7" localSheetId="5" hidden="1">{#N/A,#N/A,FALSE,"CCTV"}</definedName>
    <definedName name="ELLEN7" localSheetId="7" hidden="1">{#N/A,#N/A,FALSE,"CCTV"}</definedName>
    <definedName name="ELLEN7" hidden="1">{#N/A,#N/A,FALSE,"CCTV"}</definedName>
    <definedName name="ELLEN8" localSheetId="1" hidden="1">{#N/A,#N/A,FALSE,"CCTV"}</definedName>
    <definedName name="ELLEN8" localSheetId="3" hidden="1">{#N/A,#N/A,FALSE,"CCTV"}</definedName>
    <definedName name="ELLEN8" localSheetId="4" hidden="1">{#N/A,#N/A,FALSE,"CCTV"}</definedName>
    <definedName name="ELLEN8" localSheetId="5" hidden="1">{#N/A,#N/A,FALSE,"CCTV"}</definedName>
    <definedName name="ELLEN8" localSheetId="7" hidden="1">{#N/A,#N/A,FALSE,"CCTV"}</definedName>
    <definedName name="ELLEN8" hidden="1">{#N/A,#N/A,FALSE,"CCTV"}</definedName>
    <definedName name="ELLEN9" localSheetId="1" hidden="1">{#N/A,#N/A,FALSE,"CCTV"}</definedName>
    <definedName name="ELLEN9" localSheetId="3" hidden="1">{#N/A,#N/A,FALSE,"CCTV"}</definedName>
    <definedName name="ELLEN9" localSheetId="4" hidden="1">{#N/A,#N/A,FALSE,"CCTV"}</definedName>
    <definedName name="ELLEN9" localSheetId="5" hidden="1">{#N/A,#N/A,FALSE,"CCTV"}</definedName>
    <definedName name="ELLEN9" localSheetId="7" hidden="1">{#N/A,#N/A,FALSE,"CCTV"}</definedName>
    <definedName name="ELLEN9" hidden="1">{#N/A,#N/A,FALSE,"CCTV"}</definedName>
    <definedName name="ELX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NhCong">#REF!</definedName>
    <definedName name="ENTRANCE">#REF!</definedName>
    <definedName name="eol">#REF!</definedName>
    <definedName name="eq">#REF!</definedName>
    <definedName name="eqtrwy">{"'Sheet1'!$L$16"}</definedName>
    <definedName name="ẻqwer">#REF!</definedName>
    <definedName name="Equ">#REF!</definedName>
    <definedName name="er" localSheetId="1" hidden="1">{0,0,0,0;0,0,0,0;0,0,0,0;0,0,0,0;0,0,0,0;0,0,0,0;0,0,0,0}</definedName>
    <definedName name="er" localSheetId="3" hidden="1">{0,0,0,0;0,0,0,0;0,0,0,0;0,0,0,0;0,0,0,0;0,0,0,0;0,0,0,0}</definedName>
    <definedName name="er" localSheetId="4" hidden="1">{0,0,0,0;0,0,0,0;0,0,0,0;0,0,0,0;0,0,0,0;0,0,0,0;0,0,0,0}</definedName>
    <definedName name="er" localSheetId="5" hidden="1">{0,0,0,0;0,0,0,0;0,0,0,0;0,0,0,0;0,0,0,0;0,0,0,0;0,0,0,0}</definedName>
    <definedName name="er" localSheetId="7" hidden="1">{0,0,0,0;0,0,0,0;0,0,0,0;0,0,0,0;0,0,0,0;0,0,0,0;0,0,0,0}</definedName>
    <definedName name="er" hidden="1">{0,0,0,0;0,0,0,0;0,0,0,0;0,0,0,0;0,0,0,0;0,0,0,0;0,0,0,0}</definedName>
    <definedName name="­erewarqewrqr" hidden="1">#REF!</definedName>
    <definedName name="ERQW" hidden="1">#REF!</definedName>
    <definedName name="ERT" localSheetId="1" hidden="1">{"'Sheet1'!$L$16"}</definedName>
    <definedName name="ERT" localSheetId="3" hidden="1">{"'Sheet1'!$L$16"}</definedName>
    <definedName name="ERT" localSheetId="4" hidden="1">{"'Sheet1'!$L$16"}</definedName>
    <definedName name="ERT" localSheetId="5" hidden="1">{"'Sheet1'!$L$16"}</definedName>
    <definedName name="ERT" localSheetId="7" hidden="1">{"'Sheet1'!$L$16"}</definedName>
    <definedName name="ERT" hidden="1">{"'Sheet1'!$L$16"}</definedName>
    <definedName name="eryhrtgabqergerggbvrth" hidden="1">#REF!</definedName>
    <definedName name="es" localSheetId="1" hidden="1">{"'Sheet1'!$L$16"}</definedName>
    <definedName name="es" localSheetId="3" hidden="1">{"'Sheet1'!$L$16"}</definedName>
    <definedName name="es" localSheetId="4" hidden="1">{"'Sheet1'!$L$16"}</definedName>
    <definedName name="es" localSheetId="5" hidden="1">{"'Sheet1'!$L$16"}</definedName>
    <definedName name="es" localSheetId="7" hidden="1">{"'Sheet1'!$L$16"}</definedName>
    <definedName name="es" hidden="1">{"'Sheet1'!$L$16"}</definedName>
    <definedName name="Estimation_basis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ettr" localSheetId="1" hidden="1">{#N/A,#N/A,FALSE,"Chi tiÆt"}</definedName>
    <definedName name="ettr" localSheetId="3" hidden="1">{#N/A,#N/A,FALSE,"Chi tiÆt"}</definedName>
    <definedName name="ettr" localSheetId="4" hidden="1">{#N/A,#N/A,FALSE,"Chi tiÆt"}</definedName>
    <definedName name="ettr" localSheetId="5" hidden="1">{#N/A,#N/A,FALSE,"Chi tiÆt"}</definedName>
    <definedName name="ettr" localSheetId="7" hidden="1">{#N/A,#N/A,FALSE,"Chi tiÆt"}</definedName>
    <definedName name="ettr" hidden="1">{#N/A,#N/A,FALSE,"Chi tiÆt"}</definedName>
    <definedName name="etuiuti" localSheetId="1" hidden="1">{"'Sheet1'!$L$16"}</definedName>
    <definedName name="etuiuti" localSheetId="3" hidden="1">{"'Sheet1'!$L$16"}</definedName>
    <definedName name="etuiuti" localSheetId="4" hidden="1">{"'Sheet1'!$L$16"}</definedName>
    <definedName name="etuiuti" localSheetId="5" hidden="1">{"'Sheet1'!$L$16"}</definedName>
    <definedName name="etuiuti" localSheetId="7" hidden="1">{"'Sheet1'!$L$16"}</definedName>
    <definedName name="etuiuti" hidden="1">{"'Sheet1'!$L$16"}</definedName>
    <definedName name="ẺTWTW" localSheetId="1" hidden="1">{"'Sheet1'!$L$16"}</definedName>
    <definedName name="ẺTWTW" localSheetId="3" hidden="1">{"'Sheet1'!$L$16"}</definedName>
    <definedName name="ẺTWTW" localSheetId="4" hidden="1">{"'Sheet1'!$L$16"}</definedName>
    <definedName name="ẺTWTW" localSheetId="5" hidden="1">{"'Sheet1'!$L$16"}</definedName>
    <definedName name="ẺTWTW" localSheetId="7" hidden="1">{"'Sheet1'!$L$16"}</definedName>
    <definedName name="ẺTWTW" hidden="1">{"'Sheet1'!$L$16"}</definedName>
    <definedName name="eù" localSheetId="1">{"Book1"}</definedName>
    <definedName name="eù">{"Book1"}</definedName>
    <definedName name="ew" hidden="1">{"'Sheet1'!$L$16"}</definedName>
    <definedName name="EWEREWRE" localSheetId="1" hidden="1">{"'Sheet1'!$L$16"}</definedName>
    <definedName name="EWEREWRE" localSheetId="3" hidden="1">{"'Sheet1'!$L$16"}</definedName>
    <definedName name="EWEREWRE" localSheetId="4" hidden="1">{"'Sheet1'!$L$16"}</definedName>
    <definedName name="EWEREWRE" localSheetId="5" hidden="1">{"'Sheet1'!$L$16"}</definedName>
    <definedName name="EWEREWRE" localSheetId="7" hidden="1">{"'Sheet1'!$L$16"}</definedName>
    <definedName name="EWEREWRE" hidden="1">{"'Sheet1'!$L$16"}</definedName>
    <definedName name="ẺWERWE" localSheetId="1" hidden="1">{"'Sheet1'!$L$16"}</definedName>
    <definedName name="ẺWERWE" localSheetId="3" hidden="1">{"'Sheet1'!$L$16"}</definedName>
    <definedName name="ẺWERWE" localSheetId="4" hidden="1">{"'Sheet1'!$L$16"}</definedName>
    <definedName name="ẺWERWE" localSheetId="5" hidden="1">{"'Sheet1'!$L$16"}</definedName>
    <definedName name="ẺWERWE" localSheetId="7" hidden="1">{"'Sheet1'!$L$16"}</definedName>
    <definedName name="ẺWERWE" hidden="1">{"'Sheet1'!$L$16"}</definedName>
    <definedName name="ewfawg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fqewrrefeqrftr">{"'Sheet1'!$L$16"}</definedName>
    <definedName name="ews">{0}</definedName>
    <definedName name="EX">#REF!</definedName>
    <definedName name="ExactAddinConnection">"003"</definedName>
    <definedName name="ExactAddinConnection.002">"CPNT01;003;mengtalekk;1"</definedName>
    <definedName name="ExactAddinConnection.003">"CPNT01;006;mengtalekk;1"</definedName>
    <definedName name="ExactAddinReports">2</definedName>
    <definedName name="EXC">#REF!</definedName>
    <definedName name="EXCH">#REF!</definedName>
    <definedName name="ExRate">#REF!</definedName>
    <definedName name="ExRatio">#REF!</definedName>
    <definedName name="EXTRA">#REF!</definedName>
    <definedName name="_xlnm.Extract">#REF!</definedName>
    <definedName name="eyteyt" hidden="1">{#N/A,#N/A,FALSE,"CCTV"}</definedName>
    <definedName name="ÊR" localSheetId="1" hidden="1">{"'Sheet1'!$L$16"}</definedName>
    <definedName name="ÊR" localSheetId="3" hidden="1">{"'Sheet1'!$L$16"}</definedName>
    <definedName name="ÊR" localSheetId="4" hidden="1">{"'Sheet1'!$L$16"}</definedName>
    <definedName name="ÊR" localSheetId="5" hidden="1">{"'Sheet1'!$L$16"}</definedName>
    <definedName name="ÊR" localSheetId="7" hidden="1">{"'Sheet1'!$L$16"}</definedName>
    <definedName name="ÊR" hidden="1">{"'Sheet1'!$L$16"}</definedName>
    <definedName name="ểttre" localSheetId="1" hidden="1">{"'Sheet1'!$L$16"}</definedName>
    <definedName name="ểttre" localSheetId="3" hidden="1">{"'Sheet1'!$L$16"}</definedName>
    <definedName name="ểttre" localSheetId="4" hidden="1">{"'Sheet1'!$L$16"}</definedName>
    <definedName name="ểttre" localSheetId="5" hidden="1">{"'Sheet1'!$L$16"}</definedName>
    <definedName name="ểttre" localSheetId="7" hidden="1">{"'Sheet1'!$L$16"}</definedName>
    <definedName name="ểttre" hidden="1">{"'Sheet1'!$L$16"}</definedName>
    <definedName name="f">#REF!</definedName>
    <definedName name="F0.000">#N/A</definedName>
    <definedName name="F0.010">#N/A</definedName>
    <definedName name="F0.020">#N/A</definedName>
    <definedName name="F0.100">#N/A</definedName>
    <definedName name="F0.110">#N/A</definedName>
    <definedName name="F0.120">#N/A</definedName>
    <definedName name="F0.200">#N/A</definedName>
    <definedName name="F0.210">#N/A</definedName>
    <definedName name="F0.220">#N/A</definedName>
    <definedName name="F0.300">#N/A</definedName>
    <definedName name="F0.310">#N/A</definedName>
    <definedName name="F0.320">#N/A</definedName>
    <definedName name="F1.000">#N/A</definedName>
    <definedName name="F1.010">#N/A</definedName>
    <definedName name="F1.020">#N/A</definedName>
    <definedName name="F1.100">#N/A</definedName>
    <definedName name="F1.110">#N/A</definedName>
    <definedName name="F1.120">#N/A</definedName>
    <definedName name="F1.130">#N/A</definedName>
    <definedName name="F1.140">#N/A</definedName>
    <definedName name="F1.150">#N/A</definedName>
    <definedName name="F2.001">#N/A</definedName>
    <definedName name="F2.011">#N/A</definedName>
    <definedName name="F2.021">#N/A</definedName>
    <definedName name="F2.031">#N/A</definedName>
    <definedName name="F2.041">#N/A</definedName>
    <definedName name="F2.051">#N/A</definedName>
    <definedName name="F2.052">#N/A</definedName>
    <definedName name="F2.061">#N/A</definedName>
    <definedName name="F2.071">#N/A</definedName>
    <definedName name="F2.101">#N/A</definedName>
    <definedName name="F2.111">#N/A</definedName>
    <definedName name="F2.121">#N/A</definedName>
    <definedName name="F2.131">#N/A</definedName>
    <definedName name="F2.141">#N/A</definedName>
    <definedName name="F2.200">#N/A</definedName>
    <definedName name="F2.210">#N/A</definedName>
    <definedName name="F2.220">#N/A</definedName>
    <definedName name="F2.230">#N/A</definedName>
    <definedName name="F2.240">#N/A</definedName>
    <definedName name="F2.250">#N/A</definedName>
    <definedName name="F2.300">#N/A</definedName>
    <definedName name="F2.310">#N/A</definedName>
    <definedName name="F2.320">#N/A</definedName>
    <definedName name="F3.000">#N/A</definedName>
    <definedName name="F3.010">#N/A</definedName>
    <definedName name="F3.020">#N/A</definedName>
    <definedName name="F3.030">#N/A</definedName>
    <definedName name="F3.100">#N/A</definedName>
    <definedName name="F3.110">#N/A</definedName>
    <definedName name="F3.120">#N/A</definedName>
    <definedName name="F3.130">#N/A</definedName>
    <definedName name="F4.000">#N/A</definedName>
    <definedName name="F4.010">#N/A</definedName>
    <definedName name="F4.020">#N/A</definedName>
    <definedName name="F4.030">#N/A</definedName>
    <definedName name="F4.100">#N/A</definedName>
    <definedName name="F4.120">#N/A</definedName>
    <definedName name="F4.140">#N/A</definedName>
    <definedName name="F4.160">#N/A</definedName>
    <definedName name="F4.200">#N/A</definedName>
    <definedName name="F4.220">#N/A</definedName>
    <definedName name="F4.240">#N/A</definedName>
    <definedName name="F4.260">#N/A</definedName>
    <definedName name="F4.300">#N/A</definedName>
    <definedName name="F4.320">#N/A</definedName>
    <definedName name="F4.340">#N/A</definedName>
    <definedName name="F4.400">#N/A</definedName>
    <definedName name="F4.420">#N/A</definedName>
    <definedName name="F4.440">#N/A</definedName>
    <definedName name="F4.500">#N/A</definedName>
    <definedName name="F4.530">#N/A</definedName>
    <definedName name="F4.550">#N/A</definedName>
    <definedName name="F4.570">#N/A</definedName>
    <definedName name="F4.600">#N/A</definedName>
    <definedName name="F4.610">#N/A</definedName>
    <definedName name="F4.620">#N/A</definedName>
    <definedName name="F4.700">#N/A</definedName>
    <definedName name="F4.730">#N/A</definedName>
    <definedName name="F4.740">#N/A</definedName>
    <definedName name="F4.800">#N/A</definedName>
    <definedName name="F4.830">#N/A</definedName>
    <definedName name="F4.840">#N/A</definedName>
    <definedName name="F5.01">#N/A</definedName>
    <definedName name="F5.02">#N/A</definedName>
    <definedName name="F5.03">#N/A</definedName>
    <definedName name="F5.04">#N/A</definedName>
    <definedName name="F5.05">#N/A</definedName>
    <definedName name="F5.11">#N/A</definedName>
    <definedName name="F5.12">#N/A</definedName>
    <definedName name="F5.13">#N/A</definedName>
    <definedName name="F5.14">#N/A</definedName>
    <definedName name="F5.15">#N/A</definedName>
    <definedName name="F5TF" hidden="1">#REF!</definedName>
    <definedName name="F6.001">#N/A</definedName>
    <definedName name="F6.002">#N/A</definedName>
    <definedName name="F6.003">#N/A</definedName>
    <definedName name="F6.004">#N/A</definedName>
    <definedName name="f82E46">#REF!</definedName>
    <definedName name="f92F56">#REF!</definedName>
    <definedName name="fa">#REF!</definedName>
    <definedName name="fáaafafaf" localSheetId="1" hidden="1">{"'Sheet1'!$L$16"}</definedName>
    <definedName name="fáaafafaf" localSheetId="3" hidden="1">{"'Sheet1'!$L$16"}</definedName>
    <definedName name="fáaafafaf" localSheetId="4" hidden="1">{"'Sheet1'!$L$16"}</definedName>
    <definedName name="fáaafafaf" localSheetId="5" hidden="1">{"'Sheet1'!$L$16"}</definedName>
    <definedName name="fáaafafaf" localSheetId="7" hidden="1">{"'Sheet1'!$L$16"}</definedName>
    <definedName name="fáaafafaf" hidden="1">{"'Sheet1'!$L$16"}</definedName>
    <definedName name="faab">#REF!</definedName>
    <definedName name="fac">#REF!</definedName>
    <definedName name="facm">#REF!</definedName>
    <definedName name="facp">#REF!</definedName>
    <definedName name="FACTOR">#REF!</definedName>
    <definedName name="FACTORY" hidden="1">{#N/A,#N/A,TRUE,"SUM";#N/A,#N/A,TRUE,"EE";#N/A,#N/A,TRUE,"AC";#N/A,#N/A,TRUE,"SN"}</definedName>
    <definedName name="faeol">#REF!</definedName>
    <definedName name="FAFA" localSheetId="1" hidden="1">{"'Sheet1'!$L$16"}</definedName>
    <definedName name="FAFA" localSheetId="3" hidden="1">{"'Sheet1'!$L$16"}</definedName>
    <definedName name="FAFA" localSheetId="4" hidden="1">{"'Sheet1'!$L$16"}</definedName>
    <definedName name="FAFA" localSheetId="5" hidden="1">{"'Sheet1'!$L$16"}</definedName>
    <definedName name="FAFA" localSheetId="7" hidden="1">{"'Sheet1'!$L$16"}</definedName>
    <definedName name="FAFA" hidden="1">{"'Sheet1'!$L$16"}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FA" hidden="1">#REF!</definedName>
    <definedName name="fasdt">#REF!</definedName>
    <definedName name="FASFA" localSheetId="1" hidden="1">{"'Sheet1'!$L$16"}</definedName>
    <definedName name="FASFA" localSheetId="3" hidden="1">{"'Sheet1'!$L$16"}</definedName>
    <definedName name="FASFA" localSheetId="4" hidden="1">{"'Sheet1'!$L$16"}</definedName>
    <definedName name="FASFA" localSheetId="5" hidden="1">{"'Sheet1'!$L$16"}</definedName>
    <definedName name="FASFA" localSheetId="7" hidden="1">{"'Sheet1'!$L$16"}</definedName>
    <definedName name="FASFA" hidden="1">{"'Sheet1'!$L$16"}</definedName>
    <definedName name="fasfaga" localSheetId="1" hidden="1">{"'Sheet1'!$L$16"}</definedName>
    <definedName name="fasfaga" localSheetId="3" hidden="1">{"'Sheet1'!$L$16"}</definedName>
    <definedName name="fasfaga" localSheetId="4" hidden="1">{"'Sheet1'!$L$16"}</definedName>
    <definedName name="fasfaga" localSheetId="5" hidden="1">{"'Sheet1'!$L$16"}</definedName>
    <definedName name="fasfaga" localSheetId="7" hidden="1">{"'Sheet1'!$L$16"}</definedName>
    <definedName name="fasfaga" hidden="1">{"'Sheet1'!$L$16"}</definedName>
    <definedName name="fat">#REF!</definedName>
    <definedName name="FAXNO">#REF!</definedName>
    <definedName name="FBSEEBASD" localSheetId="1" hidden="1">{"'Sheet1'!$L$16"}</definedName>
    <definedName name="FBSEEBASD" localSheetId="3" hidden="1">{"'Sheet1'!$L$16"}</definedName>
    <definedName name="FBSEEBASD" localSheetId="4" hidden="1">{"'Sheet1'!$L$16"}</definedName>
    <definedName name="FBSEEBASD" localSheetId="5" hidden="1">{"'Sheet1'!$L$16"}</definedName>
    <definedName name="FBSEEBASD" localSheetId="7" hidden="1">{"'Sheet1'!$L$16"}</definedName>
    <definedName name="FBSEEBASD" hidden="1">{"'Sheet1'!$L$16"}</definedName>
    <definedName name="fÇ">{"'Sheet1'!$L$16"}</definedName>
    <definedName name="FCode" localSheetId="1" hidden="1">#REF!</definedName>
    <definedName name="FCode" hidden="1">#REF!</definedName>
    <definedName name="fd">{"'Sheet1'!$L$16"}</definedName>
    <definedName name="fdasfdsa" localSheetId="1" hidden="1">{#N/A,#N/A,FALSE,"Chi tiÆt"}</definedName>
    <definedName name="fdasfdsa" localSheetId="3" hidden="1">{#N/A,#N/A,FALSE,"Chi tiÆt"}</definedName>
    <definedName name="fdasfdsa" localSheetId="4" hidden="1">{#N/A,#N/A,FALSE,"Chi tiÆt"}</definedName>
    <definedName name="fdasfdsa" localSheetId="5" hidden="1">{#N/A,#N/A,FALSE,"Chi tiÆt"}</definedName>
    <definedName name="fdasfdsa" localSheetId="7" hidden="1">{#N/A,#N/A,FALSE,"Chi tiÆt"}</definedName>
    <definedName name="fdasfdsa" hidden="1">{#N/A,#N/A,FALSE,"Chi tiÆt"}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1" hidden="1">{#N/A,#N/A,FALSE,"CCTV"}</definedName>
    <definedName name="fdf" localSheetId="3" hidden="1">{#N/A,#N/A,FALSE,"CCTV"}</definedName>
    <definedName name="fdf" localSheetId="4" hidden="1">{#N/A,#N/A,FALSE,"CCTV"}</definedName>
    <definedName name="fdf" localSheetId="5" hidden="1">{#N/A,#N/A,FALSE,"CCTV"}</definedName>
    <definedName name="fdf" localSheetId="7" hidden="1">{#N/A,#N/A,FALSE,"CCTV"}</definedName>
    <definedName name="fdf" hidden="1">{#N/A,#N/A,FALSE,"CCTV"}</definedName>
    <definedName name="FDFDF" hidden="1">{#N/A,#N/A,FALSE,"CCTV"}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hidden="1">{#N/A,#N/A,FALSE,"Chi tiÆt"}</definedName>
    <definedName name="fdg" localSheetId="1" hidden="1">{"'Sheet1'!$L$16"}</definedName>
    <definedName name="fdg" localSheetId="3" hidden="1">{"'Sheet1'!$L$16"}</definedName>
    <definedName name="fdg" localSheetId="4" hidden="1">{"'Sheet1'!$L$16"}</definedName>
    <definedName name="fdg" localSheetId="5" hidden="1">{"'Sheet1'!$L$16"}</definedName>
    <definedName name="fdg" localSheetId="7" hidden="1">{"'Sheet1'!$L$16"}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dgfdfg">#REF!</definedName>
    <definedName name="fdgfg" localSheetId="1" hidden="1">{"'Sheet1'!$L$16"}</definedName>
    <definedName name="fdgfg" localSheetId="3" hidden="1">{"'Sheet1'!$L$16"}</definedName>
    <definedName name="fdgfg" localSheetId="4" hidden="1">{"'Sheet1'!$L$16"}</definedName>
    <definedName name="fdgfg" localSheetId="5" hidden="1">{"'Sheet1'!$L$16"}</definedName>
    <definedName name="fdgfg" localSheetId="7" hidden="1">{"'Sheet1'!$L$16"}</definedName>
    <definedName name="fdgfg" hidden="1">{"'Sheet1'!$L$16"}</definedName>
    <definedName name="fdgfgjghhk" hidden="1">#REF!</definedName>
    <definedName name="fdgfhgÌh" hidden="1">{"'Sheet1'!$L$16"}</definedName>
    <definedName name="fdgssda" hidden="1">{"'Sheet1'!$L$16"}</definedName>
    <definedName name="fdsdf" localSheetId="1" hidden="1">{"'Sheet1'!$L$16"}</definedName>
    <definedName name="fdsdf" localSheetId="3" hidden="1">{"'Sheet1'!$L$16"}</definedName>
    <definedName name="fdsdf" localSheetId="4" hidden="1">{"'Sheet1'!$L$16"}</definedName>
    <definedName name="fdsdf" localSheetId="5" hidden="1">{"'Sheet1'!$L$16"}</definedName>
    <definedName name="fdsdf" localSheetId="7" hidden="1">{"'Sheet1'!$L$16"}</definedName>
    <definedName name="fdsd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gfdgfdgfdgfdgfd" hidden="1">#REF!</definedName>
    <definedName name="fdsff" hidden="1">{"'Sheet1'!$L$16"}</definedName>
    <definedName name="fdsfsdfd" localSheetId="1" hidden="1">{"'Sheet1'!$L$16"}</definedName>
    <definedName name="fdsfsdfd" localSheetId="3" hidden="1">{"'Sheet1'!$L$16"}</definedName>
    <definedName name="fdsfsdfd" localSheetId="4" hidden="1">{"'Sheet1'!$L$16"}</definedName>
    <definedName name="fdsfsdfd" localSheetId="5" hidden="1">{"'Sheet1'!$L$16"}</definedName>
    <definedName name="fdsfsdfd" localSheetId="7" hidden="1">{"'Sheet1'!$L$16"}</definedName>
    <definedName name="fdsfsdfd" hidden="1">{"'Sheet1'!$L$16"}</definedName>
    <definedName name="fdskflj.xls" hidden="1">{"'Sheet1'!$L$16"}</definedName>
    <definedName name="fdTX1A">#REF!</definedName>
    <definedName name="feco25">#REF!</definedName>
    <definedName name="fedc2">#REF!</definedName>
    <definedName name="fedc35">#REF!</definedName>
    <definedName name="FEDSBSD" localSheetId="1" hidden="1">{"'Sheet1'!$L$16"}</definedName>
    <definedName name="FEDSBSD" localSheetId="3" hidden="1">{"'Sheet1'!$L$16"}</definedName>
    <definedName name="FEDSBSD" localSheetId="4" hidden="1">{"'Sheet1'!$L$16"}</definedName>
    <definedName name="FEDSBSD" localSheetId="5" hidden="1">{"'Sheet1'!$L$16"}</definedName>
    <definedName name="FEDSBSD" localSheetId="7" hidden="1">{"'Sheet1'!$L$16"}</definedName>
    <definedName name="FEDSBSD" hidden="1">{"'Sheet1'!$L$16"}</definedName>
    <definedName name="fefrefewfe" hidden="1">#REF!</definedName>
    <definedName name="FERQAA" localSheetId="1" hidden="1">{"'Sheet1'!$L$16"}</definedName>
    <definedName name="FERQAA" localSheetId="3" hidden="1">{"'Sheet1'!$L$16"}</definedName>
    <definedName name="FERQAA" localSheetId="4" hidden="1">{"'Sheet1'!$L$16"}</definedName>
    <definedName name="FERQAA" localSheetId="5" hidden="1">{"'Sheet1'!$L$16"}</definedName>
    <definedName name="FERQAA" localSheetId="7" hidden="1">{"'Sheet1'!$L$16"}</definedName>
    <definedName name="FERQAA" hidden="1">{"'Sheet1'!$L$16"}</definedName>
    <definedName name="FEX">#REF!</definedName>
    <definedName name="ff" localSheetId="1" hidden="1">#REF!</definedName>
    <definedName name="ff" hidden="1">#REF!</definedName>
    <definedName name="ffas" hidden="1">{"'Sheet1'!$L$16"}</definedName>
    <definedName name="FFF" localSheetId="1">BlankMacro1</definedName>
    <definedName name="fff" localSheetId="3" hidden="1">{"'Sheet1'!$L$16"}</definedName>
    <definedName name="fff" localSheetId="4" hidden="1">{"'Sheet1'!$L$16"}</definedName>
    <definedName name="fff" localSheetId="5" hidden="1">{"'Sheet1'!$L$16"}</definedName>
    <definedName name="fff" localSheetId="7" hidden="1">{"'Sheet1'!$L$16"}</definedName>
    <definedName name="fff" hidden="1">{"'Sheet1'!$L$16"}</definedName>
    <definedName name="ffff" localSheetId="1" hidden="1">{"'Sheet1'!$L$16"}</definedName>
    <definedName name="ffff" localSheetId="3" hidden="1">{"'Sheet1'!$L$16"}</definedName>
    <definedName name="ffff" localSheetId="4" hidden="1">{"'Sheet1'!$L$16"}</definedName>
    <definedName name="ffff" localSheetId="5" hidden="1">{"'Sheet1'!$L$16"}</definedName>
    <definedName name="ffff" localSheetId="7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">#REF!</definedName>
    <definedName name="ffffff" hidden="1">{#N/A,#N/A,FALSE,"CCTV"}</definedName>
    <definedName name="fffffffffff" localSheetId="1" hidden="1">#REF!</definedName>
    <definedName name="fffffffffff" hidden="1">#REF!</definedName>
    <definedName name="fffffffffffffff" localSheetId="1" hidden="1">{"'Sheet1'!$L$16"}</definedName>
    <definedName name="fffffffffffffff" localSheetId="3" hidden="1">{"'Sheet1'!$L$16"}</definedName>
    <definedName name="fffffffffffffff" localSheetId="4" hidden="1">{"'Sheet1'!$L$16"}</definedName>
    <definedName name="fffffffffffffff" localSheetId="5" hidden="1">{"'Sheet1'!$L$16"}</definedName>
    <definedName name="fffffffffffffff" localSheetId="7" hidden="1">{"'Sheet1'!$L$16"}</definedName>
    <definedName name="fffffffffffffff" hidden="1">{"'Sheet1'!$L$16"}</definedName>
    <definedName name="ffjdskgjgn" hidden="1">{"'Sheet1'!$L$16"}</definedName>
    <definedName name="FFX">#REF!</definedName>
    <definedName name="fg" hidden="1">#REF!</definedName>
    <definedName name="fgd">{"'Sheet1'!$L$16"}</definedName>
    <definedName name="FGDFHG" localSheetId="1" hidden="1">{"'Sheet1'!$L$16"}</definedName>
    <definedName name="FGDFHG" localSheetId="3" hidden="1">{"'Sheet1'!$L$16"}</definedName>
    <definedName name="FGDFHG" localSheetId="4" hidden="1">{"'Sheet1'!$L$16"}</definedName>
    <definedName name="FGDFHG" localSheetId="5" hidden="1">{"'Sheet1'!$L$16"}</definedName>
    <definedName name="FGDFHG" localSheetId="7" hidden="1">{"'Sheet1'!$L$16"}</definedName>
    <definedName name="FGDFHG" hidden="1">{"'Sheet1'!$L$16"}</definedName>
    <definedName name="fgdhd">#REF!</definedName>
    <definedName name="FGF" localSheetId="1" hidden="1">{#N/A,#N/A,FALSE,"Sheet2";#N/A,#N/A,FALSE,"Sheet4";#N/A,#N/A,FALSE,"Sheet6"}</definedName>
    <definedName name="FGF" localSheetId="3" hidden="1">{#N/A,#N/A,FALSE,"Sheet2";#N/A,#N/A,FALSE,"Sheet4";#N/A,#N/A,FALSE,"Sheet6"}</definedName>
    <definedName name="FGF" localSheetId="4" hidden="1">{#N/A,#N/A,FALSE,"Sheet2";#N/A,#N/A,FALSE,"Sheet4";#N/A,#N/A,FALSE,"Sheet6"}</definedName>
    <definedName name="FGF" localSheetId="5" hidden="1">{#N/A,#N/A,FALSE,"Sheet2";#N/A,#N/A,FALSE,"Sheet4";#N/A,#N/A,FALSE,"Sheet6"}</definedName>
    <definedName name="FGF" localSheetId="7" hidden="1">{#N/A,#N/A,FALSE,"Sheet2";#N/A,#N/A,FALSE,"Sheet4";#N/A,#N/A,FALSE,"Sheet6"}</definedName>
    <definedName name="FGF" hidden="1">{#N/A,#N/A,FALSE,"Sheet2";#N/A,#N/A,FALSE,"Sheet4";#N/A,#N/A,FALSE,"Sheet6"}</definedName>
    <definedName name="fgff" localSheetId="1" hidden="1">{#N/A,#N/A,TRUE,"SUM";#N/A,#N/A,TRUE,"EE";#N/A,#N/A,TRUE,"AC";#N/A,#N/A,TRUE,"SN"}</definedName>
    <definedName name="fgff" localSheetId="3" hidden="1">{#N/A,#N/A,TRUE,"SUM";#N/A,#N/A,TRUE,"EE";#N/A,#N/A,TRUE,"AC";#N/A,#N/A,TRUE,"SN"}</definedName>
    <definedName name="fgff" localSheetId="4" hidden="1">{#N/A,#N/A,TRUE,"SUM";#N/A,#N/A,TRUE,"EE";#N/A,#N/A,TRUE,"AC";#N/A,#N/A,TRUE,"SN"}</definedName>
    <definedName name="fgff" localSheetId="5" hidden="1">{#N/A,#N/A,TRUE,"SUM";#N/A,#N/A,TRUE,"EE";#N/A,#N/A,TRUE,"AC";#N/A,#N/A,TRUE,"SN"}</definedName>
    <definedName name="fgff" localSheetId="7" hidden="1">{#N/A,#N/A,TRUE,"SUM";#N/A,#N/A,TRUE,"EE";#N/A,#N/A,TRUE,"AC";#N/A,#N/A,TRUE,"SN"}</definedName>
    <definedName name="fgff" hidden="1">{#N/A,#N/A,TRUE,"SUM";#N/A,#N/A,TRUE,"EE";#N/A,#N/A,TRUE,"AC";#N/A,#N/A,TRUE,"SN"}</definedName>
    <definedName name="fgffgf64565" localSheetId="1" hidden="1">{"'Sheet1'!$L$16"}</definedName>
    <definedName name="fgffgf64565" localSheetId="3" hidden="1">{"'Sheet1'!$L$16"}</definedName>
    <definedName name="fgffgf64565" localSheetId="4" hidden="1">{"'Sheet1'!$L$16"}</definedName>
    <definedName name="fgffgf64565" localSheetId="5" hidden="1">{"'Sheet1'!$L$16"}</definedName>
    <definedName name="fgffgf64565" localSheetId="7" hidden="1">{"'Sheet1'!$L$16"}</definedName>
    <definedName name="fgffgf64565" hidden="1">{"'Sheet1'!$L$16"}</definedName>
    <definedName name="fgfgf" localSheetId="1" hidden="1">{"'Sheet1'!$L$16"}</definedName>
    <definedName name="fgfgf" localSheetId="3" hidden="1">{"'Sheet1'!$L$16"}</definedName>
    <definedName name="fgfgf" localSheetId="4" hidden="1">{"'Sheet1'!$L$16"}</definedName>
    <definedName name="fgfgf" localSheetId="5" hidden="1">{"'Sheet1'!$L$16"}</definedName>
    <definedName name="fgfgf" localSheetId="7" hidden="1">{"'Sheet1'!$L$16"}</definedName>
    <definedName name="fgfgf" hidden="1">{"'Sheet1'!$L$16"}</definedName>
    <definedName name="fgfgfg" localSheetId="1" hidden="1">{"'Sheet1'!$L$16"}</definedName>
    <definedName name="fgfgfg" localSheetId="3" hidden="1">{"'Sheet1'!$L$16"}</definedName>
    <definedName name="fgfgfg" localSheetId="4" hidden="1">{"'Sheet1'!$L$16"}</definedName>
    <definedName name="fgfgfg" localSheetId="5" hidden="1">{"'Sheet1'!$L$16"}</definedName>
    <definedName name="fgfgfg" localSheetId="7" hidden="1">{"'Sheet1'!$L$16"}</definedName>
    <definedName name="fgfgfg" hidden="1">{"'Sheet1'!$L$16"}</definedName>
    <definedName name="fgfh" hidden="1">#REF!</definedName>
    <definedName name="fggbb">#REF!</definedName>
    <definedName name="fggfhg">#REF!</definedName>
    <definedName name="FGHCVB">#REF!</definedName>
    <definedName name="fghdfgh">#REF!</definedName>
    <definedName name="fghdfghdfgh">#REF!</definedName>
    <definedName name="fghdfghfghdgfh">#REF!</definedName>
    <definedName name="FGHDGFHDF" localSheetId="1" hidden="1">{"'Sheet1'!$L$16"}</definedName>
    <definedName name="FGHDGFHDF" localSheetId="3" hidden="1">{"'Sheet1'!$L$16"}</definedName>
    <definedName name="FGHDGFHDF" localSheetId="4" hidden="1">{"'Sheet1'!$L$16"}</definedName>
    <definedName name="FGHDGFHDF" localSheetId="5" hidden="1">{"'Sheet1'!$L$16"}</definedName>
    <definedName name="FGHDGFHDF" localSheetId="7" hidden="1">{"'Sheet1'!$L$16"}</definedName>
    <definedName name="FGHDGFHDF" hidden="1">{"'Sheet1'!$L$16"}</definedName>
    <definedName name="FGHDGHD" localSheetId="1" hidden="1">{"'Sheet1'!$L$16"}</definedName>
    <definedName name="FGHDGHD" localSheetId="3" hidden="1">{"'Sheet1'!$L$16"}</definedName>
    <definedName name="FGHDGHD" localSheetId="4" hidden="1">{"'Sheet1'!$L$16"}</definedName>
    <definedName name="FGHDGHD" localSheetId="5" hidden="1">{"'Sheet1'!$L$16"}</definedName>
    <definedName name="FGHDGHD" localSheetId="7" hidden="1">{"'Sheet1'!$L$16"}</definedName>
    <definedName name="FGHDGHD" hidden="1">{"'Sheet1'!$L$16"}</definedName>
    <definedName name="FGHFG">#REF!</definedName>
    <definedName name="FGHFGH">#REF!</definedName>
    <definedName name="FGHFGHD">#REF!</definedName>
    <definedName name="fghfghf" localSheetId="1" hidden="1">{"'Sheet1'!$L$16"}</definedName>
    <definedName name="fghfghf" localSheetId="3" hidden="1">{"'Sheet1'!$L$16"}</definedName>
    <definedName name="fghfghf" localSheetId="4" hidden="1">{"'Sheet1'!$L$16"}</definedName>
    <definedName name="fghfghf" localSheetId="5" hidden="1">{"'Sheet1'!$L$16"}</definedName>
    <definedName name="fghfghf" localSheetId="7" hidden="1">{"'Sheet1'!$L$16"}</definedName>
    <definedName name="fghfghf" hidden="1">{"'Sheet1'!$L$16"}</definedName>
    <definedName name="fghfghfgh">#REF!</definedName>
    <definedName name="FGHGV">#REF!</definedName>
    <definedName name="fghjfdj" hidden="1">{"'Sheet1'!$L$16"}</definedName>
    <definedName name="FGHJVBN" hidden="1">#REF!</definedName>
    <definedName name="FGHRGS" localSheetId="1" hidden="1">{"NGUYEN QUI THIEP - Personal View",#N/A,FALSE,"XDCB.HT.FUR."}</definedName>
    <definedName name="FGHRGS" localSheetId="3" hidden="1">{"NGUYEN QUI THIEP - Personal View",#N/A,FALSE,"XDCB.HT.FUR."}</definedName>
    <definedName name="FGHRGS" localSheetId="4" hidden="1">{"NGUYEN QUI THIEP - Personal View",#N/A,FALSE,"XDCB.HT.FUR."}</definedName>
    <definedName name="FGHRGS" localSheetId="5" hidden="1">{"NGUYEN QUI THIEP - Personal View",#N/A,FALSE,"XDCB.HT.FUR."}</definedName>
    <definedName name="FGHRGS" localSheetId="7" hidden="1">{"NGUYEN QUI THIEP - Personal View",#N/A,FALSE,"XDCB.HT.FUR."}</definedName>
    <definedName name="FGHRGS" hidden="1">{"NGUYEN QUI THIEP - Personal View",#N/A,FALSE,"XDCB.HT.FUR."}</definedName>
    <definedName name="FGJFGH" localSheetId="1" hidden="1">{"'Sheet1'!$L$16"}</definedName>
    <definedName name="FGJFGH" localSheetId="3" hidden="1">{"'Sheet1'!$L$16"}</definedName>
    <definedName name="FGJFGH" localSheetId="4" hidden="1">{"'Sheet1'!$L$16"}</definedName>
    <definedName name="FGJFGH" localSheetId="5" hidden="1">{"'Sheet1'!$L$16"}</definedName>
    <definedName name="FGJFGH" localSheetId="7" hidden="1">{"'Sheet1'!$L$16"}</definedName>
    <definedName name="FGJFGH" hidden="1">{"'Sheet1'!$L$16"}</definedName>
    <definedName name="fgjj">{"'Sheet1'!$L$16"}</definedName>
    <definedName name="fgjjgjyhkkhk" hidden="1">{"'Sheet1'!$L$16"}</definedName>
    <definedName name="fgkjgkk" hidden="1">{"'Sheet1'!$L$16"}</definedName>
    <definedName name="fgn" hidden="1">{"'Sheet1'!$L$16"}</definedName>
    <definedName name="FGNFGNFGNF" localSheetId="1" hidden="1">{"NGUYEN QUI THIEP - Personal View",#N/A,FALSE,"XDCB.HT.FUR."}</definedName>
    <definedName name="FGNFGNFGNF" localSheetId="3" hidden="1">{"NGUYEN QUI THIEP - Personal View",#N/A,FALSE,"XDCB.HT.FUR."}</definedName>
    <definedName name="FGNFGNFGNF" localSheetId="4" hidden="1">{"NGUYEN QUI THIEP - Personal View",#N/A,FALSE,"XDCB.HT.FUR."}</definedName>
    <definedName name="FGNFGNFGNF" localSheetId="5" hidden="1">{"NGUYEN QUI THIEP - Personal View",#N/A,FALSE,"XDCB.HT.FUR."}</definedName>
    <definedName name="FGNFGNFGNF" localSheetId="7" hidden="1">{"NGUYEN QUI THIEP - Personal View",#N/A,FALSE,"XDCB.HT.FUR."}</definedName>
    <definedName name="FGNFGNFGNF" hidden="1">{"NGUYEN QUI THIEP - Personal View",#N/A,FALSE,"XDCB.HT.FUR."}</definedName>
    <definedName name="FGRTY">#REF!</definedName>
    <definedName name="fgsdaa" hidden="1">{#N/A,#N/A,TRUE,"BT M200 da 10x20"}</definedName>
    <definedName name="FGX">#REF!</definedName>
    <definedName name="fh" hidden="1">#REF!</definedName>
    <definedName name="fhdfh" localSheetId="1" hidden="1">{"'Sheet1'!$L$16"}</definedName>
    <definedName name="fhdfh" localSheetId="3" hidden="1">{"'Sheet1'!$L$16"}</definedName>
    <definedName name="fhdfh" localSheetId="4" hidden="1">{"'Sheet1'!$L$16"}</definedName>
    <definedName name="fhdfh" localSheetId="5" hidden="1">{"'Sheet1'!$L$16"}</definedName>
    <definedName name="fhdfh" localSheetId="7" hidden="1">{"'Sheet1'!$L$16"}</definedName>
    <definedName name="fhdfh" hidden="1">{"'Sheet1'!$L$16"}</definedName>
    <definedName name="fhfgh" localSheetId="1" hidden="1">{"'Sheet1'!$L$16"}</definedName>
    <definedName name="fhfgh" localSheetId="3" hidden="1">{"'Sheet1'!$L$16"}</definedName>
    <definedName name="fhfgh" localSheetId="4" hidden="1">{"'Sheet1'!$L$16"}</definedName>
    <definedName name="fhfgh" localSheetId="5" hidden="1">{"'Sheet1'!$L$16"}</definedName>
    <definedName name="fhfgh" localSheetId="7" hidden="1">{"'Sheet1'!$L$16"}</definedName>
    <definedName name="fhfgh" hidden="1">{"'Sheet1'!$L$16"}</definedName>
    <definedName name="fhfghfgh" localSheetId="1" hidden="1">{"NGUYEN QUI THIEP - Personal View",#N/A,FALSE,"XDCB.HT.FUR."}</definedName>
    <definedName name="fhfghfgh" localSheetId="3" hidden="1">{"NGUYEN QUI THIEP - Personal View",#N/A,FALSE,"XDCB.HT.FUR."}</definedName>
    <definedName name="fhfghfgh" localSheetId="4" hidden="1">{"NGUYEN QUI THIEP - Personal View",#N/A,FALSE,"XDCB.HT.FUR."}</definedName>
    <definedName name="fhfghfgh" localSheetId="5" hidden="1">{"NGUYEN QUI THIEP - Personal View",#N/A,FALSE,"XDCB.HT.FUR."}</definedName>
    <definedName name="fhfghfgh" localSheetId="7" hidden="1">{"NGUYEN QUI THIEP - Personal View",#N/A,FALSE,"XDCB.HT.FUR."}</definedName>
    <definedName name="fhfghfgh" hidden="1">{"NGUYEN QUI THIEP - Personal View",#N/A,FALSE,"XDCB.HT.FUR."}</definedName>
    <definedName name="fhfhfhrthr" localSheetId="1" hidden="1">{0}</definedName>
    <definedName name="fhfhfhrthr" localSheetId="3" hidden="1">{0}</definedName>
    <definedName name="fhfhfhrthr" localSheetId="4" hidden="1">{0}</definedName>
    <definedName name="fhfhfhrthr" localSheetId="5" hidden="1">{0}</definedName>
    <definedName name="fhfhfhrthr" localSheetId="7" hidden="1">{0}</definedName>
    <definedName name="fhfhfhrthr" hidden="1">{0}</definedName>
    <definedName name="FHGHC">#REF!</definedName>
    <definedName name="fhgjfghfghgf" hidden="1">{#N/A,#N/A,FALSE,"CCTV"}</definedName>
    <definedName name="FHJHJHG" localSheetId="1" hidden="1">{"'Sheet1'!$L$16"}</definedName>
    <definedName name="FHJHJHG" localSheetId="3" hidden="1">{"'Sheet1'!$L$16"}</definedName>
    <definedName name="FHJHJHG" localSheetId="4" hidden="1">{"'Sheet1'!$L$16"}</definedName>
    <definedName name="FHJHJHG" localSheetId="5" hidden="1">{"'Sheet1'!$L$16"}</definedName>
    <definedName name="FHJHJHG" localSheetId="7" hidden="1">{"'Sheet1'!$L$16"}</definedName>
    <definedName name="FHJHJHG" hidden="1">{"'Sheet1'!$L$16"}</definedName>
    <definedName name="fhjjkgkkghkhk" hidden="1">{"'Sheet1'!$L$16"}</definedName>
    <definedName name="fhrtrehr" localSheetId="1" hidden="1">{"'Sheet1'!$L$16"}</definedName>
    <definedName name="fhrtrehr" localSheetId="3" hidden="1">{"'Sheet1'!$L$16"}</definedName>
    <definedName name="fhrtrehr" localSheetId="4" hidden="1">{"'Sheet1'!$L$16"}</definedName>
    <definedName name="fhrtrehr" localSheetId="5" hidden="1">{"'Sheet1'!$L$16"}</definedName>
    <definedName name="fhrtrehr" localSheetId="7" hidden="1">{"'Sheet1'!$L$16"}</definedName>
    <definedName name="fhrtrehr" hidden="1">{"'Sheet1'!$L$16"}</definedName>
    <definedName name="FHX">#REF!</definedName>
    <definedName name="FI_12">4820</definedName>
    <definedName name="fill" localSheetId="1" hidden="1">#REF!</definedName>
    <definedName name="fill" hidden="1">#REF!</definedName>
    <definedName name="FILLL" localSheetId="1" hidden="1">#REF!</definedName>
    <definedName name="FILLL" hidden="1">#REF!</definedName>
    <definedName name="finclb">#REF!</definedName>
    <definedName name="FIRST_FLOOR">#REF!</definedName>
    <definedName name="FIT" localSheetId="1">BlankMacro1</definedName>
    <definedName name="FIT" localSheetId="4">BlankMacro1</definedName>
    <definedName name="FIT" localSheetId="13">BlankMacro1</definedName>
    <definedName name="FIT" localSheetId="15">BlankMacro1</definedName>
    <definedName name="FIT" localSheetId="12">BlankMacro1</definedName>
    <definedName name="FIT" localSheetId="14">BlankMacro1</definedName>
    <definedName name="FIT" localSheetId="11">BlankMacro1</definedName>
    <definedName name="FIT" localSheetId="10">BlankMacro1</definedName>
    <definedName name="FIT">BlankMacro1</definedName>
    <definedName name="FITT2" localSheetId="1">BlankMacro1</definedName>
    <definedName name="FITT2" localSheetId="4">BlankMacro1</definedName>
    <definedName name="FITT2" localSheetId="13">BlankMacro1</definedName>
    <definedName name="FITT2" localSheetId="15">BlankMacro1</definedName>
    <definedName name="FITT2" localSheetId="12">BlankMacro1</definedName>
    <definedName name="FITT2" localSheetId="14">BlankMacro1</definedName>
    <definedName name="FITT2" localSheetId="11">BlankMacro1</definedName>
    <definedName name="FITT2" localSheetId="10">BlankMacro1</definedName>
    <definedName name="FITT2">BlankMacro1</definedName>
    <definedName name="FITTING2" localSheetId="1">BlankMacro1</definedName>
    <definedName name="FITTING2" localSheetId="4">BlankMacro1</definedName>
    <definedName name="FITTING2" localSheetId="13">BlankMacro1</definedName>
    <definedName name="FITTING2" localSheetId="15">BlankMacro1</definedName>
    <definedName name="FITTING2" localSheetId="12">BlankMacro1</definedName>
    <definedName name="FITTING2" localSheetId="14">BlankMacro1</definedName>
    <definedName name="FITTING2" localSheetId="11">BlankMacro1</definedName>
    <definedName name="FITTING2" localSheetId="10">BlankMacro1</definedName>
    <definedName name="FITTING2">BlankMacro1</definedName>
    <definedName name="FJX">#REF!</definedName>
    <definedName name="fkgjk">{"'Sheet1'!$L$16"}</definedName>
    <definedName name="fkx">#REF!</definedName>
    <definedName name="FLG" localSheetId="1">BlankMacro1</definedName>
    <definedName name="FLG" localSheetId="4">BlankMacro1</definedName>
    <definedName name="FLG" localSheetId="13">BlankMacro1</definedName>
    <definedName name="FLG" localSheetId="15">BlankMacro1</definedName>
    <definedName name="FLG" localSheetId="12">BlankMacro1</definedName>
    <definedName name="FLG" localSheetId="14">BlankMacro1</definedName>
    <definedName name="FLG" localSheetId="11">BlankMacro1</definedName>
    <definedName name="FLG" localSheetId="10">BlankMacro1</definedName>
    <definedName name="FLG">BlankMacro1</definedName>
    <definedName name="flmh400">#REF!</definedName>
    <definedName name="floor">#REF!</definedName>
    <definedName name="flx">#REF!</definedName>
    <definedName name="FOR" localSheetId="1" hidden="1">{#N/A,#N/A,FALSE,"CCTV"}</definedName>
    <definedName name="FOR" localSheetId="3" hidden="1">{#N/A,#N/A,FALSE,"CCTV"}</definedName>
    <definedName name="FOR" localSheetId="4" hidden="1">{#N/A,#N/A,FALSE,"CCTV"}</definedName>
    <definedName name="FOR" localSheetId="5" hidden="1">{#N/A,#N/A,FALSE,"CCTV"}</definedName>
    <definedName name="FOR" localSheetId="7" hidden="1">{#N/A,#N/A,FALSE,"CCTV"}</definedName>
    <definedName name="FOR" hidden="1">{#N/A,#N/A,FALSE,"CCTV"}</definedName>
    <definedName name="FORMAT" localSheetId="1" hidden="1">{#N/A,#N/A,FALSE,"CCTV"}</definedName>
    <definedName name="FORMAT" localSheetId="3" hidden="1">{#N/A,#N/A,FALSE,"CCTV"}</definedName>
    <definedName name="FORMAT" localSheetId="4" hidden="1">{#N/A,#N/A,FALSE,"CCTV"}</definedName>
    <definedName name="FORMAT" localSheetId="5" hidden="1">{#N/A,#N/A,FALSE,"CCTV"}</definedName>
    <definedName name="FORMAT" localSheetId="7" hidden="1">{#N/A,#N/A,FALSE,"CCTV"}</definedName>
    <definedName name="FORMAT" hidden="1">{#N/A,#N/A,FALSE,"CCTV"}</definedName>
    <definedName name="FP">#N/A</definedName>
    <definedName name="fr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e" hidden="1">{"'Sheet1'!$L$16"}</definedName>
    <definedName name="FRWDS" hidden="1">{"'Sheet1'!$L$16"}</definedName>
    <definedName name="FS">#REF!</definedName>
    <definedName name="fs¸gg">{"'Sheet1'!$L$16"}</definedName>
    <definedName name="fsdf" hidden="1">#REF!</definedName>
    <definedName name="fsdfdsf" localSheetId="1" hidden="1">{"'Sheet1'!$L$16"}</definedName>
    <definedName name="fsdfdsf" localSheetId="3" hidden="1">{"'Sheet1'!$L$16"}</definedName>
    <definedName name="fsdfdsf" localSheetId="4" hidden="1">{"'Sheet1'!$L$16"}</definedName>
    <definedName name="fsdfdsf" localSheetId="5" hidden="1">{"'Sheet1'!$L$16"}</definedName>
    <definedName name="fsdfdsf" localSheetId="7" hidden="1">{"'Sheet1'!$L$16"}</definedName>
    <definedName name="fsdfdsf" hidden="1">{"'Sheet1'!$L$16"}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s" hidden="1">{"'Sheet1'!$L$16"}</definedName>
    <definedName name="fsfsfdd" hidden="1">{"'Sheet1'!$L$16"}</definedName>
    <definedName name="fsvd100">#REF!</definedName>
    <definedName name="fsvd150">#REF!</definedName>
    <definedName name="fsvd65">#REF!</definedName>
    <definedName name="ftv1.5">#REF!</definedName>
    <definedName name="ftv2.5">#REF!</definedName>
    <definedName name="ftrjk">{"'Sheet1'!$L$16"}</definedName>
    <definedName name="fu" localSheetId="1" hidden="1">{"Offgrid",#N/A,FALSE,"OFFGRID";"Region",#N/A,FALSE,"REGION";"Offgrid -2",#N/A,FALSE,"OFFGRID";"WTP",#N/A,FALSE,"WTP";"WTP -2",#N/A,FALSE,"WTP";"Project",#N/A,FALSE,"PROJECT";"Summary -2",#N/A,FALSE,"SUMMARY"}</definedName>
    <definedName name="fu" localSheetId="3" hidden="1">{"Offgrid",#N/A,FALSE,"OFFGRID";"Region",#N/A,FALSE,"REGION";"Offgrid -2",#N/A,FALSE,"OFFGRID";"WTP",#N/A,FALSE,"WTP";"WTP -2",#N/A,FALSE,"WTP";"Project",#N/A,FALSE,"PROJECT";"Summary -2",#N/A,FALSE,"SUMMARY"}</definedName>
    <definedName name="fu" localSheetId="4" hidden="1">{"Offgrid",#N/A,FALSE,"OFFGRID";"Region",#N/A,FALSE,"REGION";"Offgrid -2",#N/A,FALSE,"OFFGRID";"WTP",#N/A,FALSE,"WTP";"WTP -2",#N/A,FALSE,"WTP";"Project",#N/A,FALSE,"PROJECT";"Summary -2",#N/A,FALSE,"SUMMARY"}</definedName>
    <definedName name="fu" localSheetId="5" hidden="1">{"Offgrid",#N/A,FALSE,"OFFGRID";"Region",#N/A,FALSE,"REGION";"Offgrid -2",#N/A,FALSE,"OFFGRID";"WTP",#N/A,FALSE,"WTP";"WTP -2",#N/A,FALSE,"WTP";"Project",#N/A,FALSE,"PROJECT";"Summary -2",#N/A,FALSE,"SUMMARY"}</definedName>
    <definedName name="fu" localSheetId="7" hidden="1">{"Offgrid",#N/A,FALSE,"OFFGRID";"Region",#N/A,FALSE,"REGION";"Offgrid -2",#N/A,FALSE,"OFFGRID";"WTP",#N/A,FALSE,"WTP";"WTP -2",#N/A,FALSE,"WTP";"Project",#N/A,FALSE,"PROJECT";"Summary -2",#N/A,FALSE,"SUMMARY"}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LL" hidden="1">#REF!</definedName>
    <definedName name="funtra">#REF!</definedName>
    <definedName name="FURNITURE__FURNISHING">#REF!</definedName>
    <definedName name="FXBFXB" localSheetId="1" hidden="1">{"'Sheet1'!$L$16"}</definedName>
    <definedName name="FXBFXB" localSheetId="3" hidden="1">{"'Sheet1'!$L$16"}</definedName>
    <definedName name="FXBFXB" localSheetId="4" hidden="1">{"'Sheet1'!$L$16"}</definedName>
    <definedName name="FXBFXB" localSheetId="5" hidden="1">{"'Sheet1'!$L$16"}</definedName>
    <definedName name="FXBFXB" localSheetId="7" hidden="1">{"'Sheet1'!$L$16"}</definedName>
    <definedName name="FXBFXB" hidden="1">{"'Sheet1'!$L$16"}</definedName>
    <definedName name="fxj1.25">#REF!</definedName>
    <definedName name="fxj1.5">#REF!</definedName>
    <definedName name="fxj2.5">#REF!</definedName>
    <definedName name="g" localSheetId="1" hidden="1">#REF!</definedName>
    <definedName name="g" hidden="1">#REF!</definedName>
    <definedName name="G0.000">#N/A</definedName>
    <definedName name="G0.010">#N/A</definedName>
    <definedName name="G0.020">#N/A</definedName>
    <definedName name="G0.100">#N/A</definedName>
    <definedName name="G0.110">#N/A</definedName>
    <definedName name="G0.120">#N/A</definedName>
    <definedName name="G1.000">#N/A</definedName>
    <definedName name="G1.011">#N/A</definedName>
    <definedName name="G1.021">#N/A</definedName>
    <definedName name="G1.031">#N/A</definedName>
    <definedName name="G1.041">#N/A</definedName>
    <definedName name="G1.051">#N/A</definedName>
    <definedName name="G2.000">#N/A</definedName>
    <definedName name="G2.010">#N/A</definedName>
    <definedName name="G2.020">#N/A</definedName>
    <definedName name="G2.030">#N/A</definedName>
    <definedName name="G3.000">#N/A</definedName>
    <definedName name="G3.011">#N/A</definedName>
    <definedName name="G3.021">#N/A</definedName>
    <definedName name="G3.031">#N/A</definedName>
    <definedName name="G3.041">#N/A</definedName>
    <definedName name="G3.100">#N/A</definedName>
    <definedName name="G3.111">#N/A</definedName>
    <definedName name="G3.121">#N/A</definedName>
    <definedName name="G3.131">#N/A</definedName>
    <definedName name="G3.141">#N/A</definedName>
    <definedName name="G3.201">#N/A</definedName>
    <definedName name="G3.211">#N/A</definedName>
    <definedName name="G3.221">#N/A</definedName>
    <definedName name="G3.231">#N/A</definedName>
    <definedName name="G3.241">#N/A</definedName>
    <definedName name="G3.301">#N/A</definedName>
    <definedName name="G3.311">#N/A</definedName>
    <definedName name="G3.321">#N/A</definedName>
    <definedName name="G3.331">#N/A</definedName>
    <definedName name="G3.341">#N/A</definedName>
    <definedName name="G4.000">#N/A</definedName>
    <definedName name="G4.010">#N/A</definedName>
    <definedName name="G4.020">#N/A</definedName>
    <definedName name="G4.030">#N/A</definedName>
    <definedName name="G4.040">#N/A</definedName>
    <definedName name="G4.101">#N/A</definedName>
    <definedName name="G4.111">#N/A</definedName>
    <definedName name="G4.121">#N/A</definedName>
    <definedName name="G4.131">#N/A</definedName>
    <definedName name="G4.141">#N/A</definedName>
    <definedName name="G4.151">#N/A</definedName>
    <definedName name="G4.161">#N/A</definedName>
    <definedName name="G4.171">#N/A</definedName>
    <definedName name="G4.200">#N/A</definedName>
    <definedName name="G4.210">#N/A</definedName>
    <definedName name="G4.220">#N/A</definedName>
    <definedName name="g40g40">#REF!</definedName>
    <definedName name="ga" localSheetId="1" hidden="1">{"'Sheet1'!$L$16"}</definedName>
    <definedName name="ga" localSheetId="3" hidden="1">{"'Sheet1'!$L$16"}</definedName>
    <definedName name="ga" localSheetId="4" hidden="1">{"'Sheet1'!$L$16"}</definedName>
    <definedName name="ga" localSheetId="5" hidden="1">{"'Sheet1'!$L$16"}</definedName>
    <definedName name="ga" localSheetId="7" hidden="1">{"'Sheet1'!$L$16"}</definedName>
    <definedName name="ga" hidden="1">{"'Sheet1'!$L$16"}</definedName>
    <definedName name="gach2lo">#REF!</definedName>
    <definedName name="gachchongtron">#REF!</definedName>
    <definedName name="gachlanem">#REF!</definedName>
    <definedName name="gachlat">#REF!</definedName>
    <definedName name="gachop10x10">#REF!</definedName>
    <definedName name="gachop20x15">#REF!</definedName>
    <definedName name="gachvo">#REF!</definedName>
    <definedName name="gachxay">#REF!</definedName>
    <definedName name="gal">#REF!</definedName>
    <definedName name="găgawg" hidden="1">#REF!</definedName>
    <definedName name="Gb">#REF!</definedName>
    <definedName name="gbb">{"'Sheet1'!$L$16"}</definedName>
    <definedName name="gbdff" localSheetId="1" hidden="1">{#N/A,#N/A,FALSE,"Chi tiÆt"}</definedName>
    <definedName name="gbdff" localSheetId="3" hidden="1">{#N/A,#N/A,FALSE,"Chi tiÆt"}</definedName>
    <definedName name="gbdff" localSheetId="4" hidden="1">{#N/A,#N/A,FALSE,"Chi tiÆt"}</definedName>
    <definedName name="gbdff" localSheetId="5" hidden="1">{#N/A,#N/A,FALSE,"Chi tiÆt"}</definedName>
    <definedName name="gbdff" localSheetId="7" hidden="1">{#N/A,#N/A,FALSE,"Chi tiÆt"}</definedName>
    <definedName name="gbdff" hidden="1">{#N/A,#N/A,FALSE,"Chi tiÆt"}</definedName>
    <definedName name="gbdg" localSheetId="1" hidden="1">{"'Sheet1'!$L$16"}</definedName>
    <definedName name="gbdg" localSheetId="3" hidden="1">{"'Sheet1'!$L$16"}</definedName>
    <definedName name="gbdg" localSheetId="4" hidden="1">{"'Sheet1'!$L$16"}</definedName>
    <definedName name="gbdg" localSheetId="5" hidden="1">{"'Sheet1'!$L$16"}</definedName>
    <definedName name="gbdg" localSheetId="7" hidden="1">{"'Sheet1'!$L$16"}</definedName>
    <definedName name="gbdg" hidden="1">{"'Sheet1'!$L$16"}</definedName>
    <definedName name="gc">#REF!</definedName>
    <definedName name="gcHT">#REF!</definedName>
    <definedName name="gcm">{"'Sheet1'!$L$16"}</definedName>
    <definedName name="GCS">#REF!</definedName>
    <definedName name="GD">85000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df" localSheetId="1" hidden="1">{"'Sheet1'!$L$16"}</definedName>
    <definedName name="gdfgdfgdf" localSheetId="3" hidden="1">{"'Sheet1'!$L$16"}</definedName>
    <definedName name="gdfgdfgdf" localSheetId="4" hidden="1">{"'Sheet1'!$L$16"}</definedName>
    <definedName name="gdfgdfgdf" localSheetId="5" hidden="1">{"'Sheet1'!$L$16"}</definedName>
    <definedName name="gdfgdfgdf" localSheetId="7" hidden="1">{"'Sheet1'!$L$16"}</definedName>
    <definedName name="gdfgdfgdf" hidden="1">{"'Sheet1'!$L$16"}</definedName>
    <definedName name="gdfgsd">#REF!</definedName>
    <definedName name="gdfhfhg" hidden="1">{"'Sheet1'!$L$16"}</definedName>
    <definedName name="gdg" hidden="1">{#N/A,#N/A,FALSE,"特殊室（ＢＱ表）"}</definedName>
    <definedName name="gdhgh">{"'Sheet1'!$L$16"}</definedName>
    <definedName name="GDien">#REF!</definedName>
    <definedName name="GDiezel">#REF!</definedName>
    <definedName name="gdjf" localSheetId="1" hidden="1">{#N/A,#N/A,FALSE,"Chi tiÆt"}</definedName>
    <definedName name="gdjf" localSheetId="3" hidden="1">{#N/A,#N/A,FALSE,"Chi tiÆt"}</definedName>
    <definedName name="gdjf" localSheetId="4" hidden="1">{#N/A,#N/A,FALSE,"Chi tiÆt"}</definedName>
    <definedName name="gdjf" localSheetId="5" hidden="1">{#N/A,#N/A,FALSE,"Chi tiÆt"}</definedName>
    <definedName name="gdjf" localSheetId="7" hidden="1">{#N/A,#N/A,FALSE,"Chi tiÆt"}</definedName>
    <definedName name="gdjf" hidden="1">{#N/A,#N/A,FALSE,"Chi tiÆt"}</definedName>
    <definedName name="Gdp">#REF!</definedName>
    <definedName name="GDRFHDF" localSheetId="1" hidden="1">{"'Sheet1'!$L$16"}</definedName>
    <definedName name="GDRFHDF" localSheetId="3" hidden="1">{"'Sheet1'!$L$16"}</definedName>
    <definedName name="GDRFHDF" localSheetId="4" hidden="1">{"'Sheet1'!$L$16"}</definedName>
    <definedName name="GDRFHDF" localSheetId="5" hidden="1">{"'Sheet1'!$L$16"}</definedName>
    <definedName name="GDRFHDF" localSheetId="7" hidden="1">{"'Sheet1'!$L$16"}</definedName>
    <definedName name="GDRFHDF" hidden="1">{"'Sheet1'!$L$16"}</definedName>
    <definedName name="gds" localSheetId="1" hidden="1">{"'Sheet1'!$L$16"}</definedName>
    <definedName name="gds" localSheetId="3" hidden="1">{"'Sheet1'!$L$16"}</definedName>
    <definedName name="gds" localSheetId="4" hidden="1">{"'Sheet1'!$L$16"}</definedName>
    <definedName name="gds" localSheetId="5" hidden="1">{"'Sheet1'!$L$16"}</definedName>
    <definedName name="gds" localSheetId="7" hidden="1">{"'Sheet1'!$L$16"}</definedName>
    <definedName name="gds" hidden="1">{"'Sheet1'!$L$16"}</definedName>
    <definedName name="GDTD">#REF!</definedName>
    <definedName name="ge">{"'Sheet1'!$L$16"}</definedName>
    <definedName name="geff">#REF!</definedName>
    <definedName name="gegE" hidden="1">#REF!</definedName>
    <definedName name="GÈGEWG" localSheetId="1" hidden="1">{"'Sheet1'!$L$16"}</definedName>
    <definedName name="GÈGEWG" localSheetId="3" hidden="1">{"'Sheet1'!$L$16"}</definedName>
    <definedName name="GÈGEWG" localSheetId="4" hidden="1">{"'Sheet1'!$L$16"}</definedName>
    <definedName name="GÈGEWG" localSheetId="5" hidden="1">{"'Sheet1'!$L$16"}</definedName>
    <definedName name="GÈGEWG" localSheetId="7" hidden="1">{"'Sheet1'!$L$16"}</definedName>
    <definedName name="GÈGEWG" hidden="1">{"'Sheet1'!$L$16"}</definedName>
    <definedName name="gẻgweg" hidden="1">#REF!</definedName>
    <definedName name="gewg" localSheetId="1" hidden="1">{#N/A,#N/A,FALSE,"CCTV"}</definedName>
    <definedName name="gewg" hidden="1">{#N/A,#N/A,FALSE,"CCTV"}</definedName>
    <definedName name="GEWGEW" localSheetId="1" hidden="1">{"'Sheet1'!$L$16"}</definedName>
    <definedName name="GEWGEW" localSheetId="3" hidden="1">{"'Sheet1'!$L$16"}</definedName>
    <definedName name="GEWGEW" localSheetId="4" hidden="1">{"'Sheet1'!$L$16"}</definedName>
    <definedName name="GEWGEW" localSheetId="5" hidden="1">{"'Sheet1'!$L$16"}</definedName>
    <definedName name="GEWGEW" localSheetId="7" hidden="1">{"'Sheet1'!$L$16"}</definedName>
    <definedName name="GEWGEW" hidden="1">{"'Sheet1'!$L$16"}</definedName>
    <definedName name="GF">4.2-0.13</definedName>
    <definedName name="GFB">4.2-0.75</definedName>
    <definedName name="gfbb" hidden="1">{"'Sheet1'!$L$16"}</definedName>
    <definedName name="GFBV" hidden="1">{"'Sheet1'!$L$16"}</definedName>
    <definedName name="gfd">{"'Sheet1'!$L$16"}</definedName>
    <definedName name="gfdf">#REF!</definedName>
    <definedName name="gfdg">{"'Sheet1'!$L$16"}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G">#REF!</definedName>
    <definedName name="GFDHG" localSheetId="1" hidden="1">{"NGUYEN QUI THIEP - Personal View",#N/A,FALSE,"XDCB.HT.FUR."}</definedName>
    <definedName name="GFDHG" localSheetId="3" hidden="1">{"NGUYEN QUI THIEP - Personal View",#N/A,FALSE,"XDCB.HT.FUR."}</definedName>
    <definedName name="GFDHG" localSheetId="4" hidden="1">{"NGUYEN QUI THIEP - Personal View",#N/A,FALSE,"XDCB.HT.FUR."}</definedName>
    <definedName name="GFDHG" localSheetId="5" hidden="1">{"NGUYEN QUI THIEP - Personal View",#N/A,FALSE,"XDCB.HT.FUR."}</definedName>
    <definedName name="GFDHG" localSheetId="7" hidden="1">{"NGUYEN QUI THIEP - Personal View",#N/A,FALSE,"XDCB.HT.FUR."}</definedName>
    <definedName name="GFDHG" hidden="1">{"NGUYEN QUI THIEP - Personal View",#N/A,FALSE,"XDCB.HT.FUR."}</definedName>
    <definedName name="gfdhgrryrtyrtyrty">#REF!</definedName>
    <definedName name="gffghhhh" hidden="1">{"'Sheet1'!$L$16"}</definedName>
    <definedName name="gfg">{"'Sheet1'!$L$16"}</definedName>
    <definedName name="gfgf" hidden="1">#REF!</definedName>
    <definedName name="gfh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JGHJ">#REF!</definedName>
    <definedName name="gfj" localSheetId="1" hidden="1">{"'Sheet1'!$L$16"}</definedName>
    <definedName name="gfj" localSheetId="3" hidden="1">{"'Sheet1'!$L$16"}</definedName>
    <definedName name="gfj" localSheetId="4" hidden="1">{"'Sheet1'!$L$16"}</definedName>
    <definedName name="gfj" localSheetId="5" hidden="1">{"'Sheet1'!$L$16"}</definedName>
    <definedName name="gfj" localSheetId="7" hidden="1">{"'Sheet1'!$L$16"}</definedName>
    <definedName name="gfj" hidden="1">{"'Sheet1'!$L$16"}</definedName>
    <definedName name="gfjgfh" hidden="1">{#N/A,#N/A,FALSE,"CCTV"}</definedName>
    <definedName name="gfjgfhfg" hidden="1">{#N/A,#N/A,FALSE,"CCTV"}</definedName>
    <definedName name="gfjgj" hidden="1">{"'Sheet1'!$L$16"}</definedName>
    <definedName name="GFJHJ">{"'Sheet1'!$L$16"}</definedName>
    <definedName name="gfjnfg" localSheetId="1" hidden="1">{"'Sheet1'!$L$16"}</definedName>
    <definedName name="gfjnfg" localSheetId="3" hidden="1">{"'Sheet1'!$L$16"}</definedName>
    <definedName name="gfjnfg" localSheetId="4" hidden="1">{"'Sheet1'!$L$16"}</definedName>
    <definedName name="gfjnfg" localSheetId="5" hidden="1">{"'Sheet1'!$L$16"}</definedName>
    <definedName name="gfjnfg" localSheetId="7" hidden="1">{"'Sheet1'!$L$16"}</definedName>
    <definedName name="gfjnfg" hidden="1">{"'Sheet1'!$L$16"}</definedName>
    <definedName name="GFSDFSF" localSheetId="1" hidden="1">{"'Sheet1'!$L$16"}</definedName>
    <definedName name="GFSDFSF" localSheetId="3" hidden="1">{"'Sheet1'!$L$16"}</definedName>
    <definedName name="GFSDFSF" localSheetId="4" hidden="1">{"'Sheet1'!$L$16"}</definedName>
    <definedName name="GFSDFSF" localSheetId="5" hidden="1">{"'Sheet1'!$L$16"}</definedName>
    <definedName name="GFSDFSF" localSheetId="7" hidden="1">{"'Sheet1'!$L$16"}</definedName>
    <definedName name="GFSDFSF" hidden="1">{"'Sheet1'!$L$16"}</definedName>
    <definedName name="GG" localSheetId="1" hidden="1">#REF!</definedName>
    <definedName name="GG" hidden="1">#REF!</definedName>
    <definedName name="ggdf" hidden="1">{"'Sheet1'!$L$16"}</definedName>
    <definedName name="ggf">#REF!</definedName>
    <definedName name="ggg" localSheetId="1" hidden="1">{"'Sheet1'!$L$16"}</definedName>
    <definedName name="ggg" localSheetId="3" hidden="1">{"'Sheet1'!$L$16"}</definedName>
    <definedName name="ggg" localSheetId="4" hidden="1">{"'Sheet1'!$L$16"}</definedName>
    <definedName name="ggg" localSheetId="5" hidden="1">{"'Sheet1'!$L$16"}</definedName>
    <definedName name="ggg" localSheetId="7" hidden="1">{"'Sheet1'!$L$16"}</definedName>
    <definedName name="ggg" hidden="1">{"'Sheet1'!$L$16"}</definedName>
    <definedName name="gggg" localSheetId="1" hidden="1">{"'Sheet1'!$L$16"}</definedName>
    <definedName name="gggg" localSheetId="3" hidden="1">{"'Sheet1'!$L$16"}</definedName>
    <definedName name="gggg" localSheetId="4" hidden="1">{"'Sheet1'!$L$16"}</definedName>
    <definedName name="gggg" localSheetId="5" hidden="1">{"'Sheet1'!$L$16"}</definedName>
    <definedName name="gggg" localSheetId="7" hidden="1">{"'Sheet1'!$L$16"}</definedName>
    <definedName name="gggg" hidden="1">{"'Sheet1'!$L$16"}</definedName>
    <definedName name="ggggg">#REF!</definedName>
    <definedName name="gggppiou" localSheetId="1" hidden="1">{#N/A,#N/A,FALSE,"Chi tiÆt"}</definedName>
    <definedName name="gggppiou" localSheetId="3" hidden="1">{#N/A,#N/A,FALSE,"Chi tiÆt"}</definedName>
    <definedName name="gggppiou" localSheetId="4" hidden="1">{#N/A,#N/A,FALSE,"Chi tiÆt"}</definedName>
    <definedName name="gggppiou" localSheetId="5" hidden="1">{#N/A,#N/A,FALSE,"Chi tiÆt"}</definedName>
    <definedName name="gggppiou" localSheetId="7" hidden="1">{#N/A,#N/A,FALSE,"Chi tiÆt"}</definedName>
    <definedName name="gggppiou" hidden="1">{#N/A,#N/A,FALSE,"Chi tiÆt"}</definedName>
    <definedName name="ggsf" localSheetId="1" hidden="1">#REF!</definedName>
    <definedName name="ggsf" hidden="1">#REF!</definedName>
    <definedName name="gh" localSheetId="1" hidden="1">#REF!</definedName>
    <definedName name="gh" hidden="1">#REF!</definedName>
    <definedName name="GHDF">{"'Sheet1'!$L$16"}</definedName>
    <definedName name="ghdfg">#REF!</definedName>
    <definedName name="ghdfgh">#REF!</definedName>
    <definedName name="ghdfghcv">#REF!</definedName>
    <definedName name="ghejfjkfj" hidden="1">{"'Sheet1'!$L$16"}</definedName>
    <definedName name="ghf" localSheetId="1" hidden="1">{#N/A,#N/A,FALSE,"Chi tiÆt"}</definedName>
    <definedName name="ghf" localSheetId="3" hidden="1">{#N/A,#N/A,FALSE,"Chi tiÆt"}</definedName>
    <definedName name="ghf" localSheetId="4" hidden="1">{#N/A,#N/A,FALSE,"Chi tiÆt"}</definedName>
    <definedName name="ghf" localSheetId="5" hidden="1">{#N/A,#N/A,FALSE,"Chi tiÆt"}</definedName>
    <definedName name="ghf" localSheetId="7" hidden="1">{#N/A,#N/A,FALSE,"Chi tiÆt"}</definedName>
    <definedName name="ghf" hidden="1">{#N/A,#N/A,FALSE,"Chi tiÆt"}</definedName>
    <definedName name="GHFGHF">#REF!</definedName>
    <definedName name="ghg">{"'Sheet1'!$L$16"}</definedName>
    <definedName name="ghgg" hidden="1">{"'Sheet1'!$L$16"}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h" hidden="1">#REF!</definedName>
    <definedName name="ghh" localSheetId="1" hidden="1">{#N/A,#N/A,FALSE,"Chi tiÆt"}</definedName>
    <definedName name="ghh" localSheetId="3" hidden="1">{#N/A,#N/A,FALSE,"Chi tiÆt"}</definedName>
    <definedName name="ghh" localSheetId="4" hidden="1">{#N/A,#N/A,FALSE,"Chi tiÆt"}</definedName>
    <definedName name="ghh" localSheetId="5" hidden="1">{#N/A,#N/A,FALSE,"Chi tiÆt"}</definedName>
    <definedName name="ghh" localSheetId="7" hidden="1">{#N/A,#N/A,FALSE,"Chi tiÆt"}</definedName>
    <definedName name="ghh" hidden="1">{#N/A,#N/A,FALSE,"Chi tiÆt"}</definedName>
    <definedName name="ghhh">{"'Sheet1'!$L$16"}</definedName>
    <definedName name="ghhjd" localSheetId="1" hidden="1">{"'Sheet1'!$L$16"}</definedName>
    <definedName name="ghhjd" localSheetId="3" hidden="1">{"'Sheet1'!$L$16"}</definedName>
    <definedName name="ghhjd" localSheetId="4" hidden="1">{"'Sheet1'!$L$16"}</definedName>
    <definedName name="ghhjd" localSheetId="5" hidden="1">{"'Sheet1'!$L$16"}</definedName>
    <definedName name="ghhjd" localSheetId="7" hidden="1">{"'Sheet1'!$L$16"}</definedName>
    <definedName name="ghhjd" hidden="1">{"'Sheet1'!$L$16"}</definedName>
    <definedName name="ghip">#REF!</definedName>
    <definedName name="ghj" localSheetId="1" hidden="1">{"'Sheet1'!$L$16"}</definedName>
    <definedName name="ghj" localSheetId="3" hidden="1">{"'Sheet1'!$L$16"}</definedName>
    <definedName name="ghj" localSheetId="4" hidden="1">{"'Sheet1'!$L$16"}</definedName>
    <definedName name="ghj" localSheetId="5" hidden="1">{"'Sheet1'!$L$16"}</definedName>
    <definedName name="ghj" localSheetId="7" hidden="1">{"'Sheet1'!$L$16"}</definedName>
    <definedName name="ghj" hidden="1">{"'Sheet1'!$L$16"}</definedName>
    <definedName name="ghjghjgh" localSheetId="1" hidden="1">#REF!</definedName>
    <definedName name="ghjghjgh" hidden="1">#REF!</definedName>
    <definedName name="ghjghjghhhhhhhhhhhhh">#REF!</definedName>
    <definedName name="ghjghjghjgh">#REF!</definedName>
    <definedName name="ghjghjhgjghjgh">#REF!</definedName>
    <definedName name="ghjhgj" localSheetId="1" hidden="1">{"'Sheet1'!$L$16"}</definedName>
    <definedName name="ghjhgj" localSheetId="3" hidden="1">{"'Sheet1'!$L$16"}</definedName>
    <definedName name="ghjhgj" localSheetId="4" hidden="1">{"'Sheet1'!$L$16"}</definedName>
    <definedName name="ghjhgj" localSheetId="5" hidden="1">{"'Sheet1'!$L$16"}</definedName>
    <definedName name="ghjhgj" localSheetId="7" hidden="1">{"'Sheet1'!$L$16"}</definedName>
    <definedName name="ghjhgj" hidden="1">{"'Sheet1'!$L$16"}</definedName>
    <definedName name="gÎ" localSheetId="1" hidden="1">#REF!</definedName>
    <definedName name="gÎ" hidden="1">#REF!</definedName>
    <definedName name="gjfd" localSheetId="1" hidden="1">{"'Sheet1'!$L$16"}</definedName>
    <definedName name="gjfd" localSheetId="3" hidden="1">{"'Sheet1'!$L$16"}</definedName>
    <definedName name="gjfd" localSheetId="4" hidden="1">{"'Sheet1'!$L$16"}</definedName>
    <definedName name="gjfd" localSheetId="5" hidden="1">{"'Sheet1'!$L$16"}</definedName>
    <definedName name="gjfd" localSheetId="7" hidden="1">{"'Sheet1'!$L$16"}</definedName>
    <definedName name="gjfd" hidden="1">{"'Sheet1'!$L$16"}</definedName>
    <definedName name="gjfgvfh" hidden="1">{#N/A,#N/A,FALSE,"特殊室（ＢＱ表）"}</definedName>
    <definedName name="gjgh">{"'Sheet1'!$L$16"}</definedName>
    <definedName name="gjh">{"'Sheet1'!$L$16"}</definedName>
    <definedName name="gjhg">{"'Sheet1'!$L$16"}</definedName>
    <definedName name="gjhhn">{"'Sheet1'!$L$16"}</definedName>
    <definedName name="gjkj">{"'Sheet1'!$L$16"}</definedName>
    <definedName name="GJKHJFG" localSheetId="1" hidden="1">{"'Sheet1'!$L$16"}</definedName>
    <definedName name="GJKHJFG" localSheetId="3" hidden="1">{"'Sheet1'!$L$16"}</definedName>
    <definedName name="GJKHJFG" localSheetId="4" hidden="1">{"'Sheet1'!$L$16"}</definedName>
    <definedName name="GJKHJFG" localSheetId="5" hidden="1">{"'Sheet1'!$L$16"}</definedName>
    <definedName name="GJKHJFG" localSheetId="7" hidden="1">{"'Sheet1'!$L$16"}</definedName>
    <definedName name="GJKHJFG" hidden="1">{"'Sheet1'!$L$16"}</definedName>
    <definedName name="GJKHK" localSheetId="1" hidden="1">{"'Sheet1'!$L$16"}</definedName>
    <definedName name="GJKHK" localSheetId="3" hidden="1">{"'Sheet1'!$L$16"}</definedName>
    <definedName name="GJKHK" localSheetId="4" hidden="1">{"'Sheet1'!$L$16"}</definedName>
    <definedName name="GJKHK" localSheetId="5" hidden="1">{"'Sheet1'!$L$16"}</definedName>
    <definedName name="GJKHK" localSheetId="7" hidden="1">{"'Sheet1'!$L$16"}</definedName>
    <definedName name="GJKHK" hidden="1">{"'Sheet1'!$L$16"}</definedName>
    <definedName name="GKGHJH" localSheetId="1" hidden="1">{#N/A,#N/A,FALSE,"Chi tiÆt"}</definedName>
    <definedName name="GKGHJH" localSheetId="3" hidden="1">{#N/A,#N/A,FALSE,"Chi tiÆt"}</definedName>
    <definedName name="GKGHJH" localSheetId="4" hidden="1">{#N/A,#N/A,FALSE,"Chi tiÆt"}</definedName>
    <definedName name="GKGHJH" localSheetId="5" hidden="1">{#N/A,#N/A,FALSE,"Chi tiÆt"}</definedName>
    <definedName name="GKGHJH" localSheetId="7" hidden="1">{#N/A,#N/A,FALSE,"Chi tiÆt"}</definedName>
    <definedName name="GKGHJH" hidden="1">{#N/A,#N/A,FALSE,"Chi tiÆt"}</definedName>
    <definedName name="Gkh">#REF!</definedName>
    <definedName name="gkhf.xls" hidden="1">{"'Sheet1'!$L$16"}</definedName>
    <definedName name="gl3p">#REF!</definedName>
    <definedName name="glhlhl">{"'Sheet1'!$L$16"}</definedName>
    <definedName name="glllhlh">{"'Sheet1'!$L$16"}</definedName>
    <definedName name="GMazut">#REF!</definedName>
    <definedName name="GMG" hidden="1">{#N/A,#N/A,FALSE,"特殊室（ＢＱ表）"}</definedName>
    <definedName name="GNCBN" localSheetId="1" hidden="1">{"NGUYEN QUI THIEP - Personal View",#N/A,FALSE,"XDCB.HT.FUR."}</definedName>
    <definedName name="GNCBN" localSheetId="3" hidden="1">{"NGUYEN QUI THIEP - Personal View",#N/A,FALSE,"XDCB.HT.FUR."}</definedName>
    <definedName name="GNCBN" localSheetId="4" hidden="1">{"NGUYEN QUI THIEP - Personal View",#N/A,FALSE,"XDCB.HT.FUR."}</definedName>
    <definedName name="GNCBN" localSheetId="5" hidden="1">{"NGUYEN QUI THIEP - Personal View",#N/A,FALSE,"XDCB.HT.FUR."}</definedName>
    <definedName name="GNCBN" localSheetId="7" hidden="1">{"NGUYEN QUI THIEP - Personal View",#N/A,FALSE,"XDCB.HT.FUR."}</definedName>
    <definedName name="GNCBN" hidden="1">{"NGUYEN QUI THIEP - Personal View",#N/A,FALSE,"XDCB.HT.FUR."}</definedName>
    <definedName name="gndfd" localSheetId="1" hidden="1">{"'Sheet1'!$L$16"}</definedName>
    <definedName name="gndfd" localSheetId="3" hidden="1">{"'Sheet1'!$L$16"}</definedName>
    <definedName name="gndfd" localSheetId="4" hidden="1">{"'Sheet1'!$L$16"}</definedName>
    <definedName name="gndfd" localSheetId="5" hidden="1">{"'Sheet1'!$L$16"}</definedName>
    <definedName name="gndfd" localSheetId="7" hidden="1">{"'Sheet1'!$L$16"}</definedName>
    <definedName name="gndfd" hidden="1">{"'Sheet1'!$L$16"}</definedName>
    <definedName name="gnfgf" localSheetId="1" hidden="1">{#N/A,#N/A,FALSE,"Chi tiÆt"}</definedName>
    <definedName name="gnfgf" localSheetId="3" hidden="1">{#N/A,#N/A,FALSE,"Chi tiÆt"}</definedName>
    <definedName name="gnfgf" localSheetId="4" hidden="1">{#N/A,#N/A,FALSE,"Chi tiÆt"}</definedName>
    <definedName name="gnfgf" localSheetId="5" hidden="1">{#N/A,#N/A,FALSE,"Chi tiÆt"}</definedName>
    <definedName name="gnfgf" localSheetId="7" hidden="1">{#N/A,#N/A,FALSE,"Chi tiÆt"}</definedName>
    <definedName name="gnfgf" hidden="1">{#N/A,#N/A,FALSE,"Chi tiÆt"}</definedName>
    <definedName name="GNFKD" hidden="1">{#N/A,#N/A,TRUE,"SUM";#N/A,#N/A,TRUE,"EE";#N/A,#N/A,TRUE,"AC";#N/A,#N/A,TRUE,"SN"}</definedName>
    <definedName name="GoBack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vpd15">#REF!</definedName>
    <definedName name="GP">#REF!</definedName>
    <definedName name="GPT_GROUNDING_PT">#REF!</definedName>
    <definedName name="Gqlda">#REF!</definedName>
    <definedName name="gr" localSheetId="1" hidden="1">{#N/A,#N/A,FALSE,"Chi tiÆt"}</definedName>
    <definedName name="gr" localSheetId="3" hidden="1">{#N/A,#N/A,FALSE,"Chi tiÆt"}</definedName>
    <definedName name="gr" localSheetId="4" hidden="1">{#N/A,#N/A,FALSE,"Chi tiÆt"}</definedName>
    <definedName name="gr" localSheetId="5" hidden="1">{#N/A,#N/A,FALSE,"Chi tiÆt"}</definedName>
    <definedName name="gr" localSheetId="7" hidden="1">{#N/A,#N/A,FALSE,"Chi tiÆt"}</definedName>
    <definedName name="gr" hidden="1">{#N/A,#N/A,FALSE,"Chi tiÆt"}</definedName>
    <definedName name="GRAND_PALEMBANG_HOTEL___PALEMBANG">#REF!</definedName>
    <definedName name="grc">#REF!</definedName>
    <definedName name="GREG4E" hidden="1">{"'Sheet1'!$L$16"}</definedName>
    <definedName name="grew" hidden="1">#REF!</definedName>
    <definedName name="grgeg" hidden="1">#REF!</definedName>
    <definedName name="GROUND_FLOOR">#REF!</definedName>
    <definedName name="Groups">#REF!</definedName>
    <definedName name="gs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dbsa" localSheetId="1" hidden="1">{#N/A,#N/A,FALSE,"Chi tiÆt"}</definedName>
    <definedName name="gsdbsa" localSheetId="3" hidden="1">{#N/A,#N/A,FALSE,"Chi tiÆt"}</definedName>
    <definedName name="gsdbsa" localSheetId="4" hidden="1">{#N/A,#N/A,FALSE,"Chi tiÆt"}</definedName>
    <definedName name="gsdbsa" localSheetId="5" hidden="1">{#N/A,#N/A,FALSE,"Chi tiÆt"}</definedName>
    <definedName name="gsdbsa" localSheetId="7" hidden="1">{#N/A,#N/A,FALSE,"Chi tiÆt"}</definedName>
    <definedName name="gsdbsa" hidden="1">{#N/A,#N/A,FALSE,"Chi tiÆt"}</definedName>
    <definedName name="gsdfg" localSheetId="1" hidden="1">#REF!</definedName>
    <definedName name="gsdfg" hidden="1">#REF!</definedName>
    <definedName name="gsdfgs">#REF!</definedName>
    <definedName name="GSGSD" localSheetId="1" hidden="1">{"'Sheet1'!$L$16"}</definedName>
    <definedName name="GSGSD" localSheetId="3" hidden="1">{"'Sheet1'!$L$16"}</definedName>
    <definedName name="GSGSD" localSheetId="4" hidden="1">{"'Sheet1'!$L$16"}</definedName>
    <definedName name="GSGSD" localSheetId="5" hidden="1">{"'Sheet1'!$L$16"}</definedName>
    <definedName name="GSGSD" localSheetId="7" hidden="1">{"'Sheet1'!$L$16"}</definedName>
    <definedName name="GSGSD" hidden="1">{"'Sheet1'!$L$16"}</definedName>
    <definedName name="gsktxd">#REF!</definedName>
    <definedName name="gstbbtg">#REF!</definedName>
    <definedName name="gstbx">#REF!</definedName>
    <definedName name="gstby1">#REF!</definedName>
    <definedName name="gstby2">#REF!</definedName>
    <definedName name="gstby3">#REF!</definedName>
    <definedName name="gstby4">#REF!</definedName>
    <definedName name="gstby5">#REF!</definedName>
    <definedName name="GSTC">#REF!</definedName>
    <definedName name="gsxdbtg">#REF!</definedName>
    <definedName name="gsxdx">#REF!</definedName>
    <definedName name="gsxdy1">#REF!</definedName>
    <definedName name="gsxdy2">#REF!</definedName>
    <definedName name="gsxdy3">#REF!</definedName>
    <definedName name="gsxdy4">#REF!</definedName>
    <definedName name="gsxdy5">#REF!</definedName>
    <definedName name="GT">#REF!</definedName>
    <definedName name="GTB">#REF!</definedName>
    <definedName name="GTB_LDHC">#REF!</definedName>
    <definedName name="GTCPTTTKBVTC">#REF!</definedName>
    <definedName name="GTCPTTTKKT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ert" hidden="1">{"'Sheet1'!$L$16"}</definedName>
    <definedName name="GTGT">#REF!</definedName>
    <definedName name="GTM" localSheetId="1" hidden="1">{"'Sheet1'!$L$16"}</definedName>
    <definedName name="GTM" localSheetId="3" hidden="1">{"'Sheet1'!$L$16"}</definedName>
    <definedName name="GTM" localSheetId="4" hidden="1">{"'Sheet1'!$L$16"}</definedName>
    <definedName name="GTM" localSheetId="5" hidden="1">{"'Sheet1'!$L$16"}</definedName>
    <definedName name="GTM" localSheetId="7" hidden="1">{"'Sheet1'!$L$16"}</definedName>
    <definedName name="GTM" hidden="1">{"'Sheet1'!$L$16"}</definedName>
    <definedName name="GTOTAL" localSheetId="1" hidden="1">{"'Sheet1'!$L$16"}</definedName>
    <definedName name="GTOTAL" localSheetId="3" hidden="1">{"'Sheet1'!$L$16"}</definedName>
    <definedName name="GTOTAL" localSheetId="4" hidden="1">{"'Sheet1'!$L$16"}</definedName>
    <definedName name="GTOTAL" localSheetId="5" hidden="1">{"'Sheet1'!$L$16"}</definedName>
    <definedName name="GTOTAL" localSheetId="7" hidden="1">{"'Sheet1'!$L$16"}</definedName>
    <definedName name="GTOTAL" hidden="1">{"'Sheet1'!$L$16"}</definedName>
    <definedName name="Gtv">#REF!</definedName>
    <definedName name="GTXL">#REF!</definedName>
    <definedName name="gtrfxjmjl" hidden="1">{"'Sheet1'!$L$16"}</definedName>
    <definedName name="GƯEGWEGED" localSheetId="1" hidden="1">{"'Sheet1'!$L$16"}</definedName>
    <definedName name="GƯEGWEGED" localSheetId="3" hidden="1">{"'Sheet1'!$L$16"}</definedName>
    <definedName name="GƯEGWEGED" localSheetId="4" hidden="1">{"'Sheet1'!$L$16"}</definedName>
    <definedName name="GƯEGWEGED" localSheetId="5" hidden="1">{"'Sheet1'!$L$16"}</definedName>
    <definedName name="GƯEGWEGED" localSheetId="7" hidden="1">{"'Sheet1'!$L$16"}</definedName>
    <definedName name="GƯEGWEGED" hidden="1">{"'Sheet1'!$L$16"}</definedName>
    <definedName name="gv">#N/A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l">#REF!</definedName>
    <definedName name="gvla">#REF!</definedName>
    <definedName name="GXang">#REF!</definedName>
    <definedName name="Gxd">#REF!</definedName>
    <definedName name="Gxdcpt">#REF!</definedName>
    <definedName name="Gxdnt">#REF!</definedName>
    <definedName name="Gxl">#REF!</definedName>
    <definedName name="GXM">900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">#REF!</definedName>
    <definedName name="Gi__vËt_t">#REF!</definedName>
    <definedName name="gia">#N/A</definedName>
    <definedName name="Gia_CT">#REF!</definedName>
    <definedName name="gia_tien">#REF!</definedName>
    <definedName name="gia_tien_BTN">#REF!</definedName>
    <definedName name="Gia_VT">#REF!</definedName>
    <definedName name="giaD10">#REF!</definedName>
    <definedName name="giaD12_22">#REF!</definedName>
    <definedName name="Giado">#REF!</definedName>
    <definedName name="GIAGIAOVLHT">#REF!</definedName>
    <definedName name="GiaMayTC">#REF!</definedName>
    <definedName name="GiaNC">#REF!</definedName>
    <definedName name="GiaNCMay">#REF!</definedName>
    <definedName name="GiaTon06">55000</definedName>
    <definedName name="Giathitruong">#REF!</definedName>
    <definedName name="GIAVLHT">#REF!</definedName>
    <definedName name="GIAVLIEUTN">#REF!</definedName>
    <definedName name="GiaVLXD">#REF!</definedName>
    <definedName name="GiaVtu">#REF!</definedName>
    <definedName name="giotuoi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h" localSheetId="1" hidden="1">{"'Sheet1'!$L$16"}</definedName>
    <definedName name="h" localSheetId="3" hidden="1">{"'Sheet1'!$L$16"}</definedName>
    <definedName name="h" localSheetId="4" hidden="1">{"'Sheet1'!$L$16"}</definedName>
    <definedName name="h" localSheetId="5" hidden="1">{"'Sheet1'!$L$16"}</definedName>
    <definedName name="h" localSheetId="7" hidden="1">{"'Sheet1'!$L$16"}</definedName>
    <definedName name="h" hidden="1">{"'Sheet1'!$L$16"}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ng_mòc_cáng_trÖnh">#REF!</definedName>
    <definedName name="H_THUCTT">#REF!</definedName>
    <definedName name="H_THUCHTHH">#REF!</definedName>
    <definedName name="h_xoa" localSheetId="1" hidden="1">{"'Sheet1'!$L$16"}</definedName>
    <definedName name="h_xoa" localSheetId="3" hidden="1">{"'Sheet1'!$L$16"}</definedName>
    <definedName name="h_xoa" localSheetId="4" hidden="1">{"'Sheet1'!$L$16"}</definedName>
    <definedName name="h_xoa" localSheetId="5" hidden="1">{"'Sheet1'!$L$16"}</definedName>
    <definedName name="h_xoa" localSheetId="7" hidden="1">{"'Sheet1'!$L$16"}</definedName>
    <definedName name="h_xoa" hidden="1">{"'Sheet1'!$L$16"}</definedName>
    <definedName name="h_xoa2" localSheetId="1" hidden="1">{"'Sheet1'!$L$16"}</definedName>
    <definedName name="h_xoa2" localSheetId="3" hidden="1">{"'Sheet1'!$L$16"}</definedName>
    <definedName name="h_xoa2" localSheetId="4" hidden="1">{"'Sheet1'!$L$16"}</definedName>
    <definedName name="h_xoa2" localSheetId="5" hidden="1">{"'Sheet1'!$L$16"}</definedName>
    <definedName name="h_xoa2" localSheetId="7" hidden="1">{"'Sheet1'!$L$16"}</definedName>
    <definedName name="h_xoa2" hidden="1">{"'Sheet1'!$L$16"}</definedName>
    <definedName name="h_xoa3">{"'Sheet1'!$L$16"}</definedName>
    <definedName name="H0.001">#N/A</definedName>
    <definedName name="H0.011">#N/A</definedName>
    <definedName name="H0.021">#N/A</definedName>
    <definedName name="H0.031">#N/A</definedName>
    <definedName name="HA" localSheetId="1" hidden="1">{"'Sheet1'!$L$16"}</definedName>
    <definedName name="HA" localSheetId="3" hidden="1">{"'Sheet1'!$L$16"}</definedName>
    <definedName name="HA" localSheetId="4" hidden="1">{"'Sheet1'!$L$16"}</definedName>
    <definedName name="HA" localSheetId="5" hidden="1">{"'Sheet1'!$L$16"}</definedName>
    <definedName name="HA" localSheetId="7" hidden="1">{"'Sheet1'!$L$16"}</definedName>
    <definedName name="HA" hidden="1">{"'Sheet1'!$L$16"}</definedName>
    <definedName name="hai">{"'Sheet1'!$L$16"}</definedName>
    <definedName name="halong" hidden="1">{"'Sheet1'!$L$16"}</definedName>
    <definedName name="han" localSheetId="1" hidden="1">#REF!</definedName>
    <definedName name="han" hidden="1">#REF!</definedName>
    <definedName name="Hang_muc_khac">#REF!</definedName>
    <definedName name="hanh" localSheetId="1" hidden="1">{"'Sheet1'!$L$16"}</definedName>
    <definedName name="hanh" localSheetId="3" hidden="1">{"'Sheet1'!$L$16"}</definedName>
    <definedName name="hanh" localSheetId="4" hidden="1">{"'Sheet1'!$L$16"}</definedName>
    <definedName name="hanh" localSheetId="5" hidden="1">{"'Sheet1'!$L$16"}</definedName>
    <definedName name="hanh" localSheetId="7" hidden="1">{"'Sheet1'!$L$16"}</definedName>
    <definedName name="hanh" hidden="1">{"'Sheet1'!$L$16"}</definedName>
    <definedName name="hao" localSheetId="1">BlankMacro1</definedName>
    <definedName name="hao" localSheetId="4">BlankMacro1</definedName>
    <definedName name="hao" localSheetId="13">BlankMacro1</definedName>
    <definedName name="hao" localSheetId="15">BlankMacro1</definedName>
    <definedName name="hao" localSheetId="12">BlankMacro1</definedName>
    <definedName name="hao" localSheetId="14">BlankMacro1</definedName>
    <definedName name="hao" localSheetId="11">BlankMacro1</definedName>
    <definedName name="hao" localSheetId="10">BlankMacro1</definedName>
    <definedName name="hao">BlankMacro1</definedName>
    <definedName name="hàodajk" hidden="1">{"'Sheet1'!$L$16"}</definedName>
    <definedName name="HaoHutBQ">#REF!</definedName>
    <definedName name="HaoHutVC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" localSheetId="1" hidden="1">{"'Sheet1'!$L$16"}</definedName>
    <definedName name="hb" localSheetId="3" hidden="1">{"'Sheet1'!$L$16"}</definedName>
    <definedName name="hb" localSheetId="4" hidden="1">{"'Sheet1'!$L$16"}</definedName>
    <definedName name="hb" localSheetId="5" hidden="1">{"'Sheet1'!$L$16"}</definedName>
    <definedName name="hb" localSheetId="7" hidden="1">{"'Sheet1'!$L$16"}</definedName>
    <definedName name="hb" hidden="1">{"'Sheet1'!$L$16"}</definedName>
    <definedName name="HbHcOnOff">#REF!</definedName>
    <definedName name="HC">#REF!</definedName>
    <definedName name="HCM">#REF!</definedName>
    <definedName name="HCNA" localSheetId="1" hidden="1">{"'Sheet1'!$L$16"}</definedName>
    <definedName name="HCNA" localSheetId="3" hidden="1">{"'Sheet1'!$L$16"}</definedName>
    <definedName name="HCNA" localSheetId="4" hidden="1">{"'Sheet1'!$L$16"}</definedName>
    <definedName name="HCNA" localSheetId="5" hidden="1">{"'Sheet1'!$L$16"}</definedName>
    <definedName name="HCNA" localSheetId="7" hidden="1">{"'Sheet1'!$L$16"}</definedName>
    <definedName name="HCNA" hidden="1">{"'Sheet1'!$L$16"}</definedName>
    <definedName name="HCHANH1">#REF!</definedName>
    <definedName name="hchdsvf">{"'Sheet1'!$L$16"}</definedName>
    <definedName name="HDFGHFD" localSheetId="1" hidden="1">{"'Sheet1'!$L$16"}</definedName>
    <definedName name="HDFGHFD" localSheetId="3" hidden="1">{"'Sheet1'!$L$16"}</definedName>
    <definedName name="HDFGHFD" localSheetId="4" hidden="1">{"'Sheet1'!$L$16"}</definedName>
    <definedName name="HDFGHFD" localSheetId="5" hidden="1">{"'Sheet1'!$L$16"}</definedName>
    <definedName name="HDFGHFD" localSheetId="7" hidden="1">{"'Sheet1'!$L$16"}</definedName>
    <definedName name="HDFGHFD" hidden="1">{"'Sheet1'!$L$16"}</definedName>
    <definedName name="hdfhf">{"'Sheet1'!$L$16"}</definedName>
    <definedName name="hdh" localSheetId="1" hidden="1">{#N/A,#N/A,FALSE,"Chi tiÆt"}</definedName>
    <definedName name="hdh" localSheetId="3" hidden="1">{#N/A,#N/A,FALSE,"Chi tiÆt"}</definedName>
    <definedName name="hdh" localSheetId="4" hidden="1">{#N/A,#N/A,FALSE,"Chi tiÆt"}</definedName>
    <definedName name="hdh" localSheetId="5" hidden="1">{#N/A,#N/A,FALSE,"Chi tiÆt"}</definedName>
    <definedName name="hdh" localSheetId="7" hidden="1">{#N/A,#N/A,FALSE,"Chi tiÆt"}</definedName>
    <definedName name="hdh" hidden="1">{#N/A,#N/A,FALSE,"Chi tiÆt"}</definedName>
    <definedName name="hdhj" localSheetId="1" hidden="1">{#N/A,#N/A,FALSE,"Chi tiÆt"}</definedName>
    <definedName name="hdhj" localSheetId="3" hidden="1">{#N/A,#N/A,FALSE,"Chi tiÆt"}</definedName>
    <definedName name="hdhj" localSheetId="4" hidden="1">{#N/A,#N/A,FALSE,"Chi tiÆt"}</definedName>
    <definedName name="hdhj" localSheetId="5" hidden="1">{#N/A,#N/A,FALSE,"Chi tiÆt"}</definedName>
    <definedName name="hdhj" localSheetId="7" hidden="1">{#N/A,#N/A,FALSE,"Chi tiÆt"}</definedName>
    <definedName name="hdhj" hidden="1">{#N/A,#N/A,FALSE,"Chi tiÆt"}</definedName>
    <definedName name="hdw">#REF!</definedName>
    <definedName name="Heä_soá_laép_xaø_H">1.7</definedName>
    <definedName name="heä_soá_sình_laày">#REF!</definedName>
    <definedName name="HEADING">#REF!</definedName>
    <definedName name="HẺHRE" localSheetId="1" hidden="1">{#N/A,#N/A,FALSE,"Chi tiÆt"}</definedName>
    <definedName name="HẺHRE" localSheetId="3" hidden="1">{#N/A,#N/A,FALSE,"Chi tiÆt"}</definedName>
    <definedName name="HẺHRE" localSheetId="4" hidden="1">{#N/A,#N/A,FALSE,"Chi tiÆt"}</definedName>
    <definedName name="HẺHRE" localSheetId="5" hidden="1">{#N/A,#N/A,FALSE,"Chi tiÆt"}</definedName>
    <definedName name="HẺHRE" localSheetId="7" hidden="1">{#N/A,#N/A,FALSE,"Chi tiÆt"}</definedName>
    <definedName name="HẺHRE" hidden="1">{#N/A,#N/A,FALSE,"Chi tiÆt"}</definedName>
    <definedName name="Hello">#REF!</definedName>
    <definedName name="herse" localSheetId="1" hidden="1">{#N/A,#N/A,FALSE,"Chi tiÆt"}</definedName>
    <definedName name="herse" localSheetId="3" hidden="1">{#N/A,#N/A,FALSE,"Chi tiÆt"}</definedName>
    <definedName name="herse" localSheetId="4" hidden="1">{#N/A,#N/A,FALSE,"Chi tiÆt"}</definedName>
    <definedName name="herse" localSheetId="5" hidden="1">{#N/A,#N/A,FALSE,"Chi tiÆt"}</definedName>
    <definedName name="herse" localSheetId="7" hidden="1">{#N/A,#N/A,FALSE,"Chi tiÆt"}</definedName>
    <definedName name="herse" hidden="1">{#N/A,#N/A,FALSE,"Chi tiÆt"}</definedName>
    <definedName name="HeSo">#REF!</definedName>
    <definedName name="Hesotang">1.05</definedName>
    <definedName name="Hesoton">1</definedName>
    <definedName name="HETH" localSheetId="1" hidden="1">{"'Sheet1'!$L$16"}</definedName>
    <definedName name="HETH" localSheetId="3" hidden="1">{"'Sheet1'!$L$16"}</definedName>
    <definedName name="HETH" localSheetId="4" hidden="1">{"'Sheet1'!$L$16"}</definedName>
    <definedName name="HETH" localSheetId="5" hidden="1">{"'Sheet1'!$L$16"}</definedName>
    <definedName name="HETH" localSheetId="7" hidden="1">{"'Sheet1'!$L$16"}</definedName>
    <definedName name="HETH" hidden="1">{"'Sheet1'!$L$16"}</definedName>
    <definedName name="hethongthoatnuocngoainha" localSheetId="1" hidden="1">#REF!</definedName>
    <definedName name="hethongthoatnuocngoainha" hidden="1">#REF!</definedName>
    <definedName name="hfd">#REF!</definedName>
    <definedName name="hfdgfdg" hidden="1">{#N/A,#N/A,FALSE,"CCTV"}</definedName>
    <definedName name="hfdjghkh" hidden="1">{"'Sheet1'!$L$16"}</definedName>
    <definedName name="HFGHFGHDG" localSheetId="1" hidden="1">{"'Sheet1'!$L$16"}</definedName>
    <definedName name="HFGHFGHDG" localSheetId="3" hidden="1">{"'Sheet1'!$L$16"}</definedName>
    <definedName name="HFGHFGHDG" localSheetId="4" hidden="1">{"'Sheet1'!$L$16"}</definedName>
    <definedName name="HFGHFGHDG" localSheetId="5" hidden="1">{"'Sheet1'!$L$16"}</definedName>
    <definedName name="HFGHFGHDG" localSheetId="7" hidden="1">{"'Sheet1'!$L$16"}</definedName>
    <definedName name="HFGHFGHDG" hidden="1">{"'Sheet1'!$L$16"}</definedName>
    <definedName name="hfghfghfgh" localSheetId="1" hidden="1">#REF!</definedName>
    <definedName name="hfghfghfgh" hidden="1">#REF!</definedName>
    <definedName name="HFGJFG">#REF!</definedName>
    <definedName name="hfgjks" hidden="1">{"'Sheet1'!$L$16"}</definedName>
    <definedName name="hfgk" hidden="1">{#N/A,#N/A,FALSE,"特殊室（ＢＱ表）"}</definedName>
    <definedName name="hfgsdf" localSheetId="1" hidden="1">{"'Sheet1'!$L$16"}</definedName>
    <definedName name="hfgsdf" localSheetId="3" hidden="1">{"'Sheet1'!$L$16"}</definedName>
    <definedName name="hfgsdf" localSheetId="4" hidden="1">{"'Sheet1'!$L$16"}</definedName>
    <definedName name="hfgsdf" localSheetId="5" hidden="1">{"'Sheet1'!$L$16"}</definedName>
    <definedName name="hfgsdf" localSheetId="7" hidden="1">{"'Sheet1'!$L$16"}</definedName>
    <definedName name="hfgsdf" hidden="1">{"'Sheet1'!$L$16"}</definedName>
    <definedName name="hfjgjg" hidden="1">{"'Sheet1'!$L$16"}</definedName>
    <definedName name="hfjhhjj" hidden="1">{#N/A,#N/A,FALSE,"CCTV"}</definedName>
    <definedName name="hfrgjkkg" hidden="1">{"'Sheet1'!$L$16"}</definedName>
    <definedName name="hg" localSheetId="1" hidden="1">{"'Sheet1'!$L$16"}</definedName>
    <definedName name="hg" localSheetId="3" hidden="1">{"'Sheet1'!$L$16"}</definedName>
    <definedName name="hg" localSheetId="4" hidden="1">{"'Sheet1'!$L$16"}</definedName>
    <definedName name="hg" localSheetId="5" hidden="1">{"'Sheet1'!$L$16"}</definedName>
    <definedName name="hg" localSheetId="7" hidden="1">{"'Sheet1'!$L$16"}</definedName>
    <definedName name="hg" hidden="1">{"'Sheet1'!$L$16"}</definedName>
    <definedName name="HGDHDFG" localSheetId="1" hidden="1">{"'Sheet1'!$L$16"}</definedName>
    <definedName name="HGDHDFG" localSheetId="3" hidden="1">{"'Sheet1'!$L$16"}</definedName>
    <definedName name="HGDHDFG" localSheetId="4" hidden="1">{"'Sheet1'!$L$16"}</definedName>
    <definedName name="HGDHDFG" localSheetId="5" hidden="1">{"'Sheet1'!$L$16"}</definedName>
    <definedName name="HGDHDFG" localSheetId="7" hidden="1">{"'Sheet1'!$L$16"}</definedName>
    <definedName name="HGDHDFG" hidden="1">{"'Sheet1'!$L$16"}</definedName>
    <definedName name="hgfagl" localSheetId="1" hidden="1">#REF!</definedName>
    <definedName name="hgfagl" hidden="1">#REF!</definedName>
    <definedName name="HGFGJHG" localSheetId="1" hidden="1">{"'Sheet1'!$L$16"}</definedName>
    <definedName name="HGFGJHG" localSheetId="3" hidden="1">{"'Sheet1'!$L$16"}</definedName>
    <definedName name="HGFGJHG" localSheetId="4" hidden="1">{"'Sheet1'!$L$16"}</definedName>
    <definedName name="HGFGJHG" localSheetId="5" hidden="1">{"'Sheet1'!$L$16"}</definedName>
    <definedName name="HGFGJHG" localSheetId="7" hidden="1">{"'Sheet1'!$L$16"}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jkhgkhn" hidden="1">{"'Sheet1'!$L$16"}</definedName>
    <definedName name="hggf" localSheetId="1" hidden="1">{#N/A,#N/A,FALSE,"Chi tiÆt"}</definedName>
    <definedName name="hggf" localSheetId="3" hidden="1">{#N/A,#N/A,FALSE,"Chi tiÆt"}</definedName>
    <definedName name="hggf" localSheetId="4" hidden="1">{#N/A,#N/A,FALSE,"Chi tiÆt"}</definedName>
    <definedName name="hggf" localSheetId="5" hidden="1">{#N/A,#N/A,FALSE,"Chi tiÆt"}</definedName>
    <definedName name="hggf" localSheetId="7" hidden="1">{#N/A,#N/A,FALSE,"Chi tiÆt"}</definedName>
    <definedName name="hggf" hidden="1">{#N/A,#N/A,FALSE,"Chi tiÆt"}</definedName>
    <definedName name="hggg">{"'Sheet1'!$L$16"}</definedName>
    <definedName name="hgggggggggggggg" hidden="1">{"'Sheet1'!$L$16"}</definedName>
    <definedName name="hgh">{"'Sheet1'!$L$16"}</definedName>
    <definedName name="hgj" hidden="1">{#N/A,#N/A,FALSE,"Chi tiÆt"}</definedName>
    <definedName name="hgjfgh" hidden="1">{#N/A,#N/A,FALSE,"CCTV"}</definedName>
    <definedName name="hgjgfhgh" hidden="1">{#N/A,#N/A,FALSE,"CCTV"}</definedName>
    <definedName name="hgjhkh">{"'Sheet1'!$L$16"}</definedName>
    <definedName name="hgjjjg" hidden="1">{"'Sheet1'!$L$16"}</definedName>
    <definedName name="hgjjjh" localSheetId="1" hidden="1">{"'Sheet1'!$L$16"}</definedName>
    <definedName name="hgjjjh" localSheetId="3" hidden="1">{"'Sheet1'!$L$16"}</definedName>
    <definedName name="hgjjjh" localSheetId="4" hidden="1">{"'Sheet1'!$L$16"}</definedName>
    <definedName name="hgjjjh" localSheetId="5" hidden="1">{"'Sheet1'!$L$16"}</definedName>
    <definedName name="hgjjjh" localSheetId="7" hidden="1">{"'Sheet1'!$L$16"}</definedName>
    <definedName name="hgjjjh" hidden="1">{"'Sheet1'!$L$16"}</definedName>
    <definedName name="hgkjfghgfkj" hidden="1">{"'Sheet1'!$L$16"}</definedName>
    <definedName name="hgsa" localSheetId="1" hidden="1">{#N/A,#N/A,FALSE,"Chi tiÆt"}</definedName>
    <definedName name="hgsa" localSheetId="3" hidden="1">{#N/A,#N/A,FALSE,"Chi tiÆt"}</definedName>
    <definedName name="hgsa" localSheetId="4" hidden="1">{#N/A,#N/A,FALSE,"Chi tiÆt"}</definedName>
    <definedName name="hgsa" localSheetId="5" hidden="1">{#N/A,#N/A,FALSE,"Chi tiÆt"}</definedName>
    <definedName name="hgsa" localSheetId="7" hidden="1">{#N/A,#N/A,FALSE,"Chi tiÆt"}</definedName>
    <definedName name="hgsa" hidden="1">{#N/A,#N/A,FALSE,"Chi tiÆt"}</definedName>
    <definedName name="hgtgftryt" hidden="1">{"'Sheet1'!$L$16"}</definedName>
    <definedName name="hh" localSheetId="1" hidden="1">{"'Sheet1'!$L$16"}</definedName>
    <definedName name="hh" localSheetId="3" hidden="1">{"'Sheet1'!$L$16"}</definedName>
    <definedName name="hh" localSheetId="4" hidden="1">{"'Sheet1'!$L$16"}</definedName>
    <definedName name="hh" localSheetId="5" hidden="1">{"'Sheet1'!$L$16"}</definedName>
    <definedName name="hh" localSheetId="7" hidden="1">{"'Sheet1'!$L$16"}</definedName>
    <definedName name="hh" hidden="1">{"'Sheet1'!$L$16"}</definedName>
    <definedName name="hhb" localSheetId="1" hidden="1">{"'Sheet1'!$L$16"}</definedName>
    <definedName name="hhb" localSheetId="3" hidden="1">{"'Sheet1'!$L$16"}</definedName>
    <definedName name="hhb" localSheetId="4" hidden="1">{"'Sheet1'!$L$16"}</definedName>
    <definedName name="hhb" localSheetId="5" hidden="1">{"'Sheet1'!$L$16"}</definedName>
    <definedName name="hhb" localSheetId="7" hidden="1">{"'Sheet1'!$L$16"}</definedName>
    <definedName name="hhb" hidden="1">{"'Sheet1'!$L$16"}</definedName>
    <definedName name="HHcat">#REF!</definedName>
    <definedName name="HHda">#REF!</definedName>
    <definedName name="hhfjgj" hidden="1">{"'Sheet1'!$L$16"}</definedName>
    <definedName name="hhgggggg">{"'Sheet1'!$L$16"}</definedName>
    <definedName name="hhh" localSheetId="1" hidden="1">#REF!</definedName>
    <definedName name="hhh" hidden="1">#REF!</definedName>
    <definedName name="hhhhghgghhghghghg">{"'Sheet1'!$L$16"}</definedName>
    <definedName name="hhhhh" localSheetId="1" hidden="1">#REF!</definedName>
    <definedName name="hhhhh" hidden="1">#REF!</definedName>
    <definedName name="HHHHHH" hidden="1">{#N/A,#N/A,TRUE,"SUM";#N/A,#N/A,TRUE,"EE";#N/A,#N/A,TRUE,"AC";#N/A,#N/A,TRUE,"SN"}</definedName>
    <definedName name="hhhhhhhhhh" hidden="1">{"'Sheet1'!$L$16"}</definedName>
    <definedName name="hhhhhu" localSheetId="1" hidden="1">{"'Sheet1'!$L$16"}</definedName>
    <definedName name="hhhhhu" localSheetId="3" hidden="1">{"'Sheet1'!$L$16"}</definedName>
    <definedName name="hhhhhu" localSheetId="4" hidden="1">{"'Sheet1'!$L$16"}</definedName>
    <definedName name="hhhhhu" localSheetId="5" hidden="1">{"'Sheet1'!$L$16"}</definedName>
    <definedName name="hhhhhu" localSheetId="7" hidden="1">{"'Sheet1'!$L$16"}</definedName>
    <definedName name="hhhhhu" hidden="1">{"'Sheet1'!$L$16"}</definedName>
    <definedName name="hhhlll">{"'Sheet1'!$L$16"}</definedName>
    <definedName name="HHTT">#REF!</definedName>
    <definedName name="HiddenRows" localSheetId="1" hidden="1">#REF!</definedName>
    <definedName name="HiddenRows" hidden="1">#REF!</definedName>
    <definedName name="hien">#REF!</definedName>
    <definedName name="hieu" localSheetId="1" hidden="1">{"'Sheet1'!$L$16"}</definedName>
    <definedName name="hieu" localSheetId="3" hidden="1">{"'Sheet1'!$L$16"}</definedName>
    <definedName name="hieu" localSheetId="4" hidden="1">{"'Sheet1'!$L$16"}</definedName>
    <definedName name="hieu" localSheetId="5" hidden="1">{"'Sheet1'!$L$16"}</definedName>
    <definedName name="hieu" localSheetId="7" hidden="1">{"'Sheet1'!$L$16"}</definedName>
    <definedName name="hieu" hidden="1">{"'Sheet1'!$L$16"}</definedName>
    <definedName name="HIGH" hidden="1">#REF!</definedName>
    <definedName name="hiio" localSheetId="1" hidden="1">{"'Sheet1'!$L$16"}</definedName>
    <definedName name="hiio" localSheetId="3" hidden="1">{"'Sheet1'!$L$16"}</definedName>
    <definedName name="hiio" localSheetId="4" hidden="1">{"'Sheet1'!$L$16"}</definedName>
    <definedName name="hiio" localSheetId="5" hidden="1">{"'Sheet1'!$L$16"}</definedName>
    <definedName name="hiio" localSheetId="7" hidden="1">{"'Sheet1'!$L$16"}</definedName>
    <definedName name="hiio" hidden="1">{"'Sheet1'!$L$16"}</definedName>
    <definedName name="hil">#REF!</definedName>
    <definedName name="Hinh_thuc">#REF!</definedName>
    <definedName name="hj" localSheetId="1" hidden="1">{#N/A,#N/A,FALSE,"Chi tiÆt"}</definedName>
    <definedName name="hj" localSheetId="3" hidden="1">{#N/A,#N/A,FALSE,"Chi tiÆt"}</definedName>
    <definedName name="hj" localSheetId="4" hidden="1">{#N/A,#N/A,FALSE,"Chi tiÆt"}</definedName>
    <definedName name="hj" localSheetId="5" hidden="1">{#N/A,#N/A,FALSE,"Chi tiÆt"}</definedName>
    <definedName name="hj" localSheetId="7" hidden="1">{#N/A,#N/A,FALSE,"Chi tiÆt"}</definedName>
    <definedName name="hj" hidden="1">{#N/A,#N/A,FALSE,"Chi tiÆt"}</definedName>
    <definedName name="HJFGHGDH" localSheetId="1" hidden="1">{"NGUYEN QUI THIEP - Personal View",#N/A,FALSE,"XDCB.HT.FUR."}</definedName>
    <definedName name="HJFGHGDH" localSheetId="3" hidden="1">{"NGUYEN QUI THIEP - Personal View",#N/A,FALSE,"XDCB.HT.FUR."}</definedName>
    <definedName name="HJFGHGDH" localSheetId="4" hidden="1">{"NGUYEN QUI THIEP - Personal View",#N/A,FALSE,"XDCB.HT.FUR."}</definedName>
    <definedName name="HJFGHGDH" localSheetId="5" hidden="1">{"NGUYEN QUI THIEP - Personal View",#N/A,FALSE,"XDCB.HT.FUR."}</definedName>
    <definedName name="HJFGHGDH" localSheetId="7" hidden="1">{"NGUYEN QUI THIEP - Personal View",#N/A,FALSE,"XDCB.HT.FUR."}</definedName>
    <definedName name="HJFGHGDH" hidden="1">{"NGUYEN QUI THIEP - Personal View",#N/A,FALSE,"XDCB.HT.FUR."}</definedName>
    <definedName name="hjgjhgjk" hidden="1">{"'Sheet1'!$L$16"}</definedName>
    <definedName name="HJHH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j" hidden="1">{#N/A,#N/A,FALSE,"Chi tiÆt"}</definedName>
    <definedName name="hjjkl" localSheetId="1" hidden="1">{"'Sheet1'!$L$16"}</definedName>
    <definedName name="hjjkl" localSheetId="3" hidden="1">{"'Sheet1'!$L$16"}</definedName>
    <definedName name="hjjkl" localSheetId="4" hidden="1">{"'Sheet1'!$L$16"}</definedName>
    <definedName name="hjjkl" localSheetId="5" hidden="1">{"'Sheet1'!$L$16"}</definedName>
    <definedName name="hjjkl" localSheetId="7" hidden="1">{"'Sheet1'!$L$16"}</definedName>
    <definedName name="hjjkl" hidden="1">{"'Sheet1'!$L$16"}</definedName>
    <definedName name="hjjpu">{"'Sheet1'!$L$16"}</definedName>
    <definedName name="hjjþu">{"'Sheet1'!$L$16"}</definedName>
    <definedName name="hjk">{"'Sheet1'!$L$16"}</definedName>
    <definedName name="hjkl">{"'Sheet1'!$L$16"}</definedName>
    <definedName name="HJKHJKUYI">#REF!</definedName>
    <definedName name="HJKHJKH">#REF!</definedName>
    <definedName name="HJKHJKHJK">#REF!</definedName>
    <definedName name="HJTHE" localSheetId="1" hidden="1">{"'Sheet1'!$L$16"}</definedName>
    <definedName name="HJTHE" localSheetId="3" hidden="1">{"'Sheet1'!$L$16"}</definedName>
    <definedName name="HJTHE" localSheetId="4" hidden="1">{"'Sheet1'!$L$16"}</definedName>
    <definedName name="HJTHE" localSheetId="5" hidden="1">{"'Sheet1'!$L$16"}</definedName>
    <definedName name="HJTHE" localSheetId="7" hidden="1">{"'Sheet1'!$L$16"}</definedName>
    <definedName name="HJTHE" hidden="1">{"'Sheet1'!$L$16"}</definedName>
    <definedName name="hkj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localSheetId="1" hidden="1">{"'Sheet1'!$L$16"}</definedName>
    <definedName name="hkkkfd" localSheetId="3" hidden="1">{"'Sheet1'!$L$16"}</definedName>
    <definedName name="hkkkfd" localSheetId="4" hidden="1">{"'Sheet1'!$L$16"}</definedName>
    <definedName name="hkkkfd" localSheetId="5" hidden="1">{"'Sheet1'!$L$16"}</definedName>
    <definedName name="hkkkfd" localSheetId="7" hidden="1">{"'Sheet1'!$L$16"}</definedName>
    <definedName name="hkkkfd" hidden="1">{"'Sheet1'!$L$16"}</definedName>
    <definedName name="hklhj" localSheetId="1" hidden="1">{"'Sheet1'!$L$16"}</definedName>
    <definedName name="hklhj" localSheetId="3" hidden="1">{"'Sheet1'!$L$16"}</definedName>
    <definedName name="hklhj" localSheetId="4" hidden="1">{"'Sheet1'!$L$16"}</definedName>
    <definedName name="hklhj" localSheetId="5" hidden="1">{"'Sheet1'!$L$16"}</definedName>
    <definedName name="hklhj" localSheetId="7" hidden="1">{"'Sheet1'!$L$16"}</definedName>
    <definedName name="hklhj" hidden="1">{"'Sheet1'!$L$16"}</definedName>
    <definedName name="hklhlk.xls" hidden="1">{"'Sheet1'!$L$16"}</definedName>
    <definedName name="hllgljl">{"'Sheet1'!$L$16"}</definedName>
    <definedName name="HMFDFG" localSheetId="1" hidden="1">{"'Sheet1'!$L$16"}</definedName>
    <definedName name="HMFDFG" localSheetId="3" hidden="1">{"'Sheet1'!$L$16"}</definedName>
    <definedName name="HMFDFG" localSheetId="4" hidden="1">{"'Sheet1'!$L$16"}</definedName>
    <definedName name="HMFDFG" localSheetId="5" hidden="1">{"'Sheet1'!$L$16"}</definedName>
    <definedName name="HMFDFG" localSheetId="7" hidden="1">{"'Sheet1'!$L$16"}</definedName>
    <definedName name="HMFDFG" hidden="1">{"'Sheet1'!$L$16"}</definedName>
    <definedName name="HMFGMFG" localSheetId="1" hidden="1">{"'Sheet1'!$L$16"}</definedName>
    <definedName name="HMFGMFG" localSheetId="3" hidden="1">{"'Sheet1'!$L$16"}</definedName>
    <definedName name="HMFGMFG" localSheetId="4" hidden="1">{"'Sheet1'!$L$16"}</definedName>
    <definedName name="HMFGMFG" localSheetId="5" hidden="1">{"'Sheet1'!$L$16"}</definedName>
    <definedName name="HMFGMFG" localSheetId="7" hidden="1">{"'Sheet1'!$L$16"}</definedName>
    <definedName name="HMFGMFG" hidden="1">{"'Sheet1'!$L$16"}</definedName>
    <definedName name="hoan1" hidden="1">{"'Sheet1'!$L$16"}</definedName>
    <definedName name="hoc" localSheetId="1">55000</definedName>
    <definedName name="hoc" localSheetId="3" hidden="1">{"'Sheet1'!$L$16"}</definedName>
    <definedName name="hoc" localSheetId="4" hidden="1">{"'Sheet1'!$L$16"}</definedName>
    <definedName name="hoc" localSheetId="5" hidden="1">{"'Sheet1'!$L$16"}</definedName>
    <definedName name="hoc" localSheetId="7" hidden="1">{"'Sheet1'!$L$16"}</definedName>
    <definedName name="hoc" hidden="1">{"'Sheet1'!$L$16"}</definedName>
    <definedName name="HOME_MANP">#REF!</definedName>
    <definedName name="HOMEOFFICE_COST">#REF!</definedName>
    <definedName name="hong">{"'Sheet1'!$L$16"}</definedName>
    <definedName name="hp">{"'Sheet1'!$L$16"}</definedName>
    <definedName name="HREHRE" localSheetId="1" hidden="1">{"'Sheet1'!$L$16"}</definedName>
    <definedName name="HREHRE" localSheetId="3" hidden="1">{"'Sheet1'!$L$16"}</definedName>
    <definedName name="HREHRE" localSheetId="4" hidden="1">{"'Sheet1'!$L$16"}</definedName>
    <definedName name="HREHRE" localSheetId="5" hidden="1">{"'Sheet1'!$L$16"}</definedName>
    <definedName name="HREHRE" localSheetId="7" hidden="1">{"'Sheet1'!$L$16"}</definedName>
    <definedName name="HREHRE" hidden="1">{"'Sheet1'!$L$16"}</definedName>
    <definedName name="hs">#REF!</definedName>
    <definedName name="Hsc">#REF!</definedName>
    <definedName name="HSCPC">#REF!</definedName>
    <definedName name="HSCT3">0.1</definedName>
    <definedName name="hsdc_CuocVC">#REF!</definedName>
    <definedName name="hsdc1">#REF!</definedName>
    <definedName name="HsDcLuong">#REF!</definedName>
    <definedName name="HSDN">2.5</definedName>
    <definedName name="HSG">1.1</definedName>
    <definedName name="HSHH">#REF!</definedName>
    <definedName name="HSHHUT">#REF!</definedName>
    <definedName name="HSKK35">#REF!</definedName>
    <definedName name="hskh">1</definedName>
    <definedName name="HSLX">#REF!</definedName>
    <definedName name="HSLXH">1.7</definedName>
    <definedName name="HSLXP">#REF!</definedName>
    <definedName name="hsm">1.1289</definedName>
    <definedName name="hsmtbtg">#REF!</definedName>
    <definedName name="HSMTC">#REF!</definedName>
    <definedName name="hsmttbbtg">#REF!</definedName>
    <definedName name="hsmttbx">#REF!</definedName>
    <definedName name="hsmttby1">#REF!</definedName>
    <definedName name="hsmttby2">#REF!</definedName>
    <definedName name="hsmttby3">#REF!</definedName>
    <definedName name="hsmttby4">#REF!</definedName>
    <definedName name="hsmttby5">#REF!</definedName>
    <definedName name="hsmtx">#REF!</definedName>
    <definedName name="hsmty1">#REF!</definedName>
    <definedName name="hsmty2">#REF!</definedName>
    <definedName name="hsmty3">#REF!</definedName>
    <definedName name="hsmty4">#REF!</definedName>
    <definedName name="hsmty5">#REF!</definedName>
    <definedName name="hsnc">1.2*1.675*1.055*1.5/13000</definedName>
    <definedName name="hsnc_cau">1.626</definedName>
    <definedName name="hsnc_cau2">1.626</definedName>
    <definedName name="hsnc_d">1.6356</definedName>
    <definedName name="hsnc_d2">1.6356</definedName>
    <definedName name="hspt">#REF!</definedName>
    <definedName name="HSSL">#REF!</definedName>
    <definedName name="hßm4">#REF!</definedName>
    <definedName name="HSTHUE">#REF!</definedName>
    <definedName name="hsut">#REF!</definedName>
    <definedName name="HSVAT">#REF!</definedName>
    <definedName name="HSVC1">#REF!</definedName>
    <definedName name="HSVC2">#REF!</definedName>
    <definedName name="HSVC3">#REF!</definedName>
    <definedName name="hsvl">1</definedName>
    <definedName name="hsvl2">1</definedName>
    <definedName name="hswt">#REF!</definedName>
    <definedName name="HT">#REF!</definedName>
    <definedName name="HT_FSKHAC">#REF!</definedName>
    <definedName name="HT_SAN1">#REF!</definedName>
    <definedName name="HT_SAN2">#REF!</definedName>
    <definedName name="HT_SAN3">#REF!</definedName>
    <definedName name="HT_SANMAI">#REF!</definedName>
    <definedName name="HT_TRET">#REF!</definedName>
    <definedName name="HTD">#REF!</definedName>
    <definedName name="HTDLS">#REF!</definedName>
    <definedName name="HTKT1btg">#REF!</definedName>
    <definedName name="HTKT1x">#REF!</definedName>
    <definedName name="HTKT1y1">#REF!</definedName>
    <definedName name="HTKT1y2">#REF!</definedName>
    <definedName name="HTKT1y3">#REF!</definedName>
    <definedName name="HTKT2btg">#REF!</definedName>
    <definedName name="HTKT2x">#REF!</definedName>
    <definedName name="HTKT2y1">#REF!</definedName>
    <definedName name="HTKT2y2">#REF!</definedName>
    <definedName name="HTKT2y3">#REF!</definedName>
    <definedName name="HTKT2y4">#REF!</definedName>
    <definedName name="HTKT2y5">#REF!</definedName>
    <definedName name="HTKT2y6">#REF!</definedName>
    <definedName name="HTKT2y7">#REF!</definedName>
    <definedName name="HTKT2y8">#REF!</definedName>
    <definedName name="HTKT2y9">#REF!</definedName>
    <definedName name="htlm" localSheetId="1" hidden="1">{"'Sheet1'!$L$16"}</definedName>
    <definedName name="htlm" localSheetId="3" hidden="1">{"'Sheet1'!$L$16"}</definedName>
    <definedName name="htlm" localSheetId="4" hidden="1">{"'Sheet1'!$L$16"}</definedName>
    <definedName name="htlm" localSheetId="5" hidden="1">{"'Sheet1'!$L$16"}</definedName>
    <definedName name="htlm" localSheetId="7" hidden="1">{"'Sheet1'!$L$16"}</definedName>
    <definedName name="htlm" hidden="1">{"'Sheet1'!$L$16"}</definedName>
    <definedName name="htm">{"'Sheet1'!$L$16"}</definedName>
    <definedName name="html">{"'Sheet1'!$L$16"}</definedName>
    <definedName name="HTML_CodePage" hidden="1">950</definedName>
    <definedName name="HTML_Control" localSheetId="1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5" hidden="1">{"'Sheet1'!$L$16"}</definedName>
    <definedName name="HTML_Control" localSheetId="7" hidden="1">{"'Sheet1'!$L$16"}</definedName>
    <definedName name="HTML_Control" hidden="1">{"'Sheet1'!$L$16"}</definedName>
    <definedName name="html_control_xoa2" localSheetId="1" hidden="1">{"'Sheet1'!$L$16"}</definedName>
    <definedName name="html_control_xoa2" localSheetId="3" hidden="1">{"'Sheet1'!$L$16"}</definedName>
    <definedName name="html_control_xoa2" localSheetId="4" hidden="1">{"'Sheet1'!$L$16"}</definedName>
    <definedName name="html_control_xoa2" localSheetId="5" hidden="1">{"'Sheet1'!$L$16"}</definedName>
    <definedName name="html_control_xoa2" localSheetId="7" hidden="1">{"'Sheet1'!$L$16"}</definedName>
    <definedName name="html_control_xoa2" hidden="1">{"'Sheet1'!$L$16"}</definedName>
    <definedName name="HTML_Control1" localSheetId="1" hidden="1">{"'Sheet1'!$L$16"}</definedName>
    <definedName name="HTML_Control1" localSheetId="3" hidden="1">{"'Sheet1'!$L$16"}</definedName>
    <definedName name="HTML_Control1" localSheetId="4" hidden="1">{"'Sheet1'!$L$16"}</definedName>
    <definedName name="HTML_Control1" localSheetId="5" hidden="1">{"'Sheet1'!$L$16"}</definedName>
    <definedName name="HTML_Control1" localSheetId="7" hidden="1">{"'Sheet1'!$L$16"}</definedName>
    <definedName name="HTML_Control1" hidden="1">{"'Sheet1'!$L$16"}</definedName>
    <definedName name="HTML_Controlmoi" localSheetId="1" hidden="1">{"'Sheet1'!$L$16"}</definedName>
    <definedName name="HTML_Controlmoi" localSheetId="3" hidden="1">{"'Sheet1'!$L$16"}</definedName>
    <definedName name="HTML_Controlmoi" localSheetId="4" hidden="1">{"'Sheet1'!$L$16"}</definedName>
    <definedName name="HTML_Controlmoi" localSheetId="5" hidden="1">{"'Sheet1'!$L$16"}</definedName>
    <definedName name="HTML_Controlmoi" localSheetId="7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oi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TML1_10">"charles_l_blake@ccm.rr.intel.com"</definedName>
    <definedName name="HTML1_11">1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2" localSheetId="1" hidden="1">{"'Sheet1'!$L$16"}</definedName>
    <definedName name="html2" localSheetId="3" hidden="1">{"'Sheet1'!$L$16"}</definedName>
    <definedName name="html2" localSheetId="4" hidden="1">{"'Sheet1'!$L$16"}</definedName>
    <definedName name="html2" localSheetId="5" hidden="1">{"'Sheet1'!$L$16"}</definedName>
    <definedName name="html2" localSheetId="7" hidden="1">{"'Sheet1'!$L$16"}</definedName>
    <definedName name="html2" hidden="1">{"'Sheet1'!$L$16"}</definedName>
    <definedName name="HTMLCount">1</definedName>
    <definedName name="HTMLcpnmtrol" localSheetId="1" hidden="1">{"'Sheet1'!$L$16"}</definedName>
    <definedName name="HTMLcpnmtrol" localSheetId="3" hidden="1">{"'Sheet1'!$L$16"}</definedName>
    <definedName name="HTMLcpnmtrol" localSheetId="4" hidden="1">{"'Sheet1'!$L$16"}</definedName>
    <definedName name="HTMLcpnmtrol" localSheetId="5" hidden="1">{"'Sheet1'!$L$16"}</definedName>
    <definedName name="HTMLcpnmtrol" localSheetId="7" hidden="1">{"'Sheet1'!$L$16"}</definedName>
    <definedName name="HTMLcpnmtrol" hidden="1">{"'Sheet1'!$L$16"}</definedName>
    <definedName name="HTN">#REF!</definedName>
    <definedName name="HTNC">#REF!</definedName>
    <definedName name="HTVL">#REF!</definedName>
    <definedName name="hþ" localSheetId="1" hidden="1">{"'Sheet1'!$L$16"}</definedName>
    <definedName name="hþ" localSheetId="3" hidden="1">{"'Sheet1'!$L$16"}</definedName>
    <definedName name="hþ" localSheetId="4" hidden="1">{"'Sheet1'!$L$16"}</definedName>
    <definedName name="hþ" localSheetId="5" hidden="1">{"'Sheet1'!$L$16"}</definedName>
    <definedName name="hþ" localSheetId="7" hidden="1">{"'Sheet1'!$L$16"}</definedName>
    <definedName name="hþ" hidden="1">{"'Sheet1'!$L$16"}</definedName>
    <definedName name="HTHH">#REF!</definedName>
    <definedName name="HTHTR" localSheetId="1" hidden="1">{"'Sheet1'!$L$16"}</definedName>
    <definedName name="HTHTR" localSheetId="3" hidden="1">{"'Sheet1'!$L$16"}</definedName>
    <definedName name="HTHTR" localSheetId="4" hidden="1">{"'Sheet1'!$L$16"}</definedName>
    <definedName name="HTHTR" localSheetId="5" hidden="1">{"'Sheet1'!$L$16"}</definedName>
    <definedName name="HTHTR" localSheetId="7" hidden="1">{"'Sheet1'!$L$16"}</definedName>
    <definedName name="HTHTR" hidden="1">{"'Sheet1'!$L$16"}</definedName>
    <definedName name="hþwr" localSheetId="1" hidden="1">{"'Sheet1'!$L$16"}</definedName>
    <definedName name="hþwr" localSheetId="3" hidden="1">{"'Sheet1'!$L$16"}</definedName>
    <definedName name="hþwr" localSheetId="4" hidden="1">{"'Sheet1'!$L$16"}</definedName>
    <definedName name="hþwr" localSheetId="5" hidden="1">{"'Sheet1'!$L$16"}</definedName>
    <definedName name="hþwr" localSheetId="7" hidden="1">{"'Sheet1'!$L$16"}</definedName>
    <definedName name="hþwr" hidden="1">{"'Sheet1'!$L$16"}</definedName>
    <definedName name="hu" localSheetId="1" hidden="1">{"'Sheet1'!$L$16"}</definedName>
    <definedName name="hu" localSheetId="3" hidden="1">{"'Sheet1'!$L$16"}</definedName>
    <definedName name="hu" localSheetId="4" hidden="1">{"'Sheet1'!$L$16"}</definedName>
    <definedName name="hu" localSheetId="5" hidden="1">{"'Sheet1'!$L$16"}</definedName>
    <definedName name="hu" localSheetId="7" hidden="1">{"'Sheet1'!$L$16"}</definedName>
    <definedName name="hu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localSheetId="1" hidden="1">{"'Sheet1'!$L$16"}</definedName>
    <definedName name="hui" localSheetId="3" hidden="1">{"'Sheet1'!$L$16"}</definedName>
    <definedName name="hui" localSheetId="4" hidden="1">{"'Sheet1'!$L$16"}</definedName>
    <definedName name="hui" localSheetId="5" hidden="1">{"'Sheet1'!$L$16"}</definedName>
    <definedName name="hui" localSheetId="7" hidden="1">{"'Sheet1'!$L$16"}</definedName>
    <definedName name="hui" hidden="1">{"'Sheet1'!$L$16"}</definedName>
    <definedName name="HUNG" localSheetId="1" hidden="1">{#N/A,#N/A,FALSE,"Chi tiÆt"}</definedName>
    <definedName name="HUNG" localSheetId="3" hidden="1">{#N/A,#N/A,FALSE,"Chi tiÆt"}</definedName>
    <definedName name="HUNG" localSheetId="4" hidden="1">{#N/A,#N/A,FALSE,"Chi tiÆt"}</definedName>
    <definedName name="HUNG" localSheetId="5" hidden="1">{#N/A,#N/A,FALSE,"Chi tiÆt"}</definedName>
    <definedName name="HUNG" localSheetId="7" hidden="1">{#N/A,#N/A,FALSE,"Chi tiÆt"}</definedName>
    <definedName name="HUNG" hidden="1">{#N/A,#N/A,FALSE,"Chi tiÆt"}</definedName>
    <definedName name="hung3" localSheetId="1" hidden="1">{"'Sheet1'!$L$16"}</definedName>
    <definedName name="hung3" localSheetId="3" hidden="1">{"'Sheet1'!$L$16"}</definedName>
    <definedName name="hung3" localSheetId="4" hidden="1">{"'Sheet1'!$L$16"}</definedName>
    <definedName name="hung3" localSheetId="5" hidden="1">{"'Sheet1'!$L$16"}</definedName>
    <definedName name="hung3" localSheetId="7" hidden="1">{"'Sheet1'!$L$16"}</definedName>
    <definedName name="hung3" hidden="1">{"'Sheet1'!$L$16"}</definedName>
    <definedName name="hunh" localSheetId="1" hidden="1">{"'Sheet1'!$L$16"}</definedName>
    <definedName name="hunh" localSheetId="3" hidden="1">{"'Sheet1'!$L$16"}</definedName>
    <definedName name="hunh" localSheetId="4" hidden="1">{"'Sheet1'!$L$16"}</definedName>
    <definedName name="hunh" localSheetId="5" hidden="1">{"'Sheet1'!$L$16"}</definedName>
    <definedName name="hunh" localSheetId="7" hidden="1">{"'Sheet1'!$L$16"}</definedName>
    <definedName name="hunh" hidden="1">{"'Sheet1'!$L$16"}</definedName>
    <definedName name="hut" localSheetId="1" hidden="1">{"'Sheet1'!$L$16"}</definedName>
    <definedName name="hut" localSheetId="3" hidden="1">{"'Sheet1'!$L$16"}</definedName>
    <definedName name="hut" localSheetId="4" hidden="1">{"'Sheet1'!$L$16"}</definedName>
    <definedName name="hut" localSheetId="5" hidden="1">{"'Sheet1'!$L$16"}</definedName>
    <definedName name="hut" localSheetId="7" hidden="1">{"'Sheet1'!$L$16"}</definedName>
    <definedName name="hut" hidden="1">{"'Sheet1'!$L$16"}</definedName>
    <definedName name="huy" localSheetId="1" hidden="1">{"'Sheet1'!$L$16"}</definedName>
    <definedName name="huy" localSheetId="3" hidden="1">{"'Sheet1'!$L$16"}</definedName>
    <definedName name="huy" localSheetId="4" hidden="1">{"'Sheet1'!$L$16"}</definedName>
    <definedName name="huy" localSheetId="5" hidden="1">{"'Sheet1'!$L$16"}</definedName>
    <definedName name="huy" localSheetId="7" hidden="1">{"'Sheet1'!$L$16"}</definedName>
    <definedName name="huy" hidden="1">{"'Sheet1'!$L$16"}</definedName>
    <definedName name="huy_xoa" localSheetId="1" hidden="1">{"'Sheet1'!$L$16"}</definedName>
    <definedName name="huy_xoa" localSheetId="3" hidden="1">{"'Sheet1'!$L$16"}</definedName>
    <definedName name="huy_xoa" localSheetId="4" hidden="1">{"'Sheet1'!$L$16"}</definedName>
    <definedName name="huy_xoa" localSheetId="5" hidden="1">{"'Sheet1'!$L$16"}</definedName>
    <definedName name="huy_xoa" localSheetId="7" hidden="1">{"'Sheet1'!$L$16"}</definedName>
    <definedName name="huy_xoa" hidden="1">{"'Sheet1'!$L$16"}</definedName>
    <definedName name="huy_xoa2" localSheetId="1" hidden="1">{"'Sheet1'!$L$16"}</definedName>
    <definedName name="huy_xoa2" localSheetId="3" hidden="1">{"'Sheet1'!$L$16"}</definedName>
    <definedName name="huy_xoa2" localSheetId="4" hidden="1">{"'Sheet1'!$L$16"}</definedName>
    <definedName name="huy_xoa2" localSheetId="5" hidden="1">{"'Sheet1'!$L$16"}</definedName>
    <definedName name="huy_xoa2" localSheetId="7" hidden="1">{"'Sheet1'!$L$16"}</definedName>
    <definedName name="huy_xoa2" hidden="1">{"'Sheet1'!$L$16"}</definedName>
    <definedName name="huyen" localSheetId="1" hidden="1">{"'Sheet1'!$L$16"}</definedName>
    <definedName name="huyen" localSheetId="3" hidden="1">{"'Sheet1'!$L$16"}</definedName>
    <definedName name="huyen" localSheetId="4" hidden="1">{"'Sheet1'!$L$16"}</definedName>
    <definedName name="huyen" localSheetId="5" hidden="1">{"'Sheet1'!$L$16"}</definedName>
    <definedName name="huyen" localSheetId="7" hidden="1">{"'Sheet1'!$L$16"}</definedName>
    <definedName name="huyen" hidden="1">{"'Sheet1'!$L$16"}</definedName>
    <definedName name="huyhoa">{"'Sheet1'!$L$16"}</definedName>
    <definedName name="huyhqe.xls" hidden="1">{"'Sheet1'!$L$16"}</definedName>
    <definedName name="huyhu">{"'Sheet1'!$L$16"}</definedName>
    <definedName name="huymoi" localSheetId="1" hidden="1">{"'Sheet1'!$L$16"}</definedName>
    <definedName name="huymoi" localSheetId="3" hidden="1">{"'Sheet1'!$L$16"}</definedName>
    <definedName name="huymoi" localSheetId="4" hidden="1">{"'Sheet1'!$L$16"}</definedName>
    <definedName name="huymoi" localSheetId="5" hidden="1">{"'Sheet1'!$L$16"}</definedName>
    <definedName name="huymoi" localSheetId="7" hidden="1">{"'Sheet1'!$L$16"}</definedName>
    <definedName name="huymoi" hidden="1">{"'Sheet1'!$L$16"}</definedName>
    <definedName name="HUYØ" localSheetId="1" hidden="1">{"'Sheet1'!$L$16"}</definedName>
    <definedName name="HUYØ" localSheetId="3" hidden="1">{"'Sheet1'!$L$16"}</definedName>
    <definedName name="HUYØ" localSheetId="4" hidden="1">{"'Sheet1'!$L$16"}</definedName>
    <definedName name="HUYØ" localSheetId="5" hidden="1">{"'Sheet1'!$L$16"}</definedName>
    <definedName name="HUYØ" localSheetId="7" hidden="1">{"'Sheet1'!$L$16"}</definedName>
    <definedName name="HUYØ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localSheetId="1" hidden="1">{"'Sheet1'!$L$16"}</definedName>
    <definedName name="hy" localSheetId="3" hidden="1">{"'Sheet1'!$L$16"}</definedName>
    <definedName name="hy" localSheetId="4" hidden="1">{"'Sheet1'!$L$16"}</definedName>
    <definedName name="hy" localSheetId="5" hidden="1">{"'Sheet1'!$L$16"}</definedName>
    <definedName name="hy" localSheetId="7" hidden="1">{"'Sheet1'!$L$16"}</definedName>
    <definedName name="hy" hidden="1">{"'Sheet1'!$L$16"}</definedName>
    <definedName name="I">#REF!</definedName>
    <definedName name="i_CPC">#REF!</definedName>
    <definedName name="IDLAB_COST">#REF!</definedName>
    <definedName name="Idm">#REF!</definedName>
    <definedName name="ihb">#REF!</definedName>
    <definedName name="ihbl">#REF!</definedName>
    <definedName name="ihkhgk" hidden="1">{"'Sheet1'!$L$16"}</definedName>
    <definedName name="iii" hidden="1">{"'Sheet1'!$L$16"}</definedName>
    <definedName name="iiouolkll" hidden="1">{#N/A,#N/A,FALSE,"CCTV"}</definedName>
    <definedName name="ijhgfddffth">{"'Sheet1'!$L$16"}</definedName>
    <definedName name="IN" localSheetId="1" hidden="1">{"'Sheet1'!$L$16"}</definedName>
    <definedName name="IN" localSheetId="3" hidden="1">{"'Sheet1'!$L$16"}</definedName>
    <definedName name="IN" localSheetId="4" hidden="1">{"'Sheet1'!$L$16"}</definedName>
    <definedName name="IN" localSheetId="5" hidden="1">{"'Sheet1'!$L$16"}</definedName>
    <definedName name="IN" localSheetId="7" hidden="1">{"'Sheet1'!$L$16"}</definedName>
    <definedName name="IN" hidden="1">{"'Sheet1'!$L$16"}</definedName>
    <definedName name="IND_LAB">#REF!</definedName>
    <definedName name="Indek">#REF!</definedName>
    <definedName name="INDEX_ARS">#REF!</definedName>
    <definedName name="index_arsitektur">#REF!</definedName>
    <definedName name="INDEX_STR">#REF!</definedName>
    <definedName name="index2">#REF!</definedName>
    <definedName name="INDMANP">#REF!</definedName>
    <definedName name="InfoDialog">"Dialogfeldrahmen 1"</definedName>
    <definedName name="IO">#N/A</definedName>
    <definedName name="IOPIOPIO">#REF!</definedName>
    <definedName name="IOPIPIP">#REF!</definedName>
    <definedName name="IOUIOUIO">#REF!</definedName>
    <definedName name="Ip">#REF!</definedName>
    <definedName name="IST">#REF!</definedName>
    <definedName name="it">{"'Sheet1'!$L$16"}</definedName>
    <definedName name="iuliupoui" localSheetId="1" hidden="1">{"'Sheet1'!$L$16"}</definedName>
    <definedName name="iuliupoui" localSheetId="3" hidden="1">{"'Sheet1'!$L$16"}</definedName>
    <definedName name="iuliupoui" localSheetId="4" hidden="1">{"'Sheet1'!$L$16"}</definedName>
    <definedName name="iuliupoui" localSheetId="5" hidden="1">{"'Sheet1'!$L$16"}</definedName>
    <definedName name="iuliupoui" localSheetId="7" hidden="1">{"'Sheet1'!$L$16"}</definedName>
    <definedName name="iuliupoui" hidden="1">{"'Sheet1'!$L$16"}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wer" localSheetId="1" hidden="1">{"'Sheet1'!$L$16"}</definedName>
    <definedName name="iwer" localSheetId="3" hidden="1">{"'Sheet1'!$L$16"}</definedName>
    <definedName name="iwer" localSheetId="4" hidden="1">{"'Sheet1'!$L$16"}</definedName>
    <definedName name="iwer" localSheetId="5" hidden="1">{"'Sheet1'!$L$16"}</definedName>
    <definedName name="iwer" localSheetId="7" hidden="1">{"'Sheet1'!$L$16"}</definedName>
    <definedName name="iwer" hidden="1">{"'Sheet1'!$L$16"}</definedName>
    <definedName name="iylryi" localSheetId="1" hidden="1">{"'Sheet1'!$L$16"}</definedName>
    <definedName name="iylryi" localSheetId="3" hidden="1">{"'Sheet1'!$L$16"}</definedName>
    <definedName name="iylryi" localSheetId="4" hidden="1">{"'Sheet1'!$L$16"}</definedName>
    <definedName name="iylryi" localSheetId="5" hidden="1">{"'Sheet1'!$L$16"}</definedName>
    <definedName name="iylryi" localSheetId="7" hidden="1">{"'Sheet1'!$L$16"}</definedName>
    <definedName name="iylryi" hidden="1">{"'Sheet1'!$L$16"}</definedName>
    <definedName name="iyti" hidden="1">{"'Sheet1'!$L$16"}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Î" localSheetId="1" hidden="1">{#N/A,#N/A,FALSE,"Chi tiÆt"}</definedName>
    <definedName name="Î" localSheetId="3" hidden="1">{#N/A,#N/A,FALSE,"Chi tiÆt"}</definedName>
    <definedName name="Î" localSheetId="4" hidden="1">{#N/A,#N/A,FALSE,"Chi tiÆt"}</definedName>
    <definedName name="Î" localSheetId="5" hidden="1">{#N/A,#N/A,FALSE,"Chi tiÆt"}</definedName>
    <definedName name="Î" localSheetId="7" hidden="1">{#N/A,#N/A,FALSE,"Chi tiÆt"}</definedName>
    <definedName name="Î" hidden="1">{#N/A,#N/A,FALSE,"Chi tiÆt"}</definedName>
    <definedName name="Ît" localSheetId="1" hidden="1">{"'Sheet1'!$L$16"}</definedName>
    <definedName name="Ît" localSheetId="3" hidden="1">{"'Sheet1'!$L$16"}</definedName>
    <definedName name="Ît" localSheetId="4" hidden="1">{"'Sheet1'!$L$16"}</definedName>
    <definedName name="Ît" localSheetId="5" hidden="1">{"'Sheet1'!$L$16"}</definedName>
    <definedName name="Ît" localSheetId="7" hidden="1">{"'Sheet1'!$L$16"}</definedName>
    <definedName name="Ît" hidden="1">{"'Sheet1'!$L$16"}</definedName>
    <definedName name="j">#N/A</definedName>
    <definedName name="j356C8">#REF!</definedName>
    <definedName name="jasa">#REF!</definedName>
    <definedName name="JDFHDH" localSheetId="1" hidden="1">{"'Sheet1'!$L$16"}</definedName>
    <definedName name="JDFHDH" localSheetId="3" hidden="1">{"'Sheet1'!$L$16"}</definedName>
    <definedName name="JDFHDH" localSheetId="4" hidden="1">{"'Sheet1'!$L$16"}</definedName>
    <definedName name="JDFHDH" localSheetId="5" hidden="1">{"'Sheet1'!$L$16"}</definedName>
    <definedName name="JDFHDH" localSheetId="7" hidden="1">{"'Sheet1'!$L$16"}</definedName>
    <definedName name="JDFHDH" hidden="1">{"'Sheet1'!$L$16"}</definedName>
    <definedName name="JEFTA">#REF!</definedName>
    <definedName name="JFGJH">#REF!</definedName>
    <definedName name="jfgsdf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localSheetId="1" hidden="1">{"'Sheet1'!$L$16"}</definedName>
    <definedName name="JFJFGHG" localSheetId="3" hidden="1">{"'Sheet1'!$L$16"}</definedName>
    <definedName name="JFJFGHG" localSheetId="4" hidden="1">{"'Sheet1'!$L$16"}</definedName>
    <definedName name="JFJFGHG" localSheetId="5" hidden="1">{"'Sheet1'!$L$16"}</definedName>
    <definedName name="JFJFGHG" localSheetId="7" hidden="1">{"'Sheet1'!$L$16"}</definedName>
    <definedName name="JFJFGHG" hidden="1">{"'Sheet1'!$L$16"}</definedName>
    <definedName name="jggui78">{"'Sheet1'!$L$16"}</definedName>
    <definedName name="JGHJFHJJ" localSheetId="1" hidden="1">{"'Sheet1'!$L$16"}</definedName>
    <definedName name="JGHJFHJJ" localSheetId="3" hidden="1">{"'Sheet1'!$L$16"}</definedName>
    <definedName name="JGHJFHJJ" localSheetId="4" hidden="1">{"'Sheet1'!$L$16"}</definedName>
    <definedName name="JGHJFHJJ" localSheetId="5" hidden="1">{"'Sheet1'!$L$16"}</definedName>
    <definedName name="JGHJFHJJ" localSheetId="7" hidden="1">{"'Sheet1'!$L$16"}</definedName>
    <definedName name="JGHJFHJJ" hidden="1">{"'Sheet1'!$L$16"}</definedName>
    <definedName name="jgtjdt" localSheetId="1" hidden="1">{"'Sheet1'!$L$16"}</definedName>
    <definedName name="jgtjdt" localSheetId="3" hidden="1">{"'Sheet1'!$L$16"}</definedName>
    <definedName name="jgtjdt" localSheetId="4" hidden="1">{"'Sheet1'!$L$16"}</definedName>
    <definedName name="jgtjdt" localSheetId="5" hidden="1">{"'Sheet1'!$L$16"}</definedName>
    <definedName name="jgtjdt" localSheetId="7" hidden="1">{"'Sheet1'!$L$16"}</definedName>
    <definedName name="jgtjdt" hidden="1">{"'Sheet1'!$L$16"}</definedName>
    <definedName name="jh" localSheetId="1" hidden="1">{"'Sheet1'!$L$16"}</definedName>
    <definedName name="jh" localSheetId="3" hidden="1">{"'Sheet1'!$L$16"}</definedName>
    <definedName name="jh" localSheetId="4" hidden="1">{"'Sheet1'!$L$16"}</definedName>
    <definedName name="jh" localSheetId="5" hidden="1">{"'Sheet1'!$L$16"}</definedName>
    <definedName name="jh" localSheetId="7" hidden="1">{"'Sheet1'!$L$16"}</definedName>
    <definedName name="jh" hidden="1">{"'Sheet1'!$L$16"}</definedName>
    <definedName name="jhakjhskjd" localSheetId="1" hidden="1">{0,0,0,0;0,0,TRUE,0;0,#N/A,FALSE,0;0,#N/A,FALSE,0;0,#N/A,FALSE,0;0,#N/A,FALSE,0;0,#N/A,FALSE,0}</definedName>
    <definedName name="jhakjhskjd" localSheetId="3" hidden="1">{0,0,0,0;0,0,TRUE,0;0,#N/A,FALSE,0;0,#N/A,FALSE,0;0,#N/A,FALSE,0;0,#N/A,FALSE,0;0,#N/A,FALSE,0}</definedName>
    <definedName name="jhakjhskjd" localSheetId="4" hidden="1">{0,0,0,0;0,0,TRUE,0;0,#N/A,FALSE,0;0,#N/A,FALSE,0;0,#N/A,FALSE,0;0,#N/A,FALSE,0;0,#N/A,FALSE,0}</definedName>
    <definedName name="jhakjhskjd" localSheetId="5" hidden="1">{0,0,0,0;0,0,TRUE,0;0,#N/A,FALSE,0;0,#N/A,FALSE,0;0,#N/A,FALSE,0;0,#N/A,FALSE,0;0,#N/A,FALSE,0}</definedName>
    <definedName name="jhakjhskjd" localSheetId="7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hfdgy" localSheetId="1" hidden="1">{"'Sheet1'!$L$16"}</definedName>
    <definedName name="jhfdgy" localSheetId="3" hidden="1">{"'Sheet1'!$L$16"}</definedName>
    <definedName name="jhfdgy" localSheetId="4" hidden="1">{"'Sheet1'!$L$16"}</definedName>
    <definedName name="jhfdgy" localSheetId="5" hidden="1">{"'Sheet1'!$L$16"}</definedName>
    <definedName name="jhfdgy" localSheetId="7" hidden="1">{"'Sheet1'!$L$16"}</definedName>
    <definedName name="jhfdgy" hidden="1">{"'Sheet1'!$L$16"}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hhh" hidden="1">{#N/A,#N/A,FALSE,"CCTV"}</definedName>
    <definedName name="JHJ">{"'Sheet1'!$L$16"}</definedName>
    <definedName name="jhjh" localSheetId="1" hidden="1">{"'Sheet1'!$L$16"}</definedName>
    <definedName name="jhjh" localSheetId="3" hidden="1">{"'Sheet1'!$L$16"}</definedName>
    <definedName name="jhjh" localSheetId="4" hidden="1">{"'Sheet1'!$L$16"}</definedName>
    <definedName name="jhjh" localSheetId="5" hidden="1">{"'Sheet1'!$L$16"}</definedName>
    <definedName name="jhjh" localSheetId="7" hidden="1">{"'Sheet1'!$L$16"}</definedName>
    <definedName name="jhjh" hidden="1">{"'Sheet1'!$L$16"}</definedName>
    <definedName name="jhk">{"'Sheet1'!$L$16"}</definedName>
    <definedName name="jhkj" hidden="1">{#N/A,#N/A,FALSE,"Chi tiÆt"}</definedName>
    <definedName name="jhn" hidden="1">{"'Sheet1'!$L$16"}</definedName>
    <definedName name="jhnjnn">#REF!</definedName>
    <definedName name="jik">#REF!</definedName>
    <definedName name="jjjjj">{"'Sheet1'!$L$16"}</definedName>
    <definedName name="jjjjjjjjjjjjj">{"'Sheet1'!$L$16"}</definedName>
    <definedName name="jjkk">{"'Sheet1'!$L$16"}</definedName>
    <definedName name="JKDFSJCSDKJ" hidden="1">{#N/A,#N/A,TRUE,"SUM";#N/A,#N/A,TRUE,"EE";#N/A,#N/A,TRUE,"AC";#N/A,#N/A,TRUE,"SN"}</definedName>
    <definedName name="jkjhk">{"'Sheet1'!$L$16"}</definedName>
    <definedName name="jkjk" localSheetId="1" hidden="1">{"'Sheet1'!$L$16"}</definedName>
    <definedName name="jkjk" localSheetId="3" hidden="1">{"'Sheet1'!$L$16"}</definedName>
    <definedName name="jkjk" localSheetId="4" hidden="1">{"'Sheet1'!$L$16"}</definedName>
    <definedName name="jkjk" localSheetId="5" hidden="1">{"'Sheet1'!$L$16"}</definedName>
    <definedName name="jkjk" localSheetId="7" hidden="1">{"'Sheet1'!$L$16"}</definedName>
    <definedName name="jkjk" hidden="1">{"'Sheet1'!$L$16"}</definedName>
    <definedName name="jkl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JKHJK">#REF!</definedName>
    <definedName name="JLJKL">{"'Sheet1'!$L$16"}</definedName>
    <definedName name="jo">{"'Sheet1'!$L$16"}</definedName>
    <definedName name="jrtj" localSheetId="1" hidden="1">{#N/A,#N/A,FALSE,"Chi tiÆt"}</definedName>
    <definedName name="jrtj" localSheetId="3" hidden="1">{#N/A,#N/A,FALSE,"Chi tiÆt"}</definedName>
    <definedName name="jrtj" localSheetId="4" hidden="1">{#N/A,#N/A,FALSE,"Chi tiÆt"}</definedName>
    <definedName name="jrtj" localSheetId="5" hidden="1">{#N/A,#N/A,FALSE,"Chi tiÆt"}</definedName>
    <definedName name="jrtj" localSheetId="7" hidden="1">{#N/A,#N/A,FALSE,"Chi tiÆt"}</definedName>
    <definedName name="jrtj" hidden="1">{#N/A,#N/A,FALSE,"Chi tiÆt"}</definedName>
    <definedName name="JRY" localSheetId="1" hidden="1">{"'Sheet1'!$L$16"}</definedName>
    <definedName name="JRY" localSheetId="3" hidden="1">{"'Sheet1'!$L$16"}</definedName>
    <definedName name="JRY" localSheetId="4" hidden="1">{"'Sheet1'!$L$16"}</definedName>
    <definedName name="JRY" localSheetId="5" hidden="1">{"'Sheet1'!$L$16"}</definedName>
    <definedName name="JRY" localSheetId="7" hidden="1">{"'Sheet1'!$L$16"}</definedName>
    <definedName name="JRY" hidden="1">{"'Sheet1'!$L$16"}</definedName>
    <definedName name="jsdh">{"'Sheet1'!$L$16"}</definedName>
    <definedName name="jsdjs">{"'Sheet1'!$L$16"}</definedName>
    <definedName name="jsryj" localSheetId="1" hidden="1">{"'Sheet1'!$L$16"}</definedName>
    <definedName name="jsryj" localSheetId="3" hidden="1">{"'Sheet1'!$L$16"}</definedName>
    <definedName name="jsryj" localSheetId="4" hidden="1">{"'Sheet1'!$L$16"}</definedName>
    <definedName name="jsryj" localSheetId="5" hidden="1">{"'Sheet1'!$L$16"}</definedName>
    <definedName name="jsryj" localSheetId="7" hidden="1">{"'Sheet1'!$L$16"}</definedName>
    <definedName name="jsryj" hidden="1">{"'Sheet1'!$L$16"}</definedName>
    <definedName name="jt" localSheetId="1" hidden="1">{"'Sheet1'!$L$16"}</definedName>
    <definedName name="jt" localSheetId="3" hidden="1">{"'Sheet1'!$L$16"}</definedName>
    <definedName name="jt" localSheetId="4" hidden="1">{"'Sheet1'!$L$16"}</definedName>
    <definedName name="jt" localSheetId="5" hidden="1">{"'Sheet1'!$L$16"}</definedName>
    <definedName name="jt" localSheetId="7" hidden="1">{"'Sheet1'!$L$16"}</definedName>
    <definedName name="jt" hidden="1">{"'Sheet1'!$L$16"}</definedName>
    <definedName name="JTDEYW" localSheetId="1" hidden="1">{"'Sheet1'!$L$16"}</definedName>
    <definedName name="JTDEYW" localSheetId="3" hidden="1">{"'Sheet1'!$L$16"}</definedName>
    <definedName name="JTDEYW" localSheetId="4" hidden="1">{"'Sheet1'!$L$16"}</definedName>
    <definedName name="JTDEYW" localSheetId="5" hidden="1">{"'Sheet1'!$L$16"}</definedName>
    <definedName name="JTDEYW" localSheetId="7" hidden="1">{"'Sheet1'!$L$16"}</definedName>
    <definedName name="JTDEYW" hidden="1">{"'Sheet1'!$L$16"}</definedName>
    <definedName name="jtyk" localSheetId="1" hidden="1">{"'Sheet1'!$L$16"}</definedName>
    <definedName name="jtyk" localSheetId="3" hidden="1">{"'Sheet1'!$L$16"}</definedName>
    <definedName name="jtyk" localSheetId="4" hidden="1">{"'Sheet1'!$L$16"}</definedName>
    <definedName name="jtyk" localSheetId="5" hidden="1">{"'Sheet1'!$L$16"}</definedName>
    <definedName name="jtyk" localSheetId="7" hidden="1">{"'Sheet1'!$L$16"}</definedName>
    <definedName name="jtyk" hidden="1">{"'Sheet1'!$L$16"}</definedName>
    <definedName name="jtru" localSheetId="1" hidden="1">{"'Sheet1'!$L$16"}</definedName>
    <definedName name="jtru" localSheetId="3" hidden="1">{"'Sheet1'!$L$16"}</definedName>
    <definedName name="jtru" localSheetId="4" hidden="1">{"'Sheet1'!$L$16"}</definedName>
    <definedName name="jtru" localSheetId="5" hidden="1">{"'Sheet1'!$L$16"}</definedName>
    <definedName name="jtru" localSheetId="7" hidden="1">{"'Sheet1'!$L$16"}</definedName>
    <definedName name="jtru" hidden="1">{"'Sheet1'!$L$16"}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JYTJYT" localSheetId="1" hidden="1">{"NGUYEN QUI THIEP - Personal View",#N/A,FALSE,"XDCB.HT.FUR."}</definedName>
    <definedName name="JYJYTJYT" localSheetId="3" hidden="1">{"NGUYEN QUI THIEP - Personal View",#N/A,FALSE,"XDCB.HT.FUR."}</definedName>
    <definedName name="JYJYTJYT" localSheetId="4" hidden="1">{"NGUYEN QUI THIEP - Personal View",#N/A,FALSE,"XDCB.HT.FUR."}</definedName>
    <definedName name="JYJYTJYT" localSheetId="5" hidden="1">{"NGUYEN QUI THIEP - Personal View",#N/A,FALSE,"XDCB.HT.FUR."}</definedName>
    <definedName name="JYJYTJYT" localSheetId="7" hidden="1">{"NGUYEN QUI THIEP - Personal View",#N/A,FALSE,"XDCB.HT.FUR."}</definedName>
    <definedName name="JYJYTJYT" hidden="1">{"NGUYEN QUI THIEP - Personal View",#N/A,FALSE,"XDCB.HT.FUR."}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k" localSheetId="1" hidden="1">{"'Sheet1'!$L$16"}</definedName>
    <definedName name="jyuk" localSheetId="3" hidden="1">{"'Sheet1'!$L$16"}</definedName>
    <definedName name="jyuk" localSheetId="4" hidden="1">{"'Sheet1'!$L$16"}</definedName>
    <definedName name="jyuk" localSheetId="5" hidden="1">{"'Sheet1'!$L$16"}</definedName>
    <definedName name="jyuk" localSheetId="7" hidden="1">{"'Sheet1'!$L$16"}</definedName>
    <definedName name="jyuk" hidden="1">{"'Sheet1'!$L$16"}</definedName>
    <definedName name="k" localSheetId="1" hidden="1">{"Offgrid",#N/A,FALSE,"OFFGRID";"Region",#N/A,FALSE,"REGION";"Offgrid -2",#N/A,FALSE,"OFFGRID";"WTP",#N/A,FALSE,"WTP";"WTP -2",#N/A,FALSE,"WTP";"Project",#N/A,FALSE,"PROJECT";"Summary -2",#N/A,FALSE,"SUMMARY"}</definedName>
    <definedName name="k" localSheetId="3" hidden="1">{"Offgrid",#N/A,FALSE,"OFFGRID";"Region",#N/A,FALSE,"REGION";"Offgrid -2",#N/A,FALSE,"OFFGRID";"WTP",#N/A,FALSE,"WTP";"WTP -2",#N/A,FALSE,"WTP";"Project",#N/A,FALSE,"PROJECT";"Summary -2",#N/A,FALSE,"SUMMARY"}</definedName>
    <definedName name="k" localSheetId="4" hidden="1">{"Offgrid",#N/A,FALSE,"OFFGRID";"Region",#N/A,FALSE,"REGION";"Offgrid -2",#N/A,FALSE,"OFFGRID";"WTP",#N/A,FALSE,"WTP";"WTP -2",#N/A,FALSE,"WTP";"Project",#N/A,FALSE,"PROJECT";"Summary -2",#N/A,FALSE,"SUMMARY"}</definedName>
    <definedName name="k" localSheetId="5" hidden="1">{"Offgrid",#N/A,FALSE,"OFFGRID";"Region",#N/A,FALSE,"REGION";"Offgrid -2",#N/A,FALSE,"OFFGRID";"WTP",#N/A,FALSE,"WTP";"WTP -2",#N/A,FALSE,"WTP";"Project",#N/A,FALSE,"PROJECT";"Summary -2",#N/A,FALSE,"SUMMARY"}</definedName>
    <definedName name="k" localSheetId="7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.viecBAHUNG" localSheetId="1" hidden="1">{"'Sheet1'!$L$16"}</definedName>
    <definedName name="K.viecBAHUNG" hidden="1">{"'Sheet1'!$L$16"}</definedName>
    <definedName name="K_1">#REF!</definedName>
    <definedName name="K_2">#REF!</definedName>
    <definedName name="K_300">#REF!</definedName>
    <definedName name="K_DH">#REF!</definedName>
    <definedName name="k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4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5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7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0.001">#N/A</definedName>
    <definedName name="K0.011">#N/A</definedName>
    <definedName name="K0.101">#N/A</definedName>
    <definedName name="K0.111">#N/A</definedName>
    <definedName name="K0.201">#N/A</definedName>
    <definedName name="K0.211">#N/A</definedName>
    <definedName name="K0.301">#N/A</definedName>
    <definedName name="K0.311">#N/A</definedName>
    <definedName name="K0.400">#N/A</definedName>
    <definedName name="K0.410">#N/A</definedName>
    <definedName name="K0.501">#N/A</definedName>
    <definedName name="K0.511">#N/A</definedName>
    <definedName name="K0.61">#N/A</definedName>
    <definedName name="K0.71">#N/A</definedName>
    <definedName name="K1.001">#N/A</definedName>
    <definedName name="K1.021">#N/A</definedName>
    <definedName name="K1.041">#N/A</definedName>
    <definedName name="K1.121">#N/A</definedName>
    <definedName name="K1.201">#N/A</definedName>
    <definedName name="K1.211">#N/A</definedName>
    <definedName name="K1.221">#N/A</definedName>
    <definedName name="K1.301">#N/A</definedName>
    <definedName name="K1.321">#N/A</definedName>
    <definedName name="K1.331">#N/A</definedName>
    <definedName name="K1.341">#N/A</definedName>
    <definedName name="K1.401">#N/A</definedName>
    <definedName name="K1.411">#N/A</definedName>
    <definedName name="K1.421">#N/A</definedName>
    <definedName name="K1.431">#N/A</definedName>
    <definedName name="K1.441">#N/A</definedName>
    <definedName name="K2.001">#N/A</definedName>
    <definedName name="K2.011">#N/A</definedName>
    <definedName name="K2.021">#N/A</definedName>
    <definedName name="K2.031">#N/A</definedName>
    <definedName name="K2.041">#N/A</definedName>
    <definedName name="K2.101">#N/A</definedName>
    <definedName name="K2.111">#N/A</definedName>
    <definedName name="K2.121">#N/A</definedName>
    <definedName name="K2.131">#N/A</definedName>
    <definedName name="K2.141">#N/A</definedName>
    <definedName name="K2.201">#N/A</definedName>
    <definedName name="K2.211">#N/A</definedName>
    <definedName name="K2.221">#N/A</definedName>
    <definedName name="K2.231">#N/A</definedName>
    <definedName name="K2.241">#N/A</definedName>
    <definedName name="K2.301">#N/A</definedName>
    <definedName name="K2.321">#N/A</definedName>
    <definedName name="K2.341">#N/A</definedName>
    <definedName name="K2.400">#N/A</definedName>
    <definedName name="K2.420">#N/A</definedName>
    <definedName name="K2.440">#N/A</definedName>
    <definedName name="K2.500">#N/A</definedName>
    <definedName name="K2.520">#N/A</definedName>
    <definedName name="K2.540">#N/A</definedName>
    <definedName name="K3.210">#N/A</definedName>
    <definedName name="K3.220">#N/A</definedName>
    <definedName name="K3.230">#N/A</definedName>
    <definedName name="K3.310">#N/A</definedName>
    <definedName name="K3.320">#N/A</definedName>
    <definedName name="K3.330">#N/A</definedName>
    <definedName name="K3.410">#N/A</definedName>
    <definedName name="K3.430">#N/A</definedName>
    <definedName name="K3.450">#N/A</definedName>
    <definedName name="K4.010">#N/A</definedName>
    <definedName name="K4.020">#N/A</definedName>
    <definedName name="K4.110">#N/A</definedName>
    <definedName name="K4.120">#N/A</definedName>
    <definedName name="K4.210">#N/A</definedName>
    <definedName name="K4.220">#N/A</definedName>
    <definedName name="K4.230">#N/A</definedName>
    <definedName name="K4.240">#N/A</definedName>
    <definedName name="KA">#REF!</definedName>
    <definedName name="kab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E">#REF!</definedName>
    <definedName name="kamper">#REF!</definedName>
    <definedName name="kao" hidden="1">#REF!</definedName>
    <definedName name="kaori">#REF!</definedName>
    <definedName name="KAS">#REF!</definedName>
    <definedName name="kazuyo">#REF!</definedName>
    <definedName name="kb">#REF!</definedName>
    <definedName name="kcl">#REF!</definedName>
    <definedName name="kcong">#REF!</definedName>
    <definedName name="KCThep">{"'Sheet1'!$L$16"}</definedName>
    <definedName name="kd">#REF!</definedName>
    <definedName name="KDC">#REF!</definedName>
    <definedName name="KDCNThonmoi20_00" localSheetId="1" hidden="1">{"'Sheet1'!$L$16"}</definedName>
    <definedName name="KDCNThonmoi20_00" localSheetId="3" hidden="1">{"'Sheet1'!$L$16"}</definedName>
    <definedName name="KDCNThonmoi20_00" localSheetId="4" hidden="1">{"'Sheet1'!$L$16"}</definedName>
    <definedName name="KDCNThonmoi20_00" localSheetId="5" hidden="1">{"'Sheet1'!$L$16"}</definedName>
    <definedName name="KDCNThonmoi20_00" localSheetId="7" hidden="1">{"'Sheet1'!$L$16"}</definedName>
    <definedName name="KDCNThonmoi20_00" hidden="1">{"'Sheet1'!$L$16"}</definedName>
    <definedName name="ke" hidden="1">#REF!</definedName>
    <definedName name="KeBve">#REF!</definedName>
    <definedName name="keo_hilti">#REF!</definedName>
    <definedName name="kepalapancang">#REF!</definedName>
    <definedName name="kerikil">#REF!</definedName>
    <definedName name="kfs">#REF!</definedName>
    <definedName name="KFTCGN" hidden="1">{"'Sheet1'!$L$16"}</definedName>
    <definedName name="kg_m2" hidden="1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f" localSheetId="1" hidden="1">{#N/A,#N/A,FALSE,"Chi tiÆt"}</definedName>
    <definedName name="kgdf" localSheetId="3" hidden="1">{#N/A,#N/A,FALSE,"Chi tiÆt"}</definedName>
    <definedName name="kgdf" localSheetId="4" hidden="1">{#N/A,#N/A,FALSE,"Chi tiÆt"}</definedName>
    <definedName name="kgdf" localSheetId="5" hidden="1">{#N/A,#N/A,FALSE,"Chi tiÆt"}</definedName>
    <definedName name="kgdf" localSheetId="7" hidden="1">{#N/A,#N/A,FALSE,"Chi tiÆt"}</definedName>
    <definedName name="kgdf" hidden="1">{#N/A,#N/A,FALSE,"Chi tiÆt"}</definedName>
    <definedName name="kghlgh" hidden="1">{#N/A,#N/A,FALSE,"CCTV"}</definedName>
    <definedName name="Kgmong">#REF!</definedName>
    <definedName name="KgNXOLdk">#REF!</definedName>
    <definedName name="kgs">#REF!</definedName>
    <definedName name="Kgsan">#REF!</definedName>
    <definedName name="Kiem_tra_trung_ten">#REF!</definedName>
    <definedName name="KieuTinhGia">#REF!</definedName>
    <definedName name="kim" hidden="1">{"'Sheet1'!$L$16"}</definedName>
    <definedName name="kitc100x2x0.6">#REF!</definedName>
    <definedName name="kitc2x100x2x0.6">#REF!</definedName>
    <definedName name="kiulil" hidden="1">{#N/A,#N/A,FALSE,"CCTV"}</definedName>
    <definedName name="kiyddfdr">{"'Sheet1'!$L$16"}</definedName>
    <definedName name="kjhlh" hidden="1">{#N/A,#N/A,FALSE,"CCTV"}</definedName>
    <definedName name="kjhljhk" hidden="1">{#N/A,#N/A,FALSE,"CCTV"}</definedName>
    <definedName name="kji">#REF!</definedName>
    <definedName name="kjjkjgg">{"'Sheet1'!$L$16"}</definedName>
    <definedName name="kjjlll">{"'Sheet1'!$L$16"}</definedName>
    <definedName name="kjk">{"'Sheet1'!$L$16"}</definedName>
    <definedName name="kjkjkj">{"'Sheet1'!$L$16"}</definedName>
    <definedName name="kjoh" hidden="1">{#N/A,#N/A,FALSE,"特殊室（ＢＱ表）"}</definedName>
    <definedName name="kk" hidden="1">#REF!</definedName>
    <definedName name="kk10a">#REF!</definedName>
    <definedName name="kk16a">#REF!</definedName>
    <definedName name="kkgdss">{"'Sheet1'!$L$16"}</definedName>
    <definedName name="kkk" localSheetId="1" hidden="1">{#N/A,#N/A,FALSE,"特殊室（ＢＱ表）"}</definedName>
    <definedName name="kkk" localSheetId="3" hidden="1">{#N/A,#N/A,FALSE,"特殊室（ＢＱ表）"}</definedName>
    <definedName name="kkk" localSheetId="4" hidden="1">{#N/A,#N/A,FALSE,"特殊室（ＢＱ表）"}</definedName>
    <definedName name="kkk" localSheetId="5" hidden="1">{#N/A,#N/A,FALSE,"特殊室（ＢＱ表）"}</definedName>
    <definedName name="kkk" localSheetId="7" hidden="1">{#N/A,#N/A,FALSE,"特殊室（ＢＱ表）"}</definedName>
    <definedName name="kkk" hidden="1">{#N/A,#N/A,FALSE,"特殊室（ＢＱ表）"}</definedName>
    <definedName name="ｋｋｋ">{"'Sheet1'!$L$16"}</definedName>
    <definedName name="kkkk">{"'Sheet1'!$L$16"}</definedName>
    <definedName name="kkkkk">{"'Sheet1'!$L$16"}</definedName>
    <definedName name="kkkkkkkkkk" localSheetId="1" hidden="1">{"'Sheet1'!$L$16"}</definedName>
    <definedName name="kkkkkkkkkk" localSheetId="3" hidden="1">{"'Sheet1'!$L$16"}</definedName>
    <definedName name="kkkkkkkkkk" localSheetId="4" hidden="1">{"'Sheet1'!$L$16"}</definedName>
    <definedName name="kkkkkkkkkk" localSheetId="5" hidden="1">{"'Sheet1'!$L$16"}</definedName>
    <definedName name="kkkkkkkkkk" localSheetId="7" hidden="1">{"'Sheet1'!$L$16"}</definedName>
    <definedName name="kkkkkkkkkk" hidden="1">{"'Sheet1'!$L$16"}</definedName>
    <definedName name="kkkl">{"'Sheet1'!$L$16"}</definedName>
    <definedName name="kkl">{"'Sheet1'!$L$16"}</definedName>
    <definedName name="kkll">{"'Sheet1'!$L$16"}</definedName>
    <definedName name="kklll">{"'Sheet1'!$L$16"}</definedName>
    <definedName name="kkm">#REF!</definedName>
    <definedName name="kknymhy">#REF!</definedName>
    <definedName name="kkts">#REF!</definedName>
    <definedName name="KLAM">#REF!</definedName>
    <definedName name="klc">#REF!</definedName>
    <definedName name="klctbb">#REF!</definedName>
    <definedName name="KLchitiet_35_36" hidden="1">{"'Sheet1'!$L$16"}</definedName>
    <definedName name="KLchitiet_36_37" hidden="1">{"'Sheet1'!$L$16"}</definedName>
    <definedName name="KLduonggiaods">{"'Sheet1'!$L$16"}</definedName>
    <definedName name="klg">#REF!</definedName>
    <definedName name="klhkl" hidden="1">{#N/A,#N/A,FALSE,"CCTV"}</definedName>
    <definedName name="klht_Keohilti">#REF!</definedName>
    <definedName name="KLHT_PhanHoanThien">#REF!</definedName>
    <definedName name="KLHTBeDau">#REF!</definedName>
    <definedName name="KLHTBePhot">#REF!</definedName>
    <definedName name="KLJKLJLJK">#REF!</definedName>
    <definedName name="klkklk" localSheetId="1" hidden="1">{#N/A,#N/A,FALSE,"Sheet1";#N/A,#N/A,FALSE,"Sheet3";#N/A,#N/A,FALSE,"Sheet5"}</definedName>
    <definedName name="klkklk" localSheetId="3" hidden="1">{#N/A,#N/A,FALSE,"Sheet1";#N/A,#N/A,FALSE,"Sheet3";#N/A,#N/A,FALSE,"Sheet5"}</definedName>
    <definedName name="klkklk" localSheetId="4" hidden="1">{#N/A,#N/A,FALSE,"Sheet1";#N/A,#N/A,FALSE,"Sheet3";#N/A,#N/A,FALSE,"Sheet5"}</definedName>
    <definedName name="klkklk" localSheetId="5" hidden="1">{#N/A,#N/A,FALSE,"Sheet1";#N/A,#N/A,FALSE,"Sheet3";#N/A,#N/A,FALSE,"Sheet5"}</definedName>
    <definedName name="klkklk" localSheetId="7" hidden="1">{#N/A,#N/A,FALSE,"Sheet1";#N/A,#N/A,FALSE,"Sheet3";#N/A,#N/A,FALSE,"Sheet5"}</definedName>
    <definedName name="klkklk" hidden="1">{#N/A,#N/A,FALSE,"Sheet1";#N/A,#N/A,FALSE,"Sheet3";#N/A,#N/A,FALSE,"Sheet5"}</definedName>
    <definedName name="KLLT" hidden="1">#REF!</definedName>
    <definedName name="klm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p">#REF!</definedName>
    <definedName name="KLTHDN">#REF!</definedName>
    <definedName name="KLVANKHUON">#REF!</definedName>
    <definedName name="KLVL1">#REF!</definedName>
    <definedName name="KLYeuCau">#REF!</definedName>
    <definedName name="km">#REF!</definedName>
    <definedName name="kmm">#REF!</definedName>
    <definedName name="KN">#REF!</definedName>
    <definedName name="KNDAT_CHUA_SU_DUNG" localSheetId="1" hidden="1">#REF!</definedName>
    <definedName name="KNDAT_CHUA_SU_DUNG" hidden="1">#REF!</definedName>
    <definedName name="KNL">#REF!</definedName>
    <definedName name="kno">#N/A</definedName>
    <definedName name="KODE">#REF!</definedName>
    <definedName name="koef1">#REF!</definedName>
    <definedName name="koeflingg">#REF!</definedName>
    <definedName name="koeflingk">#REF!</definedName>
    <definedName name="kof">#REF!</definedName>
    <definedName name="koling">#REF!</definedName>
    <definedName name="kolom">#REF!</definedName>
    <definedName name="kon" localSheetId="1" hidden="1">{"'Sheet1'!$L$16"}</definedName>
    <definedName name="kon" localSheetId="3" hidden="1">{"'Sheet1'!$L$16"}</definedName>
    <definedName name="kon" localSheetId="4" hidden="1">{"'Sheet1'!$L$16"}</definedName>
    <definedName name="kon" localSheetId="5" hidden="1">{"'Sheet1'!$L$16"}</definedName>
    <definedName name="kon" localSheetId="7" hidden="1">{"'Sheet1'!$L$16"}</definedName>
    <definedName name="kon" hidden="1">{"'Sheet1'!$L$16"}</definedName>
    <definedName name="kp">#N/A</definedName>
    <definedName name="kp1ph">#REF!</definedName>
    <definedName name="KQ">IF(ISNUMBER(VALUE(SUBSTITUTE(MID(#REF!&amp;"=",FIND("=",#REF!&amp;"=",1)+1,LEN(#REF!&amp;"=")-FIND("=",#REF!&amp;"=")+1),"=",""))),VALUE(SUBSTITUTE(MID(#REF!&amp;"=",FIND("=",#REF!&amp;"=",1)+1,LEN(#REF!&amp;"=")-FIND("=",#REF!&amp;"=")+1),"=","")),0)</definedName>
    <definedName name="kqkdbq" hidden="1">{"'Sheet1'!$L$16"}</definedName>
    <definedName name="ks" localSheetId="1" hidden="1">{"'Sheet1'!$L$16"}</definedName>
    <definedName name="ks" localSheetId="3" hidden="1">{"'Sheet1'!$L$16"}</definedName>
    <definedName name="ks" localSheetId="4" hidden="1">{"'Sheet1'!$L$16"}</definedName>
    <definedName name="ks" localSheetId="5" hidden="1">{"'Sheet1'!$L$16"}</definedName>
    <definedName name="ks" localSheetId="7" hidden="1">{"'Sheet1'!$L$16"}</definedName>
    <definedName name="ks" hidden="1">{"'Sheet1'!$L$16"}</definedName>
    <definedName name="ksbn" localSheetId="1" hidden="1">{"'Sheet1'!$L$16"}</definedName>
    <definedName name="ksbn" localSheetId="3" hidden="1">{"'Sheet1'!$L$16"}</definedName>
    <definedName name="ksbn" localSheetId="4" hidden="1">{"'Sheet1'!$L$16"}</definedName>
    <definedName name="ksbn" localSheetId="5" hidden="1">{"'Sheet1'!$L$16"}</definedName>
    <definedName name="ksbn" localSheetId="7" hidden="1">{"'Sheet1'!$L$16"}</definedName>
    <definedName name="ksbn" hidden="1">{"'Sheet1'!$L$16"}</definedName>
    <definedName name="KSDA" localSheetId="1" hidden="1">{"'Sheet1'!$L$16"}</definedName>
    <definedName name="KSDA" localSheetId="3" hidden="1">{"'Sheet1'!$L$16"}</definedName>
    <definedName name="KSDA" localSheetId="4" hidden="1">{"'Sheet1'!$L$16"}</definedName>
    <definedName name="KSDA" localSheetId="5" hidden="1">{"'Sheet1'!$L$16"}</definedName>
    <definedName name="KSDA" localSheetId="7" hidden="1">{"'Sheet1'!$L$16"}</definedName>
    <definedName name="KSDA" hidden="1">{"'Sheet1'!$L$16"}</definedName>
    <definedName name="kshn" localSheetId="1" hidden="1">{"'Sheet1'!$L$16"}</definedName>
    <definedName name="kshn" localSheetId="3" hidden="1">{"'Sheet1'!$L$16"}</definedName>
    <definedName name="kshn" localSheetId="4" hidden="1">{"'Sheet1'!$L$16"}</definedName>
    <definedName name="kshn" localSheetId="5" hidden="1">{"'Sheet1'!$L$16"}</definedName>
    <definedName name="kshn" localSheetId="7" hidden="1">{"'Sheet1'!$L$16"}</definedName>
    <definedName name="kshn" hidden="1">{"'Sheet1'!$L$16"}</definedName>
    <definedName name="ksk">#REF!</definedName>
    <definedName name="ksls" localSheetId="1" hidden="1">{"'Sheet1'!$L$16"}</definedName>
    <definedName name="ksls" localSheetId="3" hidden="1">{"'Sheet1'!$L$16"}</definedName>
    <definedName name="ksls" localSheetId="4" hidden="1">{"'Sheet1'!$L$16"}</definedName>
    <definedName name="ksls" localSheetId="5" hidden="1">{"'Sheet1'!$L$16"}</definedName>
    <definedName name="ksls" localSheetId="7" hidden="1">{"'Sheet1'!$L$16"}</definedName>
    <definedName name="ksls" hidden="1">{"'Sheet1'!$L$16"}</definedName>
    <definedName name="kst">#REF!</definedName>
    <definedName name="KSTK">#REF!</definedName>
    <definedName name="KTC">#REF!</definedName>
    <definedName name="ktpm">#REF!</definedName>
    <definedName name="KTVDT">#REF!</definedName>
    <definedName name="kukek" localSheetId="1" hidden="1">{"'Sheet1'!$L$16"}</definedName>
    <definedName name="kukek" localSheetId="3" hidden="1">{"'Sheet1'!$L$16"}</definedName>
    <definedName name="kukek" localSheetId="4" hidden="1">{"'Sheet1'!$L$16"}</definedName>
    <definedName name="kukek" localSheetId="5" hidden="1">{"'Sheet1'!$L$16"}</definedName>
    <definedName name="kukek" localSheetId="7" hidden="1">{"'Sheet1'!$L$16"}</definedName>
    <definedName name="kukek" hidden="1">{"'Sheet1'!$L$16"}</definedName>
    <definedName name="kuklk" localSheetId="1" hidden="1">{"'Sheet1'!$L$16"}</definedName>
    <definedName name="kuklk" localSheetId="3" hidden="1">{"'Sheet1'!$L$16"}</definedName>
    <definedName name="kuklk" localSheetId="4" hidden="1">{"'Sheet1'!$L$16"}</definedName>
    <definedName name="kuklk" localSheetId="5" hidden="1">{"'Sheet1'!$L$16"}</definedName>
    <definedName name="kuklk" localSheetId="7" hidden="1">{"'Sheet1'!$L$16"}</definedName>
    <definedName name="kuklk" hidden="1">{"'Sheet1'!$L$16"}</definedName>
    <definedName name="KUSEN__PINTU__JENDELA__ALAT_ALAT_PENGGANTUNG_DAN_CURTAIN_WALL">#REF!</definedName>
    <definedName name="kutkuk" localSheetId="1" hidden="1">{"'Sheet1'!$L$16"}</definedName>
    <definedName name="kutkuk" localSheetId="3" hidden="1">{"'Sheet1'!$L$16"}</definedName>
    <definedName name="kutkuk" localSheetId="4" hidden="1">{"'Sheet1'!$L$16"}</definedName>
    <definedName name="kutkuk" localSheetId="5" hidden="1">{"'Sheet1'!$L$16"}</definedName>
    <definedName name="kutkuk" localSheetId="7" hidden="1">{"'Sheet1'!$L$16"}</definedName>
    <definedName name="kutkuk" hidden="1">{"'Sheet1'!$L$16"}</definedName>
    <definedName name="kv">#REF!</definedName>
    <definedName name="KVC">#REF!</definedName>
    <definedName name="kwh1st">#REF!</definedName>
    <definedName name="kwh3st">#REF!</definedName>
    <definedName name="ky">#REF!</definedName>
    <definedName name="Ký_hiệu">#REF!</definedName>
    <definedName name="Kye" hidden="1">#REF!</definedName>
    <definedName name="KYUKGH" localSheetId="1" hidden="1">{"'Sheet1'!$L$16"}</definedName>
    <definedName name="KYUKGH" localSheetId="3" hidden="1">{"'Sheet1'!$L$16"}</definedName>
    <definedName name="KYUKGH" localSheetId="4" hidden="1">{"'Sheet1'!$L$16"}</definedName>
    <definedName name="KYUKGH" localSheetId="5" hidden="1">{"'Sheet1'!$L$16"}</definedName>
    <definedName name="KYUKGH" localSheetId="7" hidden="1">{"'Sheet1'!$L$16"}</definedName>
    <definedName name="KYUKGH" hidden="1">{"'Sheet1'!$L$16"}</definedName>
    <definedName name="KH_Chang">#REF!</definedName>
    <definedName name="khac">2</definedName>
    <definedName name="khanh" hidden="1">{"'Sheet1'!$L$16"}</definedName>
    <definedName name="Khâi">#REF!</definedName>
    <definedName name="khg" localSheetId="1" hidden="1">{"'Sheet1'!$L$16"}</definedName>
    <definedName name="khg" localSheetId="3" hidden="1">{"'Sheet1'!$L$16"}</definedName>
    <definedName name="khg" localSheetId="4" hidden="1">{"'Sheet1'!$L$16"}</definedName>
    <definedName name="khg" localSheetId="5" hidden="1">{"'Sheet1'!$L$16"}</definedName>
    <definedName name="khg" localSheetId="7" hidden="1">{"'Sheet1'!$L$16"}</definedName>
    <definedName name="khg" hidden="1">{"'Sheet1'!$L$16"}</definedName>
    <definedName name="KHGDFKHGFJKGF" hidden="1">#REF!</definedName>
    <definedName name="khkttt" localSheetId="1" hidden="1">{"'Sheet1'!$L$16"}</definedName>
    <definedName name="khkttt" localSheetId="3" hidden="1">{"'Sheet1'!$L$16"}</definedName>
    <definedName name="khkttt" localSheetId="4" hidden="1">{"'Sheet1'!$L$16"}</definedName>
    <definedName name="khkttt" localSheetId="5" hidden="1">{"'Sheet1'!$L$16"}</definedName>
    <definedName name="khkttt" localSheetId="7" hidden="1">{"'Sheet1'!$L$16"}</definedName>
    <definedName name="khkttt" hidden="1">{"'Sheet1'!$L$16"}</definedName>
    <definedName name="kho">"kh¶o"</definedName>
    <definedName name="khongtruotgia" localSheetId="1" hidden="1">{"'Sheet1'!$L$16"}</definedName>
    <definedName name="khongtruotgia" localSheetId="3" hidden="1">{"'Sheet1'!$L$16"}</definedName>
    <definedName name="khongtruotgia" localSheetId="4" hidden="1">{"'Sheet1'!$L$16"}</definedName>
    <definedName name="khongtruotgia" localSheetId="5" hidden="1">{"'Sheet1'!$L$16"}</definedName>
    <definedName name="khongtruotgia" localSheetId="7" hidden="1">{"'Sheet1'!$L$16"}</definedName>
    <definedName name="khongtruotgia" hidden="1">{"'Sheet1'!$L$16"}</definedName>
    <definedName name="khuyen" hidden="1">{"'Sheet1'!$L$16"}</definedName>
    <definedName name="L">0</definedName>
    <definedName name="L_mong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63x6">5800</definedName>
    <definedName name="la">#REF!</definedName>
    <definedName name="lab">#REF!</definedName>
    <definedName name="LAGI">#REF!</definedName>
    <definedName name="lam" localSheetId="1" hidden="1">{"'Sheet1'!$L$16"}</definedName>
    <definedName name="lam" localSheetId="3" hidden="1">{"'Sheet1'!$L$16"}</definedName>
    <definedName name="lam" localSheetId="4" hidden="1">{"'Sheet1'!$L$16"}</definedName>
    <definedName name="lam" localSheetId="5" hidden="1">{"'Sheet1'!$L$16"}</definedName>
    <definedName name="lam" localSheetId="7" hidden="1">{"'Sheet1'!$L$16"}</definedName>
    <definedName name="lam" hidden="1">{"'Sheet1'!$L$16"}</definedName>
    <definedName name="lama">#REF!</definedName>
    <definedName name="lan" localSheetId="1" hidden="1">{#N/A,#N/A,TRUE,"BT M200 da 10x20"}</definedName>
    <definedName name="lan" localSheetId="3" hidden="1">{#N/A,#N/A,TRUE,"BT M200 da 10x20"}</definedName>
    <definedName name="lan" localSheetId="4" hidden="1">{#N/A,#N/A,TRUE,"BT M200 da 10x20"}</definedName>
    <definedName name="lan" localSheetId="5" hidden="1">{#N/A,#N/A,TRUE,"BT M200 da 10x20"}</definedName>
    <definedName name="lan" localSheetId="7" hidden="1">{#N/A,#N/A,TRUE,"BT M200 da 10x20"}</definedName>
    <definedName name="lan" hidden="1">{#N/A,#N/A,TRUE,"BT M200 da 10x20"}</definedName>
    <definedName name="LANTAI_P3">#REF!</definedName>
    <definedName name="langson" localSheetId="1" hidden="1">{"'Sheet1'!$L$16"}</definedName>
    <definedName name="langson" localSheetId="3" hidden="1">{"'Sheet1'!$L$16"}</definedName>
    <definedName name="langson" localSheetId="4" hidden="1">{"'Sheet1'!$L$16"}</definedName>
    <definedName name="langson" localSheetId="5" hidden="1">{"'Sheet1'!$L$16"}</definedName>
    <definedName name="langson" localSheetId="7" hidden="1">{"'Sheet1'!$L$16"}</definedName>
    <definedName name="langson" hidden="1">{"'Sheet1'!$L$16"}</definedName>
    <definedName name="lanhto">#REF!</definedName>
    <definedName name="lao_keo_dam_cau">#REF!</definedName>
    <definedName name="Lapmay">#REF!</definedName>
    <definedName name="latxay" hidden="1">{"'Sheet1'!$L$16"}</definedName>
    <definedName name="LB">14643</definedName>
    <definedName name="lbcnckt">#REF!</definedName>
    <definedName name="LBS_22">107800000</definedName>
    <definedName name="LCB">#REF!</definedName>
    <definedName name="LCT">#REF!</definedName>
    <definedName name="ldabtg">#REF!</definedName>
    <definedName name="ldax">#REF!</definedName>
    <definedName name="lday1">#REF!</definedName>
    <definedName name="lday2">#REF!</definedName>
    <definedName name="lday3">#REF!</definedName>
    <definedName name="lday4">#REF!</definedName>
    <definedName name="lday5">#REF!</definedName>
    <definedName name="le" localSheetId="1" hidden="1">{"'Sheet1'!$L$16"}</definedName>
    <definedName name="le" localSheetId="3" hidden="1">{"'Sheet1'!$L$16"}</definedName>
    <definedName name="le" localSheetId="4" hidden="1">{"'Sheet1'!$L$16"}</definedName>
    <definedName name="le" localSheetId="5" hidden="1">{"'Sheet1'!$L$16"}</definedName>
    <definedName name="le" localSheetId="7" hidden="1">{"'Sheet1'!$L$16"}</definedName>
    <definedName name="le" hidden="1">{"'Sheet1'!$L$16"}</definedName>
    <definedName name="leb">#REF!</definedName>
    <definedName name="leed_cuago">#REF!</definedName>
    <definedName name="leed_nk">#REF!</definedName>
    <definedName name="Leed_sango">#REF!</definedName>
    <definedName name="leed_xaytuong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hhh" localSheetId="1" hidden="1">{#N/A,#N/A,FALSE,"Chi tiÆt"}</definedName>
    <definedName name="lhhh" localSheetId="3" hidden="1">{#N/A,#N/A,FALSE,"Chi tiÆt"}</definedName>
    <definedName name="lhhh" localSheetId="4" hidden="1">{#N/A,#N/A,FALSE,"Chi tiÆt"}</definedName>
    <definedName name="lhhh" localSheetId="5" hidden="1">{#N/A,#N/A,FALSE,"Chi tiÆt"}</definedName>
    <definedName name="lhhh" localSheetId="7" hidden="1">{#N/A,#N/A,FALSE,"Chi tiÆt"}</definedName>
    <definedName name="lhhh" hidden="1">{#N/A,#N/A,FALSE,"Chi tiÆt"}</definedName>
    <definedName name="limcount">13</definedName>
    <definedName name="Line1">#REF!</definedName>
    <definedName name="Line2">#REF!</definedName>
    <definedName name="Line3">#REF!</definedName>
    <definedName name="linh" hidden="1">{"'Sheet1'!$L$16"}</definedName>
    <definedName name="linhT">{"'Sheet1'!$L$16"}</definedName>
    <definedName name="List">{"'Sheet1'!$L$16"}</definedName>
    <definedName name="List_cpn_short_Ds_Dept_List">#REF!</definedName>
    <definedName name="ljhghg">{"'Sheet1'!$L$16"}</definedName>
    <definedName name="LJHMN" hidden="1">{"'Sheet1'!$L$16"}</definedName>
    <definedName name="ljkl">{"'Sheet1'!$L$16"}</definedName>
    <definedName name="ljklk">{"'Sheet1'!$L$16"}</definedName>
    <definedName name="LJL" hidden="1">{#N/A,#N/A,FALSE,"Chi tiÆt"}</definedName>
    <definedName name="LK">{"'Sheet1'!$L$16"}</definedName>
    <definedName name="LK_hathe">#REF!</definedName>
    <definedName name="LKGDSAEF" hidden="1">{#N/A,#N/A,FALSE,"CCTV"}</definedName>
    <definedName name="lkklll">{"'Sheet1'!$L$16"}</definedName>
    <definedName name="lkl" hidden="1">{#N/A,#N/A,FALSE,"Chi tiÆt"}</definedName>
    <definedName name="lklhlkjl" hidden="1">{#N/A,#N/A,FALSE,"CCTV"}</definedName>
    <definedName name="lklkhh">{"'Sheet1'!$L$16"}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localSheetId="1" hidden="1">{#N/A,#N/A,FALSE,"特殊室（ＢＱ表）"}</definedName>
    <definedName name="lll" localSheetId="3" hidden="1">{#N/A,#N/A,FALSE,"特殊室（ＢＱ表）"}</definedName>
    <definedName name="lll" localSheetId="4" hidden="1">{#N/A,#N/A,FALSE,"特殊室（ＢＱ表）"}</definedName>
    <definedName name="lll" localSheetId="5" hidden="1">{#N/A,#N/A,FALSE,"特殊室（ＢＱ表）"}</definedName>
    <definedName name="lll" localSheetId="7" hidden="1">{#N/A,#N/A,FALSE,"特殊室（ＢＱ表）"}</definedName>
    <definedName name="lll" hidden="1">{#N/A,#N/A,FALSE,"特殊室（ＢＱ表）"}</definedName>
    <definedName name="lllj">{"'Sheet1'!$L$16"}</definedName>
    <definedName name="Lmk">#REF!</definedName>
    <definedName name="ln">#REF!</definedName>
    <definedName name="Lnsc">#REF!</definedName>
    <definedName name="Lo">#REF!</definedName>
    <definedName name="loai">#REF!</definedName>
    <definedName name="LoÁi_BQL">#REF!</definedName>
    <definedName name="LoÁi_CT">#REF!</definedName>
    <definedName name="LOAI_DUONG">#REF!</definedName>
    <definedName name="Loai_TD">#REF!</definedName>
    <definedName name="LoaiCtr">#REF!</definedName>
    <definedName name="LOBBY">#REF!</definedName>
    <definedName name="LOCO" localSheetId="1" hidden="1">{"'Sheet1'!$L$16"}</definedName>
    <definedName name="LOCO" hidden="1">{"'Sheet1'!$L$16"}</definedName>
    <definedName name="LOCO2" localSheetId="1" hidden="1">{"'Sheet1'!$L$16"}</definedName>
    <definedName name="LOCO2" hidden="1">{"'Sheet1'!$L$16"}</definedName>
    <definedName name="Long" localSheetId="1" hidden="1">{"'Sheet1'!$L$16"}</definedName>
    <definedName name="Long" localSheetId="3" hidden="1">{"'Sheet1'!$L$16"}</definedName>
    <definedName name="Long" localSheetId="4" hidden="1">{"'Sheet1'!$L$16"}</definedName>
    <definedName name="Long" localSheetId="5" hidden="1">{"'Sheet1'!$L$16"}</definedName>
    <definedName name="Long" localSheetId="7" hidden="1">{"'Sheet1'!$L$16"}</definedName>
    <definedName name="Long" hidden="1">{"'Sheet1'!$L$16"}</definedName>
    <definedName name="LONG1">{"'Sheet1'!$L$16"}</definedName>
    <definedName name="lop" hidden="1">{#N/A,#N/A,FALSE,"特殊室（ＢＱ表）"}</definedName>
    <definedName name="lop." hidden="1">{#N/A,#N/A,FALSE,"特殊室（ＢＱ表）"}</definedName>
    <definedName name="lp">#REF!</definedName>
    <definedName name="LPTDDT">#REF!</definedName>
    <definedName name="LPTDTK">#REF!</definedName>
    <definedName name="lt" hidden="1">#REF!</definedName>
    <definedName name="LTGT" localSheetId="1" hidden="1">{"'Sheet1'!$L$16"}</definedName>
    <definedName name="LTGT" localSheetId="3" hidden="1">{"'Sheet1'!$L$16"}</definedName>
    <definedName name="LTGT" localSheetId="4" hidden="1">{"'Sheet1'!$L$16"}</definedName>
    <definedName name="LTGT" localSheetId="5" hidden="1">{"'Sheet1'!$L$16"}</definedName>
    <definedName name="LTGT" localSheetId="7" hidden="1">{"'Sheet1'!$L$16"}</definedName>
    <definedName name="LTGT" hidden="1">{"'Sheet1'!$L$16"}</definedName>
    <definedName name="LTrai" localSheetId="1" hidden="1">#REF!</definedName>
    <definedName name="LTrai" hidden="1">#REF!</definedName>
    <definedName name="luan" localSheetId="1" hidden="1">{"'Sheet1'!$L$16"}</definedName>
    <definedName name="luan" localSheetId="3" hidden="1">{"'Sheet1'!$L$16"}</definedName>
    <definedName name="luan" localSheetId="4" hidden="1">{"'Sheet1'!$L$16"}</definedName>
    <definedName name="luan" localSheetId="5" hidden="1">{"'Sheet1'!$L$16"}</definedName>
    <definedName name="luan" localSheetId="7" hidden="1">{"'Sheet1'!$L$16"}</definedName>
    <definedName name="luan" hidden="1">{"'Sheet1'!$L$16"}</definedName>
    <definedName name="Luas_Bangunan">#REF!</definedName>
    <definedName name="luc">{"'Sheet1'!$L$16"}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oithep">#REF!</definedName>
    <definedName name="luong" localSheetId="1" hidden="1">{"'Sheet1'!$L$16"}</definedName>
    <definedName name="luong" localSheetId="3" hidden="1">{"'Sheet1'!$L$16"}</definedName>
    <definedName name="luong" localSheetId="4" hidden="1">{"'Sheet1'!$L$16"}</definedName>
    <definedName name="luong" localSheetId="5" hidden="1">{"'Sheet1'!$L$16"}</definedName>
    <definedName name="luong" localSheetId="7" hidden="1">{"'Sheet1'!$L$16"}</definedName>
    <definedName name="luong" hidden="1">{"'Sheet1'!$L$16"}</definedName>
    <definedName name="luyÕn">{"'Sheet1'!$L$16"}</definedName>
    <definedName name="lVC">#REF!</definedName>
    <definedName name="LVX">#REF!</definedName>
    <definedName name="M">56252/41852*0.95</definedName>
    <definedName name="M0.4">#REF!</definedName>
    <definedName name="M10." localSheetId="1" hidden="1">{"'Sheet1'!$L$16"}</definedName>
    <definedName name="M10." localSheetId="3" hidden="1">{"'Sheet1'!$L$16"}</definedName>
    <definedName name="M10." localSheetId="4" hidden="1">{"'Sheet1'!$L$16"}</definedName>
    <definedName name="M10." localSheetId="5" hidden="1">{"'Sheet1'!$L$16"}</definedName>
    <definedName name="M10." localSheetId="7" hidden="1">{"'Sheet1'!$L$16"}</definedName>
    <definedName name="M10." hidden="1">{"'Sheet1'!$L$16"}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1959.7/1622</definedName>
    <definedName name="Ma3pnc">#REF!</definedName>
    <definedName name="Ma3pvl">#REF!</definedName>
    <definedName name="Maa3pnc">#REF!</definedName>
    <definedName name="Maa3pvl">#REF!</definedName>
    <definedName name="mäc" hidden="1">{"'Sheet1'!$L$16"}</definedName>
    <definedName name="Macro2">#REF!</definedName>
    <definedName name="MACTANG_BD">#REF!</definedName>
    <definedName name="MACTANG_HT_BD">#REF!</definedName>
    <definedName name="MACTANG_HT_KT">#REF!</definedName>
    <definedName name="MACTANG_KT">#REF!</definedName>
    <definedName name="mahang_tondk">#REF!</definedName>
    <definedName name="mai">{"'Sheet1'!$L$16"}</definedName>
    <definedName name="Main">#REF!</definedName>
    <definedName name="MAJ_CON_EQP">#REF!</definedName>
    <definedName name="makh">#REF!</definedName>
    <definedName name="makh_id">#REF!</definedName>
    <definedName name="Mark_UpA">#REF!</definedName>
    <definedName name="Mark_UpB">#REF!</definedName>
    <definedName name="markup">#REF!</definedName>
    <definedName name="Markup_Pek">#REF!</definedName>
    <definedName name="Markup_Upah">#REF!</definedName>
    <definedName name="masaru">#REF!</definedName>
    <definedName name="Masonry" localSheetId="1" hidden="1">{#N/A,#N/A,FALSE,"Tabelle2";#N/A,#N/A,FALSE,"Tabelle1"}</definedName>
    <definedName name="Masonry" localSheetId="3" hidden="1">{#N/A,#N/A,FALSE,"Tabelle2";#N/A,#N/A,FALSE,"Tabelle1"}</definedName>
    <definedName name="Masonry" localSheetId="4" hidden="1">{#N/A,#N/A,FALSE,"Tabelle2";#N/A,#N/A,FALSE,"Tabelle1"}</definedName>
    <definedName name="Masonry" localSheetId="5" hidden="1">{#N/A,#N/A,FALSE,"Tabelle2";#N/A,#N/A,FALSE,"Tabelle1"}</definedName>
    <definedName name="Masonry" localSheetId="7" hidden="1">{#N/A,#N/A,FALSE,"Tabelle2";#N/A,#N/A,FALSE,"Tabelle1"}</definedName>
    <definedName name="Masonry" hidden="1">{#N/A,#N/A,FALSE,"Tabelle2";#N/A,#N/A,FALSE,"Tabelle1"}</definedName>
    <definedName name="MAT">#N/A</definedName>
    <definedName name="mat.spare">{"'ELEC'!$A$2:$H$216","'ELEC'!$C$2:$D$2"}</definedName>
    <definedName name="Mat_cau">#REF!</definedName>
    <definedName name="matbang">{"'Sheet1'!$L$16"}</definedName>
    <definedName name="matit">#N/A</definedName>
    <definedName name="matrix">#REF!</definedName>
    <definedName name="MAU" localSheetId="1" hidden="1">{"'Sheet1'!$L$16"}</definedName>
    <definedName name="MAU" localSheetId="3" hidden="1">{"'Sheet1'!$L$16"}</definedName>
    <definedName name="MAU" localSheetId="4" hidden="1">{"'Sheet1'!$L$16"}</definedName>
    <definedName name="MAU" localSheetId="5" hidden="1">{"'Sheet1'!$L$16"}</definedName>
    <definedName name="MAU" localSheetId="7" hidden="1">{"'Sheet1'!$L$16"}</definedName>
    <definedName name="MAU" hidden="1">{"'Sheet1'!$L$16"}</definedName>
    <definedName name="MAVANKHUON">#REF!</definedName>
    <definedName name="MaViet">#REF!</definedName>
    <definedName name="MAVLTHDN">#REF!</definedName>
    <definedName name="mayumi">#REF!</definedName>
    <definedName name="Mba1p">#REF!</definedName>
    <definedName name="Mba3p">#REF!</definedName>
    <definedName name="Mbb3p">#REF!</definedName>
    <definedName name="mbm" localSheetId="1" hidden="1">{"'Sheet1'!$L$16"}</definedName>
    <definedName name="mbm" localSheetId="3" hidden="1">{"'Sheet1'!$L$16"}</definedName>
    <definedName name="mbm" localSheetId="4" hidden="1">{"'Sheet1'!$L$16"}</definedName>
    <definedName name="mbm" localSheetId="5" hidden="1">{"'Sheet1'!$L$16"}</definedName>
    <definedName name="mbm" localSheetId="7" hidden="1">{"'Sheet1'!$L$16"}</definedName>
    <definedName name="mbm" hidden="1">{"'Sheet1'!$L$16"}</definedName>
    <definedName name="Mbn1p">#REF!</definedName>
    <definedName name="MC">#REF!</definedName>
    <definedName name="mccb" localSheetId="1" hidden="1">{#N/A,#N/A,FALSE,"CCTV"}</definedName>
    <definedName name="mccb" localSheetId="3" hidden="1">{#N/A,#N/A,FALSE,"CCTV"}</definedName>
    <definedName name="mccb" localSheetId="4" hidden="1">{#N/A,#N/A,FALSE,"CCTV"}</definedName>
    <definedName name="mccb" localSheetId="5" hidden="1">{#N/A,#N/A,FALSE,"CCTV"}</definedName>
    <definedName name="mccb" localSheetId="7" hidden="1">{#N/A,#N/A,FALSE,"CCTV"}</definedName>
    <definedName name="mccb" hidden="1">{#N/A,#N/A,FALSE,"CCTV"}</definedName>
    <definedName name="MCCO" localSheetId="1" hidden="1">{#N/A,#N/A,FALSE,"CCTV"}</definedName>
    <definedName name="MCCO" localSheetId="3" hidden="1">{#N/A,#N/A,FALSE,"CCTV"}</definedName>
    <definedName name="MCCO" localSheetId="4" hidden="1">{#N/A,#N/A,FALSE,"CCTV"}</definedName>
    <definedName name="MCCO" localSheetId="5" hidden="1">{#N/A,#N/A,FALSE,"CCTV"}</definedName>
    <definedName name="MCCO" localSheetId="7" hidden="1">{#N/A,#N/A,FALSE,"CCTV"}</definedName>
    <definedName name="MCCO" hidden="1">{#N/A,#N/A,FALSE,"CCTV"}</definedName>
    <definedName name="MCCO10" localSheetId="1" hidden="1">{#N/A,#N/A,FALSE,"CCTV"}</definedName>
    <definedName name="MCCO10" localSheetId="3" hidden="1">{#N/A,#N/A,FALSE,"CCTV"}</definedName>
    <definedName name="MCCO10" localSheetId="4" hidden="1">{#N/A,#N/A,FALSE,"CCTV"}</definedName>
    <definedName name="MCCO10" localSheetId="5" hidden="1">{#N/A,#N/A,FALSE,"CCTV"}</definedName>
    <definedName name="MCCO10" localSheetId="7" hidden="1">{#N/A,#N/A,FALSE,"CCTV"}</definedName>
    <definedName name="MCCO10" hidden="1">{#N/A,#N/A,FALSE,"CCTV"}</definedName>
    <definedName name="MCCO11" localSheetId="1" hidden="1">{#N/A,#N/A,FALSE,"CCTV"}</definedName>
    <definedName name="MCCO11" localSheetId="3" hidden="1">{#N/A,#N/A,FALSE,"CCTV"}</definedName>
    <definedName name="MCCO11" localSheetId="4" hidden="1">{#N/A,#N/A,FALSE,"CCTV"}</definedName>
    <definedName name="MCCO11" localSheetId="5" hidden="1">{#N/A,#N/A,FALSE,"CCTV"}</definedName>
    <definedName name="MCCO11" localSheetId="7" hidden="1">{#N/A,#N/A,FALSE,"CCTV"}</definedName>
    <definedName name="MCCO11" hidden="1">{#N/A,#N/A,FALSE,"CCTV"}</definedName>
    <definedName name="MCCO12" localSheetId="1" hidden="1">{#N/A,#N/A,FALSE,"CCTV"}</definedName>
    <definedName name="MCCO12" localSheetId="3" hidden="1">{#N/A,#N/A,FALSE,"CCTV"}</definedName>
    <definedName name="MCCO12" localSheetId="4" hidden="1">{#N/A,#N/A,FALSE,"CCTV"}</definedName>
    <definedName name="MCCO12" localSheetId="5" hidden="1">{#N/A,#N/A,FALSE,"CCTV"}</definedName>
    <definedName name="MCCO12" localSheetId="7" hidden="1">{#N/A,#N/A,FALSE,"CCTV"}</definedName>
    <definedName name="MCCO12" hidden="1">{#N/A,#N/A,FALSE,"CCTV"}</definedName>
    <definedName name="MCCO13" localSheetId="1" hidden="1">{#N/A,#N/A,FALSE,"CCTV"}</definedName>
    <definedName name="MCCO13" localSheetId="3" hidden="1">{#N/A,#N/A,FALSE,"CCTV"}</definedName>
    <definedName name="MCCO13" localSheetId="4" hidden="1">{#N/A,#N/A,FALSE,"CCTV"}</definedName>
    <definedName name="MCCO13" localSheetId="5" hidden="1">{#N/A,#N/A,FALSE,"CCTV"}</definedName>
    <definedName name="MCCO13" localSheetId="7" hidden="1">{#N/A,#N/A,FALSE,"CCTV"}</definedName>
    <definedName name="MCCO13" hidden="1">{#N/A,#N/A,FALSE,"CCTV"}</definedName>
    <definedName name="MCCO3" localSheetId="1" hidden="1">{#N/A,#N/A,FALSE,"CCTV"}</definedName>
    <definedName name="MCCO3" localSheetId="3" hidden="1">{#N/A,#N/A,FALSE,"CCTV"}</definedName>
    <definedName name="MCCO3" localSheetId="4" hidden="1">{#N/A,#N/A,FALSE,"CCTV"}</definedName>
    <definedName name="MCCO3" localSheetId="5" hidden="1">{#N/A,#N/A,FALSE,"CCTV"}</definedName>
    <definedName name="MCCO3" localSheetId="7" hidden="1">{#N/A,#N/A,FALSE,"CCTV"}</definedName>
    <definedName name="MCCO3" hidden="1">{#N/A,#N/A,FALSE,"CCTV"}</definedName>
    <definedName name="MCCO4" localSheetId="1" hidden="1">{#N/A,#N/A,FALSE,"CCTV"}</definedName>
    <definedName name="MCCO4" localSheetId="3" hidden="1">{#N/A,#N/A,FALSE,"CCTV"}</definedName>
    <definedName name="MCCO4" localSheetId="4" hidden="1">{#N/A,#N/A,FALSE,"CCTV"}</definedName>
    <definedName name="MCCO4" localSheetId="5" hidden="1">{#N/A,#N/A,FALSE,"CCTV"}</definedName>
    <definedName name="MCCO4" localSheetId="7" hidden="1">{#N/A,#N/A,FALSE,"CCTV"}</definedName>
    <definedName name="MCCO4" hidden="1">{#N/A,#N/A,FALSE,"CCTV"}</definedName>
    <definedName name="MCCO5" localSheetId="1" hidden="1">{#N/A,#N/A,FALSE,"CCTV"}</definedName>
    <definedName name="MCCO5" localSheetId="3" hidden="1">{#N/A,#N/A,FALSE,"CCTV"}</definedName>
    <definedName name="MCCO5" localSheetId="4" hidden="1">{#N/A,#N/A,FALSE,"CCTV"}</definedName>
    <definedName name="MCCO5" localSheetId="5" hidden="1">{#N/A,#N/A,FALSE,"CCTV"}</definedName>
    <definedName name="MCCO5" localSheetId="7" hidden="1">{#N/A,#N/A,FALSE,"CCTV"}</definedName>
    <definedName name="MCCO5" hidden="1">{#N/A,#N/A,FALSE,"CCTV"}</definedName>
    <definedName name="MCCO6" localSheetId="1" hidden="1">{#N/A,#N/A,FALSE,"CCTV"}</definedName>
    <definedName name="MCCO6" localSheetId="3" hidden="1">{#N/A,#N/A,FALSE,"CCTV"}</definedName>
    <definedName name="MCCO6" localSheetId="4" hidden="1">{#N/A,#N/A,FALSE,"CCTV"}</definedName>
    <definedName name="MCCO6" localSheetId="5" hidden="1">{#N/A,#N/A,FALSE,"CCTV"}</definedName>
    <definedName name="MCCO6" localSheetId="7" hidden="1">{#N/A,#N/A,FALSE,"CCTV"}</definedName>
    <definedName name="MCCO6" hidden="1">{#N/A,#N/A,FALSE,"CCTV"}</definedName>
    <definedName name="MCCO7" localSheetId="1" hidden="1">{#N/A,#N/A,FALSE,"CCTV"}</definedName>
    <definedName name="MCCO7" localSheetId="3" hidden="1">{#N/A,#N/A,FALSE,"CCTV"}</definedName>
    <definedName name="MCCO7" localSheetId="4" hidden="1">{#N/A,#N/A,FALSE,"CCTV"}</definedName>
    <definedName name="MCCO7" localSheetId="5" hidden="1">{#N/A,#N/A,FALSE,"CCTV"}</definedName>
    <definedName name="MCCO7" localSheetId="7" hidden="1">{#N/A,#N/A,FALSE,"CCTV"}</definedName>
    <definedName name="MCCO7" hidden="1">{#N/A,#N/A,FALSE,"CCTV"}</definedName>
    <definedName name="MCCO8" localSheetId="1" hidden="1">{#N/A,#N/A,FALSE,"CCTV"}</definedName>
    <definedName name="MCCO8" localSheetId="3" hidden="1">{#N/A,#N/A,FALSE,"CCTV"}</definedName>
    <definedName name="MCCO8" localSheetId="4" hidden="1">{#N/A,#N/A,FALSE,"CCTV"}</definedName>
    <definedName name="MCCO8" localSheetId="5" hidden="1">{#N/A,#N/A,FALSE,"CCTV"}</definedName>
    <definedName name="MCCO8" localSheetId="7" hidden="1">{#N/A,#N/A,FALSE,"CCTV"}</definedName>
    <definedName name="MCCO8" hidden="1">{#N/A,#N/A,FALSE,"CCTV"}</definedName>
    <definedName name="MCCO9" localSheetId="1" hidden="1">{#N/A,#N/A,FALSE,"CCTV"}</definedName>
    <definedName name="MCCO9" localSheetId="3" hidden="1">{#N/A,#N/A,FALSE,"CCTV"}</definedName>
    <definedName name="MCCO9" localSheetId="4" hidden="1">{#N/A,#N/A,FALSE,"CCTV"}</definedName>
    <definedName name="MCCO9" localSheetId="5" hidden="1">{#N/A,#N/A,FALSE,"CCTV"}</definedName>
    <definedName name="MCCO9" localSheetId="7" hidden="1">{#N/A,#N/A,FALSE,"CCTV"}</definedName>
    <definedName name="MCCO9" hidden="1">{#N/A,#N/A,FALSE,"CCTV"}</definedName>
    <definedName name="MCCOÙ" localSheetId="1" hidden="1">{#N/A,#N/A,FALSE,"CCTV"}</definedName>
    <definedName name="MCCOÙ" localSheetId="3" hidden="1">{#N/A,#N/A,FALSE,"CCTV"}</definedName>
    <definedName name="MCCOÙ" localSheetId="4" hidden="1">{#N/A,#N/A,FALSE,"CCTV"}</definedName>
    <definedName name="MCCOÙ" localSheetId="5" hidden="1">{#N/A,#N/A,FALSE,"CCTV"}</definedName>
    <definedName name="MCCOÙ" localSheetId="7" hidden="1">{#N/A,#N/A,FALSE,"CCTV"}</definedName>
    <definedName name="MCCOÙ" hidden="1">{#N/A,#N/A,FALSE,"CCTV"}</definedName>
    <definedName name="mck" hidden="1">{#N/A,#N/A,FALSE,"Chi tiÆt"}</definedName>
    <definedName name="me">#REF!</definedName>
    <definedName name="MEKANIKAL">#REF!</definedName>
    <definedName name="meranti">#REF!</definedName>
    <definedName name="MF">#N/A</definedName>
    <definedName name="MFGND" localSheetId="1" hidden="1">{"'Sheet1'!$L$16"}</definedName>
    <definedName name="MFGND" localSheetId="3" hidden="1">{"'Sheet1'!$L$16"}</definedName>
    <definedName name="MFGND" localSheetId="4" hidden="1">{"'Sheet1'!$L$16"}</definedName>
    <definedName name="MFGND" localSheetId="5" hidden="1">{"'Sheet1'!$L$16"}</definedName>
    <definedName name="MFGND" localSheetId="7" hidden="1">{"'Sheet1'!$L$16"}</definedName>
    <definedName name="MFGND" hidden="1">{"'Sheet1'!$L$16"}</definedName>
    <definedName name="MFHMFGNG" localSheetId="1" hidden="1">{"'Sheet1'!$L$16"}</definedName>
    <definedName name="MFHMFGNG" localSheetId="3" hidden="1">{"'Sheet1'!$L$16"}</definedName>
    <definedName name="MFHMFGNG" localSheetId="4" hidden="1">{"'Sheet1'!$L$16"}</definedName>
    <definedName name="MFHMFGNG" localSheetId="5" hidden="1">{"'Sheet1'!$L$16"}</definedName>
    <definedName name="MFHMFGNG" localSheetId="7" hidden="1">{"'Sheet1'!$L$16"}</definedName>
    <definedName name="MFHMFGNG" hidden="1">{"'Sheet1'!$L$16"}</definedName>
    <definedName name="MG_A">#REF!</definedName>
    <definedName name="MGB" hidden="1">{#N/A,#N/A,FALSE,"特殊室（ＢＱ表）"}</definedName>
    <definedName name="mh" localSheetId="1" hidden="1">{"'Sheet1'!$L$16"}</definedName>
    <definedName name="mh" localSheetId="3" hidden="1">{"'Sheet1'!$L$16"}</definedName>
    <definedName name="mh" localSheetId="4" hidden="1">{"'Sheet1'!$L$16"}</definedName>
    <definedName name="mh" localSheetId="5" hidden="1">{"'Sheet1'!$L$16"}</definedName>
    <definedName name="mh" localSheetId="7" hidden="1">{"'Sheet1'!$L$16"}</definedName>
    <definedName name="mh" hidden="1">{"'Sheet1'!$L$16"}</definedName>
    <definedName name="MHH">#REF!</definedName>
    <definedName name="minh" hidden="1">{"'Sheet1'!$L$16"}</definedName>
    <definedName name="miyu">{"'Sheet1'!$L$16"}</definedName>
    <definedName name="mjh" hidden="1">{"'Sheet1'!$L$16"}</definedName>
    <definedName name="mm" localSheetId="1">{"Book1","BoQ2.XLS"}</definedName>
    <definedName name="mm">{"Book1","BoQ2.XLS"}</definedName>
    <definedName name="ｍｍｍ">{"'Sheet1'!$L$16"}</definedName>
    <definedName name="ｍｍｍｍ">{"'Sheet1'!$L$16"}</definedName>
    <definedName name="MMMMM">#REF!</definedName>
    <definedName name="mmmmmmmm" hidden="1">{"'Sheet1'!$L$16"}</definedName>
    <definedName name="mn">#REF!</definedName>
    <definedName name="MNB" hidden="1">{#N/A,#N/A,FALSE,"特殊室（ＢＱ表）"}</definedName>
    <definedName name="mnjjhkj" localSheetId="1" hidden="1">{#N/A,#N/A,FALSE,"Chi tiÆt"}</definedName>
    <definedName name="mnjjhkj" localSheetId="3" hidden="1">{#N/A,#N/A,FALSE,"Chi tiÆt"}</definedName>
    <definedName name="mnjjhkj" localSheetId="4" hidden="1">{#N/A,#N/A,FALSE,"Chi tiÆt"}</definedName>
    <definedName name="mnjjhkj" localSheetId="5" hidden="1">{#N/A,#N/A,FALSE,"Chi tiÆt"}</definedName>
    <definedName name="mnjjhkj" localSheetId="7" hidden="1">{#N/A,#N/A,FALSE,"Chi tiÆt"}</definedName>
    <definedName name="mnjjhkj" hidden="1">{#N/A,#N/A,FALSE,"Chi tiÆt"}</definedName>
    <definedName name="MNV">#REF!</definedName>
    <definedName name="mo" localSheetId="1" hidden="1">{"'Sheet1'!$L$16"}</definedName>
    <definedName name="mo" localSheetId="3" hidden="1">{"'Sheet1'!$L$16"}</definedName>
    <definedName name="mo" localSheetId="4" hidden="1">{"'Sheet1'!$L$16"}</definedName>
    <definedName name="mo" localSheetId="5" hidden="1">{"'Sheet1'!$L$16"}</definedName>
    <definedName name="mo" localSheetId="7" hidden="1">{"'Sheet1'!$L$16"}</definedName>
    <definedName name="mo" hidden="1">{"'Sheet1'!$L$16"}</definedName>
    <definedName name="moc" hidden="1">{"'Sheet1'!$L$16"}</definedName>
    <definedName name="Møc_hao_phÝ">#REF!</definedName>
    <definedName name="Module1.cplhsmt">#REF!</definedName>
    <definedName name="Module1.cptdhsmt">#REF!</definedName>
    <definedName name="Module1.cptdtdt">#REF!</definedName>
    <definedName name="Module1.cptdtkkt">#REF!</definedName>
    <definedName name="Module1.gsktxd">#REF!</definedName>
    <definedName name="Module1.qlda">#REF!</definedName>
    <definedName name="Module1.tinhqt">#REF!</definedName>
    <definedName name="moi" localSheetId="1" hidden="1">{"'Sheet1'!$L$16"}</definedName>
    <definedName name="moi" localSheetId="3" hidden="1">{"'Sheet1'!$L$16"}</definedName>
    <definedName name="moi" localSheetId="4" hidden="1">{"'Sheet1'!$L$16"}</definedName>
    <definedName name="moi" localSheetId="5" hidden="1">{"'Sheet1'!$L$16"}</definedName>
    <definedName name="moi" localSheetId="7" hidden="1">{"'Sheet1'!$L$16"}</definedName>
    <definedName name="moi" hidden="1">{"'Sheet1'!$L$16"}</definedName>
    <definedName name="mong">#REF!</definedName>
    <definedName name="mongbang">#REF!</definedName>
    <definedName name="mongdon">#REF!</definedName>
    <definedName name="morita">#REF!</definedName>
    <definedName name="Morong">#REF!</definedName>
    <definedName name="Morong4054_85">#REF!</definedName>
    <definedName name="mould_oil">#REF!</definedName>
    <definedName name="Moùng">#REF!</definedName>
    <definedName name="ms">#REF!</definedName>
    <definedName name="MSCT">#REF!</definedName>
    <definedName name="MTC">#REF!</definedName>
    <definedName name="MTCMB">#REF!</definedName>
    <definedName name="MTMAC12">#REF!</definedName>
    <definedName name="MTXL">#REF!</definedName>
    <definedName name="MTYMYTMY" localSheetId="1" hidden="1">{"'Sheet1'!$L$16"}</definedName>
    <definedName name="MTYMYTMY" localSheetId="3" hidden="1">{"'Sheet1'!$L$16"}</definedName>
    <definedName name="MTYMYTMY" localSheetId="4" hidden="1">{"'Sheet1'!$L$16"}</definedName>
    <definedName name="MTYMYTMY" localSheetId="5" hidden="1">{"'Sheet1'!$L$16"}</definedName>
    <definedName name="MTYMYTMY" localSheetId="7" hidden="1">{"'Sheet1'!$L$16"}</definedName>
    <definedName name="MTYMYTMY" hidden="1">{"'Sheet1'!$L$16"}</definedName>
    <definedName name="mtram">#REF!</definedName>
    <definedName name="multiplek_12">#REF!</definedName>
    <definedName name="multiplek_15">#REF!</definedName>
    <definedName name="multiplek_18">#REF!</definedName>
    <definedName name="multiplek_9">#REF!</definedName>
    <definedName name="MV" localSheetId="1" hidden="1">{#N/A,#N/A,FALSE,"Sheet1";#N/A,#N/A,FALSE,"Sheet3";#N/A,#N/A,FALSE,"Sheet5"}</definedName>
    <definedName name="MV" localSheetId="3" hidden="1">{#N/A,#N/A,FALSE,"Sheet1";#N/A,#N/A,FALSE,"Sheet3";#N/A,#N/A,FALSE,"Sheet5"}</definedName>
    <definedName name="MV" localSheetId="4" hidden="1">{#N/A,#N/A,FALSE,"Sheet1";#N/A,#N/A,FALSE,"Sheet3";#N/A,#N/A,FALSE,"Sheet5"}</definedName>
    <definedName name="MV" localSheetId="5" hidden="1">{#N/A,#N/A,FALSE,"Sheet1";#N/A,#N/A,FALSE,"Sheet3";#N/A,#N/A,FALSE,"Sheet5"}</definedName>
    <definedName name="MV" localSheetId="7" hidden="1">{#N/A,#N/A,FALSE,"Sheet1";#N/A,#N/A,FALSE,"Sheet3";#N/A,#N/A,FALSE,"Sheet5"}</definedName>
    <definedName name="MV" hidden="1">{#N/A,#N/A,FALSE,"Sheet1";#N/A,#N/A,FALSE,"Sheet3";#N/A,#N/A,FALSE,"Sheet5"}</definedName>
    <definedName name="mvac" localSheetId="1" hidden="1">{"'Sheet1'!$L$16"}</definedName>
    <definedName name="mvac" localSheetId="3" hidden="1">{"'Sheet1'!$L$16"}</definedName>
    <definedName name="mvac" localSheetId="4" hidden="1">{"'Sheet1'!$L$16"}</definedName>
    <definedName name="mvac" localSheetId="5" hidden="1">{"'Sheet1'!$L$16"}</definedName>
    <definedName name="mvac" localSheetId="7" hidden="1">{"'Sheet1'!$L$16"}</definedName>
    <definedName name="mvac" hidden="1">{"'Sheet1'!$L$16"}</definedName>
    <definedName name="MVBNMVB" localSheetId="1" hidden="1">{"NGUYEN QUI THIEP - Personal View",#N/A,FALSE,"XDCB.HT.FUR."}</definedName>
    <definedName name="MVBNMVB" localSheetId="3" hidden="1">{"NGUYEN QUI THIEP - Personal View",#N/A,FALSE,"XDCB.HT.FUR."}</definedName>
    <definedName name="MVBNMVB" localSheetId="4" hidden="1">{"NGUYEN QUI THIEP - Personal View",#N/A,FALSE,"XDCB.HT.FUR."}</definedName>
    <definedName name="MVBNMVB" localSheetId="5" hidden="1">{"NGUYEN QUI THIEP - Personal View",#N/A,FALSE,"XDCB.HT.FUR."}</definedName>
    <definedName name="MVBNMVB" localSheetId="7" hidden="1">{"NGUYEN QUI THIEP - Personal View",#N/A,FALSE,"XDCB.HT.FUR."}</definedName>
    <definedName name="MVBNMVB" hidden="1">{"NGUYEN QUI THIEP - Personal View",#N/A,FALSE,"XDCB.HT.FUR."}</definedName>
    <definedName name="my">#REF!</definedName>
    <definedName name="myle">#REF!</definedName>
    <definedName name="n" localSheetId="1" hidden="1">#REF!</definedName>
    <definedName name="n" hidden="1">#REF!</definedName>
    <definedName name="n1pig">#REF!</definedName>
    <definedName name="N1pIGvc">#REF!</definedName>
    <definedName name="n1pind">#REF!</definedName>
    <definedName name="N1pINDvc">#REF!</definedName>
    <definedName name="n1pint">#REF!</definedName>
    <definedName name="n1ping">#REF!</definedName>
    <definedName name="N1pINGvc">#REF!</definedName>
    <definedName name="Na" localSheetId="1" hidden="1">{"'Sheet1'!$L$16"}</definedName>
    <definedName name="Na" localSheetId="3" hidden="1">{"'Sheet1'!$L$16"}</definedName>
    <definedName name="Na" localSheetId="4" hidden="1">{"'Sheet1'!$L$16"}</definedName>
    <definedName name="Na" localSheetId="5" hidden="1">{"'Sheet1'!$L$16"}</definedName>
    <definedName name="Na" localSheetId="7" hidden="1">{"'Sheet1'!$L$16"}</definedName>
    <definedName name="Na" hidden="1">{"'Sheet1'!$L$16"}</definedName>
    <definedName name="nam" localSheetId="1" hidden="1">{"'Sheet1'!$L$16"}</definedName>
    <definedName name="nam" localSheetId="3" hidden="1">{"'Sheet1'!$L$16"}</definedName>
    <definedName name="nam" localSheetId="4" hidden="1">{"'Sheet1'!$L$16"}</definedName>
    <definedName name="nam" localSheetId="5" hidden="1">{"'Sheet1'!$L$16"}</definedName>
    <definedName name="nam" localSheetId="7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3" hidden="1">#REF!</definedName>
    <definedName name="NB" localSheetId="1" hidden="1">#REF!</definedName>
    <definedName name="NB" hidden="1">#REF!</definedName>
    <definedName name="nbc" localSheetId="1" hidden="1">{"'Sheet1'!$L$16"}</definedName>
    <definedName name="nbc" localSheetId="3" hidden="1">{"'Sheet1'!$L$16"}</definedName>
    <definedName name="nbc" localSheetId="4" hidden="1">{"'Sheet1'!$L$16"}</definedName>
    <definedName name="nbc" localSheetId="5" hidden="1">{"'Sheet1'!$L$16"}</definedName>
    <definedName name="nbc" localSheetId="7" hidden="1">{"'Sheet1'!$L$16"}</definedName>
    <definedName name="nbc" hidden="1">{"'Sheet1'!$L$16"}</definedName>
    <definedName name="nbfđ" localSheetId="1" hidden="1">{"'Sheet1'!$L$16"}</definedName>
    <definedName name="nbfđ" localSheetId="3" hidden="1">{"'Sheet1'!$L$16"}</definedName>
    <definedName name="nbfđ" localSheetId="4" hidden="1">{"'Sheet1'!$L$16"}</definedName>
    <definedName name="nbfđ" localSheetId="5" hidden="1">{"'Sheet1'!$L$16"}</definedName>
    <definedName name="nbfđ" localSheetId="7" hidden="1">{"'Sheet1'!$L$16"}</definedName>
    <definedName name="nbfđ" hidden="1">{"'Sheet1'!$L$16"}</definedName>
    <definedName name="NC">#REF!</definedName>
    <definedName name="NC_1">#REF!</definedName>
    <definedName name="nc1p">#REF!</definedName>
    <definedName name="nc3p">#REF!</definedName>
    <definedName name="nc4.6I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FP">#REF!</definedName>
    <definedName name="NCKT">#REF!</definedName>
    <definedName name="NCT">#REF!</definedName>
    <definedName name="nctram">#REF!</definedName>
    <definedName name="NCVBXVCB" localSheetId="1" hidden="1">{"'Sheet1'!$L$16"}</definedName>
    <definedName name="NCVBXVCB" localSheetId="3" hidden="1">{"'Sheet1'!$L$16"}</definedName>
    <definedName name="NCVBXVCB" localSheetId="4" hidden="1">{"'Sheet1'!$L$16"}</definedName>
    <definedName name="NCVBXVCB" localSheetId="5" hidden="1">{"'Sheet1'!$L$16"}</definedName>
    <definedName name="NCVBXVCB" localSheetId="7" hidden="1">{"'Sheet1'!$L$16"}</definedName>
    <definedName name="NCVBXVCB" hidden="1">{"'Sheet1'!$L$16"}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t">#REF!</definedName>
    <definedName name="ncxlktnl">#REF!</definedName>
    <definedName name="ncxlkh">#REF!</definedName>
    <definedName name="ncxlpxsx">#REF!</definedName>
    <definedName name="ncxltc">#REF!</definedName>
    <definedName name="nd">#N/A</definedName>
    <definedName name="ND.CPTKXD">#REF!</definedName>
    <definedName name="NDFNDF" localSheetId="1" hidden="1">{"'Sheet1'!$L$16"}</definedName>
    <definedName name="NDFNDF" localSheetId="3" hidden="1">{"'Sheet1'!$L$16"}</definedName>
    <definedName name="NDFNDF" localSheetId="4" hidden="1">{"'Sheet1'!$L$16"}</definedName>
    <definedName name="NDFNDF" localSheetId="5" hidden="1">{"'Sheet1'!$L$16"}</definedName>
    <definedName name="NDFNDF" localSheetId="7" hidden="1">{"'Sheet1'!$L$16"}</definedName>
    <definedName name="NDFNDF" hidden="1">{"'Sheet1'!$L$16"}</definedName>
    <definedName name="NDFNDFB" localSheetId="1" hidden="1">{"'Sheet1'!$L$16"}</definedName>
    <definedName name="NDFNDFB" localSheetId="3" hidden="1">{"'Sheet1'!$L$16"}</definedName>
    <definedName name="NDFNDFB" localSheetId="4" hidden="1">{"'Sheet1'!$L$16"}</definedName>
    <definedName name="NDFNDFB" localSheetId="5" hidden="1">{"'Sheet1'!$L$16"}</definedName>
    <definedName name="NDFNDFB" localSheetId="7" hidden="1">{"'Sheet1'!$L$16"}</definedName>
    <definedName name="NDFNDFB" hidden="1">{"'Sheet1'!$L$16"}</definedName>
    <definedName name="NDFNDN" localSheetId="1" hidden="1">{"'Sheet1'!$L$16"}</definedName>
    <definedName name="NDFNDN" localSheetId="3" hidden="1">{"'Sheet1'!$L$16"}</definedName>
    <definedName name="NDFNDN" localSheetId="4" hidden="1">{"'Sheet1'!$L$16"}</definedName>
    <definedName name="NDFNDN" localSheetId="5" hidden="1">{"'Sheet1'!$L$16"}</definedName>
    <definedName name="NDFNDN" localSheetId="7" hidden="1">{"'Sheet1'!$L$16"}</definedName>
    <definedName name="NDFNDN" hidden="1">{"'Sheet1'!$L$16"}</definedName>
    <definedName name="NDFNSF" localSheetId="1" hidden="1">{"'Sheet1'!$L$16"}</definedName>
    <definedName name="NDFNSF" localSheetId="3" hidden="1">{"'Sheet1'!$L$16"}</definedName>
    <definedName name="NDFNSF" localSheetId="4" hidden="1">{"'Sheet1'!$L$16"}</definedName>
    <definedName name="NDFNSF" localSheetId="5" hidden="1">{"'Sheet1'!$L$16"}</definedName>
    <definedName name="NDFNSF" localSheetId="7" hidden="1">{"'Sheet1'!$L$16"}</definedName>
    <definedName name="NDFNSF" hidden="1">{"'Sheet1'!$L$16"}</definedName>
    <definedName name="NDGFD" localSheetId="1" hidden="1">{"'Sheet1'!$L$16"}</definedName>
    <definedName name="NDGFD" localSheetId="3" hidden="1">{"'Sheet1'!$L$16"}</definedName>
    <definedName name="NDGFD" localSheetId="4" hidden="1">{"'Sheet1'!$L$16"}</definedName>
    <definedName name="NDGFD" localSheetId="5" hidden="1">{"'Sheet1'!$L$16"}</definedName>
    <definedName name="NDGFD" localSheetId="7" hidden="1">{"'Sheet1'!$L$16"}</definedName>
    <definedName name="NDGFD" hidden="1">{"'Sheet1'!$L$16"}</definedName>
    <definedName name="NDGNFGNG" localSheetId="1" hidden="1">{"'Sheet1'!$L$16"}</definedName>
    <definedName name="NDGNFGNG" localSheetId="3" hidden="1">{"'Sheet1'!$L$16"}</definedName>
    <definedName name="NDGNFGNG" localSheetId="4" hidden="1">{"'Sheet1'!$L$16"}</definedName>
    <definedName name="NDGNFGNG" localSheetId="5" hidden="1">{"'Sheet1'!$L$16"}</definedName>
    <definedName name="NDGNFGNG" localSheetId="7" hidden="1">{"'Sheet1'!$L$16"}</definedName>
    <definedName name="NDGNFGNG" hidden="1">{"'Sheet1'!$L$16"}</definedName>
    <definedName name="NDNSBS" localSheetId="1" hidden="1">{"'Sheet1'!$L$16"}</definedName>
    <definedName name="NDNSBS" localSheetId="3" hidden="1">{"'Sheet1'!$L$16"}</definedName>
    <definedName name="NDNSBS" localSheetId="4" hidden="1">{"'Sheet1'!$L$16"}</definedName>
    <definedName name="NDNSBS" localSheetId="5" hidden="1">{"'Sheet1'!$L$16"}</definedName>
    <definedName name="NDNSBS" localSheetId="7" hidden="1">{"'Sheet1'!$L$16"}</definedName>
    <definedName name="NDNSBS" hidden="1">{"'Sheet1'!$L$16"}</definedName>
    <definedName name="Ne" localSheetId="1" hidden="1">{"'Sheet1'!$L$16"}</definedName>
    <definedName name="Ne" localSheetId="3" hidden="1">{"'Sheet1'!$L$16"}</definedName>
    <definedName name="Ne" localSheetId="4" hidden="1">{"'Sheet1'!$L$16"}</definedName>
    <definedName name="Ne" localSheetId="5" hidden="1">{"'Sheet1'!$L$16"}</definedName>
    <definedName name="Ne" localSheetId="7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" localSheetId="1" hidden="1">{"'Sheet1'!$L$16"}</definedName>
    <definedName name="new" localSheetId="3" hidden="1">{"'Sheet1'!$L$16"}</definedName>
    <definedName name="new" localSheetId="4" hidden="1">{"'Sheet1'!$L$16"}</definedName>
    <definedName name="new" localSheetId="5" hidden="1">{"'Sheet1'!$L$16"}</definedName>
    <definedName name="new" localSheetId="7" hidden="1">{"'Sheet1'!$L$16"}</definedName>
    <definedName name="new" hidden="1">{"'Sheet1'!$L$16"}</definedName>
    <definedName name="NEWNAME" localSheetId="1" hidden="1">{#N/A,#N/A,FALSE,"CCTV"}</definedName>
    <definedName name="NEWNAME" localSheetId="3" hidden="1">{#N/A,#N/A,FALSE,"CCTV"}</definedName>
    <definedName name="NEWNAME" localSheetId="4" hidden="1">{#N/A,#N/A,FALSE,"CCTV"}</definedName>
    <definedName name="NEWNAME" localSheetId="5" hidden="1">{#N/A,#N/A,FALSE,"CCTV"}</definedName>
    <definedName name="NEWNAME" localSheetId="7" hidden="1">{#N/A,#N/A,FALSE,"CCTV"}</definedName>
    <definedName name="NEWNAME" hidden="1">{#N/A,#N/A,FALSE,"CCTV"}</definedName>
    <definedName name="NFDBDB" localSheetId="1" hidden="1">{"'Sheet1'!$L$16"}</definedName>
    <definedName name="NFDBDB" localSheetId="3" hidden="1">{"'Sheet1'!$L$16"}</definedName>
    <definedName name="NFDBDB" localSheetId="4" hidden="1">{"'Sheet1'!$L$16"}</definedName>
    <definedName name="NFDBDB" localSheetId="5" hidden="1">{"'Sheet1'!$L$16"}</definedName>
    <definedName name="NFDBDB" localSheetId="7" hidden="1">{"'Sheet1'!$L$16"}</definedName>
    <definedName name="NFDBDB" hidden="1">{"'Sheet1'!$L$16"}</definedName>
    <definedName name="NFDNDF" localSheetId="1" hidden="1">{"'Sheet1'!$L$16"}</definedName>
    <definedName name="NFDNDF" localSheetId="3" hidden="1">{"'Sheet1'!$L$16"}</definedName>
    <definedName name="NFDNDF" localSheetId="4" hidden="1">{"'Sheet1'!$L$16"}</definedName>
    <definedName name="NFDNDF" localSheetId="5" hidden="1">{"'Sheet1'!$L$16"}</definedName>
    <definedName name="NFDNDF" localSheetId="7" hidden="1">{"'Sheet1'!$L$16"}</definedName>
    <definedName name="NFDNDF" hidden="1">{"'Sheet1'!$L$16"}</definedName>
    <definedName name="NFGJH" localSheetId="1" hidden="1">{"'Sheet1'!$L$16"}</definedName>
    <definedName name="NFGJH" localSheetId="3" hidden="1">{"'Sheet1'!$L$16"}</definedName>
    <definedName name="NFGJH" localSheetId="4" hidden="1">{"'Sheet1'!$L$16"}</definedName>
    <definedName name="NFGJH" localSheetId="5" hidden="1">{"'Sheet1'!$L$16"}</definedName>
    <definedName name="NFGJH" localSheetId="7" hidden="1">{"'Sheet1'!$L$16"}</definedName>
    <definedName name="NFGJH" hidden="1">{"'Sheet1'!$L$16"}</definedName>
    <definedName name="NFGMGF" localSheetId="1" hidden="1">{"'Sheet1'!$L$16"}</definedName>
    <definedName name="NFGMGF" localSheetId="3" hidden="1">{"'Sheet1'!$L$16"}</definedName>
    <definedName name="NFGMGF" localSheetId="4" hidden="1">{"'Sheet1'!$L$16"}</definedName>
    <definedName name="NFGMGF" localSheetId="5" hidden="1">{"'Sheet1'!$L$16"}</definedName>
    <definedName name="NFGMGF" localSheetId="7" hidden="1">{"'Sheet1'!$L$16"}</definedName>
    <definedName name="NFGMGF" hidden="1">{"'Sheet1'!$L$16"}</definedName>
    <definedName name="NFGNDBDF" localSheetId="1" hidden="1">{"'Sheet1'!$L$16"}</definedName>
    <definedName name="NFGNDBDF" localSheetId="3" hidden="1">{"'Sheet1'!$L$16"}</definedName>
    <definedName name="NFGNDBDF" localSheetId="4" hidden="1">{"'Sheet1'!$L$16"}</definedName>
    <definedName name="NFGNDBDF" localSheetId="5" hidden="1">{"'Sheet1'!$L$16"}</definedName>
    <definedName name="NFGNDBDF" localSheetId="7" hidden="1">{"'Sheet1'!$L$16"}</definedName>
    <definedName name="NFGNDBDF" hidden="1">{"'Sheet1'!$L$16"}</definedName>
    <definedName name="NFHJYFF" localSheetId="1" hidden="1">{"'Sheet1'!$L$16"}</definedName>
    <definedName name="NFHJYFF" localSheetId="3" hidden="1">{"'Sheet1'!$L$16"}</definedName>
    <definedName name="NFHJYFF" localSheetId="4" hidden="1">{"'Sheet1'!$L$16"}</definedName>
    <definedName name="NFHJYFF" localSheetId="5" hidden="1">{"'Sheet1'!$L$16"}</definedName>
    <definedName name="NFHJYFF" localSheetId="7" hidden="1">{"'Sheet1'!$L$16"}</definedName>
    <definedName name="NFHJYFF" hidden="1">{"'Sheet1'!$L$16"}</definedName>
    <definedName name="NFNGFH" localSheetId="1" hidden="1">{"'Sheet1'!$L$16"}</definedName>
    <definedName name="NFNGFH" localSheetId="3" hidden="1">{"'Sheet1'!$L$16"}</definedName>
    <definedName name="NFNGFH" localSheetId="4" hidden="1">{"'Sheet1'!$L$16"}</definedName>
    <definedName name="NFNGFH" localSheetId="5" hidden="1">{"'Sheet1'!$L$16"}</definedName>
    <definedName name="NFNGFH" localSheetId="7" hidden="1">{"'Sheet1'!$L$16"}</definedName>
    <definedName name="NFNGFH" hidden="1">{"'Sheet1'!$L$16"}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ing1p">#REF!</definedName>
    <definedName name="ningnc1p">#REF!</definedName>
    <definedName name="ningvl1p">#REF!</definedName>
    <definedName name="ninh" hidden="1">{"'Sheet1'!$L$16"}</definedName>
    <definedName name="nkknk" hidden="1">{#N/A,#N/A,FALSE,"CCTV"}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#N/A</definedName>
    <definedName name="nn1p">#REF!</definedName>
    <definedName name="nn3p">#REF!</definedName>
    <definedName name="NNL">{"'boi duong nang nhoc'!$A$1"}</definedName>
    <definedName name="nnn" localSheetId="1" hidden="1">{"'Sheet1'!$L$16"}</definedName>
    <definedName name="nnn" localSheetId="3" hidden="1">{"'Sheet1'!$L$16"}</definedName>
    <definedName name="nnn" localSheetId="4" hidden="1">{"'Sheet1'!$L$16"}</definedName>
    <definedName name="nnn" localSheetId="5" hidden="1">{"'Sheet1'!$L$16"}</definedName>
    <definedName name="nnn" localSheetId="7" hidden="1">{"'Sheet1'!$L$16"}</definedName>
    <definedName name="nnn" hidden="1">{"'Sheet1'!$L$16"}</definedName>
    <definedName name="nnnc3p">#REF!</definedName>
    <definedName name="nnnnn">{"'Sheet1'!$L$16"}</definedName>
    <definedName name="nnvl3p">#REF!</definedName>
    <definedName name="No">#REF!</definedName>
    <definedName name="No.10">{"'Sheet1'!$L$16"}</definedName>
    <definedName name="No.9">{"'Sheet1'!$L$16"}</definedName>
    <definedName name="Np">#REF!</definedName>
    <definedName name="NRBFD" localSheetId="1" hidden="1">{"'Sheet1'!$L$16"}</definedName>
    <definedName name="NRBFD" localSheetId="3" hidden="1">{"'Sheet1'!$L$16"}</definedName>
    <definedName name="NRBFD" localSheetId="4" hidden="1">{"'Sheet1'!$L$16"}</definedName>
    <definedName name="NRBFD" localSheetId="5" hidden="1">{"'Sheet1'!$L$16"}</definedName>
    <definedName name="NRBFD" localSheetId="7" hidden="1">{"'Sheet1'!$L$16"}</definedName>
    <definedName name="NRBFD" hidden="1">{"'Sheet1'!$L$16"}</definedName>
    <definedName name="NRMTYM" localSheetId="1" hidden="1">{"NGUYEN QUI THIEP - Personal View",#N/A,FALSE,"XDCB.HT.FUR."}</definedName>
    <definedName name="NRMTYM" localSheetId="3" hidden="1">{"NGUYEN QUI THIEP - Personal View",#N/A,FALSE,"XDCB.HT.FUR."}</definedName>
    <definedName name="NRMTYM" localSheetId="4" hidden="1">{"NGUYEN QUI THIEP - Personal View",#N/A,FALSE,"XDCB.HT.FUR."}</definedName>
    <definedName name="NRMTYM" localSheetId="5" hidden="1">{"NGUYEN QUI THIEP - Personal View",#N/A,FALSE,"XDCB.HT.FUR."}</definedName>
    <definedName name="NRMTYM" localSheetId="7" hidden="1">{"NGUYEN QUI THIEP - Personal View",#N/A,FALSE,"XDCB.HT.FUR."}</definedName>
    <definedName name="NRMTYM" hidden="1">{"NGUYEN QUI THIEP - Personal View",#N/A,FALSE,"XDCB.HT.FUR."}</definedName>
    <definedName name="NRNRD" localSheetId="1" hidden="1">{"'Sheet1'!$L$16"}</definedName>
    <definedName name="NRNRD" localSheetId="3" hidden="1">{"'Sheet1'!$L$16"}</definedName>
    <definedName name="NRNRD" localSheetId="4" hidden="1">{"'Sheet1'!$L$16"}</definedName>
    <definedName name="NRNRD" localSheetId="5" hidden="1">{"'Sheet1'!$L$16"}</definedName>
    <definedName name="NRNRD" localSheetId="7" hidden="1">{"'Sheet1'!$L$16"}</definedName>
    <definedName name="NRNRD" hidden="1">{"'Sheet1'!$L$16"}</definedName>
    <definedName name="NS.BCKTKT">#REF!</definedName>
    <definedName name="NS.GSTB">#REF!</definedName>
    <definedName name="NS.GSXD">#REF!</definedName>
    <definedName name="NS.HSThauTB">#REF!</definedName>
    <definedName name="NS.HSThauXD">#REF!</definedName>
    <definedName name="NS.KiemToan">#REF!</definedName>
    <definedName name="NS.LapDA">#REF!</definedName>
    <definedName name="NS.QLDA">#REF!</definedName>
    <definedName name="NS.QToan">#REF!</definedName>
    <definedName name="NS.Tk_Xd_Tb">#REF!</definedName>
    <definedName name="NS.TkTheoTB">#REF!</definedName>
    <definedName name="NS.TT_DT">#REF!</definedName>
    <definedName name="NS.TT_TK">#REF!</definedName>
    <definedName name="nsbt">90*10*20*0.7</definedName>
    <definedName name="NT">#REF!</definedName>
    <definedName name="NToS">#REF!</definedName>
    <definedName name="ntwrt" hidden="1">#REF!</definedName>
    <definedName name="NTH">#REF!</definedName>
    <definedName name="nuoc">#REF!</definedName>
    <definedName name="NUOCHKHOAN" localSheetId="1" hidden="1">{"'Sheet1'!$L$16"}</definedName>
    <definedName name="NUOCHKHOAN" localSheetId="3" hidden="1">{"'Sheet1'!$L$16"}</definedName>
    <definedName name="NUOCHKHOAN" localSheetId="4" hidden="1">{"'Sheet1'!$L$16"}</definedName>
    <definedName name="NUOCHKHOAN" localSheetId="5" hidden="1">{"'Sheet1'!$L$16"}</definedName>
    <definedName name="NUOCHKHOAN" localSheetId="7" hidden="1">{"'Sheet1'!$L$16"}</definedName>
    <definedName name="NUOCHKHOAN" hidden="1">{"'Sheet1'!$L$16"}</definedName>
    <definedName name="NUOCHKHOANMOI" localSheetId="1" hidden="1">{"'Sheet1'!$L$16"}</definedName>
    <definedName name="NUOCHKHOANMOI" localSheetId="3" hidden="1">{"'Sheet1'!$L$16"}</definedName>
    <definedName name="NUOCHKHOANMOI" localSheetId="4" hidden="1">{"'Sheet1'!$L$16"}</definedName>
    <definedName name="NUOCHKHOANMOI" localSheetId="5" hidden="1">{"'Sheet1'!$L$16"}</definedName>
    <definedName name="NUOCHKHOANMOI" localSheetId="7" hidden="1">{"'Sheet1'!$L$16"}</definedName>
    <definedName name="NUOCHKHOANMOI" hidden="1">{"'Sheet1'!$L$16"}</definedName>
    <definedName name="NVBM">#REF!</definedName>
    <definedName name="NVBNBNV" localSheetId="1" hidden="1">{#N/A,#N/A,FALSE,"Chi tiÆt"}</definedName>
    <definedName name="NVBNBNV" localSheetId="3" hidden="1">{#N/A,#N/A,FALSE,"Chi tiÆt"}</definedName>
    <definedName name="NVBNBNV" localSheetId="4" hidden="1">{#N/A,#N/A,FALSE,"Chi tiÆt"}</definedName>
    <definedName name="NVBNBNV" localSheetId="5" hidden="1">{#N/A,#N/A,FALSE,"Chi tiÆt"}</definedName>
    <definedName name="NVBNBNV" localSheetId="7" hidden="1">{#N/A,#N/A,FALSE,"Chi tiÆt"}</definedName>
    <definedName name="NVBNBNV" hidden="1">{#N/A,#N/A,FALSE,"Chi tiÆt"}</definedName>
    <definedName name="NVCB" localSheetId="1" hidden="1">{"'Sheet1'!$L$16"}</definedName>
    <definedName name="NVCB" localSheetId="3" hidden="1">{"'Sheet1'!$L$16"}</definedName>
    <definedName name="NVCB" localSheetId="4" hidden="1">{"'Sheet1'!$L$16"}</definedName>
    <definedName name="NVCB" localSheetId="5" hidden="1">{"'Sheet1'!$L$16"}</definedName>
    <definedName name="NVCB" localSheetId="7" hidden="1">{"'Sheet1'!$L$16"}</definedName>
    <definedName name="NVCB" hidden="1">{"'Sheet1'!$L$16"}</definedName>
    <definedName name="NVH">#REF!</definedName>
    <definedName name="nya1.5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ng" localSheetId="1" hidden="1">{"'Sheet1'!$L$16"}</definedName>
    <definedName name="ng" hidden="1">{"'Sheet1'!$L$16"}</definedName>
    <definedName name="ngfmg" localSheetId="1" hidden="1">{#N/A,#N/A,FALSE,"Chi tiÆt"}</definedName>
    <definedName name="ngfmg" localSheetId="3" hidden="1">{#N/A,#N/A,FALSE,"Chi tiÆt"}</definedName>
    <definedName name="ngfmg" localSheetId="4" hidden="1">{#N/A,#N/A,FALSE,"Chi tiÆt"}</definedName>
    <definedName name="ngfmg" localSheetId="5" hidden="1">{#N/A,#N/A,FALSE,"Chi tiÆt"}</definedName>
    <definedName name="ngfmg" localSheetId="7" hidden="1">{#N/A,#N/A,FALSE,"Chi tiÆt"}</definedName>
    <definedName name="ngfmg" hidden="1">{#N/A,#N/A,FALSE,"Chi tiÆt"}</definedName>
    <definedName name="NGFN" localSheetId="1" hidden="1">{"'Sheet1'!$L$16"}</definedName>
    <definedName name="NGFN" localSheetId="3" hidden="1">{"'Sheet1'!$L$16"}</definedName>
    <definedName name="NGFN" localSheetId="4" hidden="1">{"'Sheet1'!$L$16"}</definedName>
    <definedName name="NGFN" localSheetId="5" hidden="1">{"'Sheet1'!$L$16"}</definedName>
    <definedName name="NGFN" localSheetId="7" hidden="1">{"'Sheet1'!$L$16"}</definedName>
    <definedName name="NGFN" hidden="1">{"'Sheet1'!$L$16"}</definedName>
    <definedName name="nghgh">{"'Sheet1'!$L$16"}</definedName>
    <definedName name="ngljlj">{"'Sheet1'!$L$16"}</definedName>
    <definedName name="ngu" localSheetId="1" hidden="1">{"'Sheet1'!$L$16"}</definedName>
    <definedName name="ngu" localSheetId="3" hidden="1">{"'Sheet1'!$L$16"}</definedName>
    <definedName name="ngu" localSheetId="4" hidden="1">{"'Sheet1'!$L$16"}</definedName>
    <definedName name="ngu" localSheetId="5" hidden="1">{"'Sheet1'!$L$16"}</definedName>
    <definedName name="ngu" localSheetId="7" hidden="1">{"'Sheet1'!$L$16"}</definedName>
    <definedName name="ngu" hidden="1">{"'Sheet1'!$L$16"}</definedName>
    <definedName name="NguyenDiep">{"'Sheet1'!$L$16"}</definedName>
    <definedName name="nguyfgnjghjkg" hidden="1">{"'Sheet1'!$L$16"}</definedName>
    <definedName name="ngyïub" hidden="1">{"'Sheet1'!$L$16"}</definedName>
    <definedName name="nh" localSheetId="1" hidden="1">#REF!</definedName>
    <definedName name="nh" hidden="1">#REF!</definedName>
    <definedName name="Nh_n_cáng">#REF!</definedName>
    <definedName name="NHA_CHONG_TANG">#REF!</definedName>
    <definedName name="NHAAN_COANG1" localSheetId="1">BTRAM</definedName>
    <definedName name="NHAAN_COANG1">BTRAM</definedName>
    <definedName name="NHAÂN_COÂNG" localSheetId="1">BTRAM</definedName>
    <definedName name="NHAÂN_COÂNG">BTRAM</definedName>
    <definedName name="nham" localSheetId="1" hidden="1">{0,#VALUE!,0,0;0,#VALUE!,0,#VALUE!;0,0,0,0;#NULL!,0,0,0;0,0,TRUE,0;0,#N/A,FALSE,0;0,#N/A,FALSE,0}</definedName>
    <definedName name="nham" localSheetId="3" hidden="1">{0,#VALUE!,0,0;0,#VALUE!,0,#VALUE!;0,0,0,0;#NULL!,0,0,0;0,0,TRUE,0;0,#N/A,FALSE,0;0,#N/A,FALSE,0}</definedName>
    <definedName name="nham" localSheetId="4" hidden="1">{0,#VALUE!,0,0;0,#VALUE!,0,#VALUE!;0,0,0,0;#NULL!,0,0,0;0,0,TRUE,0;0,#N/A,FALSE,0;0,#N/A,FALSE,0}</definedName>
    <definedName name="nham" localSheetId="5" hidden="1">{0,#VALUE!,0,0;0,#VALUE!,0,#VALUE!;0,0,0,0;#NULL!,0,0,0;0,0,TRUE,0;0,#N/A,FALSE,0;0,#N/A,FALSE,0}</definedName>
    <definedName name="nham" localSheetId="7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an">#REF!</definedName>
    <definedName name="nhanuoc" localSheetId="1" hidden="1">{"'Sheet1'!$L$16"}</definedName>
    <definedName name="nhanuoc" localSheetId="3" hidden="1">{"'Sheet1'!$L$16"}</definedName>
    <definedName name="nhanuoc" localSheetId="4" hidden="1">{"'Sheet1'!$L$16"}</definedName>
    <definedName name="nhanuoc" localSheetId="5" hidden="1">{"'Sheet1'!$L$16"}</definedName>
    <definedName name="nhanuoc" localSheetId="7" hidden="1">{"'Sheet1'!$L$16"}</definedName>
    <definedName name="nhanuoc" hidden="1">{"'Sheet1'!$L$16"}</definedName>
    <definedName name="nhappppppppp" hidden="1">{"'Sheet1'!$L$16"}</definedName>
    <definedName name="nharac" localSheetId="1" hidden="1">{#N/A,#N/A,FALSE,"Chi tiÆt"}</definedName>
    <definedName name="nharac" localSheetId="3" hidden="1">{#N/A,#N/A,FALSE,"Chi tiÆt"}</definedName>
    <definedName name="nharac" localSheetId="4" hidden="1">{#N/A,#N/A,FALSE,"Chi tiÆt"}</definedName>
    <definedName name="nharac" localSheetId="5" hidden="1">{#N/A,#N/A,FALSE,"Chi tiÆt"}</definedName>
    <definedName name="nharac" localSheetId="7" hidden="1">{#N/A,#N/A,FALSE,"Chi tiÆt"}</definedName>
    <definedName name="nharac" hidden="1">{#N/A,#N/A,FALSE,"Chi tiÆt"}</definedName>
    <definedName name="Nhâm_Ctr">#REF!</definedName>
    <definedName name="nhb" hidden="1">{#N/A,#N/A,FALSE,"Chi tiÆt"}</definedName>
    <definedName name="NhCongDKMay">#REF!</definedName>
    <definedName name="Nhiem" localSheetId="1" hidden="1">{"'Sheet1'!$L$16"}</definedName>
    <definedName name="Nhiem" localSheetId="3" hidden="1">{"'Sheet1'!$L$16"}</definedName>
    <definedName name="Nhiem" localSheetId="4" hidden="1">{"'Sheet1'!$L$16"}</definedName>
    <definedName name="Nhiem" localSheetId="5" hidden="1">{"'Sheet1'!$L$16"}</definedName>
    <definedName name="Nhiem" localSheetId="7" hidden="1">{"'Sheet1'!$L$16"}</definedName>
    <definedName name="Nhiem" hidden="1">{"'Sheet1'!$L$16"}</definedName>
    <definedName name="nhn">#REF!</definedName>
    <definedName name="NHot">#REF!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o" localSheetId="1" hidden="1">{"'Sheet1'!$L$16"}</definedName>
    <definedName name="o" localSheetId="3" hidden="1">{"'Sheet1'!$L$16"}</definedName>
    <definedName name="o" localSheetId="4" hidden="1">{"'Sheet1'!$L$16"}</definedName>
    <definedName name="o" localSheetId="5" hidden="1">{"'Sheet1'!$L$16"}</definedName>
    <definedName name="o" localSheetId="7" hidden="1">{"'Sheet1'!$L$16"}</definedName>
    <definedName name="o" hidden="1">{"'Sheet1'!$L$16"}</definedName>
    <definedName name="Ø10">#REF!</definedName>
    <definedName name="Ø12">#REF!</definedName>
    <definedName name="Ø6">#REF!</definedName>
    <definedName name="Ø8">#REF!</definedName>
    <definedName name="oa" localSheetId="1" hidden="1">#REF!</definedName>
    <definedName name="oa" hidden="1">#REF!</definedName>
    <definedName name="oanh" localSheetId="1" hidden="1">{"'Sheet1'!$L$16"}</definedName>
    <definedName name="oanh" localSheetId="3" hidden="1">{"'Sheet1'!$L$16"}</definedName>
    <definedName name="oanh" localSheetId="4" hidden="1">{"'Sheet1'!$L$16"}</definedName>
    <definedName name="oanh" localSheetId="5" hidden="1">{"'Sheet1'!$L$16"}</definedName>
    <definedName name="oanh" localSheetId="7" hidden="1">{"'Sheet1'!$L$16"}</definedName>
    <definedName name="oanh" hidden="1">{"'Sheet1'!$L$16"}</definedName>
    <definedName name="OC" localSheetId="1" hidden="1">{"'Sheet1'!$L$16"}</definedName>
    <definedName name="OC" localSheetId="3" hidden="1">{"'Sheet1'!$L$16"}</definedName>
    <definedName name="OC" localSheetId="4" hidden="1">{"'Sheet1'!$L$16"}</definedName>
    <definedName name="OC" localSheetId="5" hidden="1">{"'Sheet1'!$L$16"}</definedName>
    <definedName name="OC" localSheetId="7" hidden="1">{"'Sheet1'!$L$16"}</definedName>
    <definedName name="OC" hidden="1">{"'Sheet1'!$L$16"}</definedName>
    <definedName name="odaki">#REF!</definedName>
    <definedName name="ODH" hidden="1">#REF!</definedName>
    <definedName name="öe">{"'Sheet1'!$L$16"}</definedName>
    <definedName name="oililui" hidden="1">{#N/A,#N/A,FALSE,"CCTV"}</definedName>
    <definedName name="ok">#REF!</definedName>
    <definedName name="olk" hidden="1">{#N/A,#N/A,FALSE,"特殊室（ＢＱ表）"}</definedName>
    <definedName name="ong_cong_duc_san">#REF!</definedName>
    <definedName name="Ong_cong_hinh_hop_do_tai_cho">#REF!</definedName>
    <definedName name="ongsattrangkem">#REF!</definedName>
    <definedName name="OPERATING_EQUIPMENT">#REF!</definedName>
    <definedName name="OPIOPIO">#REF!</definedName>
    <definedName name="OPIOPIOP">#REF!</definedName>
    <definedName name="ophom">#REF!</definedName>
    <definedName name="OrderTable" localSheetId="1" hidden="1">#REF!</definedName>
    <definedName name="OrderTable" hidden="1">#REF!</definedName>
    <definedName name="ot">#REF!</definedName>
    <definedName name="OTHER_PANEL">#REF!</definedName>
    <definedName name="oü0">#REF!</definedName>
    <definedName name="OUIOUIO">#REF!</definedName>
    <definedName name="ouioyoigoigyiyugi" hidden="1">#REF!</definedName>
    <definedName name="oxy">#REF!</definedName>
    <definedName name="p">#N/A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.2314">#REF!</definedName>
    <definedName name="PA.3114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III_" localSheetId="1" hidden="1">{"'Sheet1'!$L$16"}</definedName>
    <definedName name="PAIII_" localSheetId="3" hidden="1">{"'Sheet1'!$L$16"}</definedName>
    <definedName name="PAIII_" localSheetId="4" hidden="1">{"'Sheet1'!$L$16"}</definedName>
    <definedName name="PAIII_" localSheetId="5" hidden="1">{"'Sheet1'!$L$16"}</definedName>
    <definedName name="PAIII_" localSheetId="7" hidden="1">{"'Sheet1'!$L$16"}</definedName>
    <definedName name="PAIII_" hidden="1">{"'Sheet1'!$L$16"}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nel" hidden="1">{#N/A,#N/A,TRUE,"SUM";#N/A,#N/A,TRUE,"EE";#N/A,#N/A,TRUE,"AC";#N/A,#N/A,TRUE,"SN"}</definedName>
    <definedName name="panen">#REF!</definedName>
    <definedName name="papan">#REF!</definedName>
    <definedName name="pares" hidden="1">#REF!</definedName>
    <definedName name="Pares_In" hidden="1">#REF!</definedName>
    <definedName name="PAS" hidden="1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NO">#REF!</definedName>
    <definedName name="PChe">#REF!</definedName>
    <definedName name="Pd">#REF!</definedName>
    <definedName name="pẻgtmaegnahr" hidden="1">{"'Sheet1'!$L$16"}</definedName>
    <definedName name="PEJM">#N/A</definedName>
    <definedName name="pek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riod">#REF!</definedName>
    <definedName name="PF">#N/A</definedName>
    <definedName name="pgc">#REF!</definedName>
    <definedName name="pile">#REF!</definedName>
    <definedName name="PileType">#REF!</definedName>
    <definedName name="PIP" localSheetId="1">BlankMacro1</definedName>
    <definedName name="PIP" localSheetId="4">BlankMacro1</definedName>
    <definedName name="PIP" localSheetId="13">BlankMacro1</definedName>
    <definedName name="PIP" localSheetId="15">BlankMacro1</definedName>
    <definedName name="PIP" localSheetId="12">BlankMacro1</definedName>
    <definedName name="PIP" localSheetId="14">BlankMacro1</definedName>
    <definedName name="PIP" localSheetId="11">BlankMacro1</definedName>
    <definedName name="PIP" localSheetId="10">BlankMacro1</definedName>
    <definedName name="PIP">BlankMacro1</definedName>
    <definedName name="Pipe" localSheetId="1" hidden="1">{#N/A,#N/A,FALSE,"CCTV"}</definedName>
    <definedName name="Pipe" localSheetId="3" hidden="1">{#N/A,#N/A,FALSE,"CCTV"}</definedName>
    <definedName name="Pipe" localSheetId="4" hidden="1">{#N/A,#N/A,FALSE,"CCTV"}</definedName>
    <definedName name="Pipe" localSheetId="5" hidden="1">{#N/A,#N/A,FALSE,"CCTV"}</definedName>
    <definedName name="Pipe" localSheetId="7" hidden="1">{#N/A,#N/A,FALSE,"CCTV"}</definedName>
    <definedName name="Pipe" hidden="1">{#N/A,#N/A,FALSE,"CCTV"}</definedName>
    <definedName name="PIPE2" localSheetId="1">BlankMacro1</definedName>
    <definedName name="PIPE2" localSheetId="4">BlankMacro1</definedName>
    <definedName name="PIPE2" localSheetId="13">BlankMacro1</definedName>
    <definedName name="PIPE2" localSheetId="15">BlankMacro1</definedName>
    <definedName name="PIPE2" localSheetId="12">BlankMacro1</definedName>
    <definedName name="PIPE2" localSheetId="14">BlankMacro1</definedName>
    <definedName name="PIPE2" localSheetId="11">BlankMacro1</definedName>
    <definedName name="PIPE2" localSheetId="10">BlankMacro1</definedName>
    <definedName name="PIPE2">BlankMacro1</definedName>
    <definedName name="PK">#REF!</definedName>
    <definedName name="PKTN." localSheetId="1" hidden="1">{"'Sheet1'!$L$16"}</definedName>
    <definedName name="PKTN." localSheetId="3" hidden="1">{"'Sheet1'!$L$16"}</definedName>
    <definedName name="PKTN." localSheetId="4" hidden="1">{"'Sheet1'!$L$16"}</definedName>
    <definedName name="PKTN." localSheetId="5" hidden="1">{"'Sheet1'!$L$16"}</definedName>
    <definedName name="PKTN." localSheetId="7" hidden="1">{"'Sheet1'!$L$16"}</definedName>
    <definedName name="PKTN." hidden="1">{"'Sheet1'!$L$16"}</definedName>
    <definedName name="PL" localSheetId="1" hidden="1">{"'Sheet1'!$L$16"}</definedName>
    <definedName name="PL" localSheetId="3" hidden="1">{"'Sheet1'!$L$16"}</definedName>
    <definedName name="PL" localSheetId="4" hidden="1">{"'Sheet1'!$L$16"}</definedName>
    <definedName name="PL" localSheetId="5" hidden="1">{"'Sheet1'!$L$16"}</definedName>
    <definedName name="PL" localSheetId="7" hidden="1">{"'Sheet1'!$L$16"}</definedName>
    <definedName name="PL" hidden="1">{"'Sheet1'!$L$16"}</definedName>
    <definedName name="Plap">#REF!</definedName>
    <definedName name="plkl" hidden="1">{"'Sheet1'!$L$16"}</definedName>
    <definedName name="PlucBcaoTD" localSheetId="1" hidden="1">{"'Sheet1'!$L$16"}</definedName>
    <definedName name="PlucBcaoTD" localSheetId="3" hidden="1">{"'Sheet1'!$L$16"}</definedName>
    <definedName name="PlucBcaoTD" localSheetId="4" hidden="1">{"'Sheet1'!$L$16"}</definedName>
    <definedName name="PlucBcaoTD" localSheetId="5" hidden="1">{"'Sheet1'!$L$16"}</definedName>
    <definedName name="PlucBcaoTD" localSheetId="7" hidden="1">{"'Sheet1'!$L$16"}</definedName>
    <definedName name="PlucBcaoTD" hidden="1">{"'Sheet1'!$L$16"}</definedName>
    <definedName name="plum">#REF!</definedName>
    <definedName name="plumbing">#REF!</definedName>
    <definedName name="PMS" localSheetId="1" hidden="1">{"'Sheet1'!$L$16"}</definedName>
    <definedName name="PMS" localSheetId="3" hidden="1">{"'Sheet1'!$L$16"}</definedName>
    <definedName name="PMS" localSheetId="4" hidden="1">{"'Sheet1'!$L$16"}</definedName>
    <definedName name="PMS" localSheetId="5" hidden="1">{"'Sheet1'!$L$16"}</definedName>
    <definedName name="PMS" localSheetId="7" hidden="1">{"'Sheet1'!$L$16"}</definedName>
    <definedName name="PMS" hidden="1">{"'Sheet1'!$L$16"}</definedName>
    <definedName name="PMUX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ol" localSheetId="1" hidden="1">{#N/A,#N/A,FALSE,"Chi tiÆt"}</definedName>
    <definedName name="pol" localSheetId="3" hidden="1">{#N/A,#N/A,FALSE,"Chi tiÆt"}</definedName>
    <definedName name="pol" localSheetId="4" hidden="1">{#N/A,#N/A,FALSE,"Chi tiÆt"}</definedName>
    <definedName name="pol" localSheetId="5" hidden="1">{#N/A,#N/A,FALSE,"Chi tiÆt"}</definedName>
    <definedName name="pol" localSheetId="7" hidden="1">{#N/A,#N/A,FALSE,"Chi tiÆt"}</definedName>
    <definedName name="pol" hidden="1">{#N/A,#N/A,FALSE,"Chi tiÆt"}</definedName>
    <definedName name="POP" hidden="1">#REF!</definedName>
    <definedName name="Port1" localSheetId="1" hidden="1">{#N/A,#N/A,FALSE,"特殊室（ＢＱ表）"}</definedName>
    <definedName name="Port1" localSheetId="3" hidden="1">{#N/A,#N/A,FALSE,"特殊室（ＢＱ表）"}</definedName>
    <definedName name="Port1" localSheetId="4" hidden="1">{#N/A,#N/A,FALSE,"特殊室（ＢＱ表）"}</definedName>
    <definedName name="Port1" localSheetId="5" hidden="1">{#N/A,#N/A,FALSE,"特殊室（ＢＱ表）"}</definedName>
    <definedName name="Port1" localSheetId="7" hidden="1">{#N/A,#N/A,FALSE,"特殊室（ＢＱ表）"}</definedName>
    <definedName name="Port1" hidden="1">{#N/A,#N/A,FALSE,"特殊室（ＢＱ表）"}</definedName>
    <definedName name="port11" localSheetId="1" hidden="1">{#N/A,#N/A,FALSE,"特殊室（ＢＱ表）"}</definedName>
    <definedName name="port11" localSheetId="3" hidden="1">{#N/A,#N/A,FALSE,"特殊室（ＢＱ表）"}</definedName>
    <definedName name="port11" localSheetId="4" hidden="1">{#N/A,#N/A,FALSE,"特殊室（ＢＱ表）"}</definedName>
    <definedName name="port11" localSheetId="5" hidden="1">{#N/A,#N/A,FALSE,"特殊室（ＢＱ表）"}</definedName>
    <definedName name="port11" localSheetId="7" hidden="1">{#N/A,#N/A,FALSE,"特殊室（ＢＱ表）"}</definedName>
    <definedName name="port11" hidden="1">{#N/A,#N/A,FALSE,"特殊室（ＢＱ表）"}</definedName>
    <definedName name="POUT" hidden="1">#REF!</definedName>
    <definedName name="pp" localSheetId="1" hidden="1">{#N/A,#N/A,FALSE,"OUTPUT SHEET "}</definedName>
    <definedName name="pp" localSheetId="3" hidden="1">{#N/A,#N/A,FALSE,"OUTPUT SHEET "}</definedName>
    <definedName name="pp" localSheetId="4" hidden="1">{#N/A,#N/A,FALSE,"OUTPUT SHEET "}</definedName>
    <definedName name="pp" localSheetId="5" hidden="1">{#N/A,#N/A,FALSE,"OUTPUT SHEET "}</definedName>
    <definedName name="pp" localSheetId="7" hidden="1">{#N/A,#N/A,FALSE,"OUTPUT SHEET "}</definedName>
    <definedName name="pp" hidden="1">{#N/A,#N/A,FALSE,"OUTPUT SHEET "}</definedName>
    <definedName name="ppn">#REF!</definedName>
    <definedName name="PPP" localSheetId="1">BlankMacro1</definedName>
    <definedName name="PPP" localSheetId="4">BlankMacro1</definedName>
    <definedName name="PPP" localSheetId="13">BlankMacro1</definedName>
    <definedName name="PPP" localSheetId="15">BlankMacro1</definedName>
    <definedName name="PPP" localSheetId="12">BlankMacro1</definedName>
    <definedName name="PPP" localSheetId="14">BlankMacro1</definedName>
    <definedName name="PPP" localSheetId="11">BlankMacro1</definedName>
    <definedName name="PPP" localSheetId="10">BlankMacro1</definedName>
    <definedName name="PPP">BlankMacro1</definedName>
    <definedName name="PPPP" localSheetId="1" hidden="1">{"'Sheet1'!$L$16"}</definedName>
    <definedName name="PPPP" localSheetId="3" hidden="1">{"'Sheet1'!$L$16"}</definedName>
    <definedName name="PPPP" localSheetId="4" hidden="1">{"'Sheet1'!$L$16"}</definedName>
    <definedName name="PPPP" localSheetId="5" hidden="1">{"'Sheet1'!$L$16"}</definedName>
    <definedName name="PPPP" localSheetId="7" hidden="1">{"'Sheet1'!$L$16"}</definedName>
    <definedName name="PPPP" hidden="1">{"'Sheet1'!$L$16"}</definedName>
    <definedName name="ｐｐｐｐ" localSheetId="1" hidden="1">{"'Sheet1'!$L$16"}</definedName>
    <definedName name="ｐｐｐｐ" localSheetId="3" hidden="1">{"'Sheet1'!$L$16"}</definedName>
    <definedName name="ｐｐｐｐ" localSheetId="4" hidden="1">{"'Sheet1'!$L$16"}</definedName>
    <definedName name="ｐｐｐｐ" localSheetId="5" hidden="1">{"'Sheet1'!$L$16"}</definedName>
    <definedName name="ｐｐｐｐ" localSheetId="7" hidden="1">{"'Sheet1'!$L$16"}</definedName>
    <definedName name="ｐｐｐｐ" hidden="1">{"'Sheet1'!$L$16"}</definedName>
    <definedName name="pph">#REF!</definedName>
    <definedName name="prelim">#REF!</definedName>
    <definedName name="prelimi">#REF!</definedName>
    <definedName name="pri" hidden="1">{#N/A,#N/A,TRUE,"Str.";#N/A,#N/A,TRUE,"Steel &amp; Roof";#N/A,#N/A,TRUE,"Arc.";#N/A,#N/A,TRUE,"Preliminary";#N/A,#N/A,TRUE,"Sum_Prelim"}</definedName>
    <definedName name="PRICE">#REF!</definedName>
    <definedName name="PRICE1">#REF!</definedName>
    <definedName name="_xlnm.Print_Area" localSheetId="1">'01-Bia'!$A$1:$J$30</definedName>
    <definedName name="_xlnm.Print_Area" localSheetId="2">'01-Công văn '!$A$1:$I$31</definedName>
    <definedName name="_xlnm.Print_Area" localSheetId="3">'02.1-ĐNTT'!$A$2:$N$156</definedName>
    <definedName name="_xlnm.Print_Area" localSheetId="4">'02.2 ĐNTT'!$A$1:$M$40</definedName>
    <definedName name="_xlnm.Print_Area" localSheetId="5">'03-GTHT DOT...'!$A$1:$K$155</definedName>
    <definedName name="_xlnm.Print_Area" localSheetId="6">'04-THKL DOT...'!$A$1:$G$157</definedName>
    <definedName name="_xlnm.Print_Area" localSheetId="7">'CTKL DOT...'!$A$1:$L$486</definedName>
    <definedName name="_xlnm.Print_Area" localSheetId="13">'thép dầm bể bơi'!$A$1:$P$114</definedName>
    <definedName name="_xlnm.Print_Area" localSheetId="9">'thép dầm bồn cây'!$A$1:$P$483</definedName>
    <definedName name="_xlnm.Print_Area" localSheetId="15">'thép sàn bể bơi'!$A$1:$M$79</definedName>
    <definedName name="_xlnm.Print_Area" localSheetId="12">'thép sàn bồn cây'!$A$1:$P$245</definedName>
    <definedName name="_xlnm.Print_Area" localSheetId="14">'thép vách bể bơi'!$A$1:$P$43</definedName>
    <definedName name="_xlnm.Print_Area" localSheetId="11">'thép vách bồn cây'!$A$1:$P$198</definedName>
    <definedName name="_xlnm.Print_Area" localSheetId="10">'thép vách giếng gió'!$A$1:$P$30</definedName>
    <definedName name="_xlnm.Print_Area">#REF!</definedName>
    <definedName name="Print_Area_MI">#N/A</definedName>
    <definedName name="PRINT_TITLE_MI">#REF!</definedName>
    <definedName name="_xlnm.Print_Titles" localSheetId="3">'02.1-ĐNTT'!$10:$11</definedName>
    <definedName name="_xlnm.Print_Titles" localSheetId="5">'03-GTHT DOT...'!$5:$6</definedName>
    <definedName name="_xlnm.Print_Titles" localSheetId="6">'04-THKL DOT...'!$9:$10</definedName>
    <definedName name="_xlnm.Print_Titles" localSheetId="7">'CTKL DOT...'!$6:$7</definedName>
    <definedName name="_xlnm.Print_Titles" localSheetId="13">'thép dầm bể bơi'!$5:$6</definedName>
    <definedName name="_xlnm.Print_Titles" localSheetId="9">'thép dầm bồn cây'!$5:$6</definedName>
    <definedName name="_xlnm.Print_Titles" localSheetId="15">'thép sàn bể bơi'!$5:$6</definedName>
    <definedName name="_xlnm.Print_Titles" localSheetId="12">'thép sàn bồn cây'!$5:$6</definedName>
    <definedName name="_xlnm.Print_Titles" localSheetId="14">'thép vách bể bơi'!$5:$6</definedName>
    <definedName name="_xlnm.Print_Titles" localSheetId="11">'thép vách bồn cây'!$5:$6</definedName>
    <definedName name="_xlnm.Print_Titles" localSheetId="10">'thép vách giếng gió'!$5:$6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">#REF!</definedName>
    <definedName name="ProdForm" localSheetId="1" hidden="1">#REF!</definedName>
    <definedName name="ProdForm" hidden="1">#REF!</definedName>
    <definedName name="prodForm1" hidden="1">#REF!</definedName>
    <definedName name="Product" hidden="1">#REF!</definedName>
    <definedName name="PRODUCTION">{"'Sheet1'!$L$16"}</definedName>
    <definedName name="profit">#REF!</definedName>
    <definedName name="PROPOSAL">#REF!</definedName>
    <definedName name="Province">#REF!</definedName>
    <definedName name="prs">#REF!</definedName>
    <definedName name="ps.psg">#REF!</definedName>
    <definedName name="pst" localSheetId="1" hidden="1">{"'Sheet1'!$L$16"}</definedName>
    <definedName name="pst" localSheetId="3" hidden="1">{"'Sheet1'!$L$16"}</definedName>
    <definedName name="pst" localSheetId="4" hidden="1">{"'Sheet1'!$L$16"}</definedName>
    <definedName name="pst" localSheetId="5" hidden="1">{"'Sheet1'!$L$16"}</definedName>
    <definedName name="pst" localSheetId="7" hidden="1">{"'Sheet1'!$L$16"}</definedName>
    <definedName name="pst" hidden="1">{"'Sheet1'!$L$16"}</definedName>
    <definedName name="pt">#REF!</definedName>
    <definedName name="PT_Duong">#REF!</definedName>
    <definedName name="ptbc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E">#REF!</definedName>
    <definedName name="ptich3">{"'Sheet1'!$L$16"}</definedName>
    <definedName name="PtichDTL" localSheetId="1">'01-Bia'!PtichDTL</definedName>
    <definedName name="PtichDTL">#REF!</definedName>
    <definedName name="PTL">#REF!</definedName>
    <definedName name="PTump">#REF!</definedName>
    <definedName name="PTH">#REF!</definedName>
    <definedName name="PTrBeDau">#REF!</definedName>
    <definedName name="PTrCongHangRao">#REF!</definedName>
    <definedName name="PTrSanDuong">#REF!</definedName>
    <definedName name="PTrSanVuon">#REF!</definedName>
    <definedName name="PTrTuongChan">#REF!</definedName>
    <definedName name="pu">#REF!</definedName>
    <definedName name="PUBLIC">{"'Sheet1'!$L$16"}</definedName>
    <definedName name="PVC">{"'Sheet1'!$L$16"}</definedName>
    <definedName name="ph">#REF!</definedName>
    <definedName name="phai">{"'Sheet1'!$L$16"}</definedName>
    <definedName name="Phan1">#REF!</definedName>
    <definedName name="phantich3">{"'Sheet1'!$L$16"}</definedName>
    <definedName name="PHICOT">#REF!</definedName>
    <definedName name="PHIDAM">#REF!</definedName>
    <definedName name="phidamm3">#REF!</definedName>
    <definedName name="phisan">#REF!</definedName>
    <definedName name="phisanm3">#REF!</definedName>
    <definedName name="phñto2">{"'Sheet1'!$L$16"}</definedName>
    <definedName name="PHOTO" hidden="1">#REF!</definedName>
    <definedName name="phu_luc_vua">#REF!</definedName>
    <definedName name="phugia">#N/A</definedName>
    <definedName name="Phuong" localSheetId="1" hidden="1">{"'Sheet1'!$L$16"}</definedName>
    <definedName name="Phuong" localSheetId="3" hidden="1">{"'Sheet1'!$L$16"}</definedName>
    <definedName name="Phuong" localSheetId="4" hidden="1">{"'Sheet1'!$L$16"}</definedName>
    <definedName name="Phuong" localSheetId="5" hidden="1">{"'Sheet1'!$L$16"}</definedName>
    <definedName name="Phuong" localSheetId="7" hidden="1">{"'Sheet1'!$L$16"}</definedName>
    <definedName name="Phuong" hidden="1">{"'Sheet1'!$L$16"}</definedName>
    <definedName name="q" localSheetId="1" hidden="1">{"'Sheet1'!$L$16"}</definedName>
    <definedName name="q" localSheetId="3" hidden="1">{"'Sheet1'!$L$16"}</definedName>
    <definedName name="q" localSheetId="4" hidden="1">{"'Sheet1'!$L$16"}</definedName>
    <definedName name="q" localSheetId="5" hidden="1">{"'Sheet1'!$L$16"}</definedName>
    <definedName name="q" localSheetId="7" hidden="1">{"'Sheet1'!$L$16"}</definedName>
    <definedName name="q" hidden="1">{"'Sheet1'!$L$16"}</definedName>
    <definedName name="qa" localSheetId="1" hidden="1">{#N/A,#N/A,FALSE,"Chi tiÆt"}</definedName>
    <definedName name="qa" localSheetId="3" hidden="1">{#N/A,#N/A,FALSE,"Chi tiÆt"}</definedName>
    <definedName name="qa" localSheetId="4" hidden="1">{#N/A,#N/A,FALSE,"Chi tiÆt"}</definedName>
    <definedName name="qa" localSheetId="5" hidden="1">{#N/A,#N/A,FALSE,"Chi tiÆt"}</definedName>
    <definedName name="qa" localSheetId="7" hidden="1">{#N/A,#N/A,FALSE,"Chi tiÆt"}</definedName>
    <definedName name="qa" hidden="1">{#N/A,#N/A,FALSE,"Chi tiÆt"}</definedName>
    <definedName name="QANG" hidden="1">{"'Sheet1'!$L$16"}</definedName>
    <definedName name="QAZ" hidden="1">{#N/A,#N/A,FALSE,"CCTV"}</definedName>
    <definedName name="qc">#REF!</definedName>
    <definedName name="qd10_gt" localSheetId="1" hidden="1">{"'Sheet1'!$L$16"}</definedName>
    <definedName name="qd10_gt" localSheetId="3" hidden="1">{"'Sheet1'!$L$16"}</definedName>
    <definedName name="qd10_gt" localSheetId="4" hidden="1">{"'Sheet1'!$L$16"}</definedName>
    <definedName name="qd10_gt" localSheetId="5" hidden="1">{"'Sheet1'!$L$16"}</definedName>
    <definedName name="qd10_gt" localSheetId="7" hidden="1">{"'Sheet1'!$L$16"}</definedName>
    <definedName name="qd10_gt" hidden="1">{"'Sheet1'!$L$16"}</definedName>
    <definedName name="qd10_gt1" localSheetId="1" hidden="1">{"'Sheet1'!$L$16"}</definedName>
    <definedName name="qd10_gt1" hidden="1">{"'Sheet1'!$L$16"}</definedName>
    <definedName name="QDD">#REF!</definedName>
    <definedName name="qet" localSheetId="1" hidden="1">{"'Sheet1'!$L$16"}</definedName>
    <definedName name="qet" localSheetId="3" hidden="1">{"'Sheet1'!$L$16"}</definedName>
    <definedName name="qet" localSheetId="4" hidden="1">{"'Sheet1'!$L$16"}</definedName>
    <definedName name="qet" localSheetId="5" hidden="1">{"'Sheet1'!$L$16"}</definedName>
    <definedName name="qet" localSheetId="7" hidden="1">{"'Sheet1'!$L$16"}</definedName>
    <definedName name="qet" hidden="1">{"'Sheet1'!$L$16"}</definedName>
    <definedName name="QGFADB" hidden="1">{"'Sheet1'!$L$16"}</definedName>
    <definedName name="qh">#REF!</definedName>
    <definedName name="qlda">#REF!</definedName>
    <definedName name="qldabtg">#REF!</definedName>
    <definedName name="qldax">#REF!</definedName>
    <definedName name="qlday1">#REF!</definedName>
    <definedName name="qlday2">#REF!</definedName>
    <definedName name="qlday3">#REF!</definedName>
    <definedName name="qlday4">#REF!</definedName>
    <definedName name="qlday5">#REF!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" localSheetId="1">BlankMacro1</definedName>
    <definedName name="QQ" localSheetId="3" hidden="1">{"'Sheet1'!$L$16"}</definedName>
    <definedName name="QQ" localSheetId="4" hidden="1">{"'Sheet1'!$L$16"}</definedName>
    <definedName name="QQ" localSheetId="5" hidden="1">{"'Sheet1'!$L$16"}</definedName>
    <definedName name="QQ" localSheetId="7" hidden="1">{"'Sheet1'!$L$16"}</definedName>
    <definedName name="QQ" hidden="1">{"'Sheet1'!$L$16"}</definedName>
    <definedName name="qqgyyh.xls" hidden="1">{"'Sheet1'!$L$16"}</definedName>
    <definedName name="QQQ" localSheetId="1" hidden="1">{"'Sheet1'!$L$16"}</definedName>
    <definedName name="QQQ" localSheetId="3" hidden="1">{"'Sheet1'!$L$16"}</definedName>
    <definedName name="QQQ" localSheetId="4" hidden="1">{"'Sheet1'!$L$16"}</definedName>
    <definedName name="QQQ" localSheetId="5" hidden="1">{"'Sheet1'!$L$16"}</definedName>
    <definedName name="QQQ" localSheetId="7" hidden="1">{"'Sheet1'!$L$16"}</definedName>
    <definedName name="QQQ" hidden="1">{"'Sheet1'!$L$16"}</definedName>
    <definedName name="ｑｑｑ">{"'Sheet1'!$L$16"}</definedName>
    <definedName name="qqqq" hidden="1">{"'Sheet1'!$L$16"}</definedName>
    <definedName name="ｑｑｑｑ">{"'Sheet1'!$L$16"}</definedName>
    <definedName name="qqqqq" hidden="1">{"'Sheet1'!$L$16"}</definedName>
    <definedName name="qqqqqqq" hidden="1">{"'Sheet1'!$L$16"}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" hidden="1">{#N/A,#N/A,FALSE,"CCTV"}</definedName>
    <definedName name="qrw" localSheetId="1" hidden="1">{#N/A,#N/A,FALSE,"Sheet2";#N/A,#N/A,FALSE,"Sheet4";#N/A,#N/A,FALSE,"Sheet6"}</definedName>
    <definedName name="qrw" localSheetId="3" hidden="1">{#N/A,#N/A,FALSE,"Sheet2";#N/A,#N/A,FALSE,"Sheet4";#N/A,#N/A,FALSE,"Sheet6"}</definedName>
    <definedName name="qrw" localSheetId="4" hidden="1">{#N/A,#N/A,FALSE,"Sheet2";#N/A,#N/A,FALSE,"Sheet4";#N/A,#N/A,FALSE,"Sheet6"}</definedName>
    <definedName name="qrw" localSheetId="5" hidden="1">{#N/A,#N/A,FALSE,"Sheet2";#N/A,#N/A,FALSE,"Sheet4";#N/A,#N/A,FALSE,"Sheet6"}</definedName>
    <definedName name="qrw" localSheetId="7" hidden="1">{#N/A,#N/A,FALSE,"Sheet2";#N/A,#N/A,FALSE,"Sheet4";#N/A,#N/A,FALSE,"Sheet6"}</definedName>
    <definedName name="qrw" hidden="1">{#N/A,#N/A,FALSE,"Sheet2";#N/A,#N/A,FALSE,"Sheet4";#N/A,#N/A,FALSE,"Sheet6"}</definedName>
    <definedName name="qs" hidden="1">#REF!</definedName>
    <definedName name="qtdm">#REF!</definedName>
    <definedName name="qtrwey">{"'Sheet1'!$L$16"}</definedName>
    <definedName name="QưEASD">#REF!</definedName>
    <definedName name="qưeqweas" hidden="1">#REF!</definedName>
    <definedName name="qưeqweqwe" hidden="1">#REF!</definedName>
    <definedName name="qw" localSheetId="1" hidden="1">{#N/A,#N/A,FALSE,"단가표지"}</definedName>
    <definedName name="qw" hidden="1">{#N/A,#N/A,FALSE,"단가표지"}</definedName>
    <definedName name="QWE" localSheetId="1">'01-Bia'!QWE</definedName>
    <definedName name="QWE">#REF!</definedName>
    <definedName name="QWEQW" hidden="1">#REF!</definedName>
    <definedName name="qwer">{"'Sheet1'!$L$16"}</definedName>
    <definedName name="qwertet" localSheetId="1" hidden="1">{"'Sheet1'!$L$16"}</definedName>
    <definedName name="qwertet" localSheetId="3" hidden="1">{"'Sheet1'!$L$16"}</definedName>
    <definedName name="qwertet" localSheetId="4" hidden="1">{"'Sheet1'!$L$16"}</definedName>
    <definedName name="qwertet" localSheetId="5" hidden="1">{"'Sheet1'!$L$16"}</definedName>
    <definedName name="qwertet" localSheetId="7" hidden="1">{"'Sheet1'!$L$16"}</definedName>
    <definedName name="qwertet" hidden="1">{"'Sheet1'!$L$16"}</definedName>
    <definedName name="qwwqe" localSheetId="1" hidden="1">{"'Sheet1'!$L$16"}</definedName>
    <definedName name="qwwqe" localSheetId="3" hidden="1">{"'Sheet1'!$L$16"}</definedName>
    <definedName name="qwwqe" localSheetId="4" hidden="1">{"'Sheet1'!$L$16"}</definedName>
    <definedName name="qwwqe" localSheetId="5" hidden="1">{"'Sheet1'!$L$16"}</definedName>
    <definedName name="qwwqe" localSheetId="7" hidden="1">{"'Sheet1'!$L$16"}</definedName>
    <definedName name="qwwqe" hidden="1">{"'Sheet1'!$L$16"}</definedName>
    <definedName name="qu">#REF!</definedName>
    <definedName name="quan.P12">{"'Sheet1'!$L$16"}</definedName>
    <definedName name="Quantities">#REF!</definedName>
    <definedName name="quang" hidden="1">{"'Sheet1'!$L$16"}</definedName>
    <definedName name="quang03" hidden="1">{"'Sheet1'!$L$16"}</definedName>
    <definedName name="quehan">#REF!</definedName>
    <definedName name="Query3">#REF!</definedName>
    <definedName name="quyen" localSheetId="1" hidden="1">{"'Sheet1'!$L$16"}</definedName>
    <definedName name="quyen" localSheetId="3" hidden="1">{"'Sheet1'!$L$16"}</definedName>
    <definedName name="quyen" localSheetId="4" hidden="1">{"'Sheet1'!$L$16"}</definedName>
    <definedName name="quyen" localSheetId="5" hidden="1">{"'Sheet1'!$L$16"}</definedName>
    <definedName name="quyen" localSheetId="7" hidden="1">{"'Sheet1'!$L$16"}</definedName>
    <definedName name="quyen" hidden="1">{"'Sheet1'!$L$16"}</definedName>
    <definedName name="quyet" hidden="1">{"'Sheet1'!$L$16"}</definedName>
    <definedName name="ra11p">#REF!</definedName>
    <definedName name="ra13p">#REF!</definedName>
    <definedName name="RAMDOC" localSheetId="1" hidden="1">#REF!</definedName>
    <definedName name="RAMDOC" hidden="1">#REF!</definedName>
    <definedName name="RAMSET">{"'Sheet1'!$L$16"}</definedName>
    <definedName name="RANGE">#REF!</definedName>
    <definedName name="Ranhxay" localSheetId="1" hidden="1">{"'Sheet1'!$L$16"}</definedName>
    <definedName name="Ranhxay" localSheetId="3" hidden="1">{"'Sheet1'!$L$16"}</definedName>
    <definedName name="Ranhxay" localSheetId="4" hidden="1">{"'Sheet1'!$L$16"}</definedName>
    <definedName name="Ranhxay" localSheetId="5" hidden="1">{"'Sheet1'!$L$16"}</definedName>
    <definedName name="Ranhxay" localSheetId="7" hidden="1">{"'Sheet1'!$L$16"}</definedName>
    <definedName name="Ranhxay" hidden="1">{"'Sheet1'!$L$16"}</definedName>
    <definedName name="RAP">#REF!</definedName>
    <definedName name="rarewt" hidden="1">{#N/A,#N/A,FALSE,"CCTV"}</definedName>
    <definedName name="rate">14000</definedName>
    <definedName name="rbsr" localSheetId="1" hidden="1">{"'Sheet1'!$L$16"}</definedName>
    <definedName name="rbsr" localSheetId="3" hidden="1">{"'Sheet1'!$L$16"}</definedName>
    <definedName name="rbsr" localSheetId="4" hidden="1">{"'Sheet1'!$L$16"}</definedName>
    <definedName name="rbsr" localSheetId="5" hidden="1">{"'Sheet1'!$L$16"}</definedName>
    <definedName name="rbsr" localSheetId="7" hidden="1">{"'Sheet1'!$L$16"}</definedName>
    <definedName name="rbsr" hidden="1">{"'Sheet1'!$L$16"}</definedName>
    <definedName name="RCArea" localSheetId="1" hidden="1">#REF!</definedName>
    <definedName name="RCArea" hidden="1">#REF!</definedName>
    <definedName name="RCFWR" hidden="1">#REF!</definedName>
    <definedName name="Rctpt">#REF!</definedName>
    <definedName name="rd">{"'Sheet1'!$L$16"}</definedName>
    <definedName name="re" localSheetId="1" hidden="1">{#N/A,#N/A,FALSE,"Chi tiÆt"}</definedName>
    <definedName name="re" localSheetId="3" hidden="1">{#N/A,#N/A,FALSE,"Chi tiÆt"}</definedName>
    <definedName name="re" localSheetId="4" hidden="1">{#N/A,#N/A,FALSE,"Chi tiÆt"}</definedName>
    <definedName name="re" localSheetId="5" hidden="1">{#N/A,#N/A,FALSE,"Chi tiÆt"}</definedName>
    <definedName name="re" localSheetId="7" hidden="1">{#N/A,#N/A,FALSE,"Chi tiÆt"}</definedName>
    <definedName name="re" hidden="1">{#N/A,#N/A,FALSE,"Chi tiÆt"}</definedName>
    <definedName name="REAL">#REF!</definedName>
    <definedName name="RECAP">#REF!</definedName>
    <definedName name="recap2">#REF!</definedName>
    <definedName name="_xlnm.Recorder" localSheetId="1" hidden="1">#REF!</definedName>
    <definedName name="_xlnm.Recorder" hidden="1">#REF!</definedName>
    <definedName name="RECOUT">#N/A</definedName>
    <definedName name="Ref">{"'Sheet1'!$L$16"}</definedName>
    <definedName name="Region">#REF!</definedName>
    <definedName name="report1" localSheetId="1" hidden="1">{#N/A,#N/A,FALSE,"特殊室（ＢＱ表）"}</definedName>
    <definedName name="report1" localSheetId="3" hidden="1">{#N/A,#N/A,FALSE,"特殊室（ＢＱ表）"}</definedName>
    <definedName name="report1" localSheetId="4" hidden="1">{#N/A,#N/A,FALSE,"特殊室（ＢＱ表）"}</definedName>
    <definedName name="report1" localSheetId="5" hidden="1">{#N/A,#N/A,FALSE,"特殊室（ＢＱ表）"}</definedName>
    <definedName name="report1" localSheetId="7" hidden="1">{#N/A,#N/A,FALSE,"特殊室（ＢＱ表）"}</definedName>
    <definedName name="report1" hidden="1">{#N/A,#N/A,FALSE,"特殊室（ＢＱ表）"}</definedName>
    <definedName name="report2" localSheetId="1" hidden="1">{#N/A,#N/A,FALSE,"特殊室（ＢＱ表）"}</definedName>
    <definedName name="report2" localSheetId="3" hidden="1">{#N/A,#N/A,FALSE,"特殊室（ＢＱ表）"}</definedName>
    <definedName name="report2" localSheetId="4" hidden="1">{#N/A,#N/A,FALSE,"特殊室（ＢＱ表）"}</definedName>
    <definedName name="report2" localSheetId="5" hidden="1">{#N/A,#N/A,FALSE,"特殊室（ＢＱ表）"}</definedName>
    <definedName name="report2" localSheetId="7" hidden="1">{#N/A,#N/A,FALSE,"特殊室（ＢＱ表）"}</definedName>
    <definedName name="report2" hidden="1">{#N/A,#N/A,FALSE,"特殊室（ＢＱ表）"}</definedName>
    <definedName name="Result21" localSheetId="1" hidden="1">{"'Sheet1'!$L$16"}</definedName>
    <definedName name="Result21" localSheetId="3" hidden="1">{"'Sheet1'!$L$16"}</definedName>
    <definedName name="Result21" localSheetId="4" hidden="1">{"'Sheet1'!$L$16"}</definedName>
    <definedName name="Result21" localSheetId="5" hidden="1">{"'Sheet1'!$L$16"}</definedName>
    <definedName name="Result21" localSheetId="7" hidden="1">{"'Sheet1'!$L$16"}</definedName>
    <definedName name="Result21" hidden="1">{"'Sheet1'!$L$16"}</definedName>
    <definedName name="reûtht" hidden="1">{"'Sheet1'!$L$16"}</definedName>
    <definedName name="rewgwegn" hidden="1">{"'Sheet1'!$L$16"}</definedName>
    <definedName name="rewr" localSheetId="1" hidden="1">{"'Sheet1'!$L$16"}</definedName>
    <definedName name="rewr" localSheetId="3" hidden="1">{"'Sheet1'!$L$16"}</definedName>
    <definedName name="rewr" localSheetId="4" hidden="1">{"'Sheet1'!$L$16"}</definedName>
    <definedName name="rewr" localSheetId="5" hidden="1">{"'Sheet1'!$L$16"}</definedName>
    <definedName name="rewr" localSheetId="7" hidden="1">{"'Sheet1'!$L$16"}</definedName>
    <definedName name="rewr" hidden="1">{"'Sheet1'!$L$16"}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df" localSheetId="1" hidden="1">{"'Sheet1'!$L$16"}</definedName>
    <definedName name="rgdf" localSheetId="3" hidden="1">{"'Sheet1'!$L$16"}</definedName>
    <definedName name="rgdf" localSheetId="4" hidden="1">{"'Sheet1'!$L$16"}</definedName>
    <definedName name="rgdf" localSheetId="5" hidden="1">{"'Sheet1'!$L$16"}</definedName>
    <definedName name="rgdf" localSheetId="7" hidden="1">{"'Sheet1'!$L$16"}</definedName>
    <definedName name="rgdf" hidden="1">{"'Sheet1'!$L$16"}</definedName>
    <definedName name="rgeger" hidden="1">#REF!</definedName>
    <definedName name="rger" hidden="1">#REF!</definedName>
    <definedName name="rgwerg" hidden="1">{#N/A,#N/A,FALSE,"Chi tiÆt"}</definedName>
    <definedName name="RHODIA" localSheetId="1" hidden="1">{"'DocTypeCode'!$A$142:$A$226"}</definedName>
    <definedName name="RHODIA" localSheetId="3" hidden="1">{"'DocTypeCode'!$A$142:$A$226"}</definedName>
    <definedName name="RHODIA" localSheetId="4" hidden="1">{"'DocTypeCode'!$A$142:$A$226"}</definedName>
    <definedName name="RHODIA" localSheetId="5" hidden="1">{"'DocTypeCode'!$A$142:$A$226"}</definedName>
    <definedName name="RHODIA" localSheetId="7" hidden="1">{"'DocTypeCode'!$A$142:$A$226"}</definedName>
    <definedName name="RHODIA" hidden="1">{"'DocTypeCode'!$A$142:$A$226"}</definedName>
    <definedName name="rhq" localSheetId="1">{"Book1"}</definedName>
    <definedName name="rhq">{"Book1"}</definedName>
    <definedName name="River">#REF!</definedName>
    <definedName name="River_Code">#REF!</definedName>
    <definedName name="rk">#REF!</definedName>
    <definedName name="rkd" localSheetId="1" hidden="1">{#N/A,#N/A,FALSE,"CCTV"}</definedName>
    <definedName name="rkd" localSheetId="3" hidden="1">{#N/A,#N/A,FALSE,"CCTV"}</definedName>
    <definedName name="rkd" localSheetId="4" hidden="1">{#N/A,#N/A,FALSE,"CCTV"}</definedName>
    <definedName name="rkd" localSheetId="5" hidden="1">{#N/A,#N/A,FALSE,"CCTV"}</definedName>
    <definedName name="rkd" localSheetId="7" hidden="1">{#N/A,#N/A,FALSE,"CCTV"}</definedName>
    <definedName name="rkd" hidden="1">{#N/A,#N/A,FALSE,"CCTV"}</definedName>
    <definedName name="RLd">#REF!</definedName>
    <definedName name="RO">#REF!</definedName>
    <definedName name="ro0">#REF!</definedName>
    <definedName name="Road_Code">#REF!</definedName>
    <definedName name="Road_Name">#REF!</definedName>
    <definedName name="RoadNo_37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f">#REF!</definedName>
    <definedName name="Round">#REF!</definedName>
    <definedName name="row" localSheetId="1" hidden="1">#REF!</definedName>
    <definedName name="row" hidden="1">#REF!</definedName>
    <definedName name="RPLA" localSheetId="1" hidden="1">{"'Sheet1'!$L$16"}</definedName>
    <definedName name="RPLA" localSheetId="3" hidden="1">{"'Sheet1'!$L$16"}</definedName>
    <definedName name="RPLA" localSheetId="4" hidden="1">{"'Sheet1'!$L$16"}</definedName>
    <definedName name="RPLA" localSheetId="5" hidden="1">{"'Sheet1'!$L$16"}</definedName>
    <definedName name="RPLA" localSheetId="7" hidden="1">{"'Sheet1'!$L$16"}</definedName>
    <definedName name="RPLA" hidden="1">{"'Sheet1'!$L$16"}</definedName>
    <definedName name="RQ" hidden="1">#REF!</definedName>
    <definedName name="RQWERFAF" hidden="1">#REF!</definedName>
    <definedName name="rr" localSheetId="1" hidden="1">{#N/A,#N/A,FALSE,"단가표지"}</definedName>
    <definedName name="rr" hidden="1">{#N/A,#N/A,FALSE,"단가표지"}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FR" hidden="1">#REF!</definedName>
    <definedName name="rrr" localSheetId="1" hidden="1">{"'Sheet1'!$L$16"}</definedName>
    <definedName name="rrr" localSheetId="3" hidden="1">{"'Sheet1'!$L$16"}</definedName>
    <definedName name="rrr" localSheetId="4" hidden="1">{"'Sheet1'!$L$16"}</definedName>
    <definedName name="rrr" localSheetId="5" hidden="1">{"'Sheet1'!$L$16"}</definedName>
    <definedName name="rrr" localSheetId="7" hidden="1">{"'Sheet1'!$L$16"}</definedName>
    <definedName name="rrr" hidden="1">{"'Sheet1'!$L$16"}</definedName>
    <definedName name="ｒｒｒｒ">{"'Sheet1'!$L$16"}</definedName>
    <definedName name="rrttt" localSheetId="1" hidden="1">{#N/A,#N/A,FALSE,"Chi tiÆt"}</definedName>
    <definedName name="rrttt" localSheetId="3" hidden="1">{#N/A,#N/A,FALSE,"Chi tiÆt"}</definedName>
    <definedName name="rrttt" localSheetId="4" hidden="1">{#N/A,#N/A,FALSE,"Chi tiÆt"}</definedName>
    <definedName name="rrttt" localSheetId="5" hidden="1">{#N/A,#N/A,FALSE,"Chi tiÆt"}</definedName>
    <definedName name="rrttt" localSheetId="7" hidden="1">{#N/A,#N/A,FALSE,"Chi tiÆt"}</definedName>
    <definedName name="rrttt" hidden="1">{#N/A,#N/A,FALSE,"Chi tiÆt"}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ls">{"'Sheet1'!$L$16"}</definedName>
    <definedName name="rsyugiÞh" hidden="1">{"'Sheet1'!$L$16"}</definedName>
    <definedName name="RT">#N/A</definedName>
    <definedName name="RTJR" localSheetId="1" hidden="1">{"'Sheet1'!$L$16"}</definedName>
    <definedName name="RTJR" localSheetId="3" hidden="1">{"'Sheet1'!$L$16"}</definedName>
    <definedName name="RTJR" localSheetId="4" hidden="1">{"'Sheet1'!$L$16"}</definedName>
    <definedName name="RTJR" localSheetId="5" hidden="1">{"'Sheet1'!$L$16"}</definedName>
    <definedName name="RTJR" localSheetId="7" hidden="1">{"'Sheet1'!$L$16"}</definedName>
    <definedName name="RTJR" hidden="1">{"'Sheet1'!$L$16"}</definedName>
    <definedName name="rtsjhjgrkklgklgj" hidden="1">{"'Sheet1'!$L$16"}</definedName>
    <definedName name="rtwerte">#REF!</definedName>
    <definedName name="RTWR" localSheetId="1" hidden="1">{"'Sheet1'!$L$16"}</definedName>
    <definedName name="RTWR" localSheetId="3" hidden="1">{"'Sheet1'!$L$16"}</definedName>
    <definedName name="RTWR" localSheetId="4" hidden="1">{"'Sheet1'!$L$16"}</definedName>
    <definedName name="RTWR" localSheetId="5" hidden="1">{"'Sheet1'!$L$16"}</definedName>
    <definedName name="RTWR" localSheetId="7" hidden="1">{"'Sheet1'!$L$16"}</definedName>
    <definedName name="RTWR" hidden="1">{"'Sheet1'!$L$16"}</definedName>
    <definedName name="rtyrtyt" localSheetId="1" hidden="1">#REF!</definedName>
    <definedName name="rtyrtyt" hidden="1">#REF!</definedName>
    <definedName name="rtyrtyyyyyyyyyyyyyyyyyy">#REF!</definedName>
    <definedName name="rtytry" localSheetId="1" hidden="1">#REF!</definedName>
    <definedName name="rtytry" hidden="1">#REF!</definedName>
    <definedName name="rtr" hidden="1">#REF!</definedName>
    <definedName name="rtrđhjkl" localSheetId="1" hidden="1">{#N/A,#N/A,FALSE,"Chi tiÆt"}</definedName>
    <definedName name="rtrđhjkl" localSheetId="3" hidden="1">{#N/A,#N/A,FALSE,"Chi tiÆt"}</definedName>
    <definedName name="rtrđhjkl" localSheetId="4" hidden="1">{#N/A,#N/A,FALSE,"Chi tiÆt"}</definedName>
    <definedName name="rtrđhjkl" localSheetId="5" hidden="1">{#N/A,#N/A,FALSE,"Chi tiÆt"}</definedName>
    <definedName name="rtrđhjkl" localSheetId="7" hidden="1">{#N/A,#N/A,FALSE,"Chi tiÆt"}</definedName>
    <definedName name="rtrđhjkl" hidden="1">{#N/A,#N/A,FALSE,"Chi tiÆt"}</definedName>
    <definedName name="Rucika_Wavin">#REF!</definedName>
    <definedName name="rưerasf">#REF!</definedName>
    <definedName name="RưERWE">#REF!</definedName>
    <definedName name="RƯET" localSheetId="1" hidden="1">{"'Sheet1'!$L$16"}</definedName>
    <definedName name="RƯET" localSheetId="3" hidden="1">{"'Sheet1'!$L$16"}</definedName>
    <definedName name="RƯET" localSheetId="4" hidden="1">{"'Sheet1'!$L$16"}</definedName>
    <definedName name="RƯET" localSheetId="5" hidden="1">{"'Sheet1'!$L$16"}</definedName>
    <definedName name="RƯET" localSheetId="7" hidden="1">{"'Sheet1'!$L$16"}</definedName>
    <definedName name="RƯET" hidden="1">{"'Sheet1'!$L$16"}</definedName>
    <definedName name="RƯT4WTW" localSheetId="1" hidden="1">{"'Sheet1'!$L$16"}</definedName>
    <definedName name="RƯT4WTW" localSheetId="3" hidden="1">{"'Sheet1'!$L$16"}</definedName>
    <definedName name="RƯT4WTW" localSheetId="4" hidden="1">{"'Sheet1'!$L$16"}</definedName>
    <definedName name="RƯT4WTW" localSheetId="5" hidden="1">{"'Sheet1'!$L$16"}</definedName>
    <definedName name="RƯT4WTW" localSheetId="7" hidden="1">{"'Sheet1'!$L$16"}</definedName>
    <definedName name="RƯT4WTW" hidden="1">{"'Sheet1'!$L$16"}</definedName>
    <definedName name="S" localSheetId="1" hidden="1">{#N/A,#N/A,FALSE,"CCTV"}</definedName>
    <definedName name="S" localSheetId="3" hidden="1">{#N/A,#N/A,FALSE,"CCTV"}</definedName>
    <definedName name="S" localSheetId="4" hidden="1">{#N/A,#N/A,FALSE,"CCTV"}</definedName>
    <definedName name="S" localSheetId="5" hidden="1">{#N/A,#N/A,FALSE,"CCTV"}</definedName>
    <definedName name="S" localSheetId="7" hidden="1">{#N/A,#N/A,FALSE,"CCTV"}</definedName>
    <definedName name="S" hidden="1">{#N/A,#N/A,FALSE,"CCTV"}</definedName>
    <definedName name="S_1">#REF!</definedName>
    <definedName name="S_2">#REF!</definedName>
    <definedName name="sa" localSheetId="1" hidden="1">{"'Sheet1'!$L$16"}</definedName>
    <definedName name="sa" localSheetId="3" hidden="1">{"'Sheet1'!$L$16"}</definedName>
    <definedName name="sa" localSheetId="4" hidden="1">{"'Sheet1'!$L$16"}</definedName>
    <definedName name="sa" localSheetId="5" hidden="1">{"'Sheet1'!$L$16"}</definedName>
    <definedName name="sa" localSheetId="7" hidden="1">{"'Sheet1'!$L$16"}</definedName>
    <definedName name="sa" hidden="1">{"'Sheet1'!$L$16"}</definedName>
    <definedName name="saa" localSheetId="1" hidden="1">{#N/A,#N/A,FALSE,"Sheet2";#N/A,#N/A,FALSE,"Sheet4";#N/A,#N/A,FALSE,"Sheet6"}</definedName>
    <definedName name="saa" localSheetId="3" hidden="1">{#N/A,#N/A,FALSE,"Sheet2";#N/A,#N/A,FALSE,"Sheet4";#N/A,#N/A,FALSE,"Sheet6"}</definedName>
    <definedName name="saa" localSheetId="4" hidden="1">{#N/A,#N/A,FALSE,"Sheet2";#N/A,#N/A,FALSE,"Sheet4";#N/A,#N/A,FALSE,"Sheet6"}</definedName>
    <definedName name="saa" localSheetId="5" hidden="1">{#N/A,#N/A,FALSE,"Sheet2";#N/A,#N/A,FALSE,"Sheet4";#N/A,#N/A,FALSE,"Sheet6"}</definedName>
    <definedName name="saa" localSheetId="7" hidden="1">{#N/A,#N/A,FALSE,"Sheet2";#N/A,#N/A,FALSE,"Sheet4";#N/A,#N/A,FALSE,"Sheet6"}</definedName>
    <definedName name="saa" hidden="1">{#N/A,#N/A,FALSE,"Sheet2";#N/A,#N/A,FALSE,"Sheet4";#N/A,#N/A,FALSE,"Sheet6"}</definedName>
    <definedName name="saada" hidden="1">{#N/A,#N/A,FALSE,"特殊室（ＢＱ表）"}</definedName>
    <definedName name="sach" hidden="1">{"'Sheet1'!$L$16"}</definedName>
    <definedName name="SAD" localSheetId="1" hidden="1">#REF!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¸a" localSheetId="1" hidden="1">{"'Sheet1'!$L$16"}</definedName>
    <definedName name="sadf¸a" localSheetId="3" hidden="1">{"'Sheet1'!$L$16"}</definedName>
    <definedName name="sadf¸a" localSheetId="4" hidden="1">{"'Sheet1'!$L$16"}</definedName>
    <definedName name="sadf¸a" localSheetId="5" hidden="1">{"'Sheet1'!$L$16"}</definedName>
    <definedName name="sadf¸a" localSheetId="7" hidden="1">{"'Sheet1'!$L$16"}</definedName>
    <definedName name="sadf¸a" hidden="1">{"'Sheet1'!$L$16"}</definedName>
    <definedName name="sadfasf">#REF!</definedName>
    <definedName name="sadfasfew">#REF!</definedName>
    <definedName name="sadSa" localSheetId="1" hidden="1">{#N/A,#N/A,FALSE,"Chi tiÆt"}</definedName>
    <definedName name="sadSa" localSheetId="3" hidden="1">{#N/A,#N/A,FALSE,"Chi tiÆt"}</definedName>
    <definedName name="sadSa" localSheetId="4" hidden="1">{#N/A,#N/A,FALSE,"Chi tiÆt"}</definedName>
    <definedName name="sadSa" localSheetId="5" hidden="1">{#N/A,#N/A,FALSE,"Chi tiÆt"}</definedName>
    <definedName name="sadSa" localSheetId="7" hidden="1">{#N/A,#N/A,FALSE,"Chi tiÆt"}</definedName>
    <definedName name="sadSa" hidden="1">{#N/A,#N/A,FALSE,"Chi tiÆt"}</definedName>
    <definedName name="sadsgfjhkhluiluil" hidden="1">#REF!</definedName>
    <definedName name="saerwe4r">#REF!</definedName>
    <definedName name="sagawa" localSheetId="1" hidden="1">#REF!</definedName>
    <definedName name="sagawa" hidden="1">#REF!</definedName>
    <definedName name="sailech" localSheetId="1" hidden="1">{"Offgrid",#N/A,FALSE,"OFFGRID";"Region",#N/A,FALSE,"REGION";"Offgrid -2",#N/A,FALSE,"OFFGRID";"WTP",#N/A,FALSE,"WTP";"WTP -2",#N/A,FALSE,"WTP";"Project",#N/A,FALSE,"PROJECT";"Summary -2",#N/A,FALSE,"SUMMARY"}</definedName>
    <definedName name="sailech" localSheetId="3" hidden="1">{"Offgrid",#N/A,FALSE,"OFFGRID";"Region",#N/A,FALSE,"REGION";"Offgrid -2",#N/A,FALSE,"OFFGRID";"WTP",#N/A,FALSE,"WTP";"WTP -2",#N/A,FALSE,"WTP";"Project",#N/A,FALSE,"PROJECT";"Summary -2",#N/A,FALSE,"SUMMARY"}</definedName>
    <definedName name="sailech" localSheetId="4" hidden="1">{"Offgrid",#N/A,FALSE,"OFFGRID";"Region",#N/A,FALSE,"REGION";"Offgrid -2",#N/A,FALSE,"OFFGRID";"WTP",#N/A,FALSE,"WTP";"WTP -2",#N/A,FALSE,"WTP";"Project",#N/A,FALSE,"PROJECT";"Summary -2",#N/A,FALSE,"SUMMARY"}</definedName>
    <definedName name="sailech" localSheetId="5" hidden="1">{"Offgrid",#N/A,FALSE,"OFFGRID";"Region",#N/A,FALSE,"REGION";"Offgrid -2",#N/A,FALSE,"OFFGRID";"WTP",#N/A,FALSE,"WTP";"WTP -2",#N/A,FALSE,"WTP";"Project",#N/A,FALSE,"PROJECT";"Summary -2",#N/A,FALSE,"SUMMARY"}</definedName>
    <definedName name="sailech" localSheetId="7" hidden="1">{"Offgrid",#N/A,FALSE,"OFFGRID";"Region",#N/A,FALSE,"REGION";"Offgrid -2",#N/A,FALSE,"OFFGRID";"WTP",#N/A,FALSE,"WTP";"WTP -2",#N/A,FALSE,"WTP";"Project",#N/A,FALSE,"PROJECT";"Summary -2",#N/A,FALSE,"SUMMARY"}</definedName>
    <definedName name="sailech" hidden="1">{"Offgrid",#N/A,FALSE,"OFFGRID";"Region",#N/A,FALSE,"REGION";"Offgrid -2",#N/A,FALSE,"OFFGRID";"WTP",#N/A,FALSE,"WTP";"WTP -2",#N/A,FALSE,"WTP";"Project",#N/A,FALSE,"PROJECT";"Summary -2",#N/A,FALSE,"SUMMARY"}</definedName>
    <definedName name="san">#REF!</definedName>
    <definedName name="SAPBEXrevision">1</definedName>
    <definedName name="SAPBEXsysID">"TA2"</definedName>
    <definedName name="SAPBEXwbID">"E9Q3LCWW911VAJ39BASH84PBR"</definedName>
    <definedName name="sas" localSheetId="1" hidden="1">{"'Sheet1'!$L$16"}</definedName>
    <definedName name="sas" hidden="1">{"'Sheet1'!$L$16"}</definedName>
    <definedName name="sasa" localSheetId="1" hidden="1">{#N/A,#N/A,FALSE,"Sheet1";#N/A,#N/A,FALSE,"Sheet3";#N/A,#N/A,FALSE,"Sheet5"}</definedName>
    <definedName name="sasa" localSheetId="3" hidden="1">{#N/A,#N/A,FALSE,"Sheet1";#N/A,#N/A,FALSE,"Sheet3";#N/A,#N/A,FALSE,"Sheet5"}</definedName>
    <definedName name="sasa" localSheetId="4" hidden="1">{#N/A,#N/A,FALSE,"Sheet1";#N/A,#N/A,FALSE,"Sheet3";#N/A,#N/A,FALSE,"Sheet5"}</definedName>
    <definedName name="sasa" localSheetId="5" hidden="1">{#N/A,#N/A,FALSE,"Sheet1";#N/A,#N/A,FALSE,"Sheet3";#N/A,#N/A,FALSE,"Sheet5"}</definedName>
    <definedName name="sasa" localSheetId="7" hidden="1">{#N/A,#N/A,FALSE,"Sheet1";#N/A,#N/A,FALSE,"Sheet3";#N/A,#N/A,FALSE,"Sheet5"}</definedName>
    <definedName name="sasa" hidden="1">{#N/A,#N/A,FALSE,"Sheet1";#N/A,#N/A,FALSE,"Sheet3";#N/A,#N/A,FALSE,"Sheet5"}</definedName>
    <definedName name="sasasasa" localSheetId="1" hidden="1">{"'Sheet1'!$L$16"}</definedName>
    <definedName name="sasasasa" localSheetId="3" hidden="1">{"'Sheet1'!$L$16"}</definedName>
    <definedName name="sasasasa" localSheetId="4" hidden="1">{"'Sheet1'!$L$16"}</definedName>
    <definedName name="sasasasa" localSheetId="5" hidden="1">{"'Sheet1'!$L$16"}</definedName>
    <definedName name="sasasasa" localSheetId="7" hidden="1">{"'Sheet1'!$L$16"}</definedName>
    <definedName name="sasasasa" hidden="1">{"'Sheet1'!$L$16"}</definedName>
    <definedName name="satu">#REF!</definedName>
    <definedName name="Sau">#REF!</definedName>
    <definedName name="sấdf">#REF!</definedName>
    <definedName name="SBSDGBRS" localSheetId="1" hidden="1">{"'Sheet1'!$L$16"}</definedName>
    <definedName name="SBSDGBRS" localSheetId="3" hidden="1">{"'Sheet1'!$L$16"}</definedName>
    <definedName name="SBSDGBRS" localSheetId="4" hidden="1">{"'Sheet1'!$L$16"}</definedName>
    <definedName name="SBSDGBRS" localSheetId="5" hidden="1">{"'Sheet1'!$L$16"}</definedName>
    <definedName name="SBSDGBRS" localSheetId="7" hidden="1">{"'Sheet1'!$L$16"}</definedName>
    <definedName name="SBSDGBRS" hidden="1">{"'Sheet1'!$L$16"}</definedName>
    <definedName name="scẪ" localSheetId="1" hidden="1">{"'Sheet1'!$L$16"}</definedName>
    <definedName name="scẪ" localSheetId="3" hidden="1">{"'Sheet1'!$L$16"}</definedName>
    <definedName name="scẪ" localSheetId="4" hidden="1">{"'Sheet1'!$L$16"}</definedName>
    <definedName name="scẪ" localSheetId="5" hidden="1">{"'Sheet1'!$L$16"}</definedName>
    <definedName name="scẪ" localSheetId="7" hidden="1">{"'Sheet1'!$L$16"}</definedName>
    <definedName name="scẪ" hidden="1">{"'Sheet1'!$L$16"}</definedName>
    <definedName name="scÂC" localSheetId="1" hidden="1">{"'Sheet1'!$L$16"}</definedName>
    <definedName name="scÂC" localSheetId="3" hidden="1">{"'Sheet1'!$L$16"}</definedName>
    <definedName name="scÂC" localSheetId="4" hidden="1">{"'Sheet1'!$L$16"}</definedName>
    <definedName name="scÂC" localSheetId="5" hidden="1">{"'Sheet1'!$L$16"}</definedName>
    <definedName name="scÂC" localSheetId="7" hidden="1">{"'Sheet1'!$L$16"}</definedName>
    <definedName name="scÂC" hidden="1">{"'Sheet1'!$L$16"}</definedName>
    <definedName name="sCol" hidden="1">zIsDgiaCTiet_Gia.VTu*2+3</definedName>
    <definedName name="scr">#REF!</definedName>
    <definedName name="sctcn" hidden="1">{"'Sheet1'!$L$16"}</definedName>
    <definedName name="SCTX">{"'Sheet1'!$L$16"}</definedName>
    <definedName name="SCH">#REF!</definedName>
    <definedName name="sch40w0.5">#REF!</definedName>
    <definedName name="schedule">{"'Sheet1'!$L$16"}</definedName>
    <definedName name="SD" localSheetId="1" hidden="1">{"'ELEC'!$A$2:$H$216","'ELEC'!$C$2:$D$2"}</definedName>
    <definedName name="SD" localSheetId="3" hidden="1">{"'ELEC'!$A$2:$H$216","'ELEC'!$C$2:$D$2"}</definedName>
    <definedName name="SD" localSheetId="4" hidden="1">{"'ELEC'!$A$2:$H$216","'ELEC'!$C$2:$D$2"}</definedName>
    <definedName name="SD" localSheetId="5" hidden="1">{"'ELEC'!$A$2:$H$216","'ELEC'!$C$2:$D$2"}</definedName>
    <definedName name="SD" localSheetId="7" hidden="1">{"'ELEC'!$A$2:$H$216","'ELEC'!$C$2:$D$2"}</definedName>
    <definedName name="SD" hidden="1">{"'ELEC'!$A$2:$H$216","'ELEC'!$C$2:$D$2"}</definedName>
    <definedName name="sd1p">#REF!</definedName>
    <definedName name="sdad" localSheetId="1" hidden="1">{"'Sheet1'!$L$16"}</definedName>
    <definedName name="sdad" localSheetId="3" hidden="1">{"'Sheet1'!$L$16"}</definedName>
    <definedName name="sdad" localSheetId="4" hidden="1">{"'Sheet1'!$L$16"}</definedName>
    <definedName name="sdad" localSheetId="5" hidden="1">{"'Sheet1'!$L$16"}</definedName>
    <definedName name="sdad" localSheetId="7" hidden="1">{"'Sheet1'!$L$16"}</definedName>
    <definedName name="sdad" hidden="1">{"'Sheet1'!$L$16"}</definedName>
    <definedName name="sdcsd" localSheetId="1" hidden="1">{"'Sheet1'!$L$16"}</definedName>
    <definedName name="sdcsd" localSheetId="3" hidden="1">{"'Sheet1'!$L$16"}</definedName>
    <definedName name="sdcsd" localSheetId="4" hidden="1">{"'Sheet1'!$L$16"}</definedName>
    <definedName name="sdcsd" localSheetId="5" hidden="1">{"'Sheet1'!$L$16"}</definedName>
    <definedName name="sdcsd" localSheetId="7" hidden="1">{"'Sheet1'!$L$16"}</definedName>
    <definedName name="sdcsd" hidden="1">{"'Sheet1'!$L$16"}</definedName>
    <definedName name="sdd" localSheetId="1" hidden="1">{"'Sheet1'!$L$16"}</definedName>
    <definedName name="sdd" localSheetId="3" hidden="1">{"'Sheet1'!$L$16"}</definedName>
    <definedName name="sdd" localSheetId="4" hidden="1">{"'Sheet1'!$L$16"}</definedName>
    <definedName name="sdd" localSheetId="5" hidden="1">{"'Sheet1'!$L$16"}</definedName>
    <definedName name="sdd" localSheetId="7" hidden="1">{"'Sheet1'!$L$16"}</definedName>
    <definedName name="sdd" hidden="1">{"'Sheet1'!$L$16"}</definedName>
    <definedName name="sddd">#REF!</definedName>
    <definedName name="sdf" localSheetId="1" hidden="1">{"'Sheet1'!$L$16"}</definedName>
    <definedName name="sdf" localSheetId="3" hidden="1">{"'Sheet1'!$L$16"}</definedName>
    <definedName name="sdf" localSheetId="4" hidden="1">{"'Sheet1'!$L$16"}</definedName>
    <definedName name="sdf" localSheetId="5" hidden="1">{"'Sheet1'!$L$16"}</definedName>
    <definedName name="sdf" localSheetId="7" hidden="1">{"'Sheet1'!$L$16"}</definedName>
    <definedName name="sdf" hidden="1">{"'Sheet1'!$L$16"}</definedName>
    <definedName name="sdfasfd">#REF!</definedName>
    <definedName name="SDFASFSA" localSheetId="1" hidden="1">{"'Sheet1'!$L$16"}</definedName>
    <definedName name="SDFASFSA" localSheetId="3" hidden="1">{"'Sheet1'!$L$16"}</definedName>
    <definedName name="SDFASFSA" localSheetId="4" hidden="1">{"'Sheet1'!$L$16"}</definedName>
    <definedName name="SDFASFSA" localSheetId="5" hidden="1">{"'Sheet1'!$L$16"}</definedName>
    <definedName name="SDFASFSA" localSheetId="7" hidden="1">{"'Sheet1'!$L$16"}</definedName>
    <definedName name="SDFASFSA" hidden="1">{"'Sheet1'!$L$16"}</definedName>
    <definedName name="sdfastgawtwqetr" hidden="1">#REF!</definedName>
    <definedName name="sdfda" localSheetId="1" hidden="1">{"'Sheet1'!$L$16"}</definedName>
    <definedName name="sdfda" localSheetId="3" hidden="1">{"'Sheet1'!$L$16"}</definedName>
    <definedName name="sdfda" localSheetId="4" hidden="1">{"'Sheet1'!$L$16"}</definedName>
    <definedName name="sdfda" localSheetId="5" hidden="1">{"'Sheet1'!$L$16"}</definedName>
    <definedName name="sdfda" localSheetId="7" hidden="1">{"'Sheet1'!$L$16"}</definedName>
    <definedName name="sdfda" hidden="1">{"'Sheet1'!$L$16"}</definedName>
    <definedName name="sdfdf" hidden="1">#REF!</definedName>
    <definedName name="sdffg" hidden="1">{"'Sheet1'!$L$16"}</definedName>
    <definedName name="sdfgadfg">#REF!</definedName>
    <definedName name="sdfgdht">#REF!</definedName>
    <definedName name="sdfgdsfg">#REF!</definedName>
    <definedName name="SDFGFDG">#REF!</definedName>
    <definedName name="sdfghh">#REF!</definedName>
    <definedName name="sdfgsdfg">#REF!</definedName>
    <definedName name="sdfgsdfgs">#REF!</definedName>
    <definedName name="sdfgxcvb">#REF!</definedName>
    <definedName name="sdfhsf" hidden="1">#REF!</definedName>
    <definedName name="sdfsdf" localSheetId="1" hidden="1">#REF!</definedName>
    <definedName name="sdfsdf" hidden="1">#REF!</definedName>
    <definedName name="sdfsdfsd" localSheetId="1" hidden="1">{"'Sheet1'!$L$16"}</definedName>
    <definedName name="sdfsdfsd" localSheetId="3" hidden="1">{"'Sheet1'!$L$16"}</definedName>
    <definedName name="sdfsdfsd" localSheetId="4" hidden="1">{"'Sheet1'!$L$16"}</definedName>
    <definedName name="sdfsdfsd" localSheetId="5" hidden="1">{"'Sheet1'!$L$16"}</definedName>
    <definedName name="sdfsdfsd" localSheetId="7" hidden="1">{"'Sheet1'!$L$16"}</definedName>
    <definedName name="sdfsdfsd" hidden="1">{"'Sheet1'!$L$16"}</definedName>
    <definedName name="SDFSDFSDF">#REF!</definedName>
    <definedName name="SDFSDFSFDFS">#REF!</definedName>
    <definedName name="SDFSDFưERWE">#REF!</definedName>
    <definedName name="sdfsdfv" hidden="1">#REF!</definedName>
    <definedName name="SDFSDFWE">#REF!</definedName>
    <definedName name="SDFSDFZ">#REF!</definedName>
    <definedName name="SDFSDGD" localSheetId="1" hidden="1">{"'Sheet1'!$L$16"}</definedName>
    <definedName name="SDFSDGD" localSheetId="3" hidden="1">{"'Sheet1'!$L$16"}</definedName>
    <definedName name="SDFSDGD" localSheetId="4" hidden="1">{"'Sheet1'!$L$16"}</definedName>
    <definedName name="SDFSDGD" localSheetId="5" hidden="1">{"'Sheet1'!$L$16"}</definedName>
    <definedName name="SDFSDGD" localSheetId="7" hidden="1">{"'Sheet1'!$L$16"}</definedName>
    <definedName name="SDFSDGD" hidden="1">{"'Sheet1'!$L$16"}</definedName>
    <definedName name="SDFSDGF" localSheetId="1" hidden="1">{"'Sheet1'!$L$16"}</definedName>
    <definedName name="SDFSDGF" localSheetId="3" hidden="1">{"'Sheet1'!$L$16"}</definedName>
    <definedName name="SDFSDGF" localSheetId="4" hidden="1">{"'Sheet1'!$L$16"}</definedName>
    <definedName name="SDFSDGF" localSheetId="5" hidden="1">{"'Sheet1'!$L$16"}</definedName>
    <definedName name="SDFSDGF" localSheetId="7" hidden="1">{"'Sheet1'!$L$16"}</definedName>
    <definedName name="SDFSDGF" hidden="1">{"'Sheet1'!$L$16"}</definedName>
    <definedName name="SDFSDGSG">#REF!</definedName>
    <definedName name="SDFSDS">#REF!</definedName>
    <definedName name="SDFSE" localSheetId="1" hidden="1">{"'Sheet1'!$L$16"}</definedName>
    <definedName name="SDFSE" localSheetId="3" hidden="1">{"'Sheet1'!$L$16"}</definedName>
    <definedName name="SDFSE" localSheetId="4" hidden="1">{"'Sheet1'!$L$16"}</definedName>
    <definedName name="SDFSE" localSheetId="5" hidden="1">{"'Sheet1'!$L$16"}</definedName>
    <definedName name="SDFSE" localSheetId="7" hidden="1">{"'Sheet1'!$L$16"}</definedName>
    <definedName name="SDFSE" hidden="1">{"'Sheet1'!$L$16"}</definedName>
    <definedName name="SDFSGSDFG">#REF!</definedName>
    <definedName name="sdg" hidden="1">#REF!</definedName>
    <definedName name="sdgadh">#REF!</definedName>
    <definedName name="sdgfjhfj">{"'Sheet1'!$L$16"}</definedName>
    <definedName name="SDGSDG" localSheetId="1" hidden="1">{"'Sheet1'!$L$16"}</definedName>
    <definedName name="SDGSDG" localSheetId="3" hidden="1">{"'Sheet1'!$L$16"}</definedName>
    <definedName name="SDGSDG" localSheetId="4" hidden="1">{"'Sheet1'!$L$16"}</definedName>
    <definedName name="SDGSDG" localSheetId="5" hidden="1">{"'Sheet1'!$L$16"}</definedName>
    <definedName name="SDGSDG" localSheetId="7" hidden="1">{"'Sheet1'!$L$16"}</definedName>
    <definedName name="SDGSDG" hidden="1">{"'Sheet1'!$L$16"}</definedName>
    <definedName name="SDGSDHET" localSheetId="1" hidden="1">{"'Sheet1'!$L$16"}</definedName>
    <definedName name="SDGSDHET" localSheetId="3" hidden="1">{"'Sheet1'!$L$16"}</definedName>
    <definedName name="SDGSDHET" localSheetId="4" hidden="1">{"'Sheet1'!$L$16"}</definedName>
    <definedName name="SDGSDHET" localSheetId="5" hidden="1">{"'Sheet1'!$L$16"}</definedName>
    <definedName name="SDGSDHET" localSheetId="7" hidden="1">{"'Sheet1'!$L$16"}</definedName>
    <definedName name="SDGSDHET" hidden="1">{"'Sheet1'!$L$16"}</definedName>
    <definedName name="SDGWRSRWG" localSheetId="1" hidden="1">{"'Sheet1'!$L$16"}</definedName>
    <definedName name="SDGWRSRWG" localSheetId="3" hidden="1">{"'Sheet1'!$L$16"}</definedName>
    <definedName name="SDGWRSRWG" localSheetId="4" hidden="1">{"'Sheet1'!$L$16"}</definedName>
    <definedName name="SDGWRSRWG" localSheetId="5" hidden="1">{"'Sheet1'!$L$16"}</definedName>
    <definedName name="SDGWRSRWG" localSheetId="7" hidden="1">{"'Sheet1'!$L$16"}</definedName>
    <definedName name="SDGWRSRWG" hidden="1">{"'Sheet1'!$L$16"}</definedName>
    <definedName name="sdhdfg">#REF!</definedName>
    <definedName name="sdhsdfg">#REF!</definedName>
    <definedName name="SDMONG">#REF!</definedName>
    <definedName name="sdo">#REF!</definedName>
    <definedName name="SDS" localSheetId="1" hidden="1">{#N/A,#N/A,FALSE,"Sheet1";#N/A,#N/A,FALSE,"Sheet3";#N/A,#N/A,FALSE,"Sheet5"}</definedName>
    <definedName name="SDS" localSheetId="3" hidden="1">{#N/A,#N/A,FALSE,"Sheet1";#N/A,#N/A,FALSE,"Sheet3";#N/A,#N/A,FALSE,"Sheet5"}</definedName>
    <definedName name="SDS" localSheetId="4" hidden="1">{#N/A,#N/A,FALSE,"Sheet1";#N/A,#N/A,FALSE,"Sheet3";#N/A,#N/A,FALSE,"Sheet5"}</definedName>
    <definedName name="SDS" localSheetId="5" hidden="1">{#N/A,#N/A,FALSE,"Sheet1";#N/A,#N/A,FALSE,"Sheet3";#N/A,#N/A,FALSE,"Sheet5"}</definedName>
    <definedName name="SDS" localSheetId="7" hidden="1">{#N/A,#N/A,FALSE,"Sheet1";#N/A,#N/A,FALSE,"Sheet3";#N/A,#N/A,FALSE,"Sheet5"}</definedName>
    <definedName name="SDS" hidden="1">{#N/A,#N/A,FALSE,"Sheet1";#N/A,#N/A,FALSE,"Sheet3";#N/A,#N/A,FALSE,"Sheet5"}</definedName>
    <definedName name="sdsa">#REF!</definedName>
    <definedName name="sdsd" localSheetId="1" hidden="1">{#N/A,#N/A,FALSE,"Chi tiÆt"}</definedName>
    <definedName name="sdsd" localSheetId="3" hidden="1">{#N/A,#N/A,FALSE,"Chi tiÆt"}</definedName>
    <definedName name="sdsd" localSheetId="4" hidden="1">{#N/A,#N/A,FALSE,"Chi tiÆt"}</definedName>
    <definedName name="sdsd" localSheetId="5" hidden="1">{#N/A,#N/A,FALSE,"Chi tiÆt"}</definedName>
    <definedName name="sdsd" localSheetId="7" hidden="1">{#N/A,#N/A,FALSE,"Chi tiÆt"}</definedName>
    <definedName name="sdsd" hidden="1">{#N/A,#N/A,FALSE,"Chi tiÆt"}</definedName>
    <definedName name="sdz">{"'Sheet1'!$L$16"}</definedName>
    <definedName name="SEGSD" localSheetId="1" hidden="1">{"NGUYEN QUI THIEP - Personal View",#N/A,FALSE,"XDCB.HT.FUR."}</definedName>
    <definedName name="SEGSD" localSheetId="3" hidden="1">{"NGUYEN QUI THIEP - Personal View",#N/A,FALSE,"XDCB.HT.FUR."}</definedName>
    <definedName name="SEGSD" localSheetId="4" hidden="1">{"NGUYEN QUI THIEP - Personal View",#N/A,FALSE,"XDCB.HT.FUR."}</definedName>
    <definedName name="SEGSD" localSheetId="5" hidden="1">{"NGUYEN QUI THIEP - Personal View",#N/A,FALSE,"XDCB.HT.FUR."}</definedName>
    <definedName name="SEGSD" localSheetId="7" hidden="1">{"NGUYEN QUI THIEP - Personal View",#N/A,FALSE,"XDCB.HT.FUR."}</definedName>
    <definedName name="SEGSD" hidden="1">{"NGUYEN QUI THIEP - Personal View",#N/A,FALSE,"XDCB.HT.FUR."}</definedName>
    <definedName name="Selimut">#REF!</definedName>
    <definedName name="semen">#REF!</definedName>
    <definedName name="sen">{"'Sheet1'!$L$16"}</definedName>
    <definedName name="sencount" hidden="1">2</definedName>
    <definedName name="seng">#REF!</definedName>
    <definedName name="SỂDSF">#REF!</definedName>
    <definedName name="sf">{"'Sheet1'!$L$16"}</definedName>
    <definedName name="SFA" localSheetId="1" hidden="1">#REF!</definedName>
    <definedName name="SFA" hidden="1">#REF!</definedName>
    <definedName name="SFasfa" hidden="1">{"'Sheet1'!$L$16"}</definedName>
    <definedName name="SFBAS" localSheetId="1" hidden="1">{"'Sheet1'!$L$16"}</definedName>
    <definedName name="SFBAS" localSheetId="3" hidden="1">{"'Sheet1'!$L$16"}</definedName>
    <definedName name="SFBAS" localSheetId="4" hidden="1">{"'Sheet1'!$L$16"}</definedName>
    <definedName name="SFBAS" localSheetId="5" hidden="1">{"'Sheet1'!$L$16"}</definedName>
    <definedName name="SFBAS" localSheetId="7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localSheetId="1" hidden="1">{"'Sheet1'!$L$16"}</definedName>
    <definedName name="SFEFSG" localSheetId="3" hidden="1">{"'Sheet1'!$L$16"}</definedName>
    <definedName name="SFEFSG" localSheetId="4" hidden="1">{"'Sheet1'!$L$16"}</definedName>
    <definedName name="SFEFSG" localSheetId="5" hidden="1">{"'Sheet1'!$L$16"}</definedName>
    <definedName name="SFEFSG" localSheetId="7" hidden="1">{"'Sheet1'!$L$16"}</definedName>
    <definedName name="SFEFSG" hidden="1">{"'Sheet1'!$L$16"}</definedName>
    <definedName name="sfgsdf" hidden="1">#REF!</definedName>
    <definedName name="sfsd" localSheetId="1" hidden="1">{"'Sheet1'!$L$16"}</definedName>
    <definedName name="sfsd" localSheetId="3" hidden="1">{"'Sheet1'!$L$16"}</definedName>
    <definedName name="sfsd" localSheetId="4" hidden="1">{"'Sheet1'!$L$16"}</definedName>
    <definedName name="sfsd" localSheetId="5" hidden="1">{"'Sheet1'!$L$16"}</definedName>
    <definedName name="sfsd" localSheetId="7" hidden="1">{"'Sheet1'!$L$16"}</definedName>
    <definedName name="sfsd" hidden="1">{"'Sheet1'!$L$16"}</definedName>
    <definedName name="SFSDF">#REF!</definedName>
    <definedName name="SFSDFWER">#REF!</definedName>
    <definedName name="SFSER">#REF!</definedName>
    <definedName name="sfsfafafaf" localSheetId="1" hidden="1">{"'Sheet1'!$L$16"}</definedName>
    <definedName name="sfsfafafaf" localSheetId="3" hidden="1">{"'Sheet1'!$L$16"}</definedName>
    <definedName name="sfsfafafaf" localSheetId="4" hidden="1">{"'Sheet1'!$L$16"}</definedName>
    <definedName name="sfsfafafaf" localSheetId="5" hidden="1">{"'Sheet1'!$L$16"}</definedName>
    <definedName name="sfsfafafaf" localSheetId="7" hidden="1">{"'Sheet1'!$L$16"}</definedName>
    <definedName name="sfsfafafaf" hidden="1">{"'Sheet1'!$L$16"}</definedName>
    <definedName name="sfvd100">#REF!</definedName>
    <definedName name="sgasgreg" hidden="1">#REF!</definedName>
    <definedName name="SGFDG">#REF!</definedName>
    <definedName name="SGG" localSheetId="1" hidden="1">{"'Sheet1'!$L$16"}</definedName>
    <definedName name="SGG" localSheetId="3" hidden="1">{"'Sheet1'!$L$16"}</definedName>
    <definedName name="SGG" localSheetId="4" hidden="1">{"'Sheet1'!$L$16"}</definedName>
    <definedName name="SGG" localSheetId="5" hidden="1">{"'Sheet1'!$L$16"}</definedName>
    <definedName name="SGG" localSheetId="7" hidden="1">{"'Sheet1'!$L$16"}</definedName>
    <definedName name="SGG" hidden="1">{"'Sheet1'!$L$16"}</definedName>
    <definedName name="sgjhk" localSheetId="1" hidden="1">{"'Sheet1'!$L$16"}</definedName>
    <definedName name="sgjhk" localSheetId="3" hidden="1">{"'Sheet1'!$L$16"}</definedName>
    <definedName name="sgjhk" localSheetId="4" hidden="1">{"'Sheet1'!$L$16"}</definedName>
    <definedName name="sgjhk" localSheetId="5" hidden="1">{"'Sheet1'!$L$16"}</definedName>
    <definedName name="sgjhk" localSheetId="7" hidden="1">{"'Sheet1'!$L$16"}</definedName>
    <definedName name="sgjhk" hidden="1">{"'Sheet1'!$L$16"}</definedName>
    <definedName name="sgs" localSheetId="1" hidden="1">{"'Sheet1'!$L$16"}</definedName>
    <definedName name="sgs" localSheetId="3" hidden="1">{"'Sheet1'!$L$16"}</definedName>
    <definedName name="sgs" localSheetId="4" hidden="1">{"'Sheet1'!$L$16"}</definedName>
    <definedName name="sgs" localSheetId="5" hidden="1">{"'Sheet1'!$L$16"}</definedName>
    <definedName name="sgs" localSheetId="7" hidden="1">{"'Sheet1'!$L$16"}</definedName>
    <definedName name="sgs" hidden="1">{"'Sheet1'!$L$16"}</definedName>
    <definedName name="SGSDF">#REF!</definedName>
    <definedName name="sh" hidden="1">{"'Sheet1'!$L$16"}</definedName>
    <definedName name="shdfjjft" hidden="1">{"'Sheet1'!$L$16"}</definedName>
    <definedName name="shee12">{"'Sheet1'!$L$16"}</definedName>
    <definedName name="Sheet1">#REF!</definedName>
    <definedName name="Sheet2" localSheetId="1" hidden="1">{#N/A,#N/A,FALSE,"Sheet1"}</definedName>
    <definedName name="Sheet2" localSheetId="3" hidden="1">{#N/A,#N/A,FALSE,"Sheet1"}</definedName>
    <definedName name="Sheet2" localSheetId="4" hidden="1">{#N/A,#N/A,FALSE,"Sheet1"}</definedName>
    <definedName name="Sheet2" localSheetId="5" hidden="1">{#N/A,#N/A,FALSE,"Sheet1"}</definedName>
    <definedName name="Sheet2" localSheetId="7" hidden="1">{#N/A,#N/A,FALSE,"Sheet1"}</definedName>
    <definedName name="Sheet2" hidden="1">{#N/A,#N/A,FALSE,"Sheet1"}</definedName>
    <definedName name="sheet3" localSheetId="1" hidden="1">{"NGUYEN QUI THIEP - Personal View",#N/A,FALSE,"XDCB.HT.FUR."}</definedName>
    <definedName name="sheet3" localSheetId="3" hidden="1">{"NGUYEN QUI THIEP - Personal View",#N/A,FALSE,"XDCB.HT.FUR."}</definedName>
    <definedName name="sheet3" localSheetId="4" hidden="1">{"NGUYEN QUI THIEP - Personal View",#N/A,FALSE,"XDCB.HT.FUR."}</definedName>
    <definedName name="sheet3" localSheetId="5" hidden="1">{"NGUYEN QUI THIEP - Personal View",#N/A,FALSE,"XDCB.HT.FUR."}</definedName>
    <definedName name="sheet3" localSheetId="7" hidden="1">{"NGUYEN QUI THIEP - Personal View",#N/A,FALSE,"XDCB.HT.FUR."}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GREGER" localSheetId="1" hidden="1">{"NGUYEN QUI THIEP - Personal View",#N/A,FALSE,"XDCB.HT.FUR."}</definedName>
    <definedName name="SHGREGER" localSheetId="3" hidden="1">{"NGUYEN QUI THIEP - Personal View",#N/A,FALSE,"XDCB.HT.FUR."}</definedName>
    <definedName name="SHGREGER" localSheetId="4" hidden="1">{"NGUYEN QUI THIEP - Personal View",#N/A,FALSE,"XDCB.HT.FUR."}</definedName>
    <definedName name="SHGREGER" localSheetId="5" hidden="1">{"NGUYEN QUI THIEP - Personal View",#N/A,FALSE,"XDCB.HT.FUR."}</definedName>
    <definedName name="SHGREGER" localSheetId="7" hidden="1">{"NGUYEN QUI THIEP - Personal View",#N/A,FALSE,"XDCB.HT.FUR."}</definedName>
    <definedName name="SHGREGER" hidden="1">{"NGUYEN QUI THIEP - Personal View",#N/A,FALSE,"XDCB.HT.FUR."}</definedName>
    <definedName name="sho">#REF!</definedName>
    <definedName name="sHsVlNcCm" localSheetId="4" hidden="1">VALUE(IF(LEFT(OFFSET([0]!Acell,0,-4),1)="A",dTHKP_HsVl,IF(LEFT(OFFSET([0]!Acell,0,-4),1)="B",dTHKP_HsNc,dTHKP_HsCm)))</definedName>
    <definedName name="sHsVlNcCm" localSheetId="13" hidden="1">VALUE(IF(LEFT(OFFSET([0]!Acell,0,-4),1)="A",dTHKP_HsVl,IF(LEFT(OFFSET([0]!Acell,0,-4),1)="B",dTHKP_HsNc,dTHKP_HsCm)))</definedName>
    <definedName name="sHsVlNcCm" localSheetId="15" hidden="1">VALUE(IF(LEFT(OFFSET([0]!Acell,0,-4),1)="A",dTHKP_HsVl,IF(LEFT(OFFSET([0]!Acell,0,-4),1)="B",dTHKP_HsNc,dTHKP_HsCm)))</definedName>
    <definedName name="sHsVlNcCm" localSheetId="12" hidden="1">VALUE(IF(LEFT(OFFSET([0]!Acell,0,-4),1)="A",dTHKP_HsVl,IF(LEFT(OFFSET([0]!Acell,0,-4),1)="B",dTHKP_HsNc,dTHKP_HsCm)))</definedName>
    <definedName name="sHsVlNcCm" localSheetId="14" hidden="1">VALUE(IF(LEFT(OFFSET([0]!Acell,0,-4),1)="A",dTHKP_HsVl,IF(LEFT(OFFSET([0]!Acell,0,-4),1)="B",dTHKP_HsNc,dTHKP_HsCm)))</definedName>
    <definedName name="sHsVlNcCm" localSheetId="11" hidden="1">VALUE(IF(LEFT(OFFSET([0]!Acell,0,-4),1)="A",dTHKP_HsVl,IF(LEFT(OFFSET([0]!Acell,0,-4),1)="B",dTHKP_HsNc,dTHKP_HsCm)))</definedName>
    <definedName name="sHsVlNcCm" localSheetId="10" hidden="1">VALUE(IF(LEFT(OFFSET([0]!Acell,0,-4),1)="A",dTHKP_HsVl,IF(LEFT(OFFSET([0]!Acell,0,-4),1)="B",dTHKP_HsNc,dTHKP_HsCm)))</definedName>
    <definedName name="sHsVlNcCm" hidden="1">VALUE(IF(LEFT(OFFSET(Acell,0,-4),1)="A",dTHKP_HsVl,IF(LEFT(OFFSET(Acell,0,-4),1)="B",dTHKP_HsNc,dTHKP_HsCm)))</definedName>
    <definedName name="sht1p">#REF!</definedName>
    <definedName name="sieucao">#REF!</definedName>
    <definedName name="SIPIL">#REF!</definedName>
    <definedName name="sirtu">#REF!</definedName>
    <definedName name="SiteArea">#REF!</definedName>
    <definedName name="SiteexRatio">#REF!</definedName>
    <definedName name="SIZE">#REF!</definedName>
    <definedName name="SK">0.1</definedName>
    <definedName name="skd">#N/A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NCDKMay">#REF!</definedName>
    <definedName name="SMBA">#REF!</definedName>
    <definedName name="sMh" localSheetId="4" hidden="1">IF(LEFT(OFFSET([0]!Acell,0,-6),1)="1",dVTu_Mh,IF(LEFT(OFFSET([0]!Acell,0,-6),1)="2",dNCong_Mh,dCMay_Mh))</definedName>
    <definedName name="sMh" localSheetId="13" hidden="1">IF(LEFT(OFFSET([0]!Acell,0,-6),1)="1",dVTu_Mh,IF(LEFT(OFFSET([0]!Acell,0,-6),1)="2",dNCong_Mh,dCMay_Mh))</definedName>
    <definedName name="sMh" localSheetId="15" hidden="1">IF(LEFT(OFFSET([0]!Acell,0,-6),1)="1",dVTu_Mh,IF(LEFT(OFFSET([0]!Acell,0,-6),1)="2",dNCong_Mh,dCMay_Mh))</definedName>
    <definedName name="sMh" localSheetId="12" hidden="1">IF(LEFT(OFFSET([0]!Acell,0,-6),1)="1",dVTu_Mh,IF(LEFT(OFFSET([0]!Acell,0,-6),1)="2",dNCong_Mh,dCMay_Mh))</definedName>
    <definedName name="sMh" localSheetId="14" hidden="1">IF(LEFT(OFFSET([0]!Acell,0,-6),1)="1",dVTu_Mh,IF(LEFT(OFFSET([0]!Acell,0,-6),1)="2",dNCong_Mh,dCMay_Mh))</definedName>
    <definedName name="sMh" localSheetId="11" hidden="1">IF(LEFT(OFFSET([0]!Acell,0,-6),1)="1",dVTu_Mh,IF(LEFT(OFFSET([0]!Acell,0,-6),1)="2",dNCong_Mh,dCMay_Mh))</definedName>
    <definedName name="sMh" localSheetId="10" hidden="1">IF(LEFT(OFFSET([0]!Acell,0,-6),1)="1",dVTu_Mh,IF(LEFT(OFFSET([0]!Acell,0,-6),1)="2",dNCong_Mh,dCMay_Mh))</definedName>
    <definedName name="sMh" hidden="1">IF(LEFT(OFFSET(Acell,0,-6),1)="1",dVTu_Mh,IF(LEFT(OFFSET(Acell,0,-6),1)="2",dNCong_Mh,dCMay_Mh))</definedName>
    <definedName name="sName" localSheetId="4" hidden="1">IF(LEFT(OFFSET([0]!Acell,0,-6),1)="1",dVTu_Name,IF(LEFT(OFFSET([0]!Acell,0,-6),1)="2",dNCong_Name,dCMay_Name))</definedName>
    <definedName name="sName" localSheetId="13" hidden="1">IF(LEFT(OFFSET([0]!Acell,0,-6),1)="1",dVTu_Name,IF(LEFT(OFFSET([0]!Acell,0,-6),1)="2",dNCong_Name,dCMay_Name))</definedName>
    <definedName name="sName" localSheetId="15" hidden="1">IF(LEFT(OFFSET([0]!Acell,0,-6),1)="1",dVTu_Name,IF(LEFT(OFFSET([0]!Acell,0,-6),1)="2",dNCong_Name,dCMay_Name))</definedName>
    <definedName name="sName" localSheetId="12" hidden="1">IF(LEFT(OFFSET([0]!Acell,0,-6),1)="1",dVTu_Name,IF(LEFT(OFFSET([0]!Acell,0,-6),1)="2",dNCong_Name,dCMay_Name))</definedName>
    <definedName name="sName" localSheetId="14" hidden="1">IF(LEFT(OFFSET([0]!Acell,0,-6),1)="1",dVTu_Name,IF(LEFT(OFFSET([0]!Acell,0,-6),1)="2",dNCong_Name,dCMay_Name))</definedName>
    <definedName name="sName" localSheetId="11" hidden="1">IF(LEFT(OFFSET([0]!Acell,0,-6),1)="1",dVTu_Name,IF(LEFT(OFFSET([0]!Acell,0,-6),1)="2",dNCong_Name,dCMay_Name))</definedName>
    <definedName name="sName" localSheetId="10" hidden="1">IF(LEFT(OFFSET([0]!Acell,0,-6),1)="1",dVTu_Name,IF(LEFT(OFFSET([0]!Acell,0,-6),1)="2",dNCong_Name,dCMay_Name))</definedName>
    <definedName name="sName" hidden="1">IF(LEFT(OFFSET(Acell,0,-6),1)="1",dVTu_Name,IF(LEFT(OFFSET(Acell,0,-6),1)="2",dNCong_Name,dCMay_Name))</definedName>
    <definedName name="soc3p">#REF!</definedName>
    <definedName name="sodu">{"'Sheet1'!$L$16"}</definedName>
    <definedName name="Soi">#REF!</definedName>
    <definedName name="SoilType">#REF!</definedName>
    <definedName name="solieu">#REF!</definedName>
    <definedName name="solver_lin">0</definedName>
    <definedName name="solver_num">0</definedName>
    <definedName name="solver_typ">3</definedName>
    <definedName name="solver_val">231184</definedName>
    <definedName name="son">{"QL 32 -TBGTI.xls","Sheet1"}</definedName>
    <definedName name="SoNgCong">#REF!</definedName>
    <definedName name="SORT">#REF!</definedName>
    <definedName name="SORT_AREA">#N/A</definedName>
    <definedName name="SortName">#REF!</definedName>
    <definedName name="Sosanh2">{"'Sheet1'!$L$16"}</definedName>
    <definedName name="SP">#N/A</definedName>
    <definedName name="Spample">{"'Sheet1'!$L$16"}</definedName>
    <definedName name="SPAN">#REF!</definedName>
    <definedName name="SPAN_No">#REF!</definedName>
    <definedName name="Spanner_Auto_File">"C:\My Documents\tinh cdo.x2a"</definedName>
    <definedName name="SPEC">#REF!</definedName>
    <definedName name="SpecialPrice" localSheetId="1" hidden="1">#REF!</definedName>
    <definedName name="SpecialPrice" hidden="1">#REF!</definedName>
    <definedName name="SPECSUMMARY">#REF!</definedName>
    <definedName name="spk1p">#REF!</definedName>
    <definedName name="SPL">#REF!</definedName>
    <definedName name="sRng" localSheetId="4" hidden="1">IF(LEFT(OFFSET([0]!Acell,0,-6),1)="1",dVTu_Rng,IF(LEFT(OFFSET([0]!Acell,0,-6),1)="2",dNCong_Rng,dCMay_Rng))</definedName>
    <definedName name="sRng" localSheetId="13" hidden="1">IF(LEFT(OFFSET([0]!Acell,0,-6),1)="1",dVTu_Rng,IF(LEFT(OFFSET([0]!Acell,0,-6),1)="2",dNCong_Rng,dCMay_Rng))</definedName>
    <definedName name="sRng" localSheetId="15" hidden="1">IF(LEFT(OFFSET([0]!Acell,0,-6),1)="1",dVTu_Rng,IF(LEFT(OFFSET([0]!Acell,0,-6),1)="2",dNCong_Rng,dCMay_Rng))</definedName>
    <definedName name="sRng" localSheetId="12" hidden="1">IF(LEFT(OFFSET([0]!Acell,0,-6),1)="1",dVTu_Rng,IF(LEFT(OFFSET([0]!Acell,0,-6),1)="2",dNCong_Rng,dCMay_Rng))</definedName>
    <definedName name="sRng" localSheetId="14" hidden="1">IF(LEFT(OFFSET([0]!Acell,0,-6),1)="1",dVTu_Rng,IF(LEFT(OFFSET([0]!Acell,0,-6),1)="2",dNCong_Rng,dCMay_Rng))</definedName>
    <definedName name="sRng" localSheetId="11" hidden="1">IF(LEFT(OFFSET([0]!Acell,0,-6),1)="1",dVTu_Rng,IF(LEFT(OFFSET([0]!Acell,0,-6),1)="2",dNCong_Rng,dCMay_Rng))</definedName>
    <definedName name="sRng" localSheetId="10" hidden="1">IF(LEFT(OFFSET([0]!Acell,0,-6),1)="1",dVTu_Rng,IF(LEFT(OFFSET([0]!Acell,0,-6),1)="2",dNCong_Rng,dCMay_Rng))</definedName>
    <definedName name="sRng" hidden="1">IF(LEFT(OFFSET(Acell,0,-6),1)="1",dVTu_Rng,IF(LEFT(OFFSET(Acell,0,-6),1)="2",dNCong_Rng,dCMay_Rng))</definedName>
    <definedName name="SRTWER" localSheetId="1" hidden="1">{"'Sheet1'!$L$16"}</definedName>
    <definedName name="SRTWER" localSheetId="3" hidden="1">{"'Sheet1'!$L$16"}</definedName>
    <definedName name="SRTWER" localSheetId="4" hidden="1">{"'Sheet1'!$L$16"}</definedName>
    <definedName name="SRTWER" localSheetId="5" hidden="1">{"'Sheet1'!$L$16"}</definedName>
    <definedName name="SRTWER" localSheetId="7" hidden="1">{"'Sheet1'!$L$16"}</definedName>
    <definedName name="SRTWER" hidden="1">{"'Sheet1'!$L$16"}</definedName>
    <definedName name="ss" localSheetId="1">BlankMacro1</definedName>
    <definedName name="SS" localSheetId="3" hidden="1">{"'Sheet1'!$L$16"}</definedName>
    <definedName name="SS" localSheetId="4" hidden="1">{"'Sheet1'!$L$16"}</definedName>
    <definedName name="SS" localSheetId="5" hidden="1">{"'Sheet1'!$L$16"}</definedName>
    <definedName name="SS" localSheetId="7" hidden="1">{"'Sheet1'!$L$16"}</definedName>
    <definedName name="SS" hidden="1">{"'Sheet1'!$L$16"}</definedName>
    <definedName name="sss" localSheetId="1" hidden="1">{#N/A,#N/A,FALSE,"전력간선"}</definedName>
    <definedName name="sss" localSheetId="3" hidden="1">{#N/A,#N/A,FALSE,"전력간선"}</definedName>
    <definedName name="sss" localSheetId="4" hidden="1">{#N/A,#N/A,FALSE,"전력간선"}</definedName>
    <definedName name="sss" localSheetId="5" hidden="1">{#N/A,#N/A,FALSE,"전력간선"}</definedName>
    <definedName name="sss" localSheetId="7" hidden="1">{#N/A,#N/A,FALSE,"전력간선"}</definedName>
    <definedName name="sss" hidden="1">{#N/A,#N/A,FALSE,"전력간선"}</definedName>
    <definedName name="sssdsdsd" hidden="1">#REF!</definedName>
    <definedName name="ssss">#REF!</definedName>
    <definedName name="ssssssss" localSheetId="1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3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4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5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7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ssssssss" localSheetId="1" hidden="1">{#N/A,#N/A,FALSE,"Chi tiÆt"}</definedName>
    <definedName name="sssssssss" localSheetId="3" hidden="1">{#N/A,#N/A,FALSE,"Chi tiÆt"}</definedName>
    <definedName name="sssssssss" localSheetId="4" hidden="1">{#N/A,#N/A,FALSE,"Chi tiÆt"}</definedName>
    <definedName name="sssssssss" localSheetId="5" hidden="1">{#N/A,#N/A,FALSE,"Chi tiÆt"}</definedName>
    <definedName name="sssssssss" localSheetId="7" hidden="1">{#N/A,#N/A,FALSE,"Chi tiÆt"}</definedName>
    <definedName name="sssssssss" hidden="1">{#N/A,#N/A,FALSE,"Chi tiÆt"}</definedName>
    <definedName name="SSSSSSSSSSSSSSS">#REF!</definedName>
    <definedName name="ssw">#REF!</definedName>
    <definedName name="st">#REF!</definedName>
    <definedName name="st1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ck.">#REF!</definedName>
    <definedName name="Steel">#REF!</definedName>
    <definedName name="stgaerterterte" hidden="1">#REF!</definedName>
    <definedName name="Stt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>#REF!</definedName>
    <definedName name="sualoixm" localSheetId="1" hidden="1">{"Offgrid",#N/A,FALSE,"OFFGRID";"Region",#N/A,FALSE,"REGION";"Offgrid -2",#N/A,FALSE,"OFFGRID";"WTP",#N/A,FALSE,"WTP";"WTP -2",#N/A,FALSE,"WTP";"Project",#N/A,FALSE,"PROJECT";"Summary -2",#N/A,FALSE,"SUMMARY"}</definedName>
    <definedName name="sualoixm" localSheetId="3" hidden="1">{"Offgrid",#N/A,FALSE,"OFFGRID";"Region",#N/A,FALSE,"REGION";"Offgrid -2",#N/A,FALSE,"OFFGRID";"WTP",#N/A,FALSE,"WTP";"WTP -2",#N/A,FALSE,"WTP";"Project",#N/A,FALSE,"PROJECT";"Summary -2",#N/A,FALSE,"SUMMARY"}</definedName>
    <definedName name="sualoixm" localSheetId="4" hidden="1">{"Offgrid",#N/A,FALSE,"OFFGRID";"Region",#N/A,FALSE,"REGION";"Offgrid -2",#N/A,FALSE,"OFFGRID";"WTP",#N/A,FALSE,"WTP";"WTP -2",#N/A,FALSE,"WTP";"Project",#N/A,FALSE,"PROJECT";"Summary -2",#N/A,FALSE,"SUMMARY"}</definedName>
    <definedName name="sualoixm" localSheetId="5" hidden="1">{"Offgrid",#N/A,FALSE,"OFFGRID";"Region",#N/A,FALSE,"REGION";"Offgrid -2",#N/A,FALSE,"OFFGRID";"WTP",#N/A,FALSE,"WTP";"WTP -2",#N/A,FALSE,"WTP";"Project",#N/A,FALSE,"PROJECT";"Summary -2",#N/A,FALSE,"SUMMARY"}</definedName>
    <definedName name="sualoixm" localSheetId="7" hidden="1">{"Offgrid",#N/A,FALSE,"OFFGRID";"Region",#N/A,FALSE,"REGION";"Offgrid -2",#N/A,FALSE,"OFFGRID";"WTP",#N/A,FALSE,"WTP";"WTP -2",#N/A,FALSE,"WTP";"Project",#N/A,FALSE,"PROJECT";"Summary -2",#N/A,FALSE,"SUMMARY"}</definedName>
    <definedName name="sualoixm" hidden="1">{"Offgrid",#N/A,FALSE,"OFFGRID";"Region",#N/A,FALSE,"REGION";"Offgrid -2",#N/A,FALSE,"OFFGRID";"WTP",#N/A,FALSE,"WTP";"WTP -2",#N/A,FALSE,"WTP";"Project",#N/A,FALSE,"PROJECT";"Summary -2",#N/A,FALSE,"SUMMARY"}</definedName>
    <definedName name="Sub">#REF!</definedName>
    <definedName name="sum">#REF!,#REF!</definedName>
    <definedName name="sumimasenn" localSheetId="1" hidden="1">{"'Sheet1'!$L$16"}</definedName>
    <definedName name="sumimasenn" hidden="1">{"'Sheet1'!$L$16"}</definedName>
    <definedName name="SumKL">#REF!</definedName>
    <definedName name="summar" hidden="1">{#N/A,#N/A,TRUE,"SUM";#N/A,#N/A,TRUE,"EE";#N/A,#N/A,TRUE,"AC";#N/A,#N/A,TRUE,"SN"}</definedName>
    <definedName name="SUMMARY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TB">#REF!</definedName>
    <definedName name="sumXL">#REF!</definedName>
    <definedName name="SW">#REF!</definedName>
    <definedName name="SX_Lapthao_khungV_Sdao">#REF!</definedName>
    <definedName name="T">#REF!</definedName>
    <definedName name="T.3" localSheetId="1" hidden="1">{"'Sheet1'!$L$16"}</definedName>
    <definedName name="T.3" localSheetId="3" hidden="1">{"'Sheet1'!$L$16"}</definedName>
    <definedName name="T.3" localSheetId="4" hidden="1">{"'Sheet1'!$L$16"}</definedName>
    <definedName name="T.3" localSheetId="5" hidden="1">{"'Sheet1'!$L$16"}</definedName>
    <definedName name="T.3" localSheetId="7" hidden="1">{"'Sheet1'!$L$16"}</definedName>
    <definedName name="T.3" hidden="1">{"'Sheet1'!$L$16"}</definedName>
    <definedName name="T.nhËp">#REF!</definedName>
    <definedName name="T_">#REF!</definedName>
    <definedName name="T_1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1PC">{"'Sheet1'!$L$16"}</definedName>
    <definedName name="T7Q3">{"'Sheet1'!$L$16"}</definedName>
    <definedName name="ta">#REF!</definedName>
    <definedName name="tadao">#REF!</definedName>
    <definedName name="Tai_trong">#REF!</definedName>
    <definedName name="TALANGPVC4">#REF!</definedName>
    <definedName name="TALANGTRITISANLEBAR25CM">#REF!</definedName>
    <definedName name="TAM" localSheetId="1">'01-Bia'!TAM</definedName>
    <definedName name="TAM">#REF!</definedName>
    <definedName name="tamdan">#REF!</definedName>
    <definedName name="tamlop">#REF!</definedName>
    <definedName name="tamm">{"'Sheet1'!$L$16"}</definedName>
    <definedName name="tammm">{"'Sheet1'!$L$16"}</definedName>
    <definedName name="tan" localSheetId="1" hidden="1">{"'Sheet1'!$L$16"}</definedName>
    <definedName name="tan" localSheetId="3" hidden="1">{"'Sheet1'!$L$16"}</definedName>
    <definedName name="tan" localSheetId="4" hidden="1">{"'Sheet1'!$L$16"}</definedName>
    <definedName name="tan" localSheetId="5" hidden="1">{"'Sheet1'!$L$16"}</definedName>
    <definedName name="tan" localSheetId="7" hidden="1">{"'Sheet1'!$L$16"}</definedName>
    <definedName name="tan" hidden="1">{"'Sheet1'!$L$16"}</definedName>
    <definedName name="Tang_11">#N/A</definedName>
    <definedName name="Tang_12_15_18">#N/A</definedName>
    <definedName name="Tang_13_16_19">#N/A</definedName>
    <definedName name="Tang_14_17">#N/A</definedName>
    <definedName name="Tang_2">#N/A</definedName>
    <definedName name="Tang_20">#N/A</definedName>
    <definedName name="Tang_21">#N/A</definedName>
    <definedName name="Tang_3">#N/A</definedName>
    <definedName name="Tang_4">#N/A</definedName>
    <definedName name="Tang_5_8">#N/A</definedName>
    <definedName name="Tang_6_9">#N/A</definedName>
    <definedName name="Tang_7_10">#N/A</definedName>
    <definedName name="Täng_kinh_phÏ_x_y_l_p">#REF!</definedName>
    <definedName name="Tang_Kt">#N/A</definedName>
    <definedName name="tao">{"'Sheet1'!$L$16"}</definedName>
    <definedName name="tawg16">#REF!</definedName>
    <definedName name="Tax">#REF!</definedName>
    <definedName name="TaxTV">10%</definedName>
    <definedName name="TaxXL">5%</definedName>
    <definedName name="TB">#REF!</definedName>
    <definedName name="TBA">#REF!</definedName>
    <definedName name="tbao">{"'Sheet1'!$L$16"}</definedName>
    <definedName name="TBFP">#REF!</definedName>
    <definedName name="tbl_ProdInfo" localSheetId="1" hidden="1">#REF!</definedName>
    <definedName name="tbl_ProdInfo" hidden="1">#REF!</definedName>
    <definedName name="TBSGP">#REF!</definedName>
    <definedName name="tbtram">#REF!</definedName>
    <definedName name="TBXD">#REF!</definedName>
    <definedName name="TC">#REF!</definedName>
    <definedName name="TC_NHANH1">#REF!</definedName>
    <definedName name="Tchuan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bcnckt">#REF!</definedName>
    <definedName name="TDctnc">#REF!</definedName>
    <definedName name="TDctvc">#REF!</definedName>
    <definedName name="TDctvl">#REF!</definedName>
    <definedName name="tdia">#REF!</definedName>
    <definedName name="TdinhQT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vl1p">#REF!</definedName>
    <definedName name="tecco">{"'Sheet1'!$L$16"}</definedName>
    <definedName name="technical" hidden="1">#REF!</definedName>
    <definedName name="tem" hidden="1">{"'Sheet1'!$L$16"}</definedName>
    <definedName name="temp">#REF!</definedName>
    <definedName name="Temp_Br">#REF!</definedName>
    <definedName name="TEMPBR">#REF!</definedName>
    <definedName name="TempRatio">#REF!</definedName>
    <definedName name="TenBang">#REF!</definedName>
    <definedName name="tenck">#REF!</definedName>
    <definedName name="TenCT">#REF!</definedName>
    <definedName name="TenCtr">#REF!</definedName>
    <definedName name="TenCtrinh">#REF!</definedName>
    <definedName name="TenHMuc">#REF!</definedName>
    <definedName name="TenTB">#REF!</definedName>
    <definedName name="tenvung">#REF!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">#REF!</definedName>
    <definedName name="tet" localSheetId="1" hidden="1">{0,#NULL!,0,FALSE;0,0,0,0;0,0,0,7.29290327383173E-304;0,0,0,0;0,0,0,0;0,0,0,0;0,0,0,0}</definedName>
    <definedName name="tet" localSheetId="3" hidden="1">{0,#NULL!,0,FALSE;0,0,0,0;0,0,0,7.29290327383173E-304;0,0,0,0;0,0,0,0;0,0,0,0;0,0,0,0}</definedName>
    <definedName name="tet" localSheetId="4" hidden="1">{0,#NULL!,0,FALSE;0,0,0,0;0,0,0,7.29290327383173E-304;0,0,0,0;0,0,0,0;0,0,0,0;0,0,0,0}</definedName>
    <definedName name="tet" localSheetId="5" hidden="1">{0,#NULL!,0,FALSE;0,0,0,0;0,0,0,7.29290327383173E-304;0,0,0,0;0,0,0,0;0,0,0,0;0,0,0,0}</definedName>
    <definedName name="tet" localSheetId="7" hidden="1">{0,#NULL!,0,FALSE;0,0,0,0;0,0,0,7.29290327383173E-304;0,0,0,0;0,0,0,0;0,0,0,0;0,0,0,0}</definedName>
    <definedName name="tet" hidden="1">{0,#NULL!,0,FALSE;0,0,0,0;0,0,0,7.29290327383173E-304;0,0,0,0;0,0,0,0;0,0,0,0;0,0,0,0}</definedName>
    <definedName name="teta">0.95</definedName>
    <definedName name="tetet" localSheetId="1" hidden="1">{"'Sheet1'!$L$16"}</definedName>
    <definedName name="tetet" localSheetId="3" hidden="1">{"'Sheet1'!$L$16"}</definedName>
    <definedName name="tetet" localSheetId="4" hidden="1">{"'Sheet1'!$L$16"}</definedName>
    <definedName name="tetet" localSheetId="5" hidden="1">{"'Sheet1'!$L$16"}</definedName>
    <definedName name="tetet" localSheetId="7" hidden="1">{"'Sheet1'!$L$16"}</definedName>
    <definedName name="tetet" hidden="1">{"'Sheet1'!$L$16"}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>21</definedName>
    <definedName name="tfrefefewfrefe" localSheetId="1" hidden="1">{#N/A,#N/A,FALSE,"Chi tiÆt"}</definedName>
    <definedName name="tfrefefewfrefe" localSheetId="3" hidden="1">{#N/A,#N/A,FALSE,"Chi tiÆt"}</definedName>
    <definedName name="tfrefefewfrefe" localSheetId="4" hidden="1">{#N/A,#N/A,FALSE,"Chi tiÆt"}</definedName>
    <definedName name="tfrefefewfrefe" localSheetId="5" hidden="1">{#N/A,#N/A,FALSE,"Chi tiÆt"}</definedName>
    <definedName name="tfrefefewfrefe" localSheetId="7" hidden="1">{#N/A,#N/A,FALSE,"Chi tiÆt"}</definedName>
    <definedName name="tfrefefewfrefe" hidden="1">{#N/A,#N/A,FALSE,"Chi tiÆt"}</definedName>
    <definedName name="TG">#REF!</definedName>
    <definedName name="TGLS">#REF!</definedName>
    <definedName name="Tgtgt_xd">#REF!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_rod">#REF!</definedName>
    <definedName name="Tien">#REF!</definedName>
    <definedName name="TIENLUONG">#REF!</definedName>
    <definedName name="Tiepdiama">9500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M" hidden="1">{"'Sheet1'!$L$16"}</definedName>
    <definedName name="Tìm_kieám">#REF!</definedName>
    <definedName name="Tim_Lan_Xuat_Hien">#REF!</definedName>
    <definedName name="Tim_lan_xuat_hien_duong">#REF!</definedName>
    <definedName name="tim_xuat_hien">#REF!</definedName>
    <definedName name="TINH" localSheetId="1" hidden="1">{#N/A,#N/A,FALSE,"CCTV"}</definedName>
    <definedName name="TINH" localSheetId="3" hidden="1">{#N/A,#N/A,FALSE,"CCTV"}</definedName>
    <definedName name="TINH" localSheetId="4" hidden="1">{#N/A,#N/A,FALSE,"CCTV"}</definedName>
    <definedName name="TINH" localSheetId="5" hidden="1">{#N/A,#N/A,FALSE,"CCTV"}</definedName>
    <definedName name="TINH" localSheetId="7" hidden="1">{#N/A,#N/A,FALSE,"CCTV"}</definedName>
    <definedName name="TINH" hidden="1">{#N/A,#N/A,FALSE,"CCTV"}</definedName>
    <definedName name="tinhqt">#REF!</definedName>
    <definedName name="tirirn" hidden="1">{"'Sheet1'!$L$16"}</definedName>
    <definedName name="TITAN">#REF!</definedName>
    <definedName name="TITLE">#REF!</definedName>
    <definedName name="TK">#REF!</definedName>
    <definedName name="tkcn2btg">#REF!</definedName>
    <definedName name="tkcn2x">#REF!</definedName>
    <definedName name="tkcn2y1">#REF!</definedName>
    <definedName name="tkcn2y2">#REF!</definedName>
    <definedName name="tkcn2y3">#REF!</definedName>
    <definedName name="tkcn2y4">#REF!</definedName>
    <definedName name="tkcn2y5">#REF!</definedName>
    <definedName name="tkcn3btg">#REF!</definedName>
    <definedName name="tkcn3x">#REF!</definedName>
    <definedName name="tkcn3y1">#REF!</definedName>
    <definedName name="tkcn3y2">#REF!</definedName>
    <definedName name="tkcn3y3">#REF!</definedName>
    <definedName name="tkcn3y4">#REF!</definedName>
    <definedName name="tkcn3y5">#REF!</definedName>
    <definedName name="tkdd2btg">#REF!</definedName>
    <definedName name="tkdd2x">#REF!</definedName>
    <definedName name="tkdd2y1">#REF!</definedName>
    <definedName name="tkdd2y2">#REF!</definedName>
    <definedName name="tkdd2y3">#REF!</definedName>
    <definedName name="tkdd2y4">#REF!</definedName>
    <definedName name="tkdd2y5">#REF!</definedName>
    <definedName name="tkdd3btg">#REF!</definedName>
    <definedName name="tkdd3x">#REF!</definedName>
    <definedName name="tkdd3y1">#REF!</definedName>
    <definedName name="tkdd3y2">#REF!</definedName>
    <definedName name="tkdd3y3">#REF!</definedName>
    <definedName name="tkdd3y4">#REF!</definedName>
    <definedName name="tkdd3y5">#REF!</definedName>
    <definedName name="tkgt2btg">#REF!</definedName>
    <definedName name="tkgt2x">#REF!</definedName>
    <definedName name="tkgt2y1">#REF!</definedName>
    <definedName name="tkgt2y2">#REF!</definedName>
    <definedName name="tkgt2y3">#REF!</definedName>
    <definedName name="tkgt2y4">#REF!</definedName>
    <definedName name="tkgt2y5">#REF!</definedName>
    <definedName name="tkgt3btg">#REF!</definedName>
    <definedName name="tkgt3x">#REF!</definedName>
    <definedName name="tkgt3y1">#REF!</definedName>
    <definedName name="tkgt3y2">#REF!</definedName>
    <definedName name="tkgt3y3">#REF!</definedName>
    <definedName name="tkgt3y4">#REF!</definedName>
    <definedName name="tkgt3y5">#REF!</definedName>
    <definedName name="tki">#REF!</definedName>
    <definedName name="tkitc10x2x0.6">#REF!</definedName>
    <definedName name="TKP">#REF!</definedName>
    <definedName name="tkpdt">#REF!</definedName>
    <definedName name="tktl2btg">#REF!</definedName>
    <definedName name="tktl2x">#REF!</definedName>
    <definedName name="tktl2y1">#REF!</definedName>
    <definedName name="tktl2y2">#REF!</definedName>
    <definedName name="tktl2y3">#REF!</definedName>
    <definedName name="tktl2y4">#REF!</definedName>
    <definedName name="tktl2y5">#REF!</definedName>
    <definedName name="tktl3btg">#REF!</definedName>
    <definedName name="tktl3x">#REF!</definedName>
    <definedName name="tktl3y1">#REF!</definedName>
    <definedName name="tktl3y2">#REF!</definedName>
    <definedName name="tktl3y3">#REF!</definedName>
    <definedName name="tktl3y4">#REF!</definedName>
    <definedName name="tktl3y5">#REF!</definedName>
    <definedName name="TKYB">"TKYB"</definedName>
    <definedName name="tkhtkt2btg">#REF!</definedName>
    <definedName name="tkhtkt2x">#REF!</definedName>
    <definedName name="tkhtkt2y1">#REF!</definedName>
    <definedName name="tkhtkt2y2">#REF!</definedName>
    <definedName name="tkhtkt2y3">#REF!</definedName>
    <definedName name="tkhtkt2y4">#REF!</definedName>
    <definedName name="tkhtkt2y5">#REF!</definedName>
    <definedName name="tkhtkt3btg">#REF!</definedName>
    <definedName name="tkhtkt3x">#REF!</definedName>
    <definedName name="tkhtkt3y1">#REF!</definedName>
    <definedName name="tkhtkt3y2">#REF!</definedName>
    <definedName name="tkhtkt3y3">#REF!</definedName>
    <definedName name="tkhtkt3y4">#REF!</definedName>
    <definedName name="tkhtkt3y5">#REF!</definedName>
    <definedName name="TL">#REF!</definedName>
    <definedName name="TL.CFA.AB_CFA">#REF!</definedName>
    <definedName name="TL.NSA.AB_NSA">#REF!</definedName>
    <definedName name="tl1x36bimc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e">#REF!</definedName>
    <definedName name="tlidf250p">#REF!</definedName>
    <definedName name="TLPD">#REF!</definedName>
    <definedName name="TLPMG">{"'Sheet1'!$L$16"}</definedName>
    <definedName name="tltko2x36">#REF!</definedName>
    <definedName name="tltko2x36bimc">#REF!</definedName>
    <definedName name="TLTH">#N/A</definedName>
    <definedName name="TLTH1">#N/A</definedName>
    <definedName name="TM">{"'Sheet1'!$L$16"}</definedName>
    <definedName name="tmdt">#REF!</definedName>
    <definedName name="TN_b_qu_n">#REF!</definedName>
    <definedName name="TNChiuThueTT">#REF!</definedName>
    <definedName name="tnk">1.5</definedName>
    <definedName name="tno">#N/A</definedName>
    <definedName name="toan" localSheetId="1" hidden="1">{"'Sheet1'!$L$16"}</definedName>
    <definedName name="toan" hidden="1">{"'Sheet1'!$L$16"}</definedName>
    <definedName name="toång_coäng">#REF!</definedName>
    <definedName name="ton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TAL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RP">#REF!</definedName>
    <definedName name="tpm">#REF!</definedName>
    <definedName name="ts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I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b">1.2</definedName>
    <definedName name="TTDZ">#REF!</definedName>
    <definedName name="TTDZ35">#REF!</definedName>
    <definedName name="TTLB1">#REF!</definedName>
    <definedName name="TTLB2">#REF!</definedName>
    <definedName name="TTLB3">#REF!</definedName>
    <definedName name="TTPDQTVDT">#REF!</definedName>
    <definedName name="TTQTVDTbtg">#REF!</definedName>
    <definedName name="TTQTVDTx">#REF!</definedName>
    <definedName name="TTSC" localSheetId="1" hidden="1">{"'Sheet1'!$L$16"}</definedName>
    <definedName name="TTSC" localSheetId="3" hidden="1">{"'Sheet1'!$L$16"}</definedName>
    <definedName name="TTSC" localSheetId="4" hidden="1">{"'Sheet1'!$L$16"}</definedName>
    <definedName name="TTSC" localSheetId="5" hidden="1">{"'Sheet1'!$L$16"}</definedName>
    <definedName name="TTSC" localSheetId="7" hidden="1">{"'Sheet1'!$L$16"}</definedName>
    <definedName name="TTSC" hidden="1">{"'Sheet1'!$L$16"}</definedName>
    <definedName name="tttt" localSheetId="1" hidden="1">{"'Sheet1'!$L$16"}</definedName>
    <definedName name="tttt" localSheetId="3" hidden="1">{"'Sheet1'!$L$16"}</definedName>
    <definedName name="tttt" localSheetId="4" hidden="1">{"'Sheet1'!$L$16"}</definedName>
    <definedName name="tttt" localSheetId="5" hidden="1">{"'Sheet1'!$L$16"}</definedName>
    <definedName name="tttt" localSheetId="7" hidden="1">{"'Sheet1'!$L$16"}</definedName>
    <definedName name="tttt" hidden="1">{"'Sheet1'!$L$16"}</definedName>
    <definedName name="ttttt" localSheetId="1" hidden="1">{"'Sheet1'!$L$16"}</definedName>
    <definedName name="ttttt" localSheetId="3" hidden="1">{"'Sheet1'!$L$16"}</definedName>
    <definedName name="ttttt" localSheetId="4" hidden="1">{"'Sheet1'!$L$16"}</definedName>
    <definedName name="ttttt" localSheetId="5" hidden="1">{"'Sheet1'!$L$16"}</definedName>
    <definedName name="ttttt" localSheetId="7" hidden="1">{"'Sheet1'!$L$16"}</definedName>
    <definedName name="ttttt" hidden="1">{"'Sheet1'!$L$16"}</definedName>
    <definedName name="ｔｔｔｔｔ">{"'Sheet1'!$L$16"}</definedName>
    <definedName name="tttttt" hidden="1">{#N/A,#N/A,FALSE,"Chi tiÆt"}</definedName>
    <definedName name="tthi">#REF!</definedName>
    <definedName name="tthkprtn" hidden="1">{"'Sheet1'!$L$16"}</definedName>
    <definedName name="Ttradtbtg">#REF!</definedName>
    <definedName name="Ttradtx">#REF!</definedName>
    <definedName name="Ttradty1">#REF!</definedName>
    <definedName name="Ttradty2">#REF!</definedName>
    <definedName name="Ttradty3">#REF!</definedName>
    <definedName name="Ttradty4">#REF!</definedName>
    <definedName name="Ttradty5">#REF!</definedName>
    <definedName name="Ttrahqktbtg">#REF!</definedName>
    <definedName name="Ttrahqktx">#REF!</definedName>
    <definedName name="Ttrahqkty1">#REF!</definedName>
    <definedName name="Ttrahqkty2">#REF!</definedName>
    <definedName name="Ttrahqkty3">#REF!</definedName>
    <definedName name="Ttrahqkty4">#REF!</definedName>
    <definedName name="Ttrahqkty5">#REF!</definedName>
    <definedName name="Ttratkbtg">#REF!</definedName>
    <definedName name="Ttratkx">#REF!</definedName>
    <definedName name="Ttratky1">#REF!</definedName>
    <definedName name="Ttratky2">#REF!</definedName>
    <definedName name="Ttratky3">#REF!</definedName>
    <definedName name="Ttratky4">#REF!</definedName>
    <definedName name="Ttratky5">#REF!</definedName>
    <definedName name="ttronmk">#REF!</definedName>
    <definedName name="TU" localSheetId="1" hidden="1">{"'Sheet1'!$L$16"}</definedName>
    <definedName name="TU" localSheetId="3" hidden="1">{"'Sheet1'!$L$16"}</definedName>
    <definedName name="TU" localSheetId="4" hidden="1">{"'Sheet1'!$L$16"}</definedName>
    <definedName name="TU" localSheetId="5" hidden="1">{"'Sheet1'!$L$16"}</definedName>
    <definedName name="TU" localSheetId="7" hidden="1">{"'Sheet1'!$L$16"}</definedName>
    <definedName name="TU" hidden="1">{"'Sheet1'!$L$16"}</definedName>
    <definedName name="tuam" localSheetId="1" hidden="1">{"'Sheet1'!$L$16"}</definedName>
    <definedName name="tuam" localSheetId="3" hidden="1">{"'Sheet1'!$L$16"}</definedName>
    <definedName name="tuam" localSheetId="4" hidden="1">{"'Sheet1'!$L$16"}</definedName>
    <definedName name="tuam" localSheetId="5" hidden="1">{"'Sheet1'!$L$16"}</definedName>
    <definedName name="tuam" localSheetId="7" hidden="1">{"'Sheet1'!$L$16"}</definedName>
    <definedName name="tuam" hidden="1">{"'Sheet1'!$L$16"}</definedName>
    <definedName name="tuan" localSheetId="1" hidden="1">{"'Sheet1'!$L$16"}</definedName>
    <definedName name="tuan" localSheetId="3" hidden="1">{"'Sheet1'!$L$16"}</definedName>
    <definedName name="tuan" localSheetId="4" hidden="1">{"'Sheet1'!$L$16"}</definedName>
    <definedName name="tuan" localSheetId="5" hidden="1">{"'Sheet1'!$L$16"}</definedName>
    <definedName name="tuan" localSheetId="7" hidden="1">{"'Sheet1'!$L$16"}</definedName>
    <definedName name="tuan" hidden="1">{"'Sheet1'!$L$16"}</definedName>
    <definedName name="tuan03" localSheetId="1" hidden="1">{"'Sheet1'!$L$16"}</definedName>
    <definedName name="tuan03" localSheetId="3" hidden="1">{"'Sheet1'!$L$16"}</definedName>
    <definedName name="tuan03" localSheetId="4" hidden="1">{"'Sheet1'!$L$16"}</definedName>
    <definedName name="tuan03" localSheetId="5" hidden="1">{"'Sheet1'!$L$16"}</definedName>
    <definedName name="tuan03" localSheetId="7" hidden="1">{"'Sheet1'!$L$16"}</definedName>
    <definedName name="tuan03" hidden="1">{"'Sheet1'!$L$16"}</definedName>
    <definedName name="tuan2" localSheetId="1" hidden="1">{"'Sheet1'!$L$16"}</definedName>
    <definedName name="tuan2" hidden="1">{"'Sheet1'!$L$16"}</definedName>
    <definedName name="TUANKHANHTUYET45" localSheetId="1" hidden="1">{0}</definedName>
    <definedName name="TUANKHANHTUYET45" localSheetId="3" hidden="1">{0}</definedName>
    <definedName name="TUANKHANHTUYET45" localSheetId="4" hidden="1">{0}</definedName>
    <definedName name="TUANKHANHTUYET45" localSheetId="5" hidden="1">{0}</definedName>
    <definedName name="TUANKHANHTUYET45" localSheetId="7" hidden="1">{0}</definedName>
    <definedName name="TUANKHANHTUYET45" hidden="1">{0}</definedName>
    <definedName name="TUKHKJT" localSheetId="1" hidden="1">{"'Sheet1'!$L$16"}</definedName>
    <definedName name="TUKHKJT" localSheetId="3" hidden="1">{"'Sheet1'!$L$16"}</definedName>
    <definedName name="TUKHKJT" localSheetId="4" hidden="1">{"'Sheet1'!$L$16"}</definedName>
    <definedName name="TUKHKJT" localSheetId="5" hidden="1">{"'Sheet1'!$L$16"}</definedName>
    <definedName name="TUKHKJT" localSheetId="7" hidden="1">{"'Sheet1'!$L$16"}</definedName>
    <definedName name="TUKHKJT" hidden="1">{"'Sheet1'!$L$16"}</definedName>
    <definedName name="TULANGANBESIPOLOS">#REF!</definedName>
    <definedName name="TULANGANBESIULIR">#REF!</definedName>
    <definedName name="Tuong" localSheetId="1" hidden="1">{"'Sheet1'!$L$16"}</definedName>
    <definedName name="Tuong" localSheetId="3" hidden="1">{"'Sheet1'!$L$16"}</definedName>
    <definedName name="Tuong" localSheetId="4" hidden="1">{"'Sheet1'!$L$16"}</definedName>
    <definedName name="Tuong" localSheetId="5" hidden="1">{"'Sheet1'!$L$16"}</definedName>
    <definedName name="Tuong" localSheetId="7" hidden="1">{"'Sheet1'!$L$16"}</definedName>
    <definedName name="Tuong" hidden="1">{"'Sheet1'!$L$16"}</definedName>
    <definedName name="Tuong_chan">#REF!</definedName>
    <definedName name="TuVan">#REF!</definedName>
    <definedName name="tuyen" hidden="1">{"'Sheet1'!$L$16"}</definedName>
    <definedName name="tuyennhanh" localSheetId="1" hidden="1">{"'Sheet1'!$L$16"}</definedName>
    <definedName name="tuyennhanh" localSheetId="3" hidden="1">{"'Sheet1'!$L$16"}</definedName>
    <definedName name="tuyennhanh" localSheetId="4" hidden="1">{"'Sheet1'!$L$16"}</definedName>
    <definedName name="tuyennhanh" localSheetId="5" hidden="1">{"'Sheet1'!$L$16"}</definedName>
    <definedName name="tuyennhanh" localSheetId="7" hidden="1">{"'Sheet1'!$L$16"}</definedName>
    <definedName name="tuyennhanh" hidden="1">{"'Sheet1'!$L$16"}</definedName>
    <definedName name="tuyet" localSheetId="1" hidden="1">{"'Sheet1'!$L$16"}</definedName>
    <definedName name="tuyet" localSheetId="3" hidden="1">{"'Sheet1'!$L$16"}</definedName>
    <definedName name="tuyet" localSheetId="4" hidden="1">{"'Sheet1'!$L$16"}</definedName>
    <definedName name="tuyet" localSheetId="5" hidden="1">{"'Sheet1'!$L$16"}</definedName>
    <definedName name="tuyet" localSheetId="7" hidden="1">{"'Sheet1'!$L$16"}</definedName>
    <definedName name="tuyet" hidden="1">{"'Sheet1'!$L$16"}</definedName>
    <definedName name="tuynen" localSheetId="1" hidden="1">{"'Sheet1'!$L$16"}</definedName>
    <definedName name="tuynen" localSheetId="3" hidden="1">{"'Sheet1'!$L$16"}</definedName>
    <definedName name="tuynen" localSheetId="4" hidden="1">{"'Sheet1'!$L$16"}</definedName>
    <definedName name="tuynen" localSheetId="5" hidden="1">{"'Sheet1'!$L$16"}</definedName>
    <definedName name="tuynen" localSheetId="7" hidden="1">{"'Sheet1'!$L$16"}</definedName>
    <definedName name="tuynen" hidden="1">{"'Sheet1'!$L$16"}</definedName>
    <definedName name="tv">#REF!</definedName>
    <definedName name="tv75nc">#REF!</definedName>
    <definedName name="tv75vl">#REF!</definedName>
    <definedName name="TX">#REF!</definedName>
    <definedName name="ty_le">#REF!</definedName>
    <definedName name="ty_le_BTN">#REF!</definedName>
    <definedName name="Ty_le1">#REF!</definedName>
    <definedName name="Type_1">#REF!</definedName>
    <definedName name="Type_2">#REF!</definedName>
    <definedName name="TYPICAL_FLOOR___7_LEVEL">#REF!</definedName>
    <definedName name="TYT" localSheetId="1">BlankMacro1</definedName>
    <definedName name="TYT" localSheetId="4">BlankMacro1</definedName>
    <definedName name="TYT" localSheetId="13">BlankMacro1</definedName>
    <definedName name="TYT" localSheetId="15">BlankMacro1</definedName>
    <definedName name="TYT" localSheetId="12">BlankMacro1</definedName>
    <definedName name="TYT" localSheetId="14">BlankMacro1</definedName>
    <definedName name="TYT" localSheetId="11">BlankMacro1</definedName>
    <definedName name="TYT" localSheetId="10">BlankMacro1</definedName>
    <definedName name="TYT">BlankMacro1</definedName>
    <definedName name="TH">#REF!</definedName>
    <definedName name="th.xls" hidden="1">{"'Sheet1'!$L$16"}</definedName>
    <definedName name="TH_VKHNN">#REF!</definedName>
    <definedName name="TH7SP">{"'Sheet1'!$L$16"}</definedName>
    <definedName name="tha" localSheetId="1" hidden="1">{"'Sheet1'!$L$16"}</definedName>
    <definedName name="tha" localSheetId="3" hidden="1">{"'Sheet1'!$L$16"}</definedName>
    <definedName name="tha" localSheetId="4" hidden="1">{"'Sheet1'!$L$16"}</definedName>
    <definedName name="tha" localSheetId="5" hidden="1">{"'Sheet1'!$L$16"}</definedName>
    <definedName name="tha" localSheetId="7" hidden="1">{"'Sheet1'!$L$16"}</definedName>
    <definedName name="tha" hidden="1">{"'Sheet1'!$L$16"}</definedName>
    <definedName name="Thang" localSheetId="1" hidden="1">{"'Sheet1'!$L$16"}</definedName>
    <definedName name="Thang" localSheetId="3" hidden="1">{"'Sheet1'!$L$16"}</definedName>
    <definedName name="Thang" localSheetId="4" hidden="1">{"'Sheet1'!$L$16"}</definedName>
    <definedName name="Thang" localSheetId="5" hidden="1">{"'Sheet1'!$L$16"}</definedName>
    <definedName name="Thang" localSheetId="7" hidden="1">{"'Sheet1'!$L$16"}</definedName>
    <definedName name="Thang" hidden="1">{"'Sheet1'!$L$16"}</definedName>
    <definedName name="Thang1" localSheetId="1" hidden="1">{"'Sheet1'!$L$16"}</definedName>
    <definedName name="Thang1" localSheetId="3" hidden="1">{"'Sheet1'!$L$16"}</definedName>
    <definedName name="Thang1" localSheetId="4" hidden="1">{"'Sheet1'!$L$16"}</definedName>
    <definedName name="Thang1" localSheetId="5" hidden="1">{"'Sheet1'!$L$16"}</definedName>
    <definedName name="Thang1" localSheetId="7" hidden="1">{"'Sheet1'!$L$16"}</definedName>
    <definedName name="Thang1" hidden="1">{"'Sheet1'!$L$16"}</definedName>
    <definedName name="thang10" localSheetId="1" hidden="1">{"'Sheet1'!$L$16"}</definedName>
    <definedName name="thang10" localSheetId="3" hidden="1">{"'Sheet1'!$L$16"}</definedName>
    <definedName name="thang10" localSheetId="4" hidden="1">{"'Sheet1'!$L$16"}</definedName>
    <definedName name="thang10" localSheetId="5" hidden="1">{"'Sheet1'!$L$16"}</definedName>
    <definedName name="thang10" localSheetId="7" hidden="1">{"'Sheet1'!$L$16"}</definedName>
    <definedName name="thang10" hidden="1">{"'Sheet1'!$L$16"}</definedName>
    <definedName name="thang123">{"'Sheet1'!$L$16"}</definedName>
    <definedName name="thang13">{"'Sheet1'!$L$16"}</definedName>
    <definedName name="thang2" localSheetId="1" hidden="1">{"'Sheet1'!$L$16"}</definedName>
    <definedName name="thang2" localSheetId="3" hidden="1">{"'Sheet1'!$L$16"}</definedName>
    <definedName name="thang2" localSheetId="4" hidden="1">{"'Sheet1'!$L$16"}</definedName>
    <definedName name="thang2" localSheetId="5" hidden="1">{"'Sheet1'!$L$16"}</definedName>
    <definedName name="thang2" localSheetId="7" hidden="1">{"'Sheet1'!$L$16"}</definedName>
    <definedName name="thang2" hidden="1">{"'Sheet1'!$L$16"}</definedName>
    <definedName name="thang9">{"'Sheet1'!$L$16"}</definedName>
    <definedName name="thanh" localSheetId="1" hidden="1">{"'Sheet1'!$L$16"}</definedName>
    <definedName name="thanh" localSheetId="3" hidden="1">{"'Sheet1'!$L$16"}</definedName>
    <definedName name="thanh" localSheetId="4" hidden="1">{"'Sheet1'!$L$16"}</definedName>
    <definedName name="thanh" localSheetId="5" hidden="1">{"'Sheet1'!$L$16"}</definedName>
    <definedName name="thanh" localSheetId="7" hidden="1">{"'Sheet1'!$L$16"}</definedName>
    <definedName name="thanh" hidden="1">{"'Sheet1'!$L$16"}</definedName>
    <definedName name="Thanh_LC_tayvin">#REF!</definedName>
    <definedName name="thanhtien">#REF!</definedName>
    <definedName name="ThaoCauCu">#REF!</definedName>
    <definedName name="ÞBM">#REF!</definedName>
    <definedName name="THC" localSheetId="1" hidden="1">{"'Sheet1'!$L$16"}</definedName>
    <definedName name="THC" localSheetId="3" hidden="1">{"'Sheet1'!$L$16"}</definedName>
    <definedName name="THC" localSheetId="4" hidden="1">{"'Sheet1'!$L$16"}</definedName>
    <definedName name="THC" localSheetId="5" hidden="1">{"'Sheet1'!$L$16"}</definedName>
    <definedName name="THC" localSheetId="7" hidden="1">{"'Sheet1'!$L$16"}</definedName>
    <definedName name="THC" hidden="1">{"'Sheet1'!$L$16"}</definedName>
    <definedName name="Þcot">#REF!</definedName>
    <definedName name="THCP2" localSheetId="1" hidden="1">{"'Sheet1'!$L$16"}</definedName>
    <definedName name="THCP2" localSheetId="3" hidden="1">{"'Sheet1'!$L$16"}</definedName>
    <definedName name="THCP2" localSheetId="4" hidden="1">{"'Sheet1'!$L$16"}</definedName>
    <definedName name="THCP2" localSheetId="5" hidden="1">{"'Sheet1'!$L$16"}</definedName>
    <definedName name="THCP2" localSheetId="7" hidden="1">{"'Sheet1'!$L$16"}</definedName>
    <definedName name="THCP2" hidden="1">{"'Sheet1'!$L$16"}</definedName>
    <definedName name="THCPCTD" localSheetId="1" hidden="1">{"'Sheet1'!$L$16"}</definedName>
    <definedName name="THCPCTD" localSheetId="3" hidden="1">{"'Sheet1'!$L$16"}</definedName>
    <definedName name="THCPCTD" localSheetId="4" hidden="1">{"'Sheet1'!$L$16"}</definedName>
    <definedName name="THCPCTD" localSheetId="5" hidden="1">{"'Sheet1'!$L$16"}</definedName>
    <definedName name="THCPCTD" localSheetId="7" hidden="1">{"'Sheet1'!$L$16"}</definedName>
    <definedName name="THCPCTD" hidden="1">{"'Sheet1'!$L$16"}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" localSheetId="1" hidden="1">{"'Sheet1'!$L$16"}</definedName>
    <definedName name="THDT" localSheetId="3" hidden="1">{"'Sheet1'!$L$16"}</definedName>
    <definedName name="THDT" localSheetId="4" hidden="1">{"'Sheet1'!$L$16"}</definedName>
    <definedName name="THDT" localSheetId="5" hidden="1">{"'Sheet1'!$L$16"}</definedName>
    <definedName name="THDT" localSheetId="7" hidden="1">{"'Sheet1'!$L$16"}</definedName>
    <definedName name="THDT" hidden="1">{"'Sheet1'!$L$16"}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m01" hidden="1">#REF!</definedName>
    <definedName name="TheodoiBCTCT" localSheetId="1" hidden="1">{"'Sheet1'!$L$16"}</definedName>
    <definedName name="TheodoiBCTCT" localSheetId="3" hidden="1">{"'Sheet1'!$L$16"}</definedName>
    <definedName name="TheodoiBCTCT" localSheetId="4" hidden="1">{"'Sheet1'!$L$16"}</definedName>
    <definedName name="TheodoiBCTCT" localSheetId="5" hidden="1">{"'Sheet1'!$L$16"}</definedName>
    <definedName name="TheodoiBCTCT" localSheetId="7" hidden="1">{"'Sheet1'!$L$16"}</definedName>
    <definedName name="TheodoiBCTCT" hidden="1">{"'Sheet1'!$L$16"}</definedName>
    <definedName name="THEP">#REF!</definedName>
    <definedName name="thepban">#REF!</definedName>
    <definedName name="thepbuoc">#REF!</definedName>
    <definedName name="THEPCOT">#REF!</definedName>
    <definedName name="THEPCOT10">#REF!</definedName>
    <definedName name="THEPCOTLH10">#REF!</definedName>
    <definedName name="thepdam">#REF!</definedName>
    <definedName name="THEPDAM10">#REF!</definedName>
    <definedName name="thepdam10m3">#REF!</definedName>
    <definedName name="thepdam18m3">#REF!</definedName>
    <definedName name="THEPDAMLH10">#REF!</definedName>
    <definedName name="thepdamlh18m3">#REF!</definedName>
    <definedName name="THEPDAMLH18M4">#REF!</definedName>
    <definedName name="thepdamm3">#REF!</definedName>
    <definedName name="theplonhonhoacbang18">#REF!</definedName>
    <definedName name="thepma">10500</definedName>
    <definedName name="thepnho">#REF!</definedName>
    <definedName name="thepnhohon10">#REF!</definedName>
    <definedName name="thepnhohon18">#REF!</definedName>
    <definedName name="Thepsan" localSheetId="1" hidden="1">{"'Sheet1'!$L$16"}</definedName>
    <definedName name="Thepsan" localSheetId="3" hidden="1">{"'Sheet1'!$L$16"}</definedName>
    <definedName name="Thepsan" localSheetId="4" hidden="1">{"'Sheet1'!$L$16"}</definedName>
    <definedName name="Thepsan" localSheetId="5" hidden="1">{"'Sheet1'!$L$16"}</definedName>
    <definedName name="Thepsan" localSheetId="7" hidden="1">{"'Sheet1'!$L$16"}</definedName>
    <definedName name="Thepsan" hidden="1">{"'Sheet1'!$L$16"}</definedName>
    <definedName name="THEPSAN10">#REF!</definedName>
    <definedName name="thepsan10m3">#REF!</definedName>
    <definedName name="thepsan18m3">#REF!</definedName>
    <definedName name="thepsan2" localSheetId="1" hidden="1">{"'Sheet1'!$L$16"}</definedName>
    <definedName name="thepsan2" localSheetId="3" hidden="1">{"'Sheet1'!$L$16"}</definedName>
    <definedName name="thepsan2" localSheetId="4" hidden="1">{"'Sheet1'!$L$16"}</definedName>
    <definedName name="thepsan2" localSheetId="5" hidden="1">{"'Sheet1'!$L$16"}</definedName>
    <definedName name="thepsan2" localSheetId="7" hidden="1">{"'Sheet1'!$L$16"}</definedName>
    <definedName name="thepsan2" hidden="1">{"'Sheet1'!$L$16"}</definedName>
    <definedName name="THEPSANLH10">#REF!</definedName>
    <definedName name="thepsanm3">#REF!</definedName>
    <definedName name="theptam">#REF!</definedName>
    <definedName name="theptb">#REF!</definedName>
    <definedName name="thepto">#REF!</definedName>
    <definedName name="thephinh">#REF!</definedName>
    <definedName name="thetichck">#REF!</definedName>
    <definedName name="THGO1pnc">#REF!</definedName>
    <definedName name="THGT" localSheetId="1" hidden="1">{"'Sheet1'!$L$16"}</definedName>
    <definedName name="THGT" localSheetId="3" hidden="1">{"'Sheet1'!$L$16"}</definedName>
    <definedName name="THGT" localSheetId="4" hidden="1">{"'Sheet1'!$L$16"}</definedName>
    <definedName name="THGT" localSheetId="5" hidden="1">{"'Sheet1'!$L$16"}</definedName>
    <definedName name="THGT" localSheetId="7" hidden="1">{"'Sheet1'!$L$16"}</definedName>
    <definedName name="THGT" hidden="1">{"'Sheet1'!$L$16"}</definedName>
    <definedName name="THHD" localSheetId="1" hidden="1">{"'Sheet1'!$L$16"}</definedName>
    <definedName name="THHD" localSheetId="3" hidden="1">{"'Sheet1'!$L$16"}</definedName>
    <definedName name="THHD" localSheetId="4" hidden="1">{"'Sheet1'!$L$16"}</definedName>
    <definedName name="THHD" localSheetId="5" hidden="1">{"'Sheet1'!$L$16"}</definedName>
    <definedName name="THHD" localSheetId="7" hidden="1">{"'Sheet1'!$L$16"}</definedName>
    <definedName name="THHD" hidden="1">{"'Sheet1'!$L$16"}</definedName>
    <definedName name="thht">#REF!</definedName>
    <definedName name="THHVT" localSheetId="1" hidden="1">{"'Sheet1'!$L$16"}</definedName>
    <definedName name="THHVT" localSheetId="3" hidden="1">{"'Sheet1'!$L$16"}</definedName>
    <definedName name="THHVT" localSheetId="4" hidden="1">{"'Sheet1'!$L$16"}</definedName>
    <definedName name="THHVT" localSheetId="5" hidden="1">{"'Sheet1'!$L$16"}</definedName>
    <definedName name="THHVT" localSheetId="7" hidden="1">{"'Sheet1'!$L$16"}</definedName>
    <definedName name="THHVT" hidden="1">{"'Sheet1'!$L$16"}</definedName>
    <definedName name="THI">#REF!</definedName>
    <definedName name="Thietbi" localSheetId="1" hidden="1">{"'Sheet1'!$L$16"}</definedName>
    <definedName name="Thietbi" localSheetId="3" hidden="1">{"'Sheet1'!$L$16"}</definedName>
    <definedName name="Thietbi" localSheetId="4" hidden="1">{"'Sheet1'!$L$16"}</definedName>
    <definedName name="Thietbi" localSheetId="5" hidden="1">{"'Sheet1'!$L$16"}</definedName>
    <definedName name="Thietbi" localSheetId="7" hidden="1">{"'Sheet1'!$L$16"}</definedName>
    <definedName name="Thietbi" hidden="1">{"'Sheet1'!$L$16"}</definedName>
    <definedName name="thinh">#REF!</definedName>
    <definedName name="THK">#N/A</definedName>
    <definedName name="THKL" localSheetId="1" hidden="1">{"'Sheet1'!$L$16"}</definedName>
    <definedName name="THKL" localSheetId="3" hidden="1">{"'Sheet1'!$L$16"}</definedName>
    <definedName name="THKL" localSheetId="4" hidden="1">{"'Sheet1'!$L$16"}</definedName>
    <definedName name="THKL" localSheetId="5" hidden="1">{"'Sheet1'!$L$16"}</definedName>
    <definedName name="THKL" localSheetId="7" hidden="1">{"'Sheet1'!$L$16"}</definedName>
    <definedName name="THKL" hidden="1">{"'Sheet1'!$L$16"}</definedName>
    <definedName name="thkl2">{"'Sheet1'!$L$16"}</definedName>
    <definedName name="thkl3">{"'Sheet1'!$L$16"}</definedName>
    <definedName name="THKP">{"'Sheet1'!$L$16"}</definedName>
    <definedName name="thkp3">#REF!</definedName>
    <definedName name="thkp5" hidden="1">{"'Sheet1'!$L$16"}</definedName>
    <definedName name="thkp6" hidden="1">{"'Sheet1'!$L$16"}</definedName>
    <definedName name="thkp7" hidden="1">{"'Sheet1'!$L$16"}</definedName>
    <definedName name="THKP7YT" localSheetId="1" hidden="1">{"'Sheet1'!$L$16"}</definedName>
    <definedName name="THKP7YT" localSheetId="3" hidden="1">{"'Sheet1'!$L$16"}</definedName>
    <definedName name="THKP7YT" localSheetId="4" hidden="1">{"'Sheet1'!$L$16"}</definedName>
    <definedName name="THKP7YT" localSheetId="5" hidden="1">{"'Sheet1'!$L$16"}</definedName>
    <definedName name="THKP7YT" localSheetId="7" hidden="1">{"'Sheet1'!$L$16"}</definedName>
    <definedName name="THKP7YT" hidden="1">{"'Sheet1'!$L$16"}</definedName>
    <definedName name="thkpdnt" hidden="1">{"'Sheet1'!$L$16"}</definedName>
    <definedName name="THKPM8" localSheetId="1" hidden="1">{"'Sheet1'!$L$16"}</definedName>
    <definedName name="THKPM8" localSheetId="3" hidden="1">{"'Sheet1'!$L$16"}</definedName>
    <definedName name="THKPM8" localSheetId="4" hidden="1">{"'Sheet1'!$L$16"}</definedName>
    <definedName name="THKPM8" localSheetId="5" hidden="1">{"'Sheet1'!$L$16"}</definedName>
    <definedName name="THKPM8" localSheetId="7" hidden="1">{"'Sheet1'!$L$16"}</definedName>
    <definedName name="THKPM8" hidden="1">{"'Sheet1'!$L$16"}</definedName>
    <definedName name="thkprtn" hidden="1">{"'Sheet1'!$L$16"}</definedName>
    <definedName name="THLeloi" localSheetId="1" hidden="1">{"'Sheet1'!$L$16"}</definedName>
    <definedName name="THLeloi" localSheetId="3" hidden="1">{"'Sheet1'!$L$16"}</definedName>
    <definedName name="THLeloi" localSheetId="4" hidden="1">{"'Sheet1'!$L$16"}</definedName>
    <definedName name="THLeloi" localSheetId="5" hidden="1">{"'Sheet1'!$L$16"}</definedName>
    <definedName name="THLeloi" localSheetId="7" hidden="1">{"'Sheet1'!$L$16"}</definedName>
    <definedName name="THLeloi" hidden="1">{"'Sheet1'!$L$16"}</definedName>
    <definedName name="Þmong">#REF!</definedName>
    <definedName name="ÞNXoldk">#REF!</definedName>
    <definedName name="THNgHue" localSheetId="1" hidden="1">{"'Sheet1'!$L$16"}</definedName>
    <definedName name="THNgHue" localSheetId="3" hidden="1">{"'Sheet1'!$L$16"}</definedName>
    <definedName name="THNgHue" localSheetId="4" hidden="1">{"'Sheet1'!$L$16"}</definedName>
    <definedName name="THNgHue" localSheetId="5" hidden="1">{"'Sheet1'!$L$16"}</definedName>
    <definedName name="THNgHue" localSheetId="7" hidden="1">{"'Sheet1'!$L$16"}</definedName>
    <definedName name="THNgHue" hidden="1">{"'Sheet1'!$L$16"}</definedName>
    <definedName name="THNgThHoc" localSheetId="1" hidden="1">{"'Sheet1'!$L$16"}</definedName>
    <definedName name="THNgThHoc" localSheetId="3" hidden="1">{"'Sheet1'!$L$16"}</definedName>
    <definedName name="THNgThHoc" localSheetId="4" hidden="1">{"'Sheet1'!$L$16"}</definedName>
    <definedName name="THNgThHoc" localSheetId="5" hidden="1">{"'Sheet1'!$L$16"}</definedName>
    <definedName name="THNgThHoc" localSheetId="7" hidden="1">{"'Sheet1'!$L$16"}</definedName>
    <definedName name="THNgThHoc" hidden="1">{"'Sheet1'!$L$16"}</definedName>
    <definedName name="THop">#REF!</definedName>
    <definedName name="THop2">#REF!</definedName>
    <definedName name="thopsohoc" localSheetId="1" hidden="1">{"Offgrid",#N/A,FALSE,"OFFGRID";"Region",#N/A,FALSE,"REGION";"Offgrid -2",#N/A,FALSE,"OFFGRID";"WTP",#N/A,FALSE,"WTP";"WTP -2",#N/A,FALSE,"WTP";"Project",#N/A,FALSE,"PROJECT";"Summary -2",#N/A,FALSE,"SUMMARY"}</definedName>
    <definedName name="thopsohoc" localSheetId="3" hidden="1">{"Offgrid",#N/A,FALSE,"OFFGRID";"Region",#N/A,FALSE,"REGION";"Offgrid -2",#N/A,FALSE,"OFFGRID";"WTP",#N/A,FALSE,"WTP";"WTP -2",#N/A,FALSE,"WTP";"Project",#N/A,FALSE,"PROJECT";"Summary -2",#N/A,FALSE,"SUMMARY"}</definedName>
    <definedName name="thopsohoc" localSheetId="4" hidden="1">{"Offgrid",#N/A,FALSE,"OFFGRID";"Region",#N/A,FALSE,"REGION";"Offgrid -2",#N/A,FALSE,"OFFGRID";"WTP",#N/A,FALSE,"WTP";"WTP -2",#N/A,FALSE,"WTP";"Project",#N/A,FALSE,"PROJECT";"Summary -2",#N/A,FALSE,"SUMMARY"}</definedName>
    <definedName name="thopsohoc" localSheetId="5" hidden="1">{"Offgrid",#N/A,FALSE,"OFFGRID";"Region",#N/A,FALSE,"REGION";"Offgrid -2",#N/A,FALSE,"OFFGRID";"WTP",#N/A,FALSE,"WTP";"WTP -2",#N/A,FALSE,"WTP";"Project",#N/A,FALSE,"PROJECT";"Summary -2",#N/A,FALSE,"SUMMARY"}</definedName>
    <definedName name="thopsohoc" localSheetId="7" hidden="1">{"Offgrid",#N/A,FALSE,"OFFGRID";"Region",#N/A,FALSE,"REGION";"Offgrid -2",#N/A,FALSE,"OFFGRID";"WTP",#N/A,FALSE,"WTP";"WTP -2",#N/A,FALSE,"WTP";"Project",#N/A,FALSE,"PROJECT";"Summary -2",#N/A,FALSE,"SUMMARY"}</definedName>
    <definedName name="thopsohoc" hidden="1">{"Offgrid",#N/A,FALSE,"OFFGRID";"Region",#N/A,FALSE,"REGION";"Offgrid -2",#N/A,FALSE,"OFFGRID";"WTP",#N/A,FALSE,"WTP";"WTP -2",#N/A,FALSE,"WTP";"Project",#N/A,FALSE,"PROJECT";"Summary -2",#N/A,FALSE,"SUMMARY"}</definedName>
    <definedName name="THQT" hidden="1">{#N/A,#N/A,FALSE,"Chi tiÆt"}</definedName>
    <definedName name="thqtpsg" localSheetId="1" hidden="1">{"'Sheet1'!$L$16"}</definedName>
    <definedName name="thqtpsg" localSheetId="3" hidden="1">{"'Sheet1'!$L$16"}</definedName>
    <definedName name="thqtpsg" localSheetId="4" hidden="1">{"'Sheet1'!$L$16"}</definedName>
    <definedName name="thqtpsg" localSheetId="5" hidden="1">{"'Sheet1'!$L$16"}</definedName>
    <definedName name="thqtpsg" localSheetId="7" hidden="1">{"'Sheet1'!$L$16"}</definedName>
    <definedName name="thqtpsg" hidden="1">{"'Sheet1'!$L$16"}</definedName>
    <definedName name="THQuiCapChan" localSheetId="1" hidden="1">{"'Sheet1'!$L$16"}</definedName>
    <definedName name="THQuiCapChan" localSheetId="3" hidden="1">{"'Sheet1'!$L$16"}</definedName>
    <definedName name="THQuiCapChan" localSheetId="4" hidden="1">{"'Sheet1'!$L$16"}</definedName>
    <definedName name="THQuiCapChan" localSheetId="5" hidden="1">{"'Sheet1'!$L$16"}</definedName>
    <definedName name="THQuiCapChan" localSheetId="7" hidden="1">{"'Sheet1'!$L$16"}</definedName>
    <definedName name="THQuiCapChan" hidden="1">{"'Sheet1'!$L$16"}</definedName>
    <definedName name="thQuicaple" localSheetId="1" hidden="1">{"'Sheet1'!$L$16"}</definedName>
    <definedName name="thQuicaple" localSheetId="3" hidden="1">{"'Sheet1'!$L$16"}</definedName>
    <definedName name="thQuicaple" localSheetId="4" hidden="1">{"'Sheet1'!$L$16"}</definedName>
    <definedName name="thQuicaple" localSheetId="5" hidden="1">{"'Sheet1'!$L$16"}</definedName>
    <definedName name="thQuicaple" localSheetId="7" hidden="1">{"'Sheet1'!$L$16"}</definedName>
    <definedName name="thQuicaple" hidden="1">{"'Sheet1'!$L$16"}</definedName>
    <definedName name="Þsan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oanBo">#REF!</definedName>
    <definedName name="THtoanbo2">#REF!</definedName>
    <definedName name="thtt">#REF!</definedName>
    <definedName name="thtyhyjyjyjyjjjyujyj" hidden="1">#REF!</definedName>
    <definedName name="THTHEP">#REF!</definedName>
    <definedName name="THTranPhu" localSheetId="1" hidden="1">{"'Sheet1'!$L$16"}</definedName>
    <definedName name="THTranPhu" localSheetId="3" hidden="1">{"'Sheet1'!$L$16"}</definedName>
    <definedName name="THTranPhu" localSheetId="4" hidden="1">{"'Sheet1'!$L$16"}</definedName>
    <definedName name="THTranPhu" localSheetId="5" hidden="1">{"'Sheet1'!$L$16"}</definedName>
    <definedName name="THTranPhu" localSheetId="7" hidden="1">{"'Sheet1'!$L$16"}</definedName>
    <definedName name="THTranPhu" hidden="1">{"'Sheet1'!$L$16"}</definedName>
    <definedName name="thu" localSheetId="1" hidden="1">{"'Sheet1'!$L$16"}</definedName>
    <definedName name="thu" localSheetId="3" hidden="1">{"'Sheet1'!$L$16"}</definedName>
    <definedName name="thu" localSheetId="4" hidden="1">{"'Sheet1'!$L$16"}</definedName>
    <definedName name="thu" localSheetId="5" hidden="1">{"'Sheet1'!$L$16"}</definedName>
    <definedName name="thu" localSheetId="7" hidden="1">{"'Sheet1'!$L$16"}</definedName>
    <definedName name="thu" hidden="1">{"'Sheet1'!$L$16"}</definedName>
    <definedName name="thue">6</definedName>
    <definedName name="thuy" localSheetId="1" hidden="1">{"'Sheet1'!$L$16"}</definedName>
    <definedName name="thuy" localSheetId="3" hidden="1">{"'Sheet1'!$L$16"}</definedName>
    <definedName name="thuy" localSheetId="4" hidden="1">{"'Sheet1'!$L$16"}</definedName>
    <definedName name="thuy" localSheetId="5" hidden="1">{"'Sheet1'!$L$16"}</definedName>
    <definedName name="thuy" localSheetId="7" hidden="1">{"'Sheet1'!$L$16"}</definedName>
    <definedName name="thuy" hidden="1">{"'Sheet1'!$L$16"}</definedName>
    <definedName name="thvlmoi" localSheetId="1" hidden="1">{"'Sheet1'!$L$16"}</definedName>
    <definedName name="thvlmoi" localSheetId="3" hidden="1">{"'Sheet1'!$L$16"}</definedName>
    <definedName name="thvlmoi" localSheetId="4" hidden="1">{"'Sheet1'!$L$16"}</definedName>
    <definedName name="thvlmoi" localSheetId="5" hidden="1">{"'Sheet1'!$L$16"}</definedName>
    <definedName name="thvlmoi" localSheetId="7" hidden="1">{"'Sheet1'!$L$16"}</definedName>
    <definedName name="thvlmoi" hidden="1">{"'Sheet1'!$L$16"}</definedName>
    <definedName name="thvlmoimoi" localSheetId="1" hidden="1">{"'Sheet1'!$L$16"}</definedName>
    <definedName name="thvlmoimoi" localSheetId="3" hidden="1">{"'Sheet1'!$L$16"}</definedName>
    <definedName name="thvlmoimoi" localSheetId="4" hidden="1">{"'Sheet1'!$L$16"}</definedName>
    <definedName name="thvlmoimoi" localSheetId="5" hidden="1">{"'Sheet1'!$L$16"}</definedName>
    <definedName name="thvlmoimoi" localSheetId="7" hidden="1">{"'Sheet1'!$L$16"}</definedName>
    <definedName name="thvlmoimoi" hidden="1">{"'Sheet1'!$L$16"}</definedName>
    <definedName name="THXD2">{"'Sheet1'!$L$16"}</definedName>
    <definedName name="tr" hidden="1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#REF!</definedName>
    <definedName name="TRA_VL">#REF!</definedName>
    <definedName name="tra_VL_1">#REF!</definedName>
    <definedName name="trab">#REF!</definedName>
    <definedName name="TRADE2">#REF!</definedName>
    <definedName name="Tram" hidden="1">{"'Sheet1'!$L$16"}</definedName>
    <definedName name="tran">#REF!</definedName>
    <definedName name="TRANSFORMER">#REF!</definedName>
    <definedName name="tratmacuam4">#REF!</definedName>
    <definedName name="TRATPHAO12M4">#REF!</definedName>
    <definedName name="TRATPHAO13M4">#REF!</definedName>
    <definedName name="TRATPHAO16M4">#REF!</definedName>
    <definedName name="trattuongngoaim4">#REF!</definedName>
    <definedName name="trattuongtrongm4\">#REF!</definedName>
    <definedName name="trattranm4">#REF!</definedName>
    <definedName name="TraTH">#REF!</definedName>
    <definedName name="Trathep">#REF!</definedName>
    <definedName name="TRAVL">#REF!</definedName>
    <definedName name="TRHEH" localSheetId="1" hidden="1">{"'Sheet1'!$L$16"}</definedName>
    <definedName name="TRHEH" localSheetId="3" hidden="1">{"'Sheet1'!$L$16"}</definedName>
    <definedName name="TRHEH" localSheetId="4" hidden="1">{"'Sheet1'!$L$16"}</definedName>
    <definedName name="TRHEH" localSheetId="5" hidden="1">{"'Sheet1'!$L$16"}</definedName>
    <definedName name="TRHEH" localSheetId="7" hidden="1">{"'Sheet1'!$L$16"}</definedName>
    <definedName name="TRHEH" hidden="1">{"'Sheet1'!$L$16"}</definedName>
    <definedName name="TRIX">#REF!</definedName>
    <definedName name="trt">#REF!</definedName>
    <definedName name="tru_can">#REF!</definedName>
    <definedName name="TRUC_A">#REF!</definedName>
    <definedName name="TRUC_B">#REF!</definedName>
    <definedName name="TRUC_C">#REF!</definedName>
    <definedName name="TRUC_X">#REF!</definedName>
    <definedName name="TRUC_Z">#REF!</definedName>
    <definedName name="TRUNGNGUYEN" hidden="1">{#N/A,#N/A,FALSE,"Chi tiÆt"}</definedName>
    <definedName name="U_tien">#REF!</definedName>
    <definedName name="UBDT" hidden="1">{"'Sheet1'!$L$16"}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IOUIO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localSheetId="1" hidden="1">{"'Sheet1'!$L$16"}</definedName>
    <definedName name="ukluy" localSheetId="3" hidden="1">{"'Sheet1'!$L$16"}</definedName>
    <definedName name="ukluy" localSheetId="4" hidden="1">{"'Sheet1'!$L$16"}</definedName>
    <definedName name="ukluy" localSheetId="5" hidden="1">{"'Sheet1'!$L$16"}</definedName>
    <definedName name="ukluy" localSheetId="7" hidden="1">{"'Sheet1'!$L$16"}</definedName>
    <definedName name="ukluy" hidden="1">{"'Sheet1'!$L$16"}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t" localSheetId="1">BlankMacro1</definedName>
    <definedName name="unitt" localSheetId="4">BlankMacro1</definedName>
    <definedName name="unitt" localSheetId="13">BlankMacro1</definedName>
    <definedName name="unitt" localSheetId="15">BlankMacro1</definedName>
    <definedName name="unitt" localSheetId="12">BlankMacro1</definedName>
    <definedName name="unitt" localSheetId="14">BlankMacro1</definedName>
    <definedName name="unitt" localSheetId="11">BlankMacro1</definedName>
    <definedName name="unitt" localSheetId="10">BlankMacro1</definedName>
    <definedName name="unitt">BlankMacro1</definedName>
    <definedName name="UP">#REF!,#REF!,#REF!,#REF!,#REF!,#REF!,#REF!,#REF!,#REF!,#REF!,#REF!</definedName>
    <definedName name="UPAH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sbn">#REF!</definedName>
    <definedName name="upahtpttisu">#REF!</definedName>
    <definedName name="upahtpthanduk">#REF!</definedName>
    <definedName name="upahurinal">#REF!</definedName>
    <definedName name="urinalU57M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SUKKRUINGRENGBANGKIRAI">#REF!</definedName>
    <definedName name="ut" localSheetId="1">BlankMacro1</definedName>
    <definedName name="ut" localSheetId="4">BlankMacro1</definedName>
    <definedName name="ut" localSheetId="13">BlankMacro1</definedName>
    <definedName name="ut" localSheetId="15">BlankMacro1</definedName>
    <definedName name="ut" localSheetId="12">BlankMacro1</definedName>
    <definedName name="ut" localSheetId="14">BlankMacro1</definedName>
    <definedName name="ut" localSheetId="11">BlankMacro1</definedName>
    <definedName name="ut" localSheetId="10">BlankMacro1</definedName>
    <definedName name="ut">BlankMacro1</definedName>
    <definedName name="UT_1">#REF!</definedName>
    <definedName name="UT1_373">#REF!</definedName>
    <definedName name="UTWER" localSheetId="1" hidden="1">{"'Sheet1'!$L$16"}</definedName>
    <definedName name="UTWER" localSheetId="3" hidden="1">{"'Sheet1'!$L$16"}</definedName>
    <definedName name="UTWER" localSheetId="4" hidden="1">{"'Sheet1'!$L$16"}</definedName>
    <definedName name="UTWER" localSheetId="5" hidden="1">{"'Sheet1'!$L$16"}</definedName>
    <definedName name="UTWER" localSheetId="7" hidden="1">{"'Sheet1'!$L$16"}</definedName>
    <definedName name="UTWER" hidden="1">{"'Sheet1'!$L$16"}</definedName>
    <definedName name="UUU" hidden="1">{#N/A,#N/A,FALSE,"CCTV"}</definedName>
    <definedName name="uuuuuuuuuuuuuu" hidden="1">{"'Sheet1'!$L$16"}</definedName>
    <definedName name="uv">#REF!</definedName>
    <definedName name="ư" localSheetId="1" hidden="1">#REF!</definedName>
    <definedName name="ư" hidden="1">#REF!</definedName>
    <definedName name="ừd">{"'Sheet1'!$L$16"}</definedName>
    <definedName name="ưe" hidden="1">{#N/A,#N/A,FALSE,"CCTV"}</definedName>
    <definedName name="ưEASDAS">#REF!</definedName>
    <definedName name="ưeawegw" hidden="1">#REF!</definedName>
    <definedName name="ưegweg" hidden="1">{"'Sheet1'!$L$16"}</definedName>
    <definedName name="ưer" hidden="1">#REF!</definedName>
    <definedName name="ưerarwer">#REF!</definedName>
    <definedName name="ưerasf">#REF!</definedName>
    <definedName name="ưerewra">#REF!</definedName>
    <definedName name="ưergasd" hidden="1">#REF!</definedName>
    <definedName name="ưergwrgn" hidden="1">{"'Sheet1'!$L$16"}</definedName>
    <definedName name="ưerqwer">#REF!</definedName>
    <definedName name="ưerqwerq">#REF!</definedName>
    <definedName name="ưerqwerưerwer" hidden="1">#REF!</definedName>
    <definedName name="ưERRAS">#REF!</definedName>
    <definedName name="ưers">#REF!</definedName>
    <definedName name="ưERSDF">#REF!</definedName>
    <definedName name="ưERT">#REF!</definedName>
    <definedName name="ƯERWER" localSheetId="1" hidden="1">{"'Sheet1'!$L$16"}</definedName>
    <definedName name="ƯERWER" localSheetId="3" hidden="1">{"'Sheet1'!$L$16"}</definedName>
    <definedName name="ƯERWER" localSheetId="4" hidden="1">{"'Sheet1'!$L$16"}</definedName>
    <definedName name="ƯERWER" localSheetId="5" hidden="1">{"'Sheet1'!$L$16"}</definedName>
    <definedName name="ƯERWER" localSheetId="7" hidden="1">{"'Sheet1'!$L$16"}</definedName>
    <definedName name="ƯERWER" hidden="1">{"'Sheet1'!$L$16"}</definedName>
    <definedName name="ưerwerewr" localSheetId="1" hidden="1">{"'Sheet1'!$L$16"}</definedName>
    <definedName name="ưerwerewr" localSheetId="3" hidden="1">{"'Sheet1'!$L$16"}</definedName>
    <definedName name="ưerwerewr" localSheetId="4" hidden="1">{"'Sheet1'!$L$16"}</definedName>
    <definedName name="ưerwerewr" localSheetId="5" hidden="1">{"'Sheet1'!$L$16"}</definedName>
    <definedName name="ưerwerewr" localSheetId="7" hidden="1">{"'Sheet1'!$L$16"}</definedName>
    <definedName name="ưerwerewr" hidden="1">{"'Sheet1'!$L$16"}</definedName>
    <definedName name="ưERWERRưER">#REF!</definedName>
    <definedName name="ưERWERSD">#REF!</definedName>
    <definedName name="ưERWERWER">#REF!</definedName>
    <definedName name="ưerwetert">#REF!</definedName>
    <definedName name="ưerwetqr">#REF!</definedName>
    <definedName name="ưerwrsad">#REF!</definedName>
    <definedName name="ưgawegw" hidden="1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 localSheetId="1">ptdg</definedName>
    <definedName name="V_a_b__t_ng_M200____1x2">ptdg</definedName>
    <definedName name="V_t_tõ">#REF!</definedName>
    <definedName name="V8.Refresh" localSheetId="1" hidden="1">{"NGUYEN QUI THIEP - Personal View",#N/A,FALSE,"XDCB.HT.FUR."}</definedName>
    <definedName name="V8.Refresh" localSheetId="3" hidden="1">{"NGUYEN QUI THIEP - Personal View",#N/A,FALSE,"XDCB.HT.FUR."}</definedName>
    <definedName name="V8.Refresh" localSheetId="4" hidden="1">{"NGUYEN QUI THIEP - Personal View",#N/A,FALSE,"XDCB.HT.FUR."}</definedName>
    <definedName name="V8.Refresh" localSheetId="5" hidden="1">{"NGUYEN QUI THIEP - Personal View",#N/A,FALSE,"XDCB.HT.FUR."}</definedName>
    <definedName name="V8.Refresh" localSheetId="7" hidden="1">{"NGUYEN QUI THIEP - Personal View",#N/A,FALSE,"XDCB.HT.FUR."}</definedName>
    <definedName name="V8.Refresh" hidden="1">{"NGUYEN QUI THIEP - Personal View",#N/A,FALSE,"XDCB.HT.FUR."}</definedName>
    <definedName name="VA">#REF!</definedName>
    <definedName name="VAÄT_LIEÄU">"nhandongia"</definedName>
    <definedName name="VaDate" hidden="1">#REF!</definedName>
    <definedName name="vadvsa" localSheetId="1" hidden="1">{"'Sheet1'!$L$16"}</definedName>
    <definedName name="vadvsa" localSheetId="3" hidden="1">{"'Sheet1'!$L$16"}</definedName>
    <definedName name="vadvsa" localSheetId="4" hidden="1">{"'Sheet1'!$L$16"}</definedName>
    <definedName name="vadvsa" localSheetId="5" hidden="1">{"'Sheet1'!$L$16"}</definedName>
    <definedName name="vadvsa" localSheetId="7" hidden="1">{"'Sheet1'!$L$16"}</definedName>
    <definedName name="vadvsa" hidden="1">{"'Sheet1'!$L$16"}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ve" localSheetId="1" hidden="1">{"'Sheet1'!$L$16"}</definedName>
    <definedName name="Valve" localSheetId="3" hidden="1">{"'Sheet1'!$L$16"}</definedName>
    <definedName name="Valve" localSheetId="4" hidden="1">{"'Sheet1'!$L$16"}</definedName>
    <definedName name="Valve" localSheetId="5" hidden="1">{"'Sheet1'!$L$16"}</definedName>
    <definedName name="Valve" localSheetId="7" hidden="1">{"'Sheet1'!$L$16"}</definedName>
    <definedName name="Valve" hidden="1">{"'Sheet1'!$L$16"}</definedName>
    <definedName name="VanChuyenDam">#REF!</definedName>
    <definedName name="vankhuon">#REF!</definedName>
    <definedName name="VarDate" hidden="1">#REF!</definedName>
    <definedName name="VARIINST">#REF!</definedName>
    <definedName name="VARIPURC">#REF!</definedName>
    <definedName name="VAT">#REF!</definedName>
    <definedName name="Vat_tu">#REF!</definedName>
    <definedName name="vatlieu">#REF!</definedName>
    <definedName name="VatLieuKhac">#REF!</definedName>
    <definedName name="VATM" localSheetId="1" hidden="1">{"'Sheet1'!$L$16"}</definedName>
    <definedName name="VATM" localSheetId="3" hidden="1">{"'Sheet1'!$L$16"}</definedName>
    <definedName name="VATM" localSheetId="4" hidden="1">{"'Sheet1'!$L$16"}</definedName>
    <definedName name="VATM" localSheetId="5" hidden="1">{"'Sheet1'!$L$16"}</definedName>
    <definedName name="VATM" localSheetId="7" hidden="1">{"'Sheet1'!$L$16"}</definedName>
    <definedName name="VATM" hidden="1">{"'Sheet1'!$L$16"}</definedName>
    <definedName name="VATTbi">#REF!</definedName>
    <definedName name="vb">{"'Sheet1'!$L$16"}</definedName>
    <definedName name="vbc">{"'Sheet1'!$L$16"}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bo">#REF!</definedName>
    <definedName name="vcbo1" localSheetId="1" hidden="1">{"'Sheet1'!$L$16"}</definedName>
    <definedName name="vcbo1" localSheetId="3" hidden="1">{"'Sheet1'!$L$16"}</definedName>
    <definedName name="vcbo1" localSheetId="4" hidden="1">{"'Sheet1'!$L$16"}</definedName>
    <definedName name="vcbo1" localSheetId="5" hidden="1">{"'Sheet1'!$L$16"}</definedName>
    <definedName name="vcbo1" localSheetId="7" hidden="1">{"'Sheet1'!$L$16"}</definedName>
    <definedName name="vcbo1" hidden="1">{"'Sheet1'!$L$16"}</definedName>
    <definedName name="VCC">#REF!</definedName>
    <definedName name="vccot">#REF!</definedName>
    <definedName name="vccot35">#REF!</definedName>
    <definedName name="VCD">#REF!</definedName>
    <definedName name="VCNBo">#REF!</definedName>
    <definedName name="vcoto" localSheetId="1" hidden="1">{"'Sheet1'!$L$16"}</definedName>
    <definedName name="vcoto" localSheetId="3" hidden="1">{"'Sheet1'!$L$16"}</definedName>
    <definedName name="vcoto" localSheetId="4" hidden="1">{"'Sheet1'!$L$16"}</definedName>
    <definedName name="vcoto" localSheetId="5" hidden="1">{"'Sheet1'!$L$16"}</definedName>
    <definedName name="vcoto" localSheetId="7" hidden="1">{"'Sheet1'!$L$16"}</definedName>
    <definedName name="vcoto" hidden="1">{"'Sheet1'!$L$16"}</definedName>
    <definedName name="VCP">#REF!</definedName>
    <definedName name="vctb">#REF!</definedName>
    <definedName name="VCTT">#REF!</definedName>
    <definedName name="VCThuy">#REF!</definedName>
    <definedName name="vcxa">#REF!</definedName>
    <definedName name="VCHT">#REF!</definedName>
    <definedName name="vd">#REF!</definedName>
    <definedName name="vd3p">#REF!</definedName>
    <definedName name="vdkt">#N/A</definedName>
    <definedName name="VEN" hidden="1">{#N/A,#N/A,TRUE,"SUM";#N/A,#N/A,TRUE,"EE";#N/A,#N/A,TRUE,"AC";#N/A,#N/A,TRUE,"SN"}</definedName>
    <definedName name="vetbun" localSheetId="1" hidden="1">{"'Sheet1'!$L$16"}</definedName>
    <definedName name="vetbun" localSheetId="3" hidden="1">{"'Sheet1'!$L$16"}</definedName>
    <definedName name="vetbun" localSheetId="4" hidden="1">{"'Sheet1'!$L$16"}</definedName>
    <definedName name="vetbun" localSheetId="5" hidden="1">{"'Sheet1'!$L$16"}</definedName>
    <definedName name="vetbun" localSheetId="7" hidden="1">{"'Sheet1'!$L$16"}</definedName>
    <definedName name="vetbun" hidden="1">{"'Sheet1'!$L$16"}</definedName>
    <definedName name="VF" localSheetId="1" hidden="1">{#N/A,#N/A,FALSE,"Sheet2";#N/A,#N/A,FALSE,"Sheet4";#N/A,#N/A,FALSE,"Sheet6"}</definedName>
    <definedName name="VF" localSheetId="3" hidden="1">{#N/A,#N/A,FALSE,"Sheet2";#N/A,#N/A,FALSE,"Sheet4";#N/A,#N/A,FALSE,"Sheet6"}</definedName>
    <definedName name="VF" localSheetId="4" hidden="1">{#N/A,#N/A,FALSE,"Sheet2";#N/A,#N/A,FALSE,"Sheet4";#N/A,#N/A,FALSE,"Sheet6"}</definedName>
    <definedName name="VF" localSheetId="5" hidden="1">{#N/A,#N/A,FALSE,"Sheet2";#N/A,#N/A,FALSE,"Sheet4";#N/A,#N/A,FALSE,"Sheet6"}</definedName>
    <definedName name="VF" localSheetId="7" hidden="1">{#N/A,#N/A,FALSE,"Sheet2";#N/A,#N/A,FALSE,"Sheet4";#N/A,#N/A,FALSE,"Sheet6"}</definedName>
    <definedName name="VF" hidden="1">{#N/A,#N/A,FALSE,"Sheet2";#N/A,#N/A,FALSE,"Sheet4";#N/A,#N/A,FALSE,"Sheet6"}</definedName>
    <definedName name="vfdg" hidden="1">#REF!</definedName>
    <definedName name="vgb" localSheetId="1" hidden="1">{"'Sheet1'!$L$16"}</definedName>
    <definedName name="vgb" localSheetId="3" hidden="1">{"'Sheet1'!$L$16"}</definedName>
    <definedName name="vgb" localSheetId="4" hidden="1">{"'Sheet1'!$L$16"}</definedName>
    <definedName name="vgb" localSheetId="5" hidden="1">{"'Sheet1'!$L$16"}</definedName>
    <definedName name="vgb" localSheetId="7" hidden="1">{"'Sheet1'!$L$16"}</definedName>
    <definedName name="vgb" hidden="1">{"'Sheet1'!$L$16"}</definedName>
    <definedName name="vgho">{"'Sheet1'!$L$16"}</definedName>
    <definedName name="vgjh" hidden="1">{#N/A,#N/A,FALSE,"特殊室（ＢＱ表）"}</definedName>
    <definedName name="vgk">#REF!</definedName>
    <definedName name="vgt">#REF!</definedName>
    <definedName name="vhjhgvvg" hidden="1">{#N/A,#N/A,FALSE,"Tabelle2";#N/A,#N/A,FALSE,"Tabelle1"}</definedName>
    <definedName name="vi">{"'Sheet1'!$L$16"}</definedName>
    <definedName name="Viet" localSheetId="1" hidden="1">{"'Sheet1'!$L$16"}</definedName>
    <definedName name="Viet" localSheetId="3" hidden="1">{"'Sheet1'!$L$16"}</definedName>
    <definedName name="Viet" localSheetId="4" hidden="1">{"'Sheet1'!$L$16"}</definedName>
    <definedName name="Viet" localSheetId="5" hidden="1">{"'Sheet1'!$L$16"}</definedName>
    <definedName name="Viet" localSheetId="7" hidden="1">{"'Sheet1'!$L$16"}</definedName>
    <definedName name="Viet" hidden="1">{"'Sheet1'!$L$16"}</definedName>
    <definedName name="Vinakyoie" hidden="1">#REF!</definedName>
    <definedName name="vkcauthang">#REF!</definedName>
    <definedName name="vkcot">#REF!</definedName>
    <definedName name="VKCOTM3">#REF!</definedName>
    <definedName name="VKDAM">#REF!</definedName>
    <definedName name="vksan">#REF!</definedName>
    <definedName name="VKSANMAI">#REF!</definedName>
    <definedName name="VKSANMAIM3">#REF!</definedName>
    <definedName name="VKXADAMM3">#REF!</definedName>
    <definedName name="vl">#REF!</definedName>
    <definedName name="vl1p">#REF!</definedName>
    <definedName name="vl3p">#REF!</definedName>
    <definedName name="vlc">#REF!</definedName>
    <definedName name="Vlcap0.7">#REF!</definedName>
    <definedName name="VLcap1">#REF!</definedName>
    <definedName name="vlct" localSheetId="1" hidden="1">{"'Sheet1'!$L$16"}</definedName>
    <definedName name="vlct" localSheetId="3" hidden="1">{"'Sheet1'!$L$16"}</definedName>
    <definedName name="vlct" localSheetId="4" hidden="1">{"'Sheet1'!$L$16"}</definedName>
    <definedName name="vlct" localSheetId="5" hidden="1">{"'Sheet1'!$L$16"}</definedName>
    <definedName name="vlct" localSheetId="7" hidden="1">{"'Sheet1'!$L$16"}</definedName>
    <definedName name="vlct" hidden="1">{"'Sheet1'!$L$16"}</definedName>
    <definedName name="VLCT3p">#REF!</definedName>
    <definedName name="vlctbb">#REF!</definedName>
    <definedName name="vldn400">#REF!</definedName>
    <definedName name="vldn600">#REF!</definedName>
    <definedName name="VLE">1.12</definedName>
    <definedName name="VLG">1.1</definedName>
    <definedName name="VLGoc">#REF!</definedName>
    <definedName name="VLIEU">#REF!</definedName>
    <definedName name="VLN">1.12</definedName>
    <definedName name="VLP">{"'Sheet1'!$L$16"}</definedName>
    <definedName name="VLPhu">#REF!</definedName>
    <definedName name="VLTT">#REF!</definedName>
    <definedName name="vltram">#REF!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k" hidden="1">#REF!</definedName>
    <definedName name="vntf100">#REF!</definedName>
    <definedName name="vntf80">#REF!</definedName>
    <definedName name="VOLTAGE" localSheetId="1" hidden="1">{#N/A,#N/A,FALSE,"Sheet1";#N/A,#N/A,FALSE,"Sheet3";#N/A,#N/A,FALSE,"Sheet5"}</definedName>
    <definedName name="VOLTAGE" localSheetId="3" hidden="1">{#N/A,#N/A,FALSE,"Sheet1";#N/A,#N/A,FALSE,"Sheet3";#N/A,#N/A,FALSE,"Sheet5"}</definedName>
    <definedName name="VOLTAGE" localSheetId="4" hidden="1">{#N/A,#N/A,FALSE,"Sheet1";#N/A,#N/A,FALSE,"Sheet3";#N/A,#N/A,FALSE,"Sheet5"}</definedName>
    <definedName name="VOLTAGE" localSheetId="5" hidden="1">{#N/A,#N/A,FALSE,"Sheet1";#N/A,#N/A,FALSE,"Sheet3";#N/A,#N/A,FALSE,"Sheet5"}</definedName>
    <definedName name="VOLTAGE" localSheetId="7" hidden="1">{#N/A,#N/A,FALSE,"Sheet1";#N/A,#N/A,FALSE,"Sheet3";#N/A,#N/A,FALSE,"Sheet5"}</definedName>
    <definedName name="VOLTAGE" hidden="1">{#N/A,#N/A,FALSE,"Sheet1";#N/A,#N/A,FALSE,"Sheet3";#N/A,#N/A,FALSE,"Sheet5"}</definedName>
    <definedName name="VP_FSKHAC">#REF!</definedName>
    <definedName name="VP_SAN1">#REF!</definedName>
    <definedName name="VP_SAN2">#REF!</definedName>
    <definedName name="VP_SAN3">#REF!</definedName>
    <definedName name="VP_SANMAI">#REF!</definedName>
    <definedName name="VP_TRET">#REF!</definedName>
    <definedName name="Vph">0.05</definedName>
    <definedName name="vr3p">#REF!</definedName>
    <definedName name="vsdvs" hidden="1">#REF!</definedName>
    <definedName name="VT">#REF!</definedName>
    <definedName name="VT_cocep">#REF!</definedName>
    <definedName name="VT_cocnhoi">#REF!</definedName>
    <definedName name="VTFP">#REF!</definedName>
    <definedName name="VTuphu" localSheetId="1" hidden="1">{"'Sheet1'!$L$16"}</definedName>
    <definedName name="VTuphu" localSheetId="3" hidden="1">{"'Sheet1'!$L$16"}</definedName>
    <definedName name="VTuphu" localSheetId="4" hidden="1">{"'Sheet1'!$L$16"}</definedName>
    <definedName name="VTuphu" localSheetId="5" hidden="1">{"'Sheet1'!$L$16"}</definedName>
    <definedName name="VTuphu" localSheetId="7" hidden="1">{"'Sheet1'!$L$16"}</definedName>
    <definedName name="VTuphu" hidden="1">{"'Sheet1'!$L$16"}</definedName>
    <definedName name="VÙ">#REF!</definedName>
    <definedName name="vung2">#REF!</definedName>
    <definedName name="VUNGTB" localSheetId="1" hidden="1">{"'Sheet1'!$L$16"}</definedName>
    <definedName name="VUNGTB" localSheetId="3" hidden="1">{"'Sheet1'!$L$16"}</definedName>
    <definedName name="VUNGTB" localSheetId="4" hidden="1">{"'Sheet1'!$L$16"}</definedName>
    <definedName name="VUNGTB" localSheetId="5" hidden="1">{"'Sheet1'!$L$16"}</definedName>
    <definedName name="VUNGTB" localSheetId="7" hidden="1">{"'Sheet1'!$L$16"}</definedName>
    <definedName name="VUNGTB" hidden="1">{"'Sheet1'!$L$16"}</definedName>
    <definedName name="vut" localSheetId="1" hidden="1">{#N/A,#N/A,FALSE,"Chi tiÆt"}</definedName>
    <definedName name="vut" localSheetId="3" hidden="1">{#N/A,#N/A,FALSE,"Chi tiÆt"}</definedName>
    <definedName name="vut" localSheetId="4" hidden="1">{#N/A,#N/A,FALSE,"Chi tiÆt"}</definedName>
    <definedName name="vut" localSheetId="5" hidden="1">{#N/A,#N/A,FALSE,"Chi tiÆt"}</definedName>
    <definedName name="vut" localSheetId="7" hidden="1">{#N/A,#N/A,FALSE,"Chi tiÆt"}</definedName>
    <definedName name="vut" hidden="1">{#N/A,#N/A,FALSE,"Chi tiÆt"}</definedName>
    <definedName name="vv" localSheetId="1" hidden="1">{"'Sheet1'!$L$16"}</definedName>
    <definedName name="vv" localSheetId="3" hidden="1">{"'Sheet1'!$L$16"}</definedName>
    <definedName name="vv" localSheetId="4" hidden="1">{"'Sheet1'!$L$16"}</definedName>
    <definedName name="vv" localSheetId="5" hidden="1">{"'Sheet1'!$L$16"}</definedName>
    <definedName name="vv" localSheetId="7" hidden="1">{"'Sheet1'!$L$16"}</definedName>
    <definedName name="vv" hidden="1">{"'Sheet1'!$L$16"}</definedName>
    <definedName name="vvb" hidden="1">#REF!</definedName>
    <definedName name="ｖｖｖ">{"'Sheet1'!$L$16"}</definedName>
    <definedName name="VVVV" hidden="1">#REF!</definedName>
    <definedName name="ｖｖｖｖｖ">{"'Sheet1'!$L$16"}</definedName>
    <definedName name="vvvvvvv" localSheetId="1" hidden="1">{#N/A,#N/A,FALSE,"Chi tiÆt"}</definedName>
    <definedName name="vvvvvvv" localSheetId="3" hidden="1">{#N/A,#N/A,FALSE,"Chi tiÆt"}</definedName>
    <definedName name="vvvvvvv" localSheetId="4" hidden="1">{#N/A,#N/A,FALSE,"Chi tiÆt"}</definedName>
    <definedName name="vvvvvvv" localSheetId="5" hidden="1">{#N/A,#N/A,FALSE,"Chi tiÆt"}</definedName>
    <definedName name="vvvvvvv" localSheetId="7" hidden="1">{#N/A,#N/A,FALSE,"Chi tiÆt"}</definedName>
    <definedName name="vvvvvvv" hidden="1">{#N/A,#N/A,FALSE,"Chi tiÆt"}</definedName>
    <definedName name="VX">#REF!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uan">#REF!</definedName>
    <definedName name="vyu" localSheetId="1" hidden="1">{"'Sheet1'!$L$16"}</definedName>
    <definedName name="vyu" localSheetId="3" hidden="1">{"'Sheet1'!$L$16"}</definedName>
    <definedName name="vyu" localSheetId="4" hidden="1">{"'Sheet1'!$L$16"}</definedName>
    <definedName name="vyu" localSheetId="5" hidden="1">{"'Sheet1'!$L$16"}</definedName>
    <definedName name="vyu" localSheetId="7" hidden="1">{"'Sheet1'!$L$16"}</definedName>
    <definedName name="vyu" hidden="1">{"'Sheet1'!$L$16"}</definedName>
    <definedName name="VZDVA" localSheetId="1" hidden="1">{"'Sheet1'!$L$16"}</definedName>
    <definedName name="VZDVA" localSheetId="3" hidden="1">{"'Sheet1'!$L$16"}</definedName>
    <definedName name="VZDVA" localSheetId="4" hidden="1">{"'Sheet1'!$L$16"}</definedName>
    <definedName name="VZDVA" localSheetId="5" hidden="1">{"'Sheet1'!$L$16"}</definedName>
    <definedName name="VZDVA" localSheetId="7" hidden="1">{"'Sheet1'!$L$16"}</definedName>
    <definedName name="VZDVA" hidden="1">{"'Sheet1'!$L$16"}</definedName>
    <definedName name="VZVZD" localSheetId="1" hidden="1">{"'Sheet1'!$L$16"}</definedName>
    <definedName name="VZVZD" localSheetId="3" hidden="1">{"'Sheet1'!$L$16"}</definedName>
    <definedName name="VZVZD" localSheetId="4" hidden="1">{"'Sheet1'!$L$16"}</definedName>
    <definedName name="VZVZD" localSheetId="5" hidden="1">{"'Sheet1'!$L$16"}</definedName>
    <definedName name="VZVZD" localSheetId="7" hidden="1">{"'Sheet1'!$L$16"}</definedName>
    <definedName name="VZVZD" hidden="1">{"'Sheet1'!$L$16"}</definedName>
    <definedName name="VZVZXCZ" localSheetId="1" hidden="1">{"'Sheet1'!$L$16"}</definedName>
    <definedName name="VZVZXCZ" localSheetId="3" hidden="1">{"'Sheet1'!$L$16"}</definedName>
    <definedName name="VZVZXCZ" localSheetId="4" hidden="1">{"'Sheet1'!$L$16"}</definedName>
    <definedName name="VZVZXCZ" localSheetId="5" hidden="1">{"'Sheet1'!$L$16"}</definedName>
    <definedName name="VZVZXCZ" localSheetId="7" hidden="1">{"'Sheet1'!$L$16"}</definedName>
    <definedName name="VZVZXCZ" hidden="1">{"'Sheet1'!$L$16"}</definedName>
    <definedName name="W">#REF!</definedName>
    <definedName name="WA">4.5-0.7</definedName>
    <definedName name="walkway" localSheetId="1" hidden="1">{"'Sheet1'!$L$16"}</definedName>
    <definedName name="walkway" localSheetId="3" hidden="1">{"'Sheet1'!$L$16"}</definedName>
    <definedName name="walkway" localSheetId="4" hidden="1">{"'Sheet1'!$L$16"}</definedName>
    <definedName name="walkway" localSheetId="5" hidden="1">{"'Sheet1'!$L$16"}</definedName>
    <definedName name="walkway" localSheetId="7" hidden="1">{"'Sheet1'!$L$16"}</definedName>
    <definedName name="walkway" hidden="1">{"'Sheet1'!$L$16"}</definedName>
    <definedName name="wall">#REF!</definedName>
    <definedName name="waterway">#REF!</definedName>
    <definedName name="wd" hidden="1">#REF!</definedName>
    <definedName name="WDDLS">#REF!</definedName>
    <definedName name="WE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FC" hidden="1">#REF!</definedName>
    <definedName name="window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RE1">5</definedName>
    <definedName name="wis" localSheetId="1" hidden="1">#REF!</definedName>
    <definedName name="wis" hidden="1">#REF!</definedName>
    <definedName name="wjsr" localSheetId="1" hidden="1">#REF!</definedName>
    <definedName name="wjsr" hidden="1">#REF!</definedName>
    <definedName name="wm.조골재1" localSheetId="1" hidden="1">{#N/A,#N/A,FALSE,"조골재"}</definedName>
    <definedName name="wm.조골재1" hidden="1">{#N/A,#N/A,FALSE,"조골재"}</definedName>
    <definedName name="WQ">{"'Sheet1'!$L$16"}</definedName>
    <definedName name="WQ3VF21" hidden="1">{"'Sheet1'!$L$16"}</definedName>
    <definedName name="wqe">{"'ELEC'!$A$2:$H$216","'ELEC'!$C$2:$D$2"}</definedName>
    <definedName name="WRITE" localSheetId="1" hidden="1">{#N/A,#N/A,FALSE,"CCTV"}</definedName>
    <definedName name="WRITE" localSheetId="3" hidden="1">{#N/A,#N/A,FALSE,"CCTV"}</definedName>
    <definedName name="WRITE" localSheetId="4" hidden="1">{#N/A,#N/A,FALSE,"CCTV"}</definedName>
    <definedName name="WRITE" localSheetId="5" hidden="1">{#N/A,#N/A,FALSE,"CCTV"}</definedName>
    <definedName name="WRITE" localSheetId="7" hidden="1">{#N/A,#N/A,FALSE,"CCTV"}</definedName>
    <definedName name="WRITE" hidden="1">{#N/A,#N/A,FALSE,"CCTV"}</definedName>
    <definedName name="Wrn" localSheetId="1" hidden="1">{#N/A,#N/A,FALSE,"Chi tiÆt"}</definedName>
    <definedName name="Wrn" localSheetId="3" hidden="1">{#N/A,#N/A,FALSE,"Chi tiÆt"}</definedName>
    <definedName name="Wrn" localSheetId="4" hidden="1">{#N/A,#N/A,FALSE,"Chi tiÆt"}</definedName>
    <definedName name="Wrn" localSheetId="5" hidden="1">{#N/A,#N/A,FALSE,"Chi tiÆt"}</definedName>
    <definedName name="Wrn" localSheetId="7" hidden="1">{#N/A,#N/A,FALSE,"Chi tiÆt"}</definedName>
    <definedName name="Wrn" hidden="1">{#N/A,#N/A,FALSE,"Chi tiÆt"}</definedName>
    <definedName name="wrn.2번." localSheetId="1" hidden="1">{#N/A,#N/A,FALSE,"2~8번"}</definedName>
    <definedName name="wrn.2번." hidden="1">{#N/A,#N/A,FALSE,"2~8번"}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localSheetId="4" hidden="1">{#N/A,#N/A,TRUE,"1";#N/A,#N/A,TRUE,"2";#N/A,#N/A,TRUE,"3";#N/A,#N/A,TRUE,"4";#N/A,#N/A,TRUE,"5";#N/A,#N/A,TRUE,"6";#N/A,#N/A,TRUE,"7"}</definedName>
    <definedName name="wrn.97년._.사업계획._.및._.예산지침." localSheetId="5" hidden="1">{#N/A,#N/A,TRUE,"1";#N/A,#N/A,TRUE,"2";#N/A,#N/A,TRUE,"3";#N/A,#N/A,TRUE,"4";#N/A,#N/A,TRUE,"5";#N/A,#N/A,TRUE,"6";#N/A,#N/A,TRUE,"7"}</definedName>
    <definedName name="wrn.97년._.사업계획._.및._.예산지침." localSheetId="7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." localSheetId="1" hidden="1">{#N/A,#N/A,TRUE,"SUM";#N/A,#N/A,TRUE,"EE";#N/A,#N/A,TRUE,"AC";#N/A,#N/A,TRUE,"SN"}</definedName>
    <definedName name="wrn.A." localSheetId="3" hidden="1">{#N/A,#N/A,TRUE,"SUM";#N/A,#N/A,TRUE,"EE";#N/A,#N/A,TRUE,"AC";#N/A,#N/A,TRUE,"SN"}</definedName>
    <definedName name="wrn.A." localSheetId="4" hidden="1">{#N/A,#N/A,TRUE,"SUM";#N/A,#N/A,TRUE,"EE";#N/A,#N/A,TRUE,"AC";#N/A,#N/A,TRUE,"SN"}</definedName>
    <definedName name="wrn.A." localSheetId="5" hidden="1">{#N/A,#N/A,TRUE,"SUM";#N/A,#N/A,TRUE,"EE";#N/A,#N/A,TRUE,"AC";#N/A,#N/A,TRUE,"SN"}</definedName>
    <definedName name="wrn.A." localSheetId="7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1" hidden="1">{#N/A,#N/A,FALSE,"Sheet1";#N/A,#N/A,FALSE,"Sheet1";#N/A,#N/A,FALSE,"Sheet1"}</definedName>
    <definedName name="wrn.aaa." localSheetId="3" hidden="1">{#N/A,#N/A,FALSE,"Sheet1";#N/A,#N/A,FALSE,"Sheet1";#N/A,#N/A,FALSE,"Sheet1"}</definedName>
    <definedName name="wrn.aaa." localSheetId="4" hidden="1">{#N/A,#N/A,FALSE,"Sheet1";#N/A,#N/A,FALSE,"Sheet1";#N/A,#N/A,FALSE,"Sheet1"}</definedName>
    <definedName name="wrn.aaa." localSheetId="5" hidden="1">{#N/A,#N/A,FALSE,"Sheet1";#N/A,#N/A,FALSE,"Sheet1";#N/A,#N/A,FALSE,"Sheet1"}</definedName>
    <definedName name="wrn.aaa." localSheetId="7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ang._.ke._.nhan._.hang." localSheetId="1" hidden="1">{#N/A,#N/A,FALSE,"Ke khai NH"}</definedName>
    <definedName name="wrn.Bang._.ke._.nhan._.hang." localSheetId="3" hidden="1">{#N/A,#N/A,FALSE,"Ke khai NH"}</definedName>
    <definedName name="wrn.Bang._.ke._.nhan._.hang." localSheetId="4" hidden="1">{#N/A,#N/A,FALSE,"Ke khai NH"}</definedName>
    <definedName name="wrn.Bang._.ke._.nhan._.hang." localSheetId="5" hidden="1">{#N/A,#N/A,FALSE,"Ke khai NH"}</definedName>
    <definedName name="wrn.Bang._.ke._.nhan._.hang." localSheetId="7" hidden="1">{#N/A,#N/A,FALSE,"Ke khai NH"}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bb." localSheetId="1" hidden="1">{#N/A,#N/A,FALSE,"Sheet1";#N/A,#N/A,FALSE,"Sheet1";#N/A,#N/A,FALSE,"Sheet1"}</definedName>
    <definedName name="wrn.bbb." localSheetId="3" hidden="1">{#N/A,#N/A,FALSE,"Sheet1";#N/A,#N/A,FALSE,"Sheet1";#N/A,#N/A,FALSE,"Sheet1"}</definedName>
    <definedName name="wrn.bbb." localSheetId="4" hidden="1">{#N/A,#N/A,FALSE,"Sheet1";#N/A,#N/A,FALSE,"Sheet1";#N/A,#N/A,FALSE,"Sheet1"}</definedName>
    <definedName name="wrn.bbb." localSheetId="5" hidden="1">{#N/A,#N/A,FALSE,"Sheet1";#N/A,#N/A,FALSE,"Sheet1";#N/A,#N/A,FALSE,"Sheet1"}</definedName>
    <definedName name="wrn.bbb." localSheetId="7" hidden="1">{#N/A,#N/A,FALSE,"Sheet1";#N/A,#N/A,FALSE,"Sheet1";#N/A,#N/A,FALSE,"Sheet1"}</definedName>
    <definedName name="wrn.bbb." hidden="1">{#N/A,#N/A,FALSE,"Sheet1";#N/A,#N/A,FALSE,"Sheet1";#N/A,#N/A,FALSE,"Sheet1"}</definedName>
    <definedName name="wrn.BIDSUM." localSheetId="1" hidden="1">{#N/A,#N/A,TRUE,"SUMMARY";#N/A,#N/A,TRUE,"ISBL";#N/A,#N/A,TRUE,"OSBL";#N/A,#N/A,TRUE,"OFFSITE";#N/A,#N/A,TRUE,"STEAM"}</definedName>
    <definedName name="wrn.BIDSUM." localSheetId="3" hidden="1">{#N/A,#N/A,TRUE,"SUMMARY";#N/A,#N/A,TRUE,"ISBL";#N/A,#N/A,TRUE,"OSBL";#N/A,#N/A,TRUE,"OFFSITE";#N/A,#N/A,TRUE,"STEAM"}</definedName>
    <definedName name="wrn.BIDSUM." localSheetId="4" hidden="1">{#N/A,#N/A,TRUE,"SUMMARY";#N/A,#N/A,TRUE,"ISBL";#N/A,#N/A,TRUE,"OSBL";#N/A,#N/A,TRUE,"OFFSITE";#N/A,#N/A,TRUE,"STEAM"}</definedName>
    <definedName name="wrn.BIDSUM." localSheetId="5" hidden="1">{#N/A,#N/A,TRUE,"SUMMARY";#N/A,#N/A,TRUE,"ISBL";#N/A,#N/A,TRUE,"OSBL";#N/A,#N/A,TRUE,"OFFSITE";#N/A,#N/A,TRUE,"STEAM"}</definedName>
    <definedName name="wrn.BIDSUM." localSheetId="7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localSheetId="3" hidden="1">{#N/A,#N/A,TRUE,"Str.";#N/A,#N/A,TRUE,"Steel &amp; Roof";#N/A,#N/A,TRUE,"Arc.";#N/A,#N/A,TRUE,"Preliminary";#N/A,#N/A,TRUE,"Sum_Prelim"}</definedName>
    <definedName name="wrn.BILLS._.OF._.QUANTITY." localSheetId="4" hidden="1">{#N/A,#N/A,TRUE,"Str.";#N/A,#N/A,TRUE,"Steel &amp; Roof";#N/A,#N/A,TRUE,"Arc.";#N/A,#N/A,TRUE,"Preliminary";#N/A,#N/A,TRUE,"Sum_Prelim"}</definedName>
    <definedName name="wrn.BILLS._.OF._.QUANTITY." localSheetId="5" hidden="1">{#N/A,#N/A,TRUE,"Str.";#N/A,#N/A,TRUE,"Steel &amp; Roof";#N/A,#N/A,TRUE,"Arc.";#N/A,#N/A,TRUE,"Preliminary";#N/A,#N/A,TRUE,"Sum_Prelim"}</definedName>
    <definedName name="wrn.BILLS._.OF._.QUANTITY." localSheetId="7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" localSheetId="1" hidden="1">{#N/A,#N/A,FALSE,"CCTV"}</definedName>
    <definedName name="wrn.BM" localSheetId="3" hidden="1">{#N/A,#N/A,FALSE,"CCTV"}</definedName>
    <definedName name="wrn.BM" localSheetId="4" hidden="1">{#N/A,#N/A,FALSE,"CCTV"}</definedName>
    <definedName name="wrn.BM" localSheetId="5" hidden="1">{#N/A,#N/A,FALSE,"CCTV"}</definedName>
    <definedName name="wrn.BM" localSheetId="7" hidden="1">{#N/A,#N/A,FALSE,"CCTV"}</definedName>
    <definedName name="wrn.BM" hidden="1">{#N/A,#N/A,FALSE,"CCTV"}</definedName>
    <definedName name="wrn.BM." localSheetId="1" hidden="1">{#N/A,#N/A,FALSE,"CCTV"}</definedName>
    <definedName name="wrn.BM." localSheetId="3" hidden="1">{#N/A,#N/A,FALSE,"CCTV"}</definedName>
    <definedName name="wrn.BM." localSheetId="4" hidden="1">{#N/A,#N/A,FALSE,"CCTV"}</definedName>
    <definedName name="wrn.BM." localSheetId="5" hidden="1">{#N/A,#N/A,FALSE,"CCTV"}</definedName>
    <definedName name="wrn.BM." localSheetId="7" hidden="1">{#N/A,#N/A,FALSE,"CCTV"}</definedName>
    <definedName name="wrn.BM." hidden="1">{#N/A,#N/A,FALSE,"CCTV"}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ng." localSheetId="1" hidden="1">{#N/A,#N/A,FALSE,"Sheet1"}</definedName>
    <definedName name="wrn.cong." localSheetId="3" hidden="1">{#N/A,#N/A,FALSE,"Sheet1"}</definedName>
    <definedName name="wrn.cong." localSheetId="4" hidden="1">{#N/A,#N/A,FALSE,"Sheet1"}</definedName>
    <definedName name="wrn.cong." localSheetId="5" hidden="1">{#N/A,#N/A,FALSE,"Sheet1"}</definedName>
    <definedName name="wrn.cong." localSheetId="7" hidden="1">{#N/A,#N/A,FALSE,"Sheet1"}</definedName>
    <definedName name="wrn.cong." hidden="1">{#N/A,#N/A,FALSE,"Sheet1"}</definedName>
    <definedName name="wrn.Charts." localSheetId="1" hidden="1">{"Chart 1",#N/A,TRUE,"Charts";"Chart 2",#N/A,TRUE,"Charts"}</definedName>
    <definedName name="wrn.Charts." localSheetId="3" hidden="1">{"Chart 1",#N/A,TRUE,"Charts";"Chart 2",#N/A,TRUE,"Charts"}</definedName>
    <definedName name="wrn.Charts." localSheetId="4" hidden="1">{"Chart 1",#N/A,TRUE,"Charts";"Chart 2",#N/A,TRUE,"Charts"}</definedName>
    <definedName name="wrn.Charts." localSheetId="5" hidden="1">{"Chart 1",#N/A,TRUE,"Charts";"Chart 2",#N/A,TRUE,"Charts"}</definedName>
    <definedName name="wrn.Charts." localSheetId="7" hidden="1">{"Chart 1",#N/A,TRUE,"Charts";"Chart 2",#N/A,TRUE,"Charts"}</definedName>
    <definedName name="wrn.Charts." hidden="1">{"Chart 1",#N/A,TRUE,"Charts";"Chart 2",#N/A,TRUE,"Charts"}</definedName>
    <definedName name="wrn.Che._.do._.duoc._.huong." localSheetId="1" hidden="1">{#N/A,#N/A,FALSE,"BN (2)"}</definedName>
    <definedName name="wrn.Che._.do._.duoc._.huong." localSheetId="3" hidden="1">{#N/A,#N/A,FALSE,"BN (2)"}</definedName>
    <definedName name="wrn.Che._.do._.duoc._.huong." localSheetId="4" hidden="1">{#N/A,#N/A,FALSE,"BN (2)"}</definedName>
    <definedName name="wrn.Che._.do._.duoc._.huong." localSheetId="5" hidden="1">{#N/A,#N/A,FALSE,"BN (2)"}</definedName>
    <definedName name="wrn.Che._.do._.duoc._.huong." localSheetId="7" hidden="1">{#N/A,#N/A,FALSE,"BN (2)"}</definedName>
    <definedName name="wrn.Che._.do._.duoc._.huong." hidden="1">{#N/A,#N/A,FALSE,"BN (2)"}</definedName>
    <definedName name="wrn.chi._.tiÆt." localSheetId="1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wrn.DIRLABR." localSheetId="1" hidden="1">{#N/A,#N/A,TRUE,"CS&amp;SS(AG)";#N/A,#N/A,TRUE,"CS(UG)";#N/A,#N/A,TRUE,"CSCL(UG)";#N/A,#N/A,TRUE,"KYNAR";#N/A,#N/A,TRUE,"ALLOY904";#N/A,#N/A,TRUE,"TITANIUM";#N/A,#N/A,TRUE,"STMTRACE"}</definedName>
    <definedName name="wrn.DIRLABR." localSheetId="3" hidden="1">{#N/A,#N/A,TRUE,"CS&amp;SS(AG)";#N/A,#N/A,TRUE,"CS(UG)";#N/A,#N/A,TRUE,"CSCL(UG)";#N/A,#N/A,TRUE,"KYNAR";#N/A,#N/A,TRUE,"ALLOY904";#N/A,#N/A,TRUE,"TITANIUM";#N/A,#N/A,TRUE,"STMTRACE"}</definedName>
    <definedName name="wrn.DIRLABR." localSheetId="4" hidden="1">{#N/A,#N/A,TRUE,"CS&amp;SS(AG)";#N/A,#N/A,TRUE,"CS(UG)";#N/A,#N/A,TRUE,"CSCL(UG)";#N/A,#N/A,TRUE,"KYNAR";#N/A,#N/A,TRUE,"ALLOY904";#N/A,#N/A,TRUE,"TITANIUM";#N/A,#N/A,TRUE,"STMTRACE"}</definedName>
    <definedName name="wrn.DIRLABR." localSheetId="5" hidden="1">{#N/A,#N/A,TRUE,"CS&amp;SS(AG)";#N/A,#N/A,TRUE,"CS(UG)";#N/A,#N/A,TRUE,"CSCL(UG)";#N/A,#N/A,TRUE,"KYNAR";#N/A,#N/A,TRUE,"ALLOY904";#N/A,#N/A,TRUE,"TITANIUM";#N/A,#N/A,TRUE,"STMTRACE"}</definedName>
    <definedName name="wrn.DIRLABR." localSheetId="7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RAPHS." localSheetId="1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3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4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5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localSheetId="7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Giáy._.bao._.no." localSheetId="1" hidden="1">{#N/A,#N/A,FALSE,"BN"}</definedName>
    <definedName name="wrn.Giáy._.bao._.no." localSheetId="3" hidden="1">{#N/A,#N/A,FALSE,"BN"}</definedName>
    <definedName name="wrn.Giáy._.bao._.no." localSheetId="4" hidden="1">{#N/A,#N/A,FALSE,"BN"}</definedName>
    <definedName name="wrn.Giáy._.bao._.no." localSheetId="5" hidden="1">{#N/A,#N/A,FALSE,"BN"}</definedName>
    <definedName name="wrn.Giáy._.bao._.no." localSheetId="7" hidden="1">{#N/A,#N/A,FALSE,"BN"}</definedName>
    <definedName name="wrn.Giáy._.bao._.no." hidden="1">{#N/A,#N/A,FALSE,"BN"}</definedName>
    <definedName name="wrn.INDIRCOS." localSheetId="1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3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4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7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 localSheetId="1" hidden="1">{"NGUYEN QUI THIEP - Personal View",#N/A,FALSE,"XDCB.HT.FUR."}</definedName>
    <definedName name="wrn.mai._.khanh." localSheetId="3" hidden="1">{"NGUYEN QUI THIEP - Personal View",#N/A,FALSE,"XDCB.HT.FUR."}</definedName>
    <definedName name="wrn.mai._.khanh." localSheetId="4" hidden="1">{"NGUYEN QUI THIEP - Personal View",#N/A,FALSE,"XDCB.HT.FUR."}</definedName>
    <definedName name="wrn.mai._.khanh." localSheetId="5" hidden="1">{"NGUYEN QUI THIEP - Personal View",#N/A,FALSE,"XDCB.HT.FUR."}</definedName>
    <definedName name="wrn.mai._.khanh." localSheetId="7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1" hidden="1">{#N/A,#N/A,FALSE,"Tabelle2";#N/A,#N/A,FALSE,"Tabelle1"}</definedName>
    <definedName name="wrn.Monthly._.Statement." localSheetId="3" hidden="1">{#N/A,#N/A,FALSE,"Tabelle2";#N/A,#N/A,FALSE,"Tabelle1"}</definedName>
    <definedName name="wrn.Monthly._.Statement." localSheetId="4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7" hidden="1">{#N/A,#N/A,FALSE,"Tabelle2";#N/A,#N/A,FALSE,"Tabelle1"}</definedName>
    <definedName name="wrn.Monthly._.Statement." hidden="1">{#N/A,#N/A,FALSE,"Tabelle2";#N/A,#N/A,FALSE,"Tabelle1"}</definedName>
    <definedName name="wrn.MTD1." localSheetId="1" hidden="1">{#N/A,#N/A,FALSE,"Sheet1";#N/A,#N/A,FALSE,"Sheet3";#N/A,#N/A,FALSE,"Sheet5"}</definedName>
    <definedName name="wrn.MTD1." localSheetId="3" hidden="1">{#N/A,#N/A,FALSE,"Sheet1";#N/A,#N/A,FALSE,"Sheet3";#N/A,#N/A,FALSE,"Sheet5"}</definedName>
    <definedName name="wrn.MTD1." localSheetId="4" hidden="1">{#N/A,#N/A,FALSE,"Sheet1";#N/A,#N/A,FALSE,"Sheet3";#N/A,#N/A,FALSE,"Sheet5"}</definedName>
    <definedName name="wrn.MTD1." localSheetId="5" hidden="1">{#N/A,#N/A,FALSE,"Sheet1";#N/A,#N/A,FALSE,"Sheet3";#N/A,#N/A,FALSE,"Sheet5"}</definedName>
    <definedName name="wrn.MTD1." localSheetId="7" hidden="1">{#N/A,#N/A,FALSE,"Sheet1";#N/A,#N/A,FALSE,"Sheet3";#N/A,#N/A,FALSE,"Sheet5"}</definedName>
    <definedName name="wrn.MTD1." hidden="1">{#N/A,#N/A,FALSE,"Sheet1";#N/A,#N/A,FALSE,"Sheet3";#N/A,#N/A,FALSE,"Sheet5"}</definedName>
    <definedName name="wrn.MTD2." localSheetId="1" hidden="1">{#N/A,#N/A,FALSE,"Sheet2";#N/A,#N/A,FALSE,"Sheet4";#N/A,#N/A,FALSE,"Sheet6"}</definedName>
    <definedName name="wrn.MTD2." localSheetId="3" hidden="1">{#N/A,#N/A,FALSE,"Sheet2";#N/A,#N/A,FALSE,"Sheet4";#N/A,#N/A,FALSE,"Sheet6"}</definedName>
    <definedName name="wrn.MTD2." localSheetId="4" hidden="1">{#N/A,#N/A,FALSE,"Sheet2";#N/A,#N/A,FALSE,"Sheet4";#N/A,#N/A,FALSE,"Sheet6"}</definedName>
    <definedName name="wrn.MTD2." localSheetId="5" hidden="1">{#N/A,#N/A,FALSE,"Sheet2";#N/A,#N/A,FALSE,"Sheet4";#N/A,#N/A,FALSE,"Sheet6"}</definedName>
    <definedName name="wrn.MTD2." localSheetId="7" hidden="1">{#N/A,#N/A,FALSE,"Sheet2";#N/A,#N/A,FALSE,"Sheet4";#N/A,#N/A,FALSE,"Sheet6"}</definedName>
    <definedName name="wrn.MTD2." hidden="1">{#N/A,#N/A,FALSE,"Sheet2";#N/A,#N/A,FALSE,"Sheet4";#N/A,#N/A,FALSE,"Sheet6"}</definedName>
    <definedName name="wrn.Print._.All." localSheetId="1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3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4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5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localSheetId="7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localSheetId="1" hidden="1">{#N/A,#N/A,FALSE,"OUTPUT SHEET "}</definedName>
    <definedName name="wrn.Print._.Output." localSheetId="3" hidden="1">{#N/A,#N/A,FALSE,"OUTPUT SHEET "}</definedName>
    <definedName name="wrn.Print._.Output." localSheetId="4" hidden="1">{#N/A,#N/A,FALSE,"OUTPUT SHEET "}</definedName>
    <definedName name="wrn.Print._.Output." localSheetId="5" hidden="1">{#N/A,#N/A,FALSE,"OUTPUT SHEET "}</definedName>
    <definedName name="wrn.Print._.Output." localSheetId="7" hidden="1">{#N/A,#N/A,FALSE,"OUTPUT SHEET "}</definedName>
    <definedName name="wrn.Print._.Output." hidden="1">{#N/A,#N/A,FALSE,"OUTPUT SHEET "}</definedName>
    <definedName name="wrn.Profile." localSheetId="1" hidden="1">{"View 1",#N/A,FALSE,"Profile";"View 2",#N/A,FALSE,"Profile";"View 3",#N/A,FALSE,"Profile"}</definedName>
    <definedName name="wrn.Profile." localSheetId="3" hidden="1">{"View 1",#N/A,FALSE,"Profile";"View 2",#N/A,FALSE,"Profile";"View 3",#N/A,FALSE,"Profile"}</definedName>
    <definedName name="wrn.Profile." localSheetId="4" hidden="1">{"View 1",#N/A,FALSE,"Profile";"View 2",#N/A,FALSE,"Profile";"View 3",#N/A,FALSE,"Profile"}</definedName>
    <definedName name="wrn.Profile." localSheetId="5" hidden="1">{"View 1",#N/A,FALSE,"Profile";"View 2",#N/A,FALSE,"Profile";"View 3",#N/A,FALSE,"Profile"}</definedName>
    <definedName name="wrn.Profile." localSheetId="7" hidden="1">{"View 1",#N/A,FALSE,"Profile";"View 2",#N/A,FALSE,"Profile";"View 3",#N/A,FALSE,"Profile"}</definedName>
    <definedName name="wrn.Profile." hidden="1">{"View 1",#N/A,FALSE,"Profile";"View 2",#N/A,FALSE,"Profile";"View 3",#N/A,FALSE,"Profile"}</definedName>
    <definedName name="wrn.re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.re_xoa2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1" hidden="1">{#N/A,#N/A,FALSE,"特殊室（ＢＱ表）"}</definedName>
    <definedName name="wrn.report1." localSheetId="3" hidden="1">{#N/A,#N/A,FALSE,"特殊室（ＢＱ表）"}</definedName>
    <definedName name="wrn.report1." localSheetId="4" hidden="1">{#N/A,#N/A,FALSE,"特殊室（ＢＱ表）"}</definedName>
    <definedName name="wrn.report1." localSheetId="5" hidden="1">{#N/A,#N/A,FALSE,"特殊室（ＢＱ表）"}</definedName>
    <definedName name="wrn.report1." localSheetId="7" hidden="1">{#N/A,#N/A,FALSE,"特殊室（ＢＱ表）"}</definedName>
    <definedName name="wrn.report1." hidden="1">{#N/A,#N/A,FALSE,"特殊室（ＢＱ表）"}</definedName>
    <definedName name="wrn.Residential.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vd." localSheetId="1" hidden="1">{#N/A,#N/A,TRUE,"BT M200 da 10x20"}</definedName>
    <definedName name="wrn.vd." localSheetId="3" hidden="1">{#N/A,#N/A,TRUE,"BT M200 da 10x20"}</definedName>
    <definedName name="wrn.vd." localSheetId="4" hidden="1">{#N/A,#N/A,TRUE,"BT M200 da 10x20"}</definedName>
    <definedName name="wrn.vd." localSheetId="5" hidden="1">{#N/A,#N/A,TRUE,"BT M200 da 10x20"}</definedName>
    <definedName name="wrn.vd." localSheetId="7" hidden="1">{#N/A,#N/A,TRUE,"BT M200 da 10x20"}</definedName>
    <definedName name="wrn.vd." hidden="1">{#N/A,#N/A,TRUE,"BT M200 da 10x20"}</definedName>
    <definedName name="WRN.VOLTAGE." localSheetId="1" hidden="1">{#N/A,#N/A,FALSE,"Sheet2";#N/A,#N/A,FALSE,"Sheet4";#N/A,#N/A,FALSE,"Sheet6"}</definedName>
    <definedName name="WRN.VOLTAGE." localSheetId="3" hidden="1">{#N/A,#N/A,FALSE,"Sheet2";#N/A,#N/A,FALSE,"Sheet4";#N/A,#N/A,FALSE,"Sheet6"}</definedName>
    <definedName name="WRN.VOLTAGE." localSheetId="4" hidden="1">{#N/A,#N/A,FALSE,"Sheet2";#N/A,#N/A,FALSE,"Sheet4";#N/A,#N/A,FALSE,"Sheet6"}</definedName>
    <definedName name="WRN.VOLTAGE." localSheetId="5" hidden="1">{#N/A,#N/A,FALSE,"Sheet2";#N/A,#N/A,FALSE,"Sheet4";#N/A,#N/A,FALSE,"Sheet6"}</definedName>
    <definedName name="WRN.VOLTAGE." localSheetId="7" hidden="1">{#N/A,#N/A,FALSE,"Sheet2";#N/A,#N/A,FALSE,"Sheet4";#N/A,#N/A,FALSE,"Sheet6"}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4" hidden="1">{#N/A,#N/A,FALSE,"사업총괄";#N/A,#N/A,FALSE,"장비사업";#N/A,#N/A,FALSE,"철구사업";#N/A,#N/A,FALSE,"준설사업"}</definedName>
    <definedName name="wrn.건설기계사업소._.상반기보고." localSheetId="5" hidden="1">{#N/A,#N/A,FALSE,"사업총괄";#N/A,#N/A,FALSE,"장비사업";#N/A,#N/A,FALSE,"철구사업";#N/A,#N/A,FALSE,"준설사업"}</definedName>
    <definedName name="wrn.건설기계사업소._.상반기보고." localSheetId="7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1" hidden="1">{#N/A,#N/A,FALSE,"전력간선"}</definedName>
    <definedName name="wrn.교육청." localSheetId="3" hidden="1">{#N/A,#N/A,FALSE,"전력간선"}</definedName>
    <definedName name="wrn.교육청." localSheetId="4" hidden="1">{#N/A,#N/A,FALSE,"전력간선"}</definedName>
    <definedName name="wrn.교육청." localSheetId="5" hidden="1">{#N/A,#N/A,FALSE,"전력간선"}</definedName>
    <definedName name="wrn.교육청." localSheetId="7" hidden="1">{#N/A,#N/A,FALSE,"전력간선"}</definedName>
    <definedName name="wrn.교육청." hidden="1">{#N/A,#N/A,FALSE,"전력간선"}</definedName>
    <definedName name="wrn.교육청.1" localSheetId="1" hidden="1">{#N/A,#N/A,FALSE,"전력간선"}</definedName>
    <definedName name="wrn.교육청.1" localSheetId="3" hidden="1">{#N/A,#N/A,FALSE,"전력간선"}</definedName>
    <definedName name="wrn.교육청.1" localSheetId="4" hidden="1">{#N/A,#N/A,FALSE,"전력간선"}</definedName>
    <definedName name="wrn.교육청.1" localSheetId="5" hidden="1">{#N/A,#N/A,FALSE,"전력간선"}</definedName>
    <definedName name="wrn.교육청.1" localSheetId="7" hidden="1">{#N/A,#N/A,FALSE,"전력간선"}</definedName>
    <definedName name="wrn.교육청.1" hidden="1">{#N/A,#N/A,FALSE,"전력간선"}</definedName>
    <definedName name="wrn.구조2." localSheetId="1" hidden="1">{#N/A,#N/A,FALSE,"구조2"}</definedName>
    <definedName name="wrn.구조2." localSheetId="3" hidden="1">{#N/A,#N/A,FALSE,"구조2"}</definedName>
    <definedName name="wrn.구조2." localSheetId="4" hidden="1">{#N/A,#N/A,FALSE,"구조2"}</definedName>
    <definedName name="wrn.구조2." localSheetId="5" hidden="1">{#N/A,#N/A,FALSE,"구조2"}</definedName>
    <definedName name="wrn.구조2." localSheetId="7" hidden="1">{#N/A,#N/A,FALSE,"구조2"}</definedName>
    <definedName name="wrn.구조2." hidden="1">{#N/A,#N/A,FALSE,"구조2"}</definedName>
    <definedName name="wrn.단가표지." localSheetId="1" hidden="1">{#N/A,#N/A,FALSE,"단가표지"}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1" hidden="1">{#N/A,#N/A,FALSE,"배수1"}</definedName>
    <definedName name="wrn.배수1." localSheetId="3" hidden="1">{#N/A,#N/A,FALSE,"배수1"}</definedName>
    <definedName name="wrn.배수1." localSheetId="4" hidden="1">{#N/A,#N/A,FALSE,"배수1"}</definedName>
    <definedName name="wrn.배수1." localSheetId="5" hidden="1">{#N/A,#N/A,FALSE,"배수1"}</definedName>
    <definedName name="wrn.배수1." localSheetId="7" hidden="1">{#N/A,#N/A,FALSE,"배수1"}</definedName>
    <definedName name="wrn.배수1." hidden="1">{#N/A,#N/A,FALSE,"배수1"}</definedName>
    <definedName name="wrn.배수2." localSheetId="1" hidden="1">{#N/A,#N/A,FALSE,"배수2"}</definedName>
    <definedName name="wrn.배수2." localSheetId="3" hidden="1">{#N/A,#N/A,FALSE,"배수2"}</definedName>
    <definedName name="wrn.배수2." localSheetId="4" hidden="1">{#N/A,#N/A,FALSE,"배수2"}</definedName>
    <definedName name="wrn.배수2." localSheetId="5" hidden="1">{#N/A,#N/A,FALSE,"배수2"}</definedName>
    <definedName name="wrn.배수2." localSheetId="7" hidden="1">{#N/A,#N/A,FALSE,"배수2"}</definedName>
    <definedName name="wrn.배수2." hidden="1">{#N/A,#N/A,FALSE,"배수2"}</definedName>
    <definedName name="wrn.변경예산." localSheetId="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4" hidden="1">{#N/A,#N/A,FALSE,"변경관리예산";#N/A,#N/A,FALSE,"변경장비예산";#N/A,#N/A,FALSE,"변경준설예산";#N/A,#N/A,FALSE,"변경철구예산"}</definedName>
    <definedName name="wrn.변경예산." localSheetId="5" hidden="1">{#N/A,#N/A,FALSE,"변경관리예산";#N/A,#N/A,FALSE,"변경장비예산";#N/A,#N/A,FALSE,"변경준설예산";#N/A,#N/A,FALSE,"변경철구예산"}</definedName>
    <definedName name="wrn.변경예산." localSheetId="7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" hidden="1">{#N/A,#N/A,FALSE,"부대1"}</definedName>
    <definedName name="wrn.부대1." localSheetId="3" hidden="1">{#N/A,#N/A,FALSE,"부대1"}</definedName>
    <definedName name="wrn.부대1." localSheetId="4" hidden="1">{#N/A,#N/A,FALSE,"부대1"}</definedName>
    <definedName name="wrn.부대1." localSheetId="5" hidden="1">{#N/A,#N/A,FALSE,"부대1"}</definedName>
    <definedName name="wrn.부대1." localSheetId="7" hidden="1">{#N/A,#N/A,FALSE,"부대1"}</definedName>
    <definedName name="wrn.부대1." hidden="1">{#N/A,#N/A,FALSE,"부대1"}</definedName>
    <definedName name="wrn.부대2." localSheetId="1" hidden="1">{#N/A,#N/A,FALSE,"부대2"}</definedName>
    <definedName name="wrn.부대2." localSheetId="3" hidden="1">{#N/A,#N/A,FALSE,"부대2"}</definedName>
    <definedName name="wrn.부대2." localSheetId="4" hidden="1">{#N/A,#N/A,FALSE,"부대2"}</definedName>
    <definedName name="wrn.부대2." localSheetId="5" hidden="1">{#N/A,#N/A,FALSE,"부대2"}</definedName>
    <definedName name="wrn.부대2." localSheetId="7" hidden="1">{#N/A,#N/A,FALSE,"부대2"}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" hidden="1">{#N/A,#N/A,FALSE,"속도"}</definedName>
    <definedName name="wrn.속도." localSheetId="3" hidden="1">{#N/A,#N/A,FALSE,"속도"}</definedName>
    <definedName name="wrn.속도." localSheetId="4" hidden="1">{#N/A,#N/A,FALSE,"속도"}</definedName>
    <definedName name="wrn.속도." localSheetId="5" hidden="1">{#N/A,#N/A,FALSE,"속도"}</definedName>
    <definedName name="wrn.속도." localSheetId="7" hidden="1">{#N/A,#N/A,FALSE,"속도"}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예상손익." localSheetId="7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1" hidden="1">{#N/A,#N/A,FALSE,"이정표"}</definedName>
    <definedName name="wrn.이정표." localSheetId="3" hidden="1">{#N/A,#N/A,FALSE,"이정표"}</definedName>
    <definedName name="wrn.이정표." localSheetId="4" hidden="1">{#N/A,#N/A,FALSE,"이정표"}</definedName>
    <definedName name="wrn.이정표." localSheetId="5" hidden="1">{#N/A,#N/A,FALSE,"이정표"}</definedName>
    <definedName name="wrn.이정표." localSheetId="7" hidden="1">{#N/A,#N/A,FALSE,"이정표"}</definedName>
    <definedName name="wrn.이정표." hidden="1">{#N/A,#N/A,FALSE,"이정표"}</definedName>
    <definedName name="wrn.전라남도._.나주시._.신일아파트._.수지분석." hidden="1">{#N/A,#N/A,FALSE,"수지분석";#N/A,#N/A,FALSE,"수지분석"}</definedName>
    <definedName name="wrn.조골재." localSheetId="1" hidden="1">{#N/A,#N/A,FALSE,"조골재"}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localSheetId="1" hidden="1">{#N/A,#N/A,FALSE,"Sheet1"}</definedName>
    <definedName name="wrn.철골집계표._.5칸." localSheetId="3" hidden="1">{#N/A,#N/A,FALSE,"Sheet1"}</definedName>
    <definedName name="wrn.철골집계표._.5칸." localSheetId="4" hidden="1">{#N/A,#N/A,FALSE,"Sheet1"}</definedName>
    <definedName name="wrn.철골집계표._.5칸." localSheetId="5" hidden="1">{#N/A,#N/A,FALSE,"Sheet1"}</definedName>
    <definedName name="wrn.철골집계표._.5칸." localSheetId="7" hidden="1">{#N/A,#N/A,FALSE,"Sheet1"}</definedName>
    <definedName name="wrn.철골집계표._.5칸." hidden="1">{#N/A,#N/A,FALSE,"Sheet1"}</definedName>
    <definedName name="wrn.토공1." localSheetId="1" hidden="1">{#N/A,#N/A,FALSE,"구조1"}</definedName>
    <definedName name="wrn.토공1." localSheetId="3" hidden="1">{#N/A,#N/A,FALSE,"구조1"}</definedName>
    <definedName name="wrn.토공1." localSheetId="4" hidden="1">{#N/A,#N/A,FALSE,"구조1"}</definedName>
    <definedName name="wrn.토공1." localSheetId="5" hidden="1">{#N/A,#N/A,FALSE,"구조1"}</definedName>
    <definedName name="wrn.토공1." localSheetId="7" hidden="1">{#N/A,#N/A,FALSE,"구조1"}</definedName>
    <definedName name="wrn.토공1." hidden="1">{#N/A,#N/A,FALSE,"구조1"}</definedName>
    <definedName name="wrn.토공2." localSheetId="1" hidden="1">{#N/A,#N/A,FALSE,"토공2"}</definedName>
    <definedName name="wrn.토공2." localSheetId="3" hidden="1">{#N/A,#N/A,FALSE,"토공2"}</definedName>
    <definedName name="wrn.토공2." localSheetId="4" hidden="1">{#N/A,#N/A,FALSE,"토공2"}</definedName>
    <definedName name="wrn.토공2." localSheetId="5" hidden="1">{#N/A,#N/A,FALSE,"토공2"}</definedName>
    <definedName name="wrn.토공2." localSheetId="7" hidden="1">{#N/A,#N/A,FALSE,"토공2"}</definedName>
    <definedName name="wrn.토공2." hidden="1">{#N/A,#N/A,FALSE,"토공2"}</definedName>
    <definedName name="wrn.포장1." localSheetId="1" hidden="1">{#N/A,#N/A,FALSE,"포장1";#N/A,#N/A,FALSE,"포장1"}</definedName>
    <definedName name="wrn.포장1." localSheetId="3" hidden="1">{#N/A,#N/A,FALSE,"포장1";#N/A,#N/A,FALSE,"포장1"}</definedName>
    <definedName name="wrn.포장1." localSheetId="4" hidden="1">{#N/A,#N/A,FALSE,"포장1";#N/A,#N/A,FALSE,"포장1"}</definedName>
    <definedName name="wrn.포장1." localSheetId="5" hidden="1">{#N/A,#N/A,FALSE,"포장1";#N/A,#N/A,FALSE,"포장1"}</definedName>
    <definedName name="wrn.포장1." localSheetId="7" hidden="1">{#N/A,#N/A,FALSE,"포장1";#N/A,#N/A,FALSE,"포장1"}</definedName>
    <definedName name="wrn.포장1." hidden="1">{#N/A,#N/A,FALSE,"포장1";#N/A,#N/A,FALSE,"포장1"}</definedName>
    <definedName name="wrn.포장2." localSheetId="1" hidden="1">{#N/A,#N/A,FALSE,"포장2"}</definedName>
    <definedName name="wrn.포장2." localSheetId="3" hidden="1">{#N/A,#N/A,FALSE,"포장2"}</definedName>
    <definedName name="wrn.포장2." localSheetId="4" hidden="1">{#N/A,#N/A,FALSE,"포장2"}</definedName>
    <definedName name="wrn.포장2." localSheetId="5" hidden="1">{#N/A,#N/A,FALSE,"포장2"}</definedName>
    <definedName name="wrn.포장2." localSheetId="7" hidden="1">{#N/A,#N/A,FALSE,"포장2"}</definedName>
    <definedName name="wrn.포장2." hidden="1">{#N/A,#N/A,FALSE,"포장2"}</definedName>
    <definedName name="wrn.표지." localSheetId="1" hidden="1">{#N/A,#N/A,FALSE,"표지"}</definedName>
    <definedName name="wrn.표지." localSheetId="3" hidden="1">{#N/A,#N/A,FALSE,"표지"}</definedName>
    <definedName name="wrn.표지." localSheetId="4" hidden="1">{#N/A,#N/A,FALSE,"표지"}</definedName>
    <definedName name="wrn.표지." localSheetId="5" hidden="1">{#N/A,#N/A,FALSE,"표지"}</definedName>
    <definedName name="wrn.표지." localSheetId="7" hidden="1">{#N/A,#N/A,FALSE,"표지"}</definedName>
    <definedName name="wrn.표지." hidden="1">{#N/A,#N/A,FALSE,"표지"}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1" hidden="1">{#N/A,#N/A,FALSE,"혼합골재"}</definedName>
    <definedName name="wrn.혼합골재." hidden="1">{#N/A,#N/A,FALSE,"혼합골재"}</definedName>
    <definedName name="wrn_xoa2" localSheetId="1" hidden="1">{#N/A,#N/A,FALSE,"Chi tiÆt"}</definedName>
    <definedName name="wrn_xoa2" localSheetId="3" hidden="1">{#N/A,#N/A,FALSE,"Chi tiÆt"}</definedName>
    <definedName name="wrn_xoa2" localSheetId="4" hidden="1">{#N/A,#N/A,FALSE,"Chi tiÆt"}</definedName>
    <definedName name="wrn_xoa2" localSheetId="5" hidden="1">{#N/A,#N/A,FALSE,"Chi tiÆt"}</definedName>
    <definedName name="wrn_xoa2" localSheetId="7" hidden="1">{#N/A,#N/A,FALSE,"Chi tiÆt"}</definedName>
    <definedName name="wrn_xoa2" hidden="1">{#N/A,#N/A,FALSE,"Chi tiÆt"}</definedName>
    <definedName name="WRNE.CHARTS" localSheetId="1" hidden="1">{"Chart 1",#N/A,TRUE,"Charts";"Chart 2",#N/A,TRUE,"Charts"}</definedName>
    <definedName name="WRNE.CHARTS" localSheetId="3" hidden="1">{"Chart 1",#N/A,TRUE,"Charts";"Chart 2",#N/A,TRUE,"Charts"}</definedName>
    <definedName name="WRNE.CHARTS" localSheetId="4" hidden="1">{"Chart 1",#N/A,TRUE,"Charts";"Chart 2",#N/A,TRUE,"Charts"}</definedName>
    <definedName name="WRNE.CHARTS" localSheetId="5" hidden="1">{"Chart 1",#N/A,TRUE,"Charts";"Chart 2",#N/A,TRUE,"Charts"}</definedName>
    <definedName name="WRNE.CHARTS" localSheetId="7" hidden="1">{"Chart 1",#N/A,TRUE,"Charts";"Chart 2",#N/A,TRUE,"Charts"}</definedName>
    <definedName name="WRNE.CHARTS" hidden="1">{"Chart 1",#N/A,TRUE,"Charts";"Chart 2",#N/A,TRUE,"Charts"}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localSheetId="1" hidden="1">{"'Sheet1'!$L$16"}</definedName>
    <definedName name="WRTWE" localSheetId="3" hidden="1">{"'Sheet1'!$L$16"}</definedName>
    <definedName name="WRTWE" localSheetId="4" hidden="1">{"'Sheet1'!$L$16"}</definedName>
    <definedName name="WRTWE" localSheetId="5" hidden="1">{"'Sheet1'!$L$16"}</definedName>
    <definedName name="WRTWE" localSheetId="7" hidden="1">{"'Sheet1'!$L$16"}</definedName>
    <definedName name="WRTWE" hidden="1">{"'Sheet1'!$L$16"}</definedName>
    <definedName name="wtc">#REF!</definedName>
    <definedName name="wtflw230j">#REF!</definedName>
    <definedName name="wtflw830j">#REF!</definedName>
    <definedName name="ww" localSheetId="1" hidden="1">{#N/A,#N/A,FALSE,"Sheet2";#N/A,#N/A,FALSE,"Sheet4";#N/A,#N/A,FALSE,"Sheet6"}</definedName>
    <definedName name="ww" localSheetId="3" hidden="1">{#N/A,#N/A,FALSE,"Sheet2";#N/A,#N/A,FALSE,"Sheet4";#N/A,#N/A,FALSE,"Sheet6"}</definedName>
    <definedName name="ww" localSheetId="4" hidden="1">{#N/A,#N/A,FALSE,"Sheet2";#N/A,#N/A,FALSE,"Sheet4";#N/A,#N/A,FALSE,"Sheet6"}</definedName>
    <definedName name="ww" localSheetId="5" hidden="1">{#N/A,#N/A,FALSE,"Sheet2";#N/A,#N/A,FALSE,"Sheet4";#N/A,#N/A,FALSE,"Sheet6"}</definedName>
    <definedName name="ww" localSheetId="7" hidden="1">{#N/A,#N/A,FALSE,"Sheet2";#N/A,#N/A,FALSE,"Sheet4";#N/A,#N/A,FALSE,"Sheet6"}</definedName>
    <definedName name="ww" hidden="1">{#N/A,#N/A,FALSE,"Sheet2";#N/A,#N/A,FALSE,"Sheet4";#N/A,#N/A,FALSE,"Sheet6"}</definedName>
    <definedName name="ｗｗ">{"'Sheet1'!$L$16"}</definedName>
    <definedName name="www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4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5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localSheetId="7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>{"'Sheet1'!$L$16"}</definedName>
    <definedName name="wwwwwww" localSheetId="1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3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4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5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7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X">#REF!</definedName>
    <definedName name="X0GFCFw">#REF!</definedName>
    <definedName name="x1_">#REF!</definedName>
    <definedName name="X1GFCFw">#REF!</definedName>
    <definedName name="x1pind">#REF!</definedName>
    <definedName name="X1pINDvc">#REF!</definedName>
    <definedName name="x1pint">#REF!</definedName>
    <definedName name="x1ping">#REF!</definedName>
    <definedName name="X1pINGvc">#REF!</definedName>
    <definedName name="x2_">#REF!</definedName>
    <definedName name="XA">#REF!</definedName>
    <definedName name="XAY" hidden="1">{"'Sheet1'!$L$16"}</definedName>
    <definedName name="XAY_TO">#REF!</definedName>
    <definedName name="xc" hidden="1">{"'Sheet1'!$L$16"}</definedName>
    <definedName name="XCB" localSheetId="1" hidden="1">#REF!</definedName>
    <definedName name="XCB" hidden="1">#REF!</definedName>
    <definedName name="XCCT">0.5</definedName>
    <definedName name="xcvxb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>#REF!</definedName>
    <definedName name="xd0.6">#REF!</definedName>
    <definedName name="xd1.3">#REF!</definedName>
    <definedName name="xd1.5">#REF!</definedName>
    <definedName name="xdd">#REF!</definedName>
    <definedName name="XDDHT">#REF!</definedName>
    <definedName name="XDKT" localSheetId="1" hidden="1">{"NGUYEN QUI THIEP - Personal View",#N/A,FALSE,"XDCB.HT.FUR."}</definedName>
    <definedName name="XDKT" localSheetId="3" hidden="1">{"NGUYEN QUI THIEP - Personal View",#N/A,FALSE,"XDCB.HT.FUR."}</definedName>
    <definedName name="XDKT" localSheetId="4" hidden="1">{"NGUYEN QUI THIEP - Personal View",#N/A,FALSE,"XDCB.HT.FUR."}</definedName>
    <definedName name="XDKT" localSheetId="5" hidden="1">{"NGUYEN QUI THIEP - Personal View",#N/A,FALSE,"XDCB.HT.FUR."}</definedName>
    <definedName name="XDKT" localSheetId="7" hidden="1">{"NGUYEN QUI THIEP - Personal View",#N/A,FALSE,"XDCB.HT.FUR."}</definedName>
    <definedName name="XDKT" hidden="1">{"NGUYEN QUI THIEP - Personal View",#N/A,FALSE,"XDCB.HT.FUR."}</definedName>
    <definedName name="XDNT">#REF!</definedName>
    <definedName name="XFBDSBSB" localSheetId="1" hidden="1">{"'Sheet1'!$L$16"}</definedName>
    <definedName name="XFBDSBSB" localSheetId="3" hidden="1">{"'Sheet1'!$L$16"}</definedName>
    <definedName name="XFBDSBSB" localSheetId="4" hidden="1">{"'Sheet1'!$L$16"}</definedName>
    <definedName name="XFBDSBSB" localSheetId="5" hidden="1">{"'Sheet1'!$L$16"}</definedName>
    <definedName name="XFBDSBSB" localSheetId="7" hidden="1">{"'Sheet1'!$L$16"}</definedName>
    <definedName name="XFBDSBSB" hidden="1">{"'Sheet1'!$L$16"}</definedName>
    <definedName name="xfco">#REF!</definedName>
    <definedName name="xfco3p">#REF!</definedName>
    <definedName name="xfcotnc">#REF!</definedName>
    <definedName name="xfcotvl">#REF!</definedName>
    <definedName name="XFHGHTD" localSheetId="1" hidden="1">{"'Sheet1'!$L$16"}</definedName>
    <definedName name="XFHGHTD" localSheetId="3" hidden="1">{"'Sheet1'!$L$16"}</definedName>
    <definedName name="XFHGHTD" localSheetId="4" hidden="1">{"'Sheet1'!$L$16"}</definedName>
    <definedName name="XFHGHTD" localSheetId="5" hidden="1">{"'Sheet1'!$L$16"}</definedName>
    <definedName name="XFHGHTD" localSheetId="7" hidden="1">{"'Sheet1'!$L$16"}</definedName>
    <definedName name="XFHGHTD" hidden="1">{"'Sheet1'!$L$16"}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nc3p">#REF!</definedName>
    <definedName name="xint1p">#REF!</definedName>
    <definedName name="XINvc">#REF!</definedName>
    <definedName name="xinvl3p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TB">#REF!</definedName>
    <definedName name="xlttbninh" localSheetId="1" hidden="1">{"'Sheet1'!$L$16"}</definedName>
    <definedName name="xlttbninh" localSheetId="3" hidden="1">{"'Sheet1'!$L$16"}</definedName>
    <definedName name="xlttbninh" localSheetId="4" hidden="1">{"'Sheet1'!$L$16"}</definedName>
    <definedName name="xlttbninh" localSheetId="5" hidden="1">{"'Sheet1'!$L$16"}</definedName>
    <definedName name="xlttbninh" localSheetId="7" hidden="1">{"'Sheet1'!$L$16"}</definedName>
    <definedName name="xlttbninh" hidden="1">{"'Sheet1'!$L$16"}</definedName>
    <definedName name="XMBT">#REF!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cax">#REF!</definedName>
    <definedName name="xmp40">#REF!</definedName>
    <definedName name="xmtrang">#REF!</definedName>
    <definedName name="xn">#REF!</definedName>
    <definedName name="XN908nam2003" localSheetId="1" hidden="1">{"'Sheet1'!$L$16"}</definedName>
    <definedName name="XN908nam2003" localSheetId="3" hidden="1">{"'Sheet1'!$L$16"}</definedName>
    <definedName name="XN908nam2003" localSheetId="4" hidden="1">{"'Sheet1'!$L$16"}</definedName>
    <definedName name="XN908nam2003" localSheetId="5" hidden="1">{"'Sheet1'!$L$16"}</definedName>
    <definedName name="XN908nam2003" localSheetId="7" hidden="1">{"'Sheet1'!$L$16"}</definedName>
    <definedName name="XN908nam2003" hidden="1">{"'Sheet1'!$L$16"}</definedName>
    <definedName name="xo0">#REF!</definedName>
    <definedName name="xoa1" localSheetId="1" hidden="1">{"'Sheet1'!$L$16"}</definedName>
    <definedName name="xoa1" localSheetId="3" hidden="1">{"'Sheet1'!$L$16"}</definedName>
    <definedName name="xoa1" localSheetId="4" hidden="1">{"'Sheet1'!$L$16"}</definedName>
    <definedName name="xoa1" localSheetId="5" hidden="1">{"'Sheet1'!$L$16"}</definedName>
    <definedName name="xoa1" localSheetId="7" hidden="1">{"'Sheet1'!$L$16"}</definedName>
    <definedName name="xoa1" hidden="1">{"'Sheet1'!$L$16"}</definedName>
    <definedName name="xoa2" localSheetId="1" hidden="1">{#N/A,#N/A,FALSE,"Chi tiÆt"}</definedName>
    <definedName name="xoa2" localSheetId="3" hidden="1">{#N/A,#N/A,FALSE,"Chi tiÆt"}</definedName>
    <definedName name="xoa2" localSheetId="4" hidden="1">{#N/A,#N/A,FALSE,"Chi tiÆt"}</definedName>
    <definedName name="xoa2" localSheetId="5" hidden="1">{#N/A,#N/A,FALSE,"Chi tiÆt"}</definedName>
    <definedName name="xoa2" localSheetId="7" hidden="1">{#N/A,#N/A,FALSE,"Chi tiÆt"}</definedName>
    <definedName name="xoa2" hidden="1">{#N/A,#N/A,FALSE,"Chi tiÆt"}</definedName>
    <definedName name="xoa3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4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5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7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4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5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7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P">#REF!</definedName>
    <definedName name="Xsi">#REF!</definedName>
    <definedName name="XTGACHDAC200M2">#REF!</definedName>
    <definedName name="XTGACHRONG200M2">#REF!</definedName>
    <definedName name="xu" localSheetId="1" hidden="1">{#N/A,#N/A,FALSE,"Chi tiÆt"}</definedName>
    <definedName name="xu" localSheetId="3" hidden="1">{#N/A,#N/A,FALSE,"Chi tiÆt"}</definedName>
    <definedName name="xu" localSheetId="4" hidden="1">{#N/A,#N/A,FALSE,"Chi tiÆt"}</definedName>
    <definedName name="xu" localSheetId="5" hidden="1">{#N/A,#N/A,FALSE,"Chi tiÆt"}</definedName>
    <definedName name="xu" localSheetId="7" hidden="1">{#N/A,#N/A,FALSE,"Chi tiÆt"}</definedName>
    <definedName name="xu" hidden="1">{#N/A,#N/A,FALSE,"Chi tiÆt"}</definedName>
    <definedName name="XuÊt8">{"'Sheet1'!$L$16"}</definedName>
    <definedName name="xvxcvxc" localSheetId="1" hidden="1">{"'Sheet1'!$L$16"}</definedName>
    <definedName name="xvxcvxc" localSheetId="3" hidden="1">{"'Sheet1'!$L$16"}</definedName>
    <definedName name="xvxcvxc" localSheetId="4" hidden="1">{"'Sheet1'!$L$16"}</definedName>
    <definedName name="xvxcvxc" localSheetId="5" hidden="1">{"'Sheet1'!$L$16"}</definedName>
    <definedName name="xvxcvxc" localSheetId="7" hidden="1">{"'Sheet1'!$L$16"}</definedName>
    <definedName name="xvxcvxc" hidden="1">{"'Sheet1'!$L$16"}</definedName>
    <definedName name="xx" localSheetId="1" hidden="1">{"'Sheet1'!$L$16"}</definedName>
    <definedName name="xx" localSheetId="3" hidden="1">{"'Sheet1'!$L$16"}</definedName>
    <definedName name="xx" localSheetId="4" hidden="1">{"'Sheet1'!$L$16"}</definedName>
    <definedName name="xx" localSheetId="5" hidden="1">{"'Sheet1'!$L$16"}</definedName>
    <definedName name="xx" localSheetId="7" hidden="1">{"'Sheet1'!$L$16"}</definedName>
    <definedName name="xx" hidden="1">{"'Sheet1'!$L$16"}</definedName>
    <definedName name="XXT">#REF!</definedName>
    <definedName name="xxx" hidden="1">#REF!</definedName>
    <definedName name="ｘｘｘ">{"'Sheet1'!$L$16"}</definedName>
    <definedName name="xxx1">#REF!</definedName>
    <definedName name="xxx2">#REF!</definedName>
    <definedName name="XXXAAAA" localSheetId="1" hidden="1">{"'Sheet1'!$L$16"}</definedName>
    <definedName name="XXXAAAA" localSheetId="3" hidden="1">{"'Sheet1'!$L$16"}</definedName>
    <definedName name="XXXAAAA" localSheetId="4" hidden="1">{"'Sheet1'!$L$16"}</definedName>
    <definedName name="XXXAAAA" localSheetId="5" hidden="1">{"'Sheet1'!$L$16"}</definedName>
    <definedName name="XXXAAAA" localSheetId="7" hidden="1">{"'Sheet1'!$L$16"}</definedName>
    <definedName name="XXXAAAA" hidden="1">{"'Sheet1'!$L$16"}</definedName>
    <definedName name="ｘｘｘｘ">{"'Sheet1'!$L$16"}</definedName>
    <definedName name="ｘｘｘｘｘ">{"'Sheet1'!$L$16"}</definedName>
    <definedName name="xzZsfx" hidden="1">{#N/A,#N/A,FALSE,"Chi tiÆt"}</definedName>
    <definedName name="y">#REF!</definedName>
    <definedName name="Y5T45" localSheetId="1" hidden="1">{"'Sheet1'!$L$16"}</definedName>
    <definedName name="Y5T45" localSheetId="3" hidden="1">{"'Sheet1'!$L$16"}</definedName>
    <definedName name="Y5T45" localSheetId="4" hidden="1">{"'Sheet1'!$L$16"}</definedName>
    <definedName name="Y5T45" localSheetId="5" hidden="1">{"'Sheet1'!$L$16"}</definedName>
    <definedName name="Y5T45" localSheetId="7" hidden="1">{"'Sheet1'!$L$16"}</definedName>
    <definedName name="Y5T45" hidden="1">{"'Sheet1'!$L$16"}</definedName>
    <definedName name="y6ytyjtyjytjtyj" hidden="1">#REF!</definedName>
    <definedName name="yeu">{"'Sheet1'!$L$16"}</definedName>
    <definedName name="YI7I" localSheetId="1" hidden="1">{"'Sheet1'!$L$16"}</definedName>
    <definedName name="YI7I" localSheetId="3" hidden="1">{"'Sheet1'!$L$16"}</definedName>
    <definedName name="YI7I" localSheetId="4" hidden="1">{"'Sheet1'!$L$16"}</definedName>
    <definedName name="YI7I" localSheetId="5" hidden="1">{"'Sheet1'!$L$16"}</definedName>
    <definedName name="YI7I" localSheetId="7" hidden="1">{"'Sheet1'!$L$16"}</definedName>
    <definedName name="YI7I" hidden="1">{"'Sheet1'!$L$16"}</definedName>
    <definedName name="yiuti">{"'Sheet1'!$L$16"}</definedName>
    <definedName name="YIYUIIIY">#REF!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rdtytyt" hidden="1">{#N/A,#N/A,FALSE,"CCTV"}</definedName>
    <definedName name="YSY" localSheetId="1" hidden="1">{#N/A,#N/A,FALSE,"Sheet2";#N/A,#N/A,FALSE,"Sheet4";#N/A,#N/A,FALSE,"Sheet6"}</definedName>
    <definedName name="YSY" localSheetId="3" hidden="1">{#N/A,#N/A,FALSE,"Sheet2";#N/A,#N/A,FALSE,"Sheet4";#N/A,#N/A,FALSE,"Sheet6"}</definedName>
    <definedName name="YSY" localSheetId="4" hidden="1">{#N/A,#N/A,FALSE,"Sheet2";#N/A,#N/A,FALSE,"Sheet4";#N/A,#N/A,FALSE,"Sheet6"}</definedName>
    <definedName name="YSY" localSheetId="5" hidden="1">{#N/A,#N/A,FALSE,"Sheet2";#N/A,#N/A,FALSE,"Sheet4";#N/A,#N/A,FALSE,"Sheet6"}</definedName>
    <definedName name="YSY" localSheetId="7" hidden="1">{#N/A,#N/A,FALSE,"Sheet2";#N/A,#N/A,FALSE,"Sheet4";#N/A,#N/A,FALSE,"Sheet6"}</definedName>
    <definedName name="YSY" hidden="1">{#N/A,#N/A,FALSE,"Sheet2";#N/A,#N/A,FALSE,"Sheet4";#N/A,#N/A,FALSE,"Sheet6"}</definedName>
    <definedName name="ytri">{"'Sheet1'!$L$16"}</definedName>
    <definedName name="ytru">{"'Sheet1'!$L$16"}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HUK" hidden="1">{#N/A,#N/A,FALSE,"Chi tiÆt"}</definedName>
    <definedName name="YUIYIYUI">#REF!</definedName>
    <definedName name="YUIYO">#REF!</definedName>
    <definedName name="YUIYUI">#REF!</definedName>
    <definedName name="YUIYUIYU">#REF!</definedName>
    <definedName name="YUIYUIYUI">#REF!</definedName>
    <definedName name="YUIYUIYUIYUI">#REF!</definedName>
    <definedName name="YUIYUIYUOO">#REF!</definedName>
    <definedName name="YUIYUO">#REF!</definedName>
    <definedName name="YUTYUTYU">#REF!</definedName>
    <definedName name="yy">#REF!</definedName>
    <definedName name="yyiiyff" localSheetId="1" hidden="1">{#N/A,#N/A,FALSE,"Chi tiÆt"}</definedName>
    <definedName name="yyiiyff" localSheetId="3" hidden="1">{#N/A,#N/A,FALSE,"Chi tiÆt"}</definedName>
    <definedName name="yyiiyff" localSheetId="4" hidden="1">{#N/A,#N/A,FALSE,"Chi tiÆt"}</definedName>
    <definedName name="yyiiyff" localSheetId="5" hidden="1">{#N/A,#N/A,FALSE,"Chi tiÆt"}</definedName>
    <definedName name="yyiiyff" localSheetId="7" hidden="1">{#N/A,#N/A,FALSE,"Chi tiÆt"}</definedName>
    <definedName name="yyiiyff" hidden="1">{#N/A,#N/A,FALSE,"Chi tiÆt"}</definedName>
    <definedName name="ｙｙｙ">{"'Sheet1'!$L$16"}</definedName>
    <definedName name="z">#REF!</definedName>
    <definedName name="Z_2BD578FA_E2CB_4B2F_9A88_B148DA6298A5_.wvu.Cols" localSheetId="1" hidden="1">#REF!</definedName>
    <definedName name="Z_2BD578FA_E2CB_4B2F_9A88_B148DA6298A5_.wvu.Cols" hidden="1">#REF!</definedName>
    <definedName name="Z_2BD578FA_E2CB_4B2F_9A88_B148DA6298A5_.wvu.PrintArea" localSheetId="1" hidden="1">#REF!</definedName>
    <definedName name="Z_2BD578FA_E2CB_4B2F_9A88_B148DA6298A5_.wvu.PrintArea" hidden="1">#REF!</definedName>
    <definedName name="Z_B6D82DE0_6701_11DA_9820_00304F1E4471_.wvu.Cols" hidden="1">#REF!</definedName>
    <definedName name="Z_BF5D2B28_2DCF_11D2_BAF0_00E02914DDEE_.wvu.Cols" hidden="1">#REF!</definedName>
    <definedName name="zcg">{"'Sheet1'!$L$16"}</definedName>
    <definedName name="zcgxf">{"'Sheet1'!$L$16"}</definedName>
    <definedName name="ZCZXC" localSheetId="1" hidden="1">{"'Sheet1'!$L$16"}</definedName>
    <definedName name="ZCZXC" localSheetId="3" hidden="1">{"'Sheet1'!$L$16"}</definedName>
    <definedName name="ZCZXC" localSheetId="4" hidden="1">{"'Sheet1'!$L$16"}</definedName>
    <definedName name="ZCZXC" localSheetId="5" hidden="1">{"'Sheet1'!$L$16"}</definedName>
    <definedName name="ZCZXC" localSheetId="7" hidden="1">{"'Sheet1'!$L$16"}</definedName>
    <definedName name="ZCZXC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>{"'Sheet1'!$L$16"}</definedName>
    <definedName name="Zloadmin">#REF!</definedName>
    <definedName name="ZloadminS">#REF!</definedName>
    <definedName name="ZS1A">#REF!</definedName>
    <definedName name="ZS1C">#REF!</definedName>
    <definedName name="zx" hidden="1">#REF!</definedName>
    <definedName name="zxcvzxh">#REF!</definedName>
    <definedName name="zxcvzxv">#REF!</definedName>
    <definedName name="ZXD">#REF!</definedName>
    <definedName name="zxgsdf">#REF!</definedName>
    <definedName name="Zxl">#REF!</definedName>
    <definedName name="ZXzX" localSheetId="1" hidden="1">{"'Sheet1'!$L$16"}</definedName>
    <definedName name="ZXzX" localSheetId="3" hidden="1">{"'Sheet1'!$L$16"}</definedName>
    <definedName name="ZXzX" localSheetId="4" hidden="1">{"'Sheet1'!$L$16"}</definedName>
    <definedName name="ZXzX" localSheetId="5" hidden="1">{"'Sheet1'!$L$16"}</definedName>
    <definedName name="ZXzX" localSheetId="7" hidden="1">{"'Sheet1'!$L$16"}</definedName>
    <definedName name="ZXzX" hidden="1">{"'Sheet1'!$L$16"}</definedName>
    <definedName name="zxzxasasas" localSheetId="1" hidden="1">{#N/A,#N/A,FALSE,"Chi tiÆt"}</definedName>
    <definedName name="zxzxasasas" localSheetId="3" hidden="1">{#N/A,#N/A,FALSE,"Chi tiÆt"}</definedName>
    <definedName name="zxzxasasas" localSheetId="4" hidden="1">{#N/A,#N/A,FALSE,"Chi tiÆt"}</definedName>
    <definedName name="zxzxasasas" localSheetId="5" hidden="1">{#N/A,#N/A,FALSE,"Chi tiÆt"}</definedName>
    <definedName name="zxzxasasas" localSheetId="7" hidden="1">{#N/A,#N/A,FALSE,"Chi tiÆt"}</definedName>
    <definedName name="zxzxasasas" hidden="1">{#N/A,#N/A,FALSE,"Chi tiÆt"}</definedName>
    <definedName name="ZYX">#REF!</definedName>
    <definedName name="zz" localSheetId="1">'01-Bia'!zz</definedName>
    <definedName name="zz">#REF!</definedName>
    <definedName name="ZZZ">#REF!</definedName>
    <definedName name="ｚｚｚｚｚ">{"'Sheet1'!$L$16"}</definedName>
    <definedName name="ｚｚｚｚｚｚ">{"'Sheet1'!$L$16"}</definedName>
    <definedName name="あ">{"'Sheet1'!$L$16"}</definedName>
    <definedName name="ああ">{"'Sheet1'!$L$16"}</definedName>
    <definedName name="あああ">{"'Sheet1'!$L$16"}</definedName>
    <definedName name="ああああ">{"'Sheet1'!$L$16"}</definedName>
    <definedName name="あああああ">{"'Sheet1'!$L$16"}</definedName>
    <definedName name="ううう">{"'Sheet1'!$L$16"}</definedName>
    <definedName name="えええ">{"'Sheet1'!$L$16"}</definedName>
    <definedName name="っｋ" localSheetId="1" hidden="1">#REF!</definedName>
    <definedName name="っｋ" hidden="1">#REF!</definedName>
    <definedName name="もりた">#REF!</definedName>
    <definedName name="んｎ">{"'Sheet1'!$L$16"}</definedName>
    <definedName name="んんｎ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2" hidden="1">{#N/A,#N/A,FALSE,"CCTV"}</definedName>
    <definedName name="갑지3" hidden="1">{#N/A,#N/A,FALSE,"CCTV"}</definedName>
    <definedName name="갑지4" hidden="1">{#N/A,#N/A,FALSE,"CCTV"}</definedName>
    <definedName name="갑지5" hidden="1">{#N/A,#N/A,FALSE,"CCTV"}</definedName>
    <definedName name="갑지6" hidden="1">{#N/A,#N/A,FALSE,"CCTV"}</definedName>
    <definedName name="개요" hidden="1">#REF!</definedName>
    <definedName name="개요1" hidden="1">#REF!</definedName>
    <definedName name="개요2" hidden="1">#REF!</definedName>
    <definedName name="건축비목집계" hidden="1">{#N/A,#N/A,FALSE,"표지"}</definedName>
    <definedName name="건축원가" hidden="1">#REF!</definedName>
    <definedName name="견적" localSheetId="1" hidden="1">{#N/A,#N/A,FALSE,"CCTV"}</definedName>
    <definedName name="견적" localSheetId="3" hidden="1">{#N/A,#N/A,FALSE,"CCTV"}</definedName>
    <definedName name="견적" localSheetId="4" hidden="1">{#N/A,#N/A,FALSE,"CCTV"}</definedName>
    <definedName name="견적" localSheetId="5" hidden="1">{#N/A,#N/A,FALSE,"CCTV"}</definedName>
    <definedName name="견적" localSheetId="7" hidden="1">{#N/A,#N/A,FALSE,"CCTV"}</definedName>
    <definedName name="견적" hidden="1">{#N/A,#N/A,FALSE,"CCTV"}</definedName>
    <definedName name="견적2" localSheetId="1" hidden="1">{#N/A,#N/A,FALSE,"CCTV"}</definedName>
    <definedName name="견적2" localSheetId="3" hidden="1">{#N/A,#N/A,FALSE,"CCTV"}</definedName>
    <definedName name="견적2" localSheetId="4" hidden="1">{#N/A,#N/A,FALSE,"CCTV"}</definedName>
    <definedName name="견적2" localSheetId="5" hidden="1">{#N/A,#N/A,FALSE,"CCTV"}</definedName>
    <definedName name="견적2" localSheetId="7" hidden="1">{#N/A,#N/A,FALSE,"CCTV"}</definedName>
    <definedName name="견적2" hidden="1">{#N/A,#N/A,FALSE,"CCTV"}</definedName>
    <definedName name="견적SHEET" localSheetId="1" hidden="1">{#N/A,#N/A,FALSE,"CCTV"}</definedName>
    <definedName name="견적SHEET" localSheetId="3" hidden="1">{#N/A,#N/A,FALSE,"CCTV"}</definedName>
    <definedName name="견적SHEET" localSheetId="4" hidden="1">{#N/A,#N/A,FALSE,"CCTV"}</definedName>
    <definedName name="견적SHEET" localSheetId="5" hidden="1">{#N/A,#N/A,FALSE,"CCTV"}</definedName>
    <definedName name="견적SHEET" localSheetId="7" hidden="1">{#N/A,#N/A,FALSE,"CCTV"}</definedName>
    <definedName name="견적SHEET" hidden="1">{#N/A,#N/A,FALSE,"CCTV"}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localSheetId="1" hidden="1">{#N/A,#N/A,FALSE,"Sheet1"}</definedName>
    <definedName name="공" localSheetId="3" hidden="1">{#N/A,#N/A,FALSE,"Sheet1"}</definedName>
    <definedName name="공" localSheetId="4" hidden="1">{#N/A,#N/A,FALSE,"Sheet1"}</definedName>
    <definedName name="공" localSheetId="5" hidden="1">{#N/A,#N/A,FALSE,"Sheet1"}</definedName>
    <definedName name="공" localSheetId="7" hidden="1">{#N/A,#N/A,FALSE,"Sheet1"}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localSheetId="1" hidden="1">{#N/A,#N/A,FALSE,"전력간선"}</definedName>
    <definedName name="공사비" localSheetId="3" hidden="1">{#N/A,#N/A,FALSE,"전력간선"}</definedName>
    <definedName name="공사비" localSheetId="4" hidden="1">{#N/A,#N/A,FALSE,"전력간선"}</definedName>
    <definedName name="공사비" localSheetId="5" hidden="1">{#N/A,#N/A,FALSE,"전력간선"}</definedName>
    <definedName name="공사비" localSheetId="7" hidden="1">{#N/A,#N/A,FALSE,"전력간선"}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localSheetId="1" hidden="1">{#N/A,#N/A,FALSE,"CCTV"}</definedName>
    <definedName name="기계주차" localSheetId="3" hidden="1">{#N/A,#N/A,FALSE,"CCTV"}</definedName>
    <definedName name="기계주차" localSheetId="4" hidden="1">{#N/A,#N/A,FALSE,"CCTV"}</definedName>
    <definedName name="기계주차" localSheetId="5" hidden="1">{#N/A,#N/A,FALSE,"CCTV"}</definedName>
    <definedName name="기계주차" localSheetId="7" hidden="1">{#N/A,#N/A,FALSE,"CCTV"}</definedName>
    <definedName name="기계주차" hidden="1">{#N/A,#N/A,FALSE,"CCTV"}</definedName>
    <definedName name="김" hidden="1">#REF!</definedName>
    <definedName name="ㄴㄱㄹ" hidden="1">#REF!</definedName>
    <definedName name="ㄴㄷㄹ" localSheetId="1" hidden="1">{#N/A,#N/A,FALSE,"Sheet1"}</definedName>
    <definedName name="ㄴㄷㄹ" localSheetId="3" hidden="1">{#N/A,#N/A,FALSE,"Sheet1"}</definedName>
    <definedName name="ㄴㄷㄹ" localSheetId="4" hidden="1">{#N/A,#N/A,FALSE,"Sheet1"}</definedName>
    <definedName name="ㄴㄷㄹ" localSheetId="5" hidden="1">{#N/A,#N/A,FALSE,"Sheet1"}</definedName>
    <definedName name="ㄴㄷㄹ" localSheetId="7" hidden="1">{#N/A,#N/A,FALSE,"Sheet1"}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무비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1" hidden="1">{#N/A,#N/A,FALSE,"Sheet1"}</definedName>
    <definedName name="ㄷㄳ" localSheetId="3" hidden="1">{#N/A,#N/A,FALSE,"Sheet1"}</definedName>
    <definedName name="ㄷㄳ" localSheetId="4" hidden="1">{#N/A,#N/A,FALSE,"Sheet1"}</definedName>
    <definedName name="ㄷㄳ" localSheetId="5" hidden="1">{#N/A,#N/A,FALSE,"Sheet1"}</definedName>
    <definedName name="ㄷㄳ" localSheetId="7" hidden="1">{#N/A,#N/A,FALSE,"Sheet1"}</definedName>
    <definedName name="ㄷㄳ" hidden="1">{#N/A,#N/A,FALSE,"Sheet1"}</definedName>
    <definedName name="단ㄱ" localSheetId="1" hidden="1">{#N/A,#N/A,FALSE,"전력간선"}</definedName>
    <definedName name="단ㄱ" localSheetId="3" hidden="1">{#N/A,#N/A,FALSE,"전력간선"}</definedName>
    <definedName name="단ㄱ" localSheetId="4" hidden="1">{#N/A,#N/A,FALSE,"전력간선"}</definedName>
    <definedName name="단ㄱ" localSheetId="5" hidden="1">{#N/A,#N/A,FALSE,"전력간선"}</definedName>
    <definedName name="단ㄱ" localSheetId="7" hidden="1">{#N/A,#N/A,FALSE,"전력간선"}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localSheetId="1" hidden="1">{#N/A,#N/A,FALSE,"전력간선"}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영" hidden="1">{#N/A,#N/A,FALSE,"CCTV"}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ㄹ" hidden="1">{#N/A,#N/A,FALSE,"CCTV"}</definedName>
    <definedName name="ㄹㄹㄹ" hidden="1">#REF!</definedName>
    <definedName name="ㄹ호" hidden="1">#REF!</definedName>
    <definedName name="래그" localSheetId="1" hidden="1">{#N/A,#N/A,FALSE,"CCTV"}</definedName>
    <definedName name="래그" localSheetId="3" hidden="1">{#N/A,#N/A,FALSE,"CCTV"}</definedName>
    <definedName name="래그" localSheetId="4" hidden="1">{#N/A,#N/A,FALSE,"CCTV"}</definedName>
    <definedName name="래그" localSheetId="5" hidden="1">{#N/A,#N/A,FALSE,"CCTV"}</definedName>
    <definedName name="래그" localSheetId="7" hidden="1">{#N/A,#N/A,FALSE,"CCTV"}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localSheetId="1" hidden="1">{#N/A,#N/A,FALSE,"전력간선"}</definedName>
    <definedName name="ㅁㄴㄹ" localSheetId="3" hidden="1">{#N/A,#N/A,FALSE,"전력간선"}</definedName>
    <definedName name="ㅁㄴㄹ" localSheetId="4" hidden="1">{#N/A,#N/A,FALSE,"전력간선"}</definedName>
    <definedName name="ㅁㄴㄹ" localSheetId="5" hidden="1">{#N/A,#N/A,FALSE,"전력간선"}</definedName>
    <definedName name="ㅁㄴㄹ" localSheetId="7" hidden="1">{#N/A,#N/A,FALSE,"전력간선"}</definedName>
    <definedName name="ㅁㄴㄹ" hidden="1">{#N/A,#N/A,FALSE,"전력간선"}</definedName>
    <definedName name="ㅁㄻ" localSheetId="1" hidden="1">{#N/A,#N/A,FALSE,"Sheet1"}</definedName>
    <definedName name="ㅁㄻ" localSheetId="3" hidden="1">{#N/A,#N/A,FALSE,"Sheet1"}</definedName>
    <definedName name="ㅁㄻ" localSheetId="4" hidden="1">{#N/A,#N/A,FALSE,"Sheet1"}</definedName>
    <definedName name="ㅁㄻ" localSheetId="5" hidden="1">{#N/A,#N/A,FALSE,"Sheet1"}</definedName>
    <definedName name="ㅁㄻ" localSheetId="7" hidden="1">{#N/A,#N/A,FALSE,"Sheet1"}</definedName>
    <definedName name="ㅁㄻ" hidden="1">{#N/A,#N/A,FALSE,"Sheet1"}</definedName>
    <definedName name="ㅁㅁㅁ" hidden="1">#REF!</definedName>
    <definedName name="ㅁㅁㅁㅁㅁㅁ" localSheetId="1" hidden="1">#REF!</definedName>
    <definedName name="ㅁㅁㅁㅁㅁㅁ" hidden="1">#REF!</definedName>
    <definedName name="ㅁㅎㅁ" localSheetId="1" hidden="1">{#N/A,#N/A,FALSE,"Sheet1"}</definedName>
    <definedName name="ㅁㅎㅁ" localSheetId="3" hidden="1">{#N/A,#N/A,FALSE,"Sheet1"}</definedName>
    <definedName name="ㅁㅎㅁ" localSheetId="4" hidden="1">{#N/A,#N/A,FALSE,"Sheet1"}</definedName>
    <definedName name="ㅁㅎㅁ" localSheetId="5" hidden="1">{#N/A,#N/A,FALSE,"Sheet1"}</definedName>
    <definedName name="ㅁㅎㅁ" localSheetId="7" hidden="1">{#N/A,#N/A,FALSE,"Sheet1"}</definedName>
    <definedName name="ㅁㅎㅁ" hidden="1">{#N/A,#N/A,FALSE,"Sheet1"}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localSheetId="1" hidden="1">{#N/A,#N/A,FALSE,"표지"}</definedName>
    <definedName name="ㅂㅂ" localSheetId="3" hidden="1">{#N/A,#N/A,FALSE,"표지"}</definedName>
    <definedName name="ㅂㅂ" localSheetId="4" hidden="1">{#N/A,#N/A,FALSE,"표지"}</definedName>
    <definedName name="ㅂㅂ" localSheetId="5" hidden="1">{#N/A,#N/A,FALSE,"표지"}</definedName>
    <definedName name="ㅂㅂ" localSheetId="7" hidden="1">{#N/A,#N/A,FALSE,"표지"}</definedName>
    <definedName name="ㅂㅂ" hidden="1">{#N/A,#N/A,FALSE,"표지"}</definedName>
    <definedName name="ㅂㅈ" localSheetId="1" hidden="1">{#N/A,#N/A,TRUE,"1";#N/A,#N/A,TRUE,"2";#N/A,#N/A,TRUE,"3";#N/A,#N/A,TRUE,"4";#N/A,#N/A,TRUE,"5";#N/A,#N/A,TRUE,"6";#N/A,#N/A,TRUE,"7"}</definedName>
    <definedName name="ㅂㅈ" localSheetId="3" hidden="1">{#N/A,#N/A,TRUE,"1";#N/A,#N/A,TRUE,"2";#N/A,#N/A,TRUE,"3";#N/A,#N/A,TRUE,"4";#N/A,#N/A,TRUE,"5";#N/A,#N/A,TRUE,"6";#N/A,#N/A,TRUE,"7"}</definedName>
    <definedName name="ㅂㅈ" localSheetId="4" hidden="1">{#N/A,#N/A,TRUE,"1";#N/A,#N/A,TRUE,"2";#N/A,#N/A,TRUE,"3";#N/A,#N/A,TRUE,"4";#N/A,#N/A,TRUE,"5";#N/A,#N/A,TRUE,"6";#N/A,#N/A,TRUE,"7"}</definedName>
    <definedName name="ㅂㅈ" localSheetId="5" hidden="1">{#N/A,#N/A,TRUE,"1";#N/A,#N/A,TRUE,"2";#N/A,#N/A,TRUE,"3";#N/A,#N/A,TRUE,"4";#N/A,#N/A,TRUE,"5";#N/A,#N/A,TRUE,"6";#N/A,#N/A,TRUE,"7"}</definedName>
    <definedName name="ㅂㅈ" localSheetId="7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1" hidden="1">{#N/A,#N/A,FALSE,"전력간선"}</definedName>
    <definedName name="바붕" localSheetId="3" hidden="1">{#N/A,#N/A,FALSE,"전력간선"}</definedName>
    <definedName name="바붕" localSheetId="4" hidden="1">{#N/A,#N/A,FALSE,"전력간선"}</definedName>
    <definedName name="바붕" localSheetId="5" hidden="1">{#N/A,#N/A,FALSE,"전력간선"}</definedName>
    <definedName name="바붕" localSheetId="7" hidden="1">{#N/A,#N/A,FALSE,"전력간선"}</definedName>
    <definedName name="바붕" hidden="1">{#N/A,#N/A,FALSE,"전력간선"}</definedName>
    <definedName name="배기덕트공사" localSheetId="1" hidden="1">{#N/A,#N/A,FALSE,"CCTV"}</definedName>
    <definedName name="배기덕트공사" localSheetId="3" hidden="1">{#N/A,#N/A,FALSE,"CCTV"}</definedName>
    <definedName name="배기덕트공사" localSheetId="4" hidden="1">{#N/A,#N/A,FALSE,"CCTV"}</definedName>
    <definedName name="배기덕트공사" localSheetId="5" hidden="1">{#N/A,#N/A,FALSE,"CCTV"}</definedName>
    <definedName name="배기덕트공사" localSheetId="7" hidden="1">{#N/A,#N/A,FALSE,"CCTV"}</definedName>
    <definedName name="배기덕트공사" hidden="1">{#N/A,#N/A,FALSE,"CCTV"}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개요" hidden="1">#REF!</definedName>
    <definedName name="변경개요2" hidden="1">#REF!</definedName>
    <definedName name="변경수량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후개요" hidden="1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공사" hidden="1">#REF!</definedName>
    <definedName name="부대원본" localSheetId="1" hidden="1">{#N/A,#N/A,FALSE,"토공2"}</definedName>
    <definedName name="부대원본" localSheetId="3" hidden="1">{#N/A,#N/A,FALSE,"토공2"}</definedName>
    <definedName name="부대원본" localSheetId="4" hidden="1">{#N/A,#N/A,FALSE,"토공2"}</definedName>
    <definedName name="부대원본" localSheetId="5" hidden="1">{#N/A,#N/A,FALSE,"토공2"}</definedName>
    <definedName name="부대원본" localSheetId="7" hidden="1">{#N/A,#N/A,FALSE,"토공2"}</definedName>
    <definedName name="부대원본" hidden="1">{#N/A,#N/A,FALSE,"토공2"}</definedName>
    <definedName name="부천상동조경" hidden="1">{#N/A,#N/A,FALSE,"표지"}</definedName>
    <definedName name="사" hidden="1">#REF!</definedName>
    <definedName name="샘풀카피" localSheetId="1" hidden="1">{#N/A,#N/A,FALSE,"CCTV"}</definedName>
    <definedName name="샘풀카피" localSheetId="3" hidden="1">{#N/A,#N/A,FALSE,"CCTV"}</definedName>
    <definedName name="샘풀카피" localSheetId="4" hidden="1">{#N/A,#N/A,FALSE,"CCTV"}</definedName>
    <definedName name="샘풀카피" localSheetId="5" hidden="1">{#N/A,#N/A,FALSE,"CCTV"}</definedName>
    <definedName name="샘풀카피" localSheetId="7" hidden="1">{#N/A,#N/A,FALSE,"CCTV"}</definedName>
    <definedName name="샘풀카피" hidden="1">{#N/A,#N/A,FALSE,"CCTV"}</definedName>
    <definedName name="샘플카피2" localSheetId="1" hidden="1">{#N/A,#N/A,FALSE,"CCTV"}</definedName>
    <definedName name="샘플카피2" localSheetId="3" hidden="1">{#N/A,#N/A,FALSE,"CCTV"}</definedName>
    <definedName name="샘플카피2" localSheetId="4" hidden="1">{#N/A,#N/A,FALSE,"CCTV"}</definedName>
    <definedName name="샘플카피2" localSheetId="5" hidden="1">{#N/A,#N/A,FALSE,"CCTV"}</definedName>
    <definedName name="샘플카피2" localSheetId="7" hidden="1">{#N/A,#N/A,FALSE,"CCTV"}</definedName>
    <definedName name="샘플카피2" hidden="1">{#N/A,#N/A,FALSE,"CCTV"}</definedName>
    <definedName name="샘플카피3" localSheetId="1" hidden="1">{#N/A,#N/A,FALSE,"CCTV"}</definedName>
    <definedName name="샘플카피3" localSheetId="3" hidden="1">{#N/A,#N/A,FALSE,"CCTV"}</definedName>
    <definedName name="샘플카피3" localSheetId="4" hidden="1">{#N/A,#N/A,FALSE,"CCTV"}</definedName>
    <definedName name="샘플카피3" localSheetId="5" hidden="1">{#N/A,#N/A,FALSE,"CCTV"}</definedName>
    <definedName name="샘플카피3" localSheetId="7" hidden="1">{#N/A,#N/A,FALSE,"CCTV"}</definedName>
    <definedName name="샘플카피3" hidden="1">{#N/A,#N/A,FALSE,"CCTV"}</definedName>
    <definedName name="석재받은의뢰업체">255</definedName>
    <definedName name="소ㅑ104" hidden="1">#REF!</definedName>
    <definedName name="수" hidden="1">#REF!</definedName>
    <definedName name="수량산출근거" hidden="1">{#N/A,#N/A,FALSE,"표지"}</definedName>
    <definedName name="ㅇㄴㄹ" localSheetId="1" hidden="1">{#N/A,#N/A,FALSE,"Sheet1"}</definedName>
    <definedName name="ㅇㄴㄹ" localSheetId="3" hidden="1">{#N/A,#N/A,FALSE,"Sheet1"}</definedName>
    <definedName name="ㅇㄴㄹ" localSheetId="4" hidden="1">{#N/A,#N/A,FALSE,"Sheet1"}</definedName>
    <definedName name="ㅇㄴㄹ" localSheetId="5" hidden="1">{#N/A,#N/A,FALSE,"Sheet1"}</definedName>
    <definedName name="ㅇㄴㄹ" localSheetId="7" hidden="1">{#N/A,#N/A,FALSE,"Sheet1"}</definedName>
    <definedName name="ㅇㄴㄹ" hidden="1">{#N/A,#N/A,FALSE,"Sheet1"}</definedName>
    <definedName name="ㅇㄴㄿ" localSheetId="1" hidden="1">{#N/A,#N/A,FALSE,"CCTV"}</definedName>
    <definedName name="ㅇㄴㄿ" localSheetId="3" hidden="1">{#N/A,#N/A,FALSE,"CCTV"}</definedName>
    <definedName name="ㅇㄴㄿ" localSheetId="4" hidden="1">{#N/A,#N/A,FALSE,"CCTV"}</definedName>
    <definedName name="ㅇㄴㄿ" localSheetId="5" hidden="1">{#N/A,#N/A,FALSE,"CCTV"}</definedName>
    <definedName name="ㅇㄴㄿ" localSheetId="7" hidden="1">{#N/A,#N/A,FALSE,"CCTV"}</definedName>
    <definedName name="ㅇㄴㄿ" hidden="1">{#N/A,#N/A,FALSE,"CCTV"}</definedName>
    <definedName name="ㅇㄹ" hidden="1">#REF!</definedName>
    <definedName name="ㅇㄹㄴㄹ" hidden="1">{#N/A,#N/A,FALSE,"CCTV"}</definedName>
    <definedName name="ㅇㄹㄹ" hidden="1">#REF!</definedName>
    <definedName name="아싸" localSheetId="1" hidden="1">{#N/A,#N/A,FALSE,"CCTV"}</definedName>
    <definedName name="아싸" localSheetId="3" hidden="1">{#N/A,#N/A,FALSE,"CCTV"}</definedName>
    <definedName name="아싸" localSheetId="4" hidden="1">{#N/A,#N/A,FALSE,"CCTV"}</definedName>
    <definedName name="아싸" localSheetId="5" hidden="1">{#N/A,#N/A,FALSE,"CCTV"}</definedName>
    <definedName name="아싸" localSheetId="7" hidden="1">{#N/A,#N/A,FALSE,"CCTV"}</definedName>
    <definedName name="아싸" hidden="1">{#N/A,#N/A,FALSE,"CCTV"}</definedName>
    <definedName name="억이상" localSheetId="1" hidden="1">{#N/A,#N/A,FALSE,"2~8번"}</definedName>
    <definedName name="억이상" hidden="1">{#N/A,#N/A,FALSE,"2~8번"}</definedName>
    <definedName name="업체" localSheetId="1" hidden="1">#REF!</definedName>
    <definedName name="업체" hidden="1">#REF!</definedName>
    <definedName name="원가" localSheetId="1" hidden="1">{#N/A,#N/A,FALSE,"운반시간"}</definedName>
    <definedName name="원가" hidden="1">{#N/A,#N/A,FALSE,"운반시간"}</definedName>
    <definedName name="원남내역" hidden="1">#REF!</definedName>
    <definedName name="의" localSheetId="1" hidden="1">{#N/A,#N/A,FALSE,"운반시간"}</definedName>
    <definedName name="의" hidden="1">{#N/A,#N/A,FALSE,"운반시간"}</definedName>
    <definedName name="이릉" localSheetId="1" hidden="1">#REF!</definedName>
    <definedName name="이릉" hidden="1">#REF!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자" hidden="1">{#N/A,#N/A,FALSE,"CCTV"}</definedName>
    <definedName name="자재단가근거" localSheetId="1" hidden="1">#REF!</definedName>
    <definedName name="자재단가근거" hidden="1">#REF!</definedName>
    <definedName name="장" hidden="1">{#N/A,#N/A,FALSE,"CCTV"}</definedName>
    <definedName name="장비" hidden="1">{#N/A,#N/A,FALSE,"CCTV"}</definedName>
    <definedName name="전">#REF!</definedName>
    <definedName name="전기산출" localSheetId="1" hidden="1">#REF!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사가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주택사업본부">#REF!</definedName>
    <definedName name="철구사업본부">#REF!</definedName>
    <definedName name="철근량" localSheetId="1" hidden="1">{#N/A,#N/A,FALSE,"전력간선"}</definedName>
    <definedName name="철근량" localSheetId="3" hidden="1">{#N/A,#N/A,FALSE,"전력간선"}</definedName>
    <definedName name="철근량" localSheetId="4" hidden="1">{#N/A,#N/A,FALSE,"전력간선"}</definedName>
    <definedName name="철근량" localSheetId="5" hidden="1">{#N/A,#N/A,FALSE,"전력간선"}</definedName>
    <definedName name="철근량" localSheetId="7" hidden="1">{#N/A,#N/A,FALSE,"전력간선"}</definedName>
    <definedName name="철근량" hidden="1">{#N/A,#N/A,FALSE,"전력간선"}</definedName>
    <definedName name="총공사비2" localSheetId="1" hidden="1">{#N/A,#N/A,FALSE,"전력간선"}</definedName>
    <definedName name="총공사비2" localSheetId="3" hidden="1">{#N/A,#N/A,FALSE,"전력간선"}</definedName>
    <definedName name="총공사비2" localSheetId="4" hidden="1">{#N/A,#N/A,FALSE,"전력간선"}</definedName>
    <definedName name="총공사비2" localSheetId="5" hidden="1">{#N/A,#N/A,FALSE,"전력간선"}</definedName>
    <definedName name="총공사비2" localSheetId="7" hidden="1">{#N/A,#N/A,FALSE,"전력간선"}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localSheetId="1" hidden="1">{#N/A,#N/A,FALSE,"CCTV"}</definedName>
    <definedName name="켐온건축" localSheetId="3" hidden="1">{#N/A,#N/A,FALSE,"CCTV"}</definedName>
    <definedName name="켐온건축" localSheetId="4" hidden="1">{#N/A,#N/A,FALSE,"CCTV"}</definedName>
    <definedName name="켐온건축" localSheetId="5" hidden="1">{#N/A,#N/A,FALSE,"CCTV"}</definedName>
    <definedName name="켐온건축" localSheetId="7" hidden="1">{#N/A,#N/A,FALSE,"CCTV"}</definedName>
    <definedName name="켐온건축" hidden="1">{#N/A,#N/A,FALSE,"CCTV"}</definedName>
    <definedName name="탈" hidden="1">{#N/A,#N/A,FALSE,"CCTV"}</definedName>
    <definedName name="템플리트모듈1" localSheetId="1">BlankMacro1</definedName>
    <definedName name="템플리트모듈1" localSheetId="4">BlankMacro1</definedName>
    <definedName name="템플리트모듈1" localSheetId="13">BlankMacro1</definedName>
    <definedName name="템플리트모듈1" localSheetId="15">BlankMacro1</definedName>
    <definedName name="템플리트모듈1" localSheetId="12">BlankMacro1</definedName>
    <definedName name="템플리트모듈1" localSheetId="14">BlankMacro1</definedName>
    <definedName name="템플리트모듈1" localSheetId="11">BlankMacro1</definedName>
    <definedName name="템플리트모듈1" localSheetId="10">BlankMacro1</definedName>
    <definedName name="템플리트모듈1">BlankMacro1</definedName>
    <definedName name="템플리트모듈2" localSheetId="1">BlankMacro1</definedName>
    <definedName name="템플리트모듈2" localSheetId="4">BlankMacro1</definedName>
    <definedName name="템플리트모듈2" localSheetId="13">BlankMacro1</definedName>
    <definedName name="템플리트모듈2" localSheetId="15">BlankMacro1</definedName>
    <definedName name="템플리트모듈2" localSheetId="12">BlankMacro1</definedName>
    <definedName name="템플리트모듈2" localSheetId="14">BlankMacro1</definedName>
    <definedName name="템플리트모듈2" localSheetId="11">BlankMacro1</definedName>
    <definedName name="템플리트모듈2" localSheetId="10">BlankMacro1</definedName>
    <definedName name="템플리트모듈2">BlankMacro1</definedName>
    <definedName name="템플리트모듈3" localSheetId="1">BlankMacro1</definedName>
    <definedName name="템플리트모듈3" localSheetId="4">BlankMacro1</definedName>
    <definedName name="템플리트모듈3" localSheetId="13">BlankMacro1</definedName>
    <definedName name="템플리트모듈3" localSheetId="15">BlankMacro1</definedName>
    <definedName name="템플리트모듈3" localSheetId="12">BlankMacro1</definedName>
    <definedName name="템플리트모듈3" localSheetId="14">BlankMacro1</definedName>
    <definedName name="템플리트모듈3" localSheetId="11">BlankMacro1</definedName>
    <definedName name="템플리트모듈3" localSheetId="10">BlankMacro1</definedName>
    <definedName name="템플리트모듈3">BlankMacro1</definedName>
    <definedName name="템플리트모듈4" localSheetId="1">BlankMacro1</definedName>
    <definedName name="템플리트모듈4" localSheetId="4">BlankMacro1</definedName>
    <definedName name="템플리트모듈4" localSheetId="13">BlankMacro1</definedName>
    <definedName name="템플리트모듈4" localSheetId="15">BlankMacro1</definedName>
    <definedName name="템플리트모듈4" localSheetId="12">BlankMacro1</definedName>
    <definedName name="템플리트모듈4" localSheetId="14">BlankMacro1</definedName>
    <definedName name="템플리트모듈4" localSheetId="11">BlankMacro1</definedName>
    <definedName name="템플리트모듈4" localSheetId="10">BlankMacro1</definedName>
    <definedName name="템플리트모듈4">BlankMacro1</definedName>
    <definedName name="템플리트모듈5" localSheetId="1">BlankMacro1</definedName>
    <definedName name="템플리트모듈5" localSheetId="4">BlankMacro1</definedName>
    <definedName name="템플리트모듈5" localSheetId="13">BlankMacro1</definedName>
    <definedName name="템플리트모듈5" localSheetId="15">BlankMacro1</definedName>
    <definedName name="템플리트모듈5" localSheetId="12">BlankMacro1</definedName>
    <definedName name="템플리트모듈5" localSheetId="14">BlankMacro1</definedName>
    <definedName name="템플리트모듈5" localSheetId="11">BlankMacro1</definedName>
    <definedName name="템플리트모듈5" localSheetId="10">BlankMacro1</definedName>
    <definedName name="템플리트모듈5">BlankMacro1</definedName>
    <definedName name="템플리트모듈6" localSheetId="1">BlankMacro1</definedName>
    <definedName name="템플리트모듈6" localSheetId="4">BlankMacro1</definedName>
    <definedName name="템플리트모듈6" localSheetId="13">BlankMacro1</definedName>
    <definedName name="템플리트모듈6" localSheetId="15">BlankMacro1</definedName>
    <definedName name="템플리트모듈6" localSheetId="12">BlankMacro1</definedName>
    <definedName name="템플리트모듈6" localSheetId="14">BlankMacro1</definedName>
    <definedName name="템플리트모듈6" localSheetId="11">BlankMacro1</definedName>
    <definedName name="템플리트모듈6" localSheetId="10">BlankMacro1</definedName>
    <definedName name="템플리트모듈6">BlankMacro1</definedName>
    <definedName name="토" hidden="1">#REF!</definedName>
    <definedName name="토목" localSheetId="1" hidden="1">{#N/A,#N/A,FALSE,"CCTV"}</definedName>
    <definedName name="토목" localSheetId="3" hidden="1">{#N/A,#N/A,FALSE,"CCTV"}</definedName>
    <definedName name="토목" localSheetId="4" hidden="1">{#N/A,#N/A,FALSE,"CCTV"}</definedName>
    <definedName name="토목" localSheetId="5" hidden="1">{#N/A,#N/A,FALSE,"CCTV"}</definedName>
    <definedName name="토목" localSheetId="7" hidden="1">{#N/A,#N/A,FALSE,"CCTV"}</definedName>
    <definedName name="토목" hidden="1">{#N/A,#N/A,FALSE,"CCTV"}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피팅" localSheetId="1">BlankMacro1</definedName>
    <definedName name="피팅" localSheetId="4">BlankMacro1</definedName>
    <definedName name="피팅" localSheetId="13">BlankMacro1</definedName>
    <definedName name="피팅" localSheetId="15">BlankMacro1</definedName>
    <definedName name="피팅" localSheetId="12">BlankMacro1</definedName>
    <definedName name="피팅" localSheetId="14">BlankMacro1</definedName>
    <definedName name="피팅" localSheetId="11">BlankMacro1</definedName>
    <definedName name="피팅" localSheetId="10">BlankMacro1</definedName>
    <definedName name="피팅">BlankMacro1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力麗預算審查" hidden="1">#REF!</definedName>
    <definedName name="勝">#REF!</definedName>
    <definedName name="実行">{"'Sheet1'!$L$16"}</definedName>
    <definedName name="岡田" hidden="1">{#N/A,#N/A,TRUE,"SUM";#N/A,#N/A,TRUE,"EE";#N/A,#N/A,TRUE,"AC";#N/A,#N/A,TRUE,"SN"}</definedName>
    <definedName name="工事">#REF!</definedName>
    <definedName name="我" hidden="1">#REF!</definedName>
    <definedName name="我是誰" hidden="1">#REF!</definedName>
    <definedName name="排樁" hidden="1">#REF!</definedName>
    <definedName name="牆" hidden="1">#REF!</definedName>
    <definedName name="現法">#REF!</definedName>
    <definedName name="直轄">#REF!</definedName>
    <definedName name="表頭A" hidden="1">#REF!</definedName>
    <definedName name="裝修量" hidden="1">#REF!</definedName>
    <definedName name="預算審查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84" l="1"/>
  <c r="E120" i="84"/>
  <c r="E119" i="84"/>
  <c r="E118" i="84"/>
  <c r="E117" i="84"/>
  <c r="E116" i="84"/>
  <c r="E115" i="84"/>
  <c r="E114" i="84"/>
  <c r="E110" i="84"/>
  <c r="E109" i="84"/>
  <c r="E108" i="84"/>
  <c r="E107" i="84"/>
  <c r="E106" i="84"/>
  <c r="E105" i="84"/>
  <c r="E104" i="84"/>
  <c r="E103" i="84"/>
  <c r="E102" i="84"/>
  <c r="E101" i="84"/>
  <c r="E100" i="84"/>
  <c r="E96" i="84"/>
  <c r="E95" i="84"/>
  <c r="E94" i="84"/>
  <c r="E93" i="84"/>
  <c r="E92" i="84"/>
  <c r="E91" i="84"/>
  <c r="E90" i="84"/>
  <c r="E89" i="84"/>
  <c r="E88" i="84"/>
  <c r="Q85" i="84"/>
  <c r="P85" i="84"/>
  <c r="O85" i="84"/>
  <c r="N85" i="84"/>
  <c r="M85" i="84"/>
  <c r="E86" i="84"/>
  <c r="E60" i="84"/>
  <c r="E58" i="84"/>
  <c r="E57" i="84"/>
  <c r="E56" i="84"/>
  <c r="E55" i="84"/>
  <c r="E54" i="84"/>
  <c r="E53" i="84"/>
  <c r="E51" i="84"/>
  <c r="E50" i="84"/>
  <c r="E49" i="84"/>
  <c r="E48" i="84"/>
  <c r="E47" i="84"/>
  <c r="E46" i="84"/>
  <c r="E45" i="84"/>
  <c r="E44" i="84"/>
  <c r="E43" i="84"/>
  <c r="E42" i="84"/>
  <c r="K400" i="172"/>
  <c r="J398" i="172"/>
  <c r="D191" i="173"/>
  <c r="D186" i="173"/>
  <c r="D181" i="173"/>
  <c r="D176" i="173"/>
  <c r="D171" i="173"/>
  <c r="K192" i="173"/>
  <c r="K193" i="173" s="1"/>
  <c r="K190" i="173"/>
  <c r="K188" i="173"/>
  <c r="K187" i="173"/>
  <c r="K185" i="173"/>
  <c r="K182" i="173"/>
  <c r="K183" i="173" s="1"/>
  <c r="K180" i="173"/>
  <c r="K177" i="173"/>
  <c r="K178" i="173" s="1"/>
  <c r="K175" i="173"/>
  <c r="K172" i="173"/>
  <c r="K173" i="173" s="1"/>
  <c r="K170" i="173"/>
  <c r="K165" i="173"/>
  <c r="K167" i="173"/>
  <c r="K168" i="173" s="1"/>
  <c r="K162" i="173"/>
  <c r="K160" i="173"/>
  <c r="D159" i="173"/>
  <c r="H151" i="173"/>
  <c r="K153" i="173"/>
  <c r="K154" i="173" s="1"/>
  <c r="K150" i="173"/>
  <c r="K155" i="173"/>
  <c r="K85" i="173"/>
  <c r="D141" i="173"/>
  <c r="D146" i="173"/>
  <c r="D136" i="173"/>
  <c r="D131" i="173"/>
  <c r="D126" i="173"/>
  <c r="K147" i="173"/>
  <c r="K148" i="173" s="1"/>
  <c r="K145" i="173"/>
  <c r="K142" i="173"/>
  <c r="K143" i="173" s="1"/>
  <c r="K140" i="173"/>
  <c r="K137" i="173"/>
  <c r="K138" i="173" s="1"/>
  <c r="K135" i="173"/>
  <c r="K132" i="173"/>
  <c r="K133" i="173" s="1"/>
  <c r="K130" i="173"/>
  <c r="K127" i="173"/>
  <c r="K128" i="173" s="1"/>
  <c r="K125" i="173"/>
  <c r="K122" i="173"/>
  <c r="K123" i="173" s="1"/>
  <c r="K120" i="173"/>
  <c r="D119" i="173"/>
  <c r="K112" i="173"/>
  <c r="K113" i="173" s="1"/>
  <c r="K110" i="173"/>
  <c r="D109" i="173"/>
  <c r="D111" i="173" s="1"/>
  <c r="K117" i="173"/>
  <c r="K118" i="173" s="1"/>
  <c r="K115" i="173"/>
  <c r="K108" i="173"/>
  <c r="K107" i="173"/>
  <c r="K105" i="173"/>
  <c r="K102" i="173"/>
  <c r="K103" i="173" s="1"/>
  <c r="K100" i="173"/>
  <c r="K98" i="173"/>
  <c r="K97" i="173"/>
  <c r="K95" i="173"/>
  <c r="K90" i="173"/>
  <c r="K89" i="173"/>
  <c r="K88" i="173"/>
  <c r="D81" i="173"/>
  <c r="D79" i="173"/>
  <c r="K80" i="173" s="1"/>
  <c r="D74" i="173"/>
  <c r="K77" i="173" s="1"/>
  <c r="K78" i="173" s="1"/>
  <c r="J77" i="173"/>
  <c r="J75" i="173"/>
  <c r="K70" i="173"/>
  <c r="K72" i="173"/>
  <c r="K73" i="173" s="1"/>
  <c r="D71" i="173"/>
  <c r="D66" i="173"/>
  <c r="D41" i="173"/>
  <c r="D46" i="173"/>
  <c r="D51" i="173"/>
  <c r="D56" i="173"/>
  <c r="D61" i="173"/>
  <c r="J57" i="173"/>
  <c r="K68" i="173"/>
  <c r="K67" i="173"/>
  <c r="K65" i="173"/>
  <c r="K62" i="173"/>
  <c r="K63" i="173" s="1"/>
  <c r="K60" i="173"/>
  <c r="K57" i="173"/>
  <c r="K58" i="173" s="1"/>
  <c r="K55" i="173"/>
  <c r="K52" i="173"/>
  <c r="K53" i="173" s="1"/>
  <c r="K50" i="173"/>
  <c r="K47" i="173"/>
  <c r="K48" i="173" s="1"/>
  <c r="K45" i="173"/>
  <c r="K42" i="173"/>
  <c r="K43" i="173" s="1"/>
  <c r="K40" i="173"/>
  <c r="J40" i="173"/>
  <c r="O26" i="173"/>
  <c r="O25" i="173"/>
  <c r="O24" i="173"/>
  <c r="O27" i="173"/>
  <c r="K14" i="173"/>
  <c r="K36" i="173"/>
  <c r="K31" i="173"/>
  <c r="K26" i="173"/>
  <c r="K21" i="173"/>
  <c r="K34" i="173"/>
  <c r="K29" i="173"/>
  <c r="K24" i="173"/>
  <c r="K19" i="173"/>
  <c r="K16" i="173"/>
  <c r="D30" i="173"/>
  <c r="D25" i="173"/>
  <c r="D20" i="173"/>
  <c r="D15" i="173"/>
  <c r="J14" i="173"/>
  <c r="K163" i="173" l="1"/>
  <c r="K82" i="173"/>
  <c r="K83" i="173" s="1"/>
  <c r="D76" i="173"/>
  <c r="K75" i="173"/>
  <c r="D10" i="173" l="1"/>
  <c r="K11" i="173"/>
  <c r="K9" i="173"/>
  <c r="D20" i="178"/>
  <c r="K19" i="178"/>
  <c r="K18" i="178"/>
  <c r="D14" i="178"/>
  <c r="K12" i="178"/>
  <c r="K24" i="178"/>
  <c r="K9" i="178"/>
  <c r="D8" i="178"/>
  <c r="T23" i="178"/>
  <c r="T22" i="178"/>
  <c r="N82" i="172"/>
  <c r="K82" i="172"/>
  <c r="I82" i="172"/>
  <c r="G82" i="172"/>
  <c r="J82" i="172" s="1"/>
  <c r="N81" i="172"/>
  <c r="K81" i="172"/>
  <c r="I81" i="172"/>
  <c r="G81" i="172"/>
  <c r="J81" i="172" s="1"/>
  <c r="N80" i="172"/>
  <c r="I80" i="172"/>
  <c r="D80" i="172"/>
  <c r="G80" i="172" s="1"/>
  <c r="J80" i="172" s="1"/>
  <c r="M80" i="172" s="1"/>
  <c r="O80" i="172" s="1"/>
  <c r="N79" i="172"/>
  <c r="I79" i="172"/>
  <c r="E79" i="172"/>
  <c r="D79" i="172"/>
  <c r="G79" i="172" s="1"/>
  <c r="J79" i="172" s="1"/>
  <c r="M79" i="172" s="1"/>
  <c r="O79" i="172" s="1"/>
  <c r="N77" i="172"/>
  <c r="K77" i="172"/>
  <c r="I77" i="172"/>
  <c r="G77" i="172"/>
  <c r="N76" i="172"/>
  <c r="K76" i="172"/>
  <c r="I76" i="172"/>
  <c r="J76" i="172" s="1"/>
  <c r="M76" i="172" s="1"/>
  <c r="O76" i="172" s="1"/>
  <c r="G76" i="172"/>
  <c r="N75" i="172"/>
  <c r="I75" i="172"/>
  <c r="D75" i="172"/>
  <c r="G75" i="172" s="1"/>
  <c r="J75" i="172" s="1"/>
  <c r="M75" i="172" s="1"/>
  <c r="O75" i="172" s="1"/>
  <c r="N74" i="172"/>
  <c r="I74" i="172"/>
  <c r="E74" i="172"/>
  <c r="D74" i="172"/>
  <c r="G74" i="172" s="1"/>
  <c r="J74" i="172" s="1"/>
  <c r="M74" i="172" s="1"/>
  <c r="O74" i="172" s="1"/>
  <c r="N71" i="172"/>
  <c r="K71" i="172"/>
  <c r="I71" i="172"/>
  <c r="G71" i="172"/>
  <c r="N70" i="172"/>
  <c r="K70" i="172"/>
  <c r="I70" i="172"/>
  <c r="G70" i="172"/>
  <c r="J70" i="172" s="1"/>
  <c r="N69" i="172"/>
  <c r="I69" i="172"/>
  <c r="D69" i="172"/>
  <c r="G69" i="172" s="1"/>
  <c r="J69" i="172" s="1"/>
  <c r="M69" i="172" s="1"/>
  <c r="N68" i="172"/>
  <c r="I68" i="172"/>
  <c r="E68" i="172"/>
  <c r="D68" i="172"/>
  <c r="G68" i="172" s="1"/>
  <c r="J68" i="172" s="1"/>
  <c r="M68" i="172" s="1"/>
  <c r="O68" i="172" s="1"/>
  <c r="N66" i="172"/>
  <c r="K66" i="172"/>
  <c r="I66" i="172"/>
  <c r="G66" i="172"/>
  <c r="N65" i="172"/>
  <c r="K65" i="172"/>
  <c r="I65" i="172"/>
  <c r="G65" i="172"/>
  <c r="J65" i="172" s="1"/>
  <c r="N64" i="172"/>
  <c r="I64" i="172"/>
  <c r="D64" i="172"/>
  <c r="G64" i="172" s="1"/>
  <c r="N63" i="172"/>
  <c r="I63" i="172"/>
  <c r="E63" i="172"/>
  <c r="D63" i="172"/>
  <c r="N61" i="172"/>
  <c r="K61" i="172"/>
  <c r="I61" i="172"/>
  <c r="G61" i="172"/>
  <c r="N60" i="172"/>
  <c r="K60" i="172"/>
  <c r="I60" i="172"/>
  <c r="G60" i="172"/>
  <c r="N59" i="172"/>
  <c r="I59" i="172"/>
  <c r="D59" i="172"/>
  <c r="G59" i="172" s="1"/>
  <c r="N58" i="172"/>
  <c r="I58" i="172"/>
  <c r="E58" i="172"/>
  <c r="D58" i="172"/>
  <c r="G58" i="172" s="1"/>
  <c r="J58" i="172" s="1"/>
  <c r="M58" i="172" s="1"/>
  <c r="O58" i="172" s="1"/>
  <c r="K478" i="172"/>
  <c r="K477" i="172"/>
  <c r="K472" i="172"/>
  <c r="K471" i="172"/>
  <c r="K467" i="172"/>
  <c r="K466" i="172"/>
  <c r="K462" i="172"/>
  <c r="K461" i="172"/>
  <c r="K457" i="172"/>
  <c r="K456" i="172"/>
  <c r="K452" i="172"/>
  <c r="K451" i="172"/>
  <c r="K447" i="172"/>
  <c r="K446" i="172"/>
  <c r="K441" i="172"/>
  <c r="K440" i="172"/>
  <c r="K436" i="172"/>
  <c r="K435" i="172"/>
  <c r="K431" i="172"/>
  <c r="K430" i="172"/>
  <c r="K426" i="172"/>
  <c r="K425" i="172"/>
  <c r="K421" i="172"/>
  <c r="K420" i="172"/>
  <c r="K416" i="172"/>
  <c r="K415" i="172"/>
  <c r="K411" i="172"/>
  <c r="K410" i="172"/>
  <c r="K406" i="172"/>
  <c r="K405" i="172"/>
  <c r="K401" i="172"/>
  <c r="K396" i="172"/>
  <c r="K395" i="172"/>
  <c r="K390" i="172"/>
  <c r="K389" i="172"/>
  <c r="K385" i="172"/>
  <c r="K384" i="172"/>
  <c r="K380" i="172"/>
  <c r="K379" i="172"/>
  <c r="K374" i="172"/>
  <c r="K373" i="172"/>
  <c r="K369" i="172"/>
  <c r="K368" i="172"/>
  <c r="K363" i="172"/>
  <c r="K362" i="172"/>
  <c r="K358" i="172"/>
  <c r="K357" i="172"/>
  <c r="K353" i="172"/>
  <c r="K352" i="172"/>
  <c r="K348" i="172"/>
  <c r="K347" i="172"/>
  <c r="K342" i="172"/>
  <c r="K341" i="172"/>
  <c r="K337" i="172"/>
  <c r="K336" i="172"/>
  <c r="K332" i="172"/>
  <c r="K331" i="172"/>
  <c r="K327" i="172"/>
  <c r="K326" i="172"/>
  <c r="K321" i="172"/>
  <c r="K320" i="172"/>
  <c r="K316" i="172"/>
  <c r="K315" i="172"/>
  <c r="K311" i="172"/>
  <c r="K310" i="172"/>
  <c r="K305" i="172"/>
  <c r="K304" i="172"/>
  <c r="K300" i="172"/>
  <c r="K299" i="172"/>
  <c r="K295" i="172"/>
  <c r="K294" i="172"/>
  <c r="K289" i="172"/>
  <c r="K288" i="172"/>
  <c r="K284" i="172"/>
  <c r="K283" i="172"/>
  <c r="K279" i="172"/>
  <c r="K278" i="172"/>
  <c r="K273" i="172"/>
  <c r="K272" i="172"/>
  <c r="K268" i="172"/>
  <c r="K267" i="172"/>
  <c r="K263" i="172"/>
  <c r="K262" i="172"/>
  <c r="K257" i="172"/>
  <c r="K256" i="172"/>
  <c r="K252" i="172"/>
  <c r="K251" i="172"/>
  <c r="K247" i="172"/>
  <c r="K246" i="172"/>
  <c r="K242" i="172"/>
  <c r="K241" i="172"/>
  <c r="K237" i="172"/>
  <c r="K236" i="172"/>
  <c r="K231" i="172"/>
  <c r="K230" i="172"/>
  <c r="K226" i="172"/>
  <c r="K225" i="172"/>
  <c r="K221" i="172"/>
  <c r="K220" i="172"/>
  <c r="K216" i="172"/>
  <c r="K215" i="172"/>
  <c r="K210" i="172"/>
  <c r="K209" i="172"/>
  <c r="K205" i="172"/>
  <c r="K204" i="172"/>
  <c r="K200" i="172"/>
  <c r="K199" i="172"/>
  <c r="K195" i="172"/>
  <c r="K194" i="172"/>
  <c r="K189" i="172"/>
  <c r="K188" i="172"/>
  <c r="K184" i="172"/>
  <c r="K183" i="172"/>
  <c r="K179" i="172"/>
  <c r="K178" i="172"/>
  <c r="K173" i="172"/>
  <c r="K172" i="172"/>
  <c r="K168" i="172"/>
  <c r="K167" i="172"/>
  <c r="K162" i="172"/>
  <c r="K161" i="172"/>
  <c r="K157" i="172"/>
  <c r="K156" i="172"/>
  <c r="K152" i="172"/>
  <c r="K151" i="172"/>
  <c r="K146" i="172"/>
  <c r="K145" i="172"/>
  <c r="K141" i="172"/>
  <c r="K140" i="172"/>
  <c r="K136" i="172"/>
  <c r="K135" i="172"/>
  <c r="K130" i="172"/>
  <c r="K129" i="172"/>
  <c r="K125" i="172"/>
  <c r="K124" i="172"/>
  <c r="K120" i="172"/>
  <c r="K119" i="172"/>
  <c r="K115" i="172"/>
  <c r="K114" i="172"/>
  <c r="K109" i="172"/>
  <c r="K108" i="172"/>
  <c r="K104" i="172"/>
  <c r="K103" i="172"/>
  <c r="K98" i="172"/>
  <c r="K97" i="172"/>
  <c r="K93" i="172"/>
  <c r="K92" i="172"/>
  <c r="K88" i="172"/>
  <c r="K87" i="172"/>
  <c r="K55" i="172"/>
  <c r="K54" i="172"/>
  <c r="K50" i="172"/>
  <c r="K49" i="172"/>
  <c r="K45" i="172"/>
  <c r="K44" i="172"/>
  <c r="K39" i="172"/>
  <c r="K38" i="172"/>
  <c r="K34" i="172"/>
  <c r="K33" i="172"/>
  <c r="K28" i="172"/>
  <c r="K27" i="172"/>
  <c r="K23" i="172"/>
  <c r="K22" i="172"/>
  <c r="K18" i="172"/>
  <c r="K17" i="172"/>
  <c r="K13" i="172"/>
  <c r="K12" i="172"/>
  <c r="G15" i="177"/>
  <c r="G16" i="177"/>
  <c r="G17" i="177"/>
  <c r="G18" i="177"/>
  <c r="G19" i="177"/>
  <c r="G20" i="177"/>
  <c r="G21" i="177"/>
  <c r="G22" i="177"/>
  <c r="G23" i="177"/>
  <c r="G24" i="177"/>
  <c r="G14" i="177"/>
  <c r="F25" i="177"/>
  <c r="J25" i="177" s="1"/>
  <c r="B297" i="84"/>
  <c r="D297" i="84"/>
  <c r="H297" i="84"/>
  <c r="J297" i="84"/>
  <c r="K140" i="84"/>
  <c r="G216" i="84"/>
  <c r="E216" i="84"/>
  <c r="D216" i="84"/>
  <c r="B216" i="84"/>
  <c r="K62" i="84"/>
  <c r="D101" i="180"/>
  <c r="D102" i="180" s="1"/>
  <c r="G102" i="180" s="1"/>
  <c r="J102" i="180" s="1"/>
  <c r="M102" i="180" s="1"/>
  <c r="N104" i="180"/>
  <c r="K104" i="180"/>
  <c r="I104" i="180"/>
  <c r="G104" i="180"/>
  <c r="N103" i="180"/>
  <c r="K103" i="180"/>
  <c r="I103" i="180"/>
  <c r="G103" i="180"/>
  <c r="N102" i="180"/>
  <c r="N101" i="180"/>
  <c r="K35" i="181"/>
  <c r="D53" i="179"/>
  <c r="G53" i="179" s="1"/>
  <c r="J53" i="179" s="1"/>
  <c r="D51" i="179"/>
  <c r="G51" i="179" s="1"/>
  <c r="J51" i="179" s="1"/>
  <c r="K54" i="179"/>
  <c r="G54" i="179"/>
  <c r="J54" i="179" s="1"/>
  <c r="K53" i="179"/>
  <c r="K52" i="179"/>
  <c r="G52" i="179"/>
  <c r="J52" i="179" s="1"/>
  <c r="K51" i="179"/>
  <c r="B296" i="84"/>
  <c r="D296" i="84"/>
  <c r="H296" i="84"/>
  <c r="J296" i="84"/>
  <c r="G263" i="84"/>
  <c r="E263" i="84"/>
  <c r="D263" i="84"/>
  <c r="B263" i="84"/>
  <c r="B262" i="84"/>
  <c r="G217" i="84"/>
  <c r="E217" i="84"/>
  <c r="D217" i="84"/>
  <c r="B215" i="84"/>
  <c r="B217" i="84"/>
  <c r="K139" i="84"/>
  <c r="K123" i="84"/>
  <c r="K63" i="84"/>
  <c r="G97" i="180"/>
  <c r="G108" i="180"/>
  <c r="N109" i="180"/>
  <c r="K109" i="180"/>
  <c r="I109" i="180"/>
  <c r="G109" i="180"/>
  <c r="N108" i="180"/>
  <c r="K108" i="180"/>
  <c r="I108" i="180"/>
  <c r="N107" i="180"/>
  <c r="G107" i="180"/>
  <c r="J107" i="180" s="1"/>
  <c r="M107" i="180" s="1"/>
  <c r="N106" i="180"/>
  <c r="G106" i="180"/>
  <c r="J106" i="180" s="1"/>
  <c r="M106" i="180" s="1"/>
  <c r="K37" i="181"/>
  <c r="K38" i="181" s="1"/>
  <c r="G36" i="181"/>
  <c r="N38" i="181"/>
  <c r="G38" i="181"/>
  <c r="J38" i="181" s="1"/>
  <c r="N37" i="181"/>
  <c r="G37" i="181"/>
  <c r="J37" i="181" s="1"/>
  <c r="N36" i="181"/>
  <c r="I36" i="181"/>
  <c r="H36" i="181"/>
  <c r="N35" i="181"/>
  <c r="G35" i="181"/>
  <c r="J35" i="181" s="1"/>
  <c r="N92" i="175"/>
  <c r="I92" i="175"/>
  <c r="G92" i="175"/>
  <c r="N91" i="175"/>
  <c r="I91" i="175"/>
  <c r="G91" i="175"/>
  <c r="H129" i="175"/>
  <c r="H132" i="175"/>
  <c r="N132" i="175"/>
  <c r="I132" i="175"/>
  <c r="G132" i="175"/>
  <c r="N131" i="175"/>
  <c r="I131" i="175"/>
  <c r="G131" i="175"/>
  <c r="N129" i="175"/>
  <c r="I129" i="175"/>
  <c r="G129" i="175"/>
  <c r="N130" i="175"/>
  <c r="I130" i="175"/>
  <c r="G130" i="175"/>
  <c r="G10" i="175"/>
  <c r="G76" i="179"/>
  <c r="J76" i="179" s="1"/>
  <c r="D48" i="179"/>
  <c r="G48" i="179" s="1"/>
  <c r="J48" i="179" s="1"/>
  <c r="G49" i="179"/>
  <c r="J49" i="179" s="1"/>
  <c r="K47" i="179"/>
  <c r="D46" i="179"/>
  <c r="G46" i="179" s="1"/>
  <c r="J46" i="179" s="1"/>
  <c r="K49" i="179"/>
  <c r="K48" i="179"/>
  <c r="G47" i="179"/>
  <c r="J47" i="179" s="1"/>
  <c r="K46" i="179"/>
  <c r="D43" i="179"/>
  <c r="G43" i="179" s="1"/>
  <c r="J43" i="179" s="1"/>
  <c r="K43" i="179"/>
  <c r="D40" i="179"/>
  <c r="G40" i="179" s="1"/>
  <c r="J40" i="179" s="1"/>
  <c r="K40" i="179"/>
  <c r="D36" i="179"/>
  <c r="D33" i="179"/>
  <c r="D30" i="179"/>
  <c r="D28" i="179"/>
  <c r="D26" i="179"/>
  <c r="D23" i="179"/>
  <c r="D20" i="179"/>
  <c r="D16" i="179"/>
  <c r="D13" i="179"/>
  <c r="D10" i="179"/>
  <c r="M23" i="179"/>
  <c r="M36" i="179"/>
  <c r="M13" i="179"/>
  <c r="M51" i="179"/>
  <c r="M43" i="179"/>
  <c r="M40" i="179"/>
  <c r="M33" i="179"/>
  <c r="M48" i="179"/>
  <c r="M26" i="179"/>
  <c r="M16" i="179"/>
  <c r="M53" i="179"/>
  <c r="M20" i="179"/>
  <c r="M30" i="179"/>
  <c r="M10" i="179"/>
  <c r="M28" i="179"/>
  <c r="M46" i="179"/>
  <c r="M81" i="172" l="1"/>
  <c r="O81" i="172" s="1"/>
  <c r="J59" i="172"/>
  <c r="M59" i="172" s="1"/>
  <c r="J71" i="172"/>
  <c r="M71" i="172" s="1"/>
  <c r="O71" i="172" s="1"/>
  <c r="J77" i="172"/>
  <c r="M77" i="172" s="1"/>
  <c r="O77" i="172" s="1"/>
  <c r="J66" i="172"/>
  <c r="M82" i="172"/>
  <c r="O82" i="172" s="1"/>
  <c r="J60" i="172"/>
  <c r="M65" i="172"/>
  <c r="O65" i="172" s="1"/>
  <c r="J61" i="172"/>
  <c r="M61" i="172" s="1"/>
  <c r="O61" i="172" s="1"/>
  <c r="J64" i="172"/>
  <c r="M64" i="172" s="1"/>
  <c r="O64" i="172" s="1"/>
  <c r="O59" i="172"/>
  <c r="O69" i="172"/>
  <c r="M70" i="172"/>
  <c r="O70" i="172" s="1"/>
  <c r="M66" i="172"/>
  <c r="O66" i="172" s="1"/>
  <c r="G63" i="172"/>
  <c r="J63" i="172" s="1"/>
  <c r="M63" i="172" s="1"/>
  <c r="O63" i="172" s="1"/>
  <c r="M60" i="172"/>
  <c r="O60" i="172" s="1"/>
  <c r="J103" i="180"/>
  <c r="L52" i="179"/>
  <c r="K297" i="84"/>
  <c r="L54" i="179"/>
  <c r="G101" i="180"/>
  <c r="J101" i="180" s="1"/>
  <c r="M101" i="180" s="1"/>
  <c r="O101" i="180" s="1"/>
  <c r="L53" i="179"/>
  <c r="J108" i="180"/>
  <c r="M108" i="180" s="1"/>
  <c r="O108" i="180" s="1"/>
  <c r="G25" i="177"/>
  <c r="K216" i="84"/>
  <c r="O107" i="180"/>
  <c r="L51" i="179"/>
  <c r="J104" i="180"/>
  <c r="M104" i="180" s="1"/>
  <c r="O104" i="180" s="1"/>
  <c r="O102" i="180"/>
  <c r="K296" i="84"/>
  <c r="M103" i="180"/>
  <c r="O103" i="180" s="1"/>
  <c r="J109" i="180"/>
  <c r="M109" i="180" s="1"/>
  <c r="O109" i="180" s="1"/>
  <c r="K263" i="84"/>
  <c r="K217" i="84"/>
  <c r="O106" i="180"/>
  <c r="J36" i="181"/>
  <c r="M36" i="181" s="1"/>
  <c r="O36" i="181" s="1"/>
  <c r="M35" i="181"/>
  <c r="O35" i="181" s="1"/>
  <c r="M38" i="181"/>
  <c r="O38" i="181" s="1"/>
  <c r="M37" i="181"/>
  <c r="O37" i="181" s="1"/>
  <c r="J92" i="175"/>
  <c r="M92" i="175" s="1"/>
  <c r="O92" i="175" s="1"/>
  <c r="J91" i="175"/>
  <c r="M91" i="175" s="1"/>
  <c r="O91" i="175" s="1"/>
  <c r="J132" i="175"/>
  <c r="M132" i="175" s="1"/>
  <c r="O132" i="175" s="1"/>
  <c r="J131" i="175"/>
  <c r="M131" i="175" s="1"/>
  <c r="O131" i="175" s="1"/>
  <c r="J130" i="175"/>
  <c r="M130" i="175" s="1"/>
  <c r="O130" i="175" s="1"/>
  <c r="J129" i="175"/>
  <c r="M129" i="175" s="1"/>
  <c r="O129" i="175" s="1"/>
  <c r="L48" i="179"/>
  <c r="L49" i="179"/>
  <c r="L46" i="179"/>
  <c r="L47" i="179"/>
  <c r="L40" i="179"/>
  <c r="L43" i="179"/>
  <c r="G9" i="179" l="1"/>
  <c r="J9" i="179" s="1"/>
  <c r="H23" i="177"/>
  <c r="H22" i="177"/>
  <c r="I20" i="177"/>
  <c r="I19" i="177"/>
  <c r="I18" i="177"/>
  <c r="I15" i="177"/>
  <c r="I16" i="177"/>
  <c r="I14" i="177"/>
  <c r="H491" i="172"/>
  <c r="H490" i="172"/>
  <c r="H47" i="181"/>
  <c r="H48" i="181"/>
  <c r="H50" i="181"/>
  <c r="H51" i="181"/>
  <c r="I121" i="180"/>
  <c r="I117" i="180"/>
  <c r="H249" i="175"/>
  <c r="H251" i="175"/>
  <c r="H202" i="173"/>
  <c r="H204" i="173"/>
  <c r="H34" i="178"/>
  <c r="H36" i="178"/>
  <c r="H487" i="172"/>
  <c r="K44" i="179"/>
  <c r="G44" i="179"/>
  <c r="J44" i="179" s="1"/>
  <c r="K42" i="179"/>
  <c r="G42" i="179"/>
  <c r="J42" i="179" s="1"/>
  <c r="K41" i="179"/>
  <c r="G41" i="179"/>
  <c r="J41" i="179" s="1"/>
  <c r="K39" i="179"/>
  <c r="G39" i="179"/>
  <c r="J39" i="179" s="1"/>
  <c r="C376" i="84"/>
  <c r="K73" i="179"/>
  <c r="G73" i="179"/>
  <c r="J73" i="179" s="1"/>
  <c r="K74" i="179"/>
  <c r="G74" i="179"/>
  <c r="J74" i="179" s="1"/>
  <c r="K75" i="179"/>
  <c r="G75" i="179"/>
  <c r="J75" i="179" s="1"/>
  <c r="K72" i="179"/>
  <c r="G72" i="179"/>
  <c r="J72" i="179" s="1"/>
  <c r="K71" i="179"/>
  <c r="G71" i="179"/>
  <c r="J71" i="179" s="1"/>
  <c r="K70" i="179"/>
  <c r="G70" i="179"/>
  <c r="J70" i="179" s="1"/>
  <c r="K69" i="179"/>
  <c r="G69" i="179"/>
  <c r="J69" i="179" s="1"/>
  <c r="D68" i="179"/>
  <c r="G68" i="179" s="1"/>
  <c r="J68" i="179" s="1"/>
  <c r="D66" i="179"/>
  <c r="G66" i="179" s="1"/>
  <c r="J66" i="179" s="1"/>
  <c r="D64" i="179"/>
  <c r="G64" i="179" s="1"/>
  <c r="J64" i="179" s="1"/>
  <c r="K67" i="179"/>
  <c r="G67" i="179"/>
  <c r="J67" i="179" s="1"/>
  <c r="K66" i="179"/>
  <c r="K65" i="179"/>
  <c r="G65" i="179"/>
  <c r="J65" i="179" s="1"/>
  <c r="K64" i="179"/>
  <c r="K63" i="179"/>
  <c r="G63" i="179"/>
  <c r="J63" i="179" s="1"/>
  <c r="K62" i="179"/>
  <c r="G62" i="179"/>
  <c r="J62" i="179" s="1"/>
  <c r="K61" i="179"/>
  <c r="G61" i="179"/>
  <c r="J61" i="179" s="1"/>
  <c r="K60" i="179"/>
  <c r="G60" i="179"/>
  <c r="J60" i="179" s="1"/>
  <c r="K76" i="179"/>
  <c r="K68" i="179"/>
  <c r="K59" i="179"/>
  <c r="G59" i="179"/>
  <c r="J59" i="179" s="1"/>
  <c r="K58" i="179"/>
  <c r="G58" i="179"/>
  <c r="J58" i="179" s="1"/>
  <c r="K57" i="179"/>
  <c r="G57" i="179"/>
  <c r="J57" i="179" s="1"/>
  <c r="K56" i="179"/>
  <c r="G56" i="179"/>
  <c r="J56" i="179" s="1"/>
  <c r="G37" i="179"/>
  <c r="J37" i="179" s="1"/>
  <c r="G36" i="179"/>
  <c r="J36" i="179" s="1"/>
  <c r="G35" i="179"/>
  <c r="J35" i="179" s="1"/>
  <c r="G34" i="179"/>
  <c r="J34" i="179" s="1"/>
  <c r="G33" i="179"/>
  <c r="J33" i="179" s="1"/>
  <c r="G32" i="179"/>
  <c r="J32" i="179" s="1"/>
  <c r="K37" i="179"/>
  <c r="K36" i="179"/>
  <c r="K35" i="179"/>
  <c r="K34" i="179"/>
  <c r="K33" i="179"/>
  <c r="K32" i="179"/>
  <c r="G30" i="179"/>
  <c r="J30" i="179" s="1"/>
  <c r="G29" i="179"/>
  <c r="J29" i="179" s="1"/>
  <c r="K29" i="179"/>
  <c r="G28" i="179"/>
  <c r="J28" i="179" s="1"/>
  <c r="G27" i="179"/>
  <c r="J27" i="179" s="1"/>
  <c r="G25" i="179"/>
  <c r="J25" i="179" s="1"/>
  <c r="G26" i="179"/>
  <c r="J26" i="179" s="1"/>
  <c r="K26" i="179"/>
  <c r="G23" i="179"/>
  <c r="J23" i="179" s="1"/>
  <c r="K30" i="179"/>
  <c r="K28" i="179"/>
  <c r="K27" i="179"/>
  <c r="K25" i="179"/>
  <c r="K24" i="179"/>
  <c r="G24" i="179"/>
  <c r="J24" i="179" s="1"/>
  <c r="K23" i="179"/>
  <c r="G21" i="179"/>
  <c r="J21" i="179" s="1"/>
  <c r="G20" i="179"/>
  <c r="J20" i="179" s="1"/>
  <c r="G19" i="179"/>
  <c r="J19" i="179" s="1"/>
  <c r="G18" i="179"/>
  <c r="J18" i="179" s="1"/>
  <c r="G16" i="179"/>
  <c r="J16" i="179" s="1"/>
  <c r="G17" i="179"/>
  <c r="J17" i="179" s="1"/>
  <c r="K21" i="179"/>
  <c r="K20" i="179"/>
  <c r="K19" i="179"/>
  <c r="K18" i="179"/>
  <c r="K17" i="179"/>
  <c r="K16" i="179"/>
  <c r="G14" i="179"/>
  <c r="J14" i="179" s="1"/>
  <c r="G12" i="179"/>
  <c r="J12" i="179" s="1"/>
  <c r="K14" i="179"/>
  <c r="K13" i="179"/>
  <c r="G13" i="179"/>
  <c r="J13" i="179" s="1"/>
  <c r="K12" i="179"/>
  <c r="N33" i="181"/>
  <c r="G33" i="181"/>
  <c r="J33" i="181" s="1"/>
  <c r="N32" i="181"/>
  <c r="K32" i="181"/>
  <c r="K33" i="181" s="1"/>
  <c r="G32" i="181"/>
  <c r="J32" i="181" s="1"/>
  <c r="N31" i="181"/>
  <c r="I31" i="181"/>
  <c r="H31" i="181"/>
  <c r="D31" i="181"/>
  <c r="G31" i="181" s="1"/>
  <c r="N30" i="181"/>
  <c r="K30" i="181"/>
  <c r="G30" i="181"/>
  <c r="J30" i="181" s="1"/>
  <c r="K25" i="181"/>
  <c r="N25" i="181"/>
  <c r="G25" i="181"/>
  <c r="J25" i="181" s="1"/>
  <c r="N28" i="181"/>
  <c r="G28" i="181"/>
  <c r="J28" i="181" s="1"/>
  <c r="N27" i="181"/>
  <c r="K27" i="181"/>
  <c r="K28" i="181" s="1"/>
  <c r="G27" i="181"/>
  <c r="J27" i="181" s="1"/>
  <c r="N26" i="181"/>
  <c r="I26" i="181"/>
  <c r="H26" i="181"/>
  <c r="D26" i="181"/>
  <c r="G26" i="181" s="1"/>
  <c r="N24" i="181"/>
  <c r="K24" i="181"/>
  <c r="G24" i="181"/>
  <c r="J24" i="181" s="1"/>
  <c r="N22" i="181"/>
  <c r="G22" i="181"/>
  <c r="J22" i="181" s="1"/>
  <c r="N21" i="181"/>
  <c r="K21" i="181"/>
  <c r="K22" i="181" s="1"/>
  <c r="G21" i="181"/>
  <c r="J21" i="181" s="1"/>
  <c r="N20" i="181"/>
  <c r="I20" i="181"/>
  <c r="H20" i="181"/>
  <c r="D20" i="181"/>
  <c r="G20" i="181" s="1"/>
  <c r="N19" i="181"/>
  <c r="K19" i="181"/>
  <c r="G19" i="181"/>
  <c r="J19" i="181" s="1"/>
  <c r="K16" i="181"/>
  <c r="K17" i="181" s="1"/>
  <c r="N17" i="181"/>
  <c r="G17" i="181"/>
  <c r="J17" i="181" s="1"/>
  <c r="N16" i="181"/>
  <c r="G16" i="181"/>
  <c r="J16" i="181" s="1"/>
  <c r="N15" i="181"/>
  <c r="I15" i="181"/>
  <c r="H15" i="181"/>
  <c r="D15" i="181"/>
  <c r="G15" i="181" s="1"/>
  <c r="N14" i="181"/>
  <c r="K14" i="181"/>
  <c r="G14" i="181"/>
  <c r="J14" i="181" s="1"/>
  <c r="K11" i="181"/>
  <c r="I10" i="181"/>
  <c r="D10" i="181"/>
  <c r="K9" i="181"/>
  <c r="N98" i="180"/>
  <c r="K98" i="180"/>
  <c r="I98" i="180"/>
  <c r="G98" i="180"/>
  <c r="N97" i="180"/>
  <c r="K97" i="180"/>
  <c r="I97" i="180"/>
  <c r="N96" i="180"/>
  <c r="K96" i="180"/>
  <c r="I96" i="180"/>
  <c r="G96" i="180"/>
  <c r="N95" i="180"/>
  <c r="G95" i="180"/>
  <c r="J95" i="180" s="1"/>
  <c r="M95" i="180" s="1"/>
  <c r="N94" i="180"/>
  <c r="G94" i="180"/>
  <c r="J94" i="180" s="1"/>
  <c r="M94" i="180" s="1"/>
  <c r="N93" i="180"/>
  <c r="G93" i="180"/>
  <c r="J93" i="180" s="1"/>
  <c r="M93" i="180" s="1"/>
  <c r="N91" i="180"/>
  <c r="K91" i="180"/>
  <c r="I91" i="180"/>
  <c r="G91" i="180"/>
  <c r="N90" i="180"/>
  <c r="K90" i="180"/>
  <c r="I90" i="180"/>
  <c r="G90" i="180"/>
  <c r="N89" i="180"/>
  <c r="K89" i="180"/>
  <c r="I89" i="180"/>
  <c r="G89" i="180"/>
  <c r="N88" i="180"/>
  <c r="G88" i="180"/>
  <c r="J88" i="180" s="1"/>
  <c r="M88" i="180" s="1"/>
  <c r="N87" i="180"/>
  <c r="G87" i="180"/>
  <c r="J87" i="180" s="1"/>
  <c r="M87" i="180" s="1"/>
  <c r="N86" i="180"/>
  <c r="G86" i="180"/>
  <c r="J86" i="180" s="1"/>
  <c r="M86" i="180" s="1"/>
  <c r="N84" i="180"/>
  <c r="K84" i="180"/>
  <c r="I84" i="180"/>
  <c r="G84" i="180"/>
  <c r="N83" i="180"/>
  <c r="K83" i="180"/>
  <c r="I83" i="180"/>
  <c r="G83" i="180"/>
  <c r="N82" i="180"/>
  <c r="K82" i="180"/>
  <c r="I82" i="180"/>
  <c r="G82" i="180"/>
  <c r="N81" i="180"/>
  <c r="G81" i="180"/>
  <c r="J81" i="180" s="1"/>
  <c r="M81" i="180" s="1"/>
  <c r="N80" i="180"/>
  <c r="G80" i="180"/>
  <c r="J80" i="180" s="1"/>
  <c r="M80" i="180" s="1"/>
  <c r="N79" i="180"/>
  <c r="G79" i="180"/>
  <c r="J79" i="180" s="1"/>
  <c r="M79" i="180" s="1"/>
  <c r="N77" i="180"/>
  <c r="K77" i="180"/>
  <c r="I77" i="180"/>
  <c r="G77" i="180"/>
  <c r="N76" i="180"/>
  <c r="K76" i="180"/>
  <c r="I76" i="180"/>
  <c r="G76" i="180"/>
  <c r="N75" i="180"/>
  <c r="K75" i="180"/>
  <c r="I75" i="180"/>
  <c r="G75" i="180"/>
  <c r="N74" i="180"/>
  <c r="G74" i="180"/>
  <c r="J74" i="180" s="1"/>
  <c r="M74" i="180" s="1"/>
  <c r="N73" i="180"/>
  <c r="G73" i="180"/>
  <c r="J73" i="180" s="1"/>
  <c r="M73" i="180" s="1"/>
  <c r="N72" i="180"/>
  <c r="G72" i="180"/>
  <c r="J72" i="180" s="1"/>
  <c r="M72" i="180" s="1"/>
  <c r="N70" i="180"/>
  <c r="K70" i="180"/>
  <c r="I70" i="180"/>
  <c r="G70" i="180"/>
  <c r="N69" i="180"/>
  <c r="K69" i="180"/>
  <c r="I69" i="180"/>
  <c r="G69" i="180"/>
  <c r="N68" i="180"/>
  <c r="K68" i="180"/>
  <c r="I68" i="180"/>
  <c r="G68" i="180"/>
  <c r="N67" i="180"/>
  <c r="G67" i="180"/>
  <c r="J67" i="180" s="1"/>
  <c r="M67" i="180" s="1"/>
  <c r="N66" i="180"/>
  <c r="G66" i="180"/>
  <c r="J66" i="180" s="1"/>
  <c r="M66" i="180" s="1"/>
  <c r="N65" i="180"/>
  <c r="G65" i="180"/>
  <c r="J65" i="180" s="1"/>
  <c r="M65" i="180" s="1"/>
  <c r="K61" i="180"/>
  <c r="N61" i="180"/>
  <c r="I61" i="180"/>
  <c r="G61" i="180"/>
  <c r="N60" i="180"/>
  <c r="G60" i="180"/>
  <c r="J60" i="180" s="1"/>
  <c r="M60" i="180" s="1"/>
  <c r="N63" i="180"/>
  <c r="K63" i="180"/>
  <c r="I63" i="180"/>
  <c r="G63" i="180"/>
  <c r="N62" i="180"/>
  <c r="K62" i="180"/>
  <c r="I62" i="180"/>
  <c r="G62" i="180"/>
  <c r="N59" i="180"/>
  <c r="G59" i="180"/>
  <c r="J59" i="180" s="1"/>
  <c r="M59" i="180" s="1"/>
  <c r="N58" i="180"/>
  <c r="G58" i="180"/>
  <c r="J58" i="180" s="1"/>
  <c r="M58" i="180" s="1"/>
  <c r="N56" i="180"/>
  <c r="K56" i="180"/>
  <c r="I56" i="180"/>
  <c r="G56" i="180"/>
  <c r="N55" i="180"/>
  <c r="K55" i="180"/>
  <c r="I55" i="180"/>
  <c r="G55" i="180"/>
  <c r="N54" i="180"/>
  <c r="G54" i="180"/>
  <c r="J54" i="180" s="1"/>
  <c r="M54" i="180" s="1"/>
  <c r="N53" i="180"/>
  <c r="G53" i="180"/>
  <c r="J53" i="180" s="1"/>
  <c r="M53" i="180" s="1"/>
  <c r="N51" i="180"/>
  <c r="K51" i="180"/>
  <c r="I51" i="180"/>
  <c r="G51" i="180"/>
  <c r="N50" i="180"/>
  <c r="K50" i="180"/>
  <c r="I50" i="180"/>
  <c r="G50" i="180"/>
  <c r="N49" i="180"/>
  <c r="G49" i="180"/>
  <c r="J49" i="180" s="1"/>
  <c r="M49" i="180" s="1"/>
  <c r="N48" i="180"/>
  <c r="E48" i="180"/>
  <c r="G48" i="180" s="1"/>
  <c r="J48" i="180" s="1"/>
  <c r="M48" i="180" s="1"/>
  <c r="N46" i="180"/>
  <c r="K46" i="180"/>
  <c r="I46" i="180"/>
  <c r="G46" i="180"/>
  <c r="N45" i="180"/>
  <c r="K45" i="180"/>
  <c r="I45" i="180"/>
  <c r="G45" i="180"/>
  <c r="N44" i="180"/>
  <c r="G44" i="180"/>
  <c r="J44" i="180" s="1"/>
  <c r="M44" i="180" s="1"/>
  <c r="N43" i="180"/>
  <c r="E43" i="180"/>
  <c r="G43" i="180" s="1"/>
  <c r="J43" i="180" s="1"/>
  <c r="M43" i="180" s="1"/>
  <c r="N41" i="180"/>
  <c r="K41" i="180"/>
  <c r="I41" i="180"/>
  <c r="G41" i="180"/>
  <c r="N40" i="180"/>
  <c r="K40" i="180"/>
  <c r="I40" i="180"/>
  <c r="G40" i="180"/>
  <c r="N39" i="180"/>
  <c r="G39" i="180"/>
  <c r="J39" i="180" s="1"/>
  <c r="M39" i="180" s="1"/>
  <c r="N38" i="180"/>
  <c r="E38" i="180"/>
  <c r="G38" i="180" s="1"/>
  <c r="J38" i="180" s="1"/>
  <c r="M38" i="180" s="1"/>
  <c r="N36" i="180"/>
  <c r="K36" i="180"/>
  <c r="I36" i="180"/>
  <c r="G36" i="180"/>
  <c r="N35" i="180"/>
  <c r="K35" i="180"/>
  <c r="I35" i="180"/>
  <c r="G35" i="180"/>
  <c r="N34" i="180"/>
  <c r="I34" i="180"/>
  <c r="D34" i="180"/>
  <c r="G34" i="180" s="1"/>
  <c r="N33" i="180"/>
  <c r="I33" i="180"/>
  <c r="G33" i="180"/>
  <c r="N32" i="180"/>
  <c r="I32" i="180"/>
  <c r="D32" i="180"/>
  <c r="N31" i="180"/>
  <c r="I31" i="180"/>
  <c r="G31" i="180"/>
  <c r="K29" i="180"/>
  <c r="K28" i="180"/>
  <c r="K22" i="180"/>
  <c r="K21" i="180"/>
  <c r="K15" i="180"/>
  <c r="K14" i="180"/>
  <c r="O111" i="180" l="1"/>
  <c r="I377" i="84" s="1"/>
  <c r="K377" i="84" s="1"/>
  <c r="M27" i="181"/>
  <c r="J97" i="180"/>
  <c r="M97" i="180" s="1"/>
  <c r="O97" i="180" s="1"/>
  <c r="L42" i="179"/>
  <c r="L75" i="179"/>
  <c r="L44" i="179"/>
  <c r="L29" i="179"/>
  <c r="L39" i="179"/>
  <c r="L41" i="179"/>
  <c r="L73" i="179"/>
  <c r="L63" i="179"/>
  <c r="L74" i="179"/>
  <c r="L69" i="179"/>
  <c r="L72" i="179"/>
  <c r="L67" i="179"/>
  <c r="L70" i="179"/>
  <c r="L71" i="179"/>
  <c r="L56" i="179"/>
  <c r="L68" i="179"/>
  <c r="L58" i="179"/>
  <c r="L60" i="179"/>
  <c r="L65" i="179"/>
  <c r="L66" i="179"/>
  <c r="L64" i="179"/>
  <c r="L36" i="179"/>
  <c r="L62" i="179"/>
  <c r="L61" i="179"/>
  <c r="L57" i="179"/>
  <c r="L76" i="179"/>
  <c r="L59" i="179"/>
  <c r="L26" i="179"/>
  <c r="L34" i="179"/>
  <c r="L35" i="179"/>
  <c r="L32" i="179"/>
  <c r="L33" i="179"/>
  <c r="L37" i="179"/>
  <c r="L25" i="179"/>
  <c r="L28" i="179"/>
  <c r="L23" i="179"/>
  <c r="L27" i="179"/>
  <c r="L13" i="179"/>
  <c r="L24" i="179"/>
  <c r="L30" i="179"/>
  <c r="L19" i="179"/>
  <c r="L18" i="179"/>
  <c r="L17" i="179"/>
  <c r="L21" i="179"/>
  <c r="L16" i="179"/>
  <c r="L20" i="179"/>
  <c r="L12" i="179"/>
  <c r="L14" i="179"/>
  <c r="M33" i="181"/>
  <c r="O33" i="181" s="1"/>
  <c r="J31" i="181"/>
  <c r="M31" i="181" s="1"/>
  <c r="O31" i="181" s="1"/>
  <c r="M32" i="181"/>
  <c r="O32" i="181" s="1"/>
  <c r="M30" i="181"/>
  <c r="O30" i="181" s="1"/>
  <c r="M25" i="181"/>
  <c r="O25" i="181" s="1"/>
  <c r="O27" i="181"/>
  <c r="M19" i="181"/>
  <c r="O19" i="181" s="1"/>
  <c r="M28" i="181"/>
  <c r="O28" i="181" s="1"/>
  <c r="J26" i="181"/>
  <c r="M26" i="181" s="1"/>
  <c r="O26" i="181" s="1"/>
  <c r="M24" i="181"/>
  <c r="O24" i="181" s="1"/>
  <c r="M14" i="181"/>
  <c r="O14" i="181" s="1"/>
  <c r="J20" i="181"/>
  <c r="M20" i="181" s="1"/>
  <c r="O20" i="181" s="1"/>
  <c r="M21" i="181"/>
  <c r="O21" i="181" s="1"/>
  <c r="M22" i="181"/>
  <c r="O22" i="181" s="1"/>
  <c r="M17" i="181"/>
  <c r="O17" i="181" s="1"/>
  <c r="J15" i="181"/>
  <c r="M15" i="181" s="1"/>
  <c r="O15" i="181" s="1"/>
  <c r="M16" i="181"/>
  <c r="O16" i="181" s="1"/>
  <c r="O94" i="180"/>
  <c r="J96" i="180"/>
  <c r="M96" i="180" s="1"/>
  <c r="O96" i="180" s="1"/>
  <c r="J98" i="180"/>
  <c r="M98" i="180" s="1"/>
  <c r="O98" i="180" s="1"/>
  <c r="J76" i="180"/>
  <c r="M76" i="180" s="1"/>
  <c r="O76" i="180" s="1"/>
  <c r="J77" i="180"/>
  <c r="M77" i="180" s="1"/>
  <c r="O77" i="180" s="1"/>
  <c r="O79" i="180"/>
  <c r="O87" i="180"/>
  <c r="J89" i="180"/>
  <c r="M89" i="180" s="1"/>
  <c r="O89" i="180" s="1"/>
  <c r="J90" i="180"/>
  <c r="M90" i="180" s="1"/>
  <c r="O90" i="180" s="1"/>
  <c r="J91" i="180"/>
  <c r="M91" i="180" s="1"/>
  <c r="O91" i="180" s="1"/>
  <c r="O93" i="180"/>
  <c r="O95" i="180"/>
  <c r="O80" i="180"/>
  <c r="J83" i="180"/>
  <c r="M83" i="180" s="1"/>
  <c r="O83" i="180" s="1"/>
  <c r="J84" i="180"/>
  <c r="M84" i="180" s="1"/>
  <c r="O84" i="180" s="1"/>
  <c r="O86" i="180"/>
  <c r="O88" i="180"/>
  <c r="J75" i="180"/>
  <c r="M75" i="180" s="1"/>
  <c r="O75" i="180" s="1"/>
  <c r="O81" i="180"/>
  <c r="J69" i="180"/>
  <c r="M69" i="180" s="1"/>
  <c r="O69" i="180" s="1"/>
  <c r="J82" i="180"/>
  <c r="M82" i="180" s="1"/>
  <c r="O82" i="180" s="1"/>
  <c r="J70" i="180"/>
  <c r="M70" i="180" s="1"/>
  <c r="O70" i="180" s="1"/>
  <c r="O72" i="180"/>
  <c r="O74" i="180"/>
  <c r="J61" i="180"/>
  <c r="M61" i="180" s="1"/>
  <c r="O61" i="180" s="1"/>
  <c r="O65" i="180"/>
  <c r="O67" i="180"/>
  <c r="O73" i="180"/>
  <c r="O66" i="180"/>
  <c r="J68" i="180"/>
  <c r="M68" i="180" s="1"/>
  <c r="O68" i="180" s="1"/>
  <c r="O60" i="180"/>
  <c r="O49" i="180"/>
  <c r="O54" i="180"/>
  <c r="O59" i="180"/>
  <c r="O53" i="180"/>
  <c r="J55" i="180"/>
  <c r="M55" i="180" s="1"/>
  <c r="O55" i="180" s="1"/>
  <c r="J56" i="180"/>
  <c r="M56" i="180" s="1"/>
  <c r="O56" i="180" s="1"/>
  <c r="O58" i="180"/>
  <c r="J62" i="180"/>
  <c r="M62" i="180" s="1"/>
  <c r="O62" i="180" s="1"/>
  <c r="J63" i="180"/>
  <c r="M63" i="180" s="1"/>
  <c r="O63" i="180" s="1"/>
  <c r="O43" i="180"/>
  <c r="O48" i="180"/>
  <c r="J50" i="180"/>
  <c r="M50" i="180" s="1"/>
  <c r="O50" i="180" s="1"/>
  <c r="J51" i="180"/>
  <c r="M51" i="180" s="1"/>
  <c r="O51" i="180" s="1"/>
  <c r="O44" i="180"/>
  <c r="J45" i="180"/>
  <c r="M45" i="180" s="1"/>
  <c r="O45" i="180" s="1"/>
  <c r="J46" i="180"/>
  <c r="M46" i="180" s="1"/>
  <c r="O46" i="180" s="1"/>
  <c r="J40" i="180"/>
  <c r="M40" i="180" s="1"/>
  <c r="O40" i="180" s="1"/>
  <c r="J31" i="180"/>
  <c r="M31" i="180" s="1"/>
  <c r="O31" i="180" s="1"/>
  <c r="J35" i="180"/>
  <c r="M35" i="180" s="1"/>
  <c r="O35" i="180" s="1"/>
  <c r="J36" i="180"/>
  <c r="M36" i="180" s="1"/>
  <c r="O36" i="180" s="1"/>
  <c r="O38" i="180"/>
  <c r="J41" i="180"/>
  <c r="O39" i="180"/>
  <c r="J33" i="180"/>
  <c r="M33" i="180" s="1"/>
  <c r="O33" i="180" s="1"/>
  <c r="M41" i="180"/>
  <c r="O41" i="180" s="1"/>
  <c r="G32" i="180"/>
  <c r="J32" i="180" s="1"/>
  <c r="M32" i="180" s="1"/>
  <c r="O32" i="180" s="1"/>
  <c r="J34" i="180"/>
  <c r="M34" i="180" s="1"/>
  <c r="O34" i="180" s="1"/>
  <c r="I27" i="180"/>
  <c r="I26" i="180"/>
  <c r="I25" i="180"/>
  <c r="I24" i="180"/>
  <c r="D27" i="180"/>
  <c r="G27" i="180" s="1"/>
  <c r="D25" i="180"/>
  <c r="N29" i="180"/>
  <c r="I29" i="180"/>
  <c r="G29" i="180"/>
  <c r="N28" i="180"/>
  <c r="I28" i="180"/>
  <c r="G28" i="180"/>
  <c r="N27" i="180"/>
  <c r="N26" i="180"/>
  <c r="G26" i="180"/>
  <c r="N25" i="180"/>
  <c r="N24" i="180"/>
  <c r="G24" i="180"/>
  <c r="N20" i="180"/>
  <c r="G20" i="180"/>
  <c r="J20" i="180" s="1"/>
  <c r="M20" i="180" s="1"/>
  <c r="N18" i="180"/>
  <c r="G18" i="180"/>
  <c r="J18" i="180" s="1"/>
  <c r="M18" i="180" s="1"/>
  <c r="N13" i="180"/>
  <c r="G13" i="180"/>
  <c r="J13" i="180" s="1"/>
  <c r="M13" i="180" s="1"/>
  <c r="N11" i="180"/>
  <c r="E11" i="180"/>
  <c r="G11" i="180" s="1"/>
  <c r="J11" i="180" s="1"/>
  <c r="M11" i="180" s="1"/>
  <c r="N12" i="181"/>
  <c r="K12" i="181"/>
  <c r="G12" i="181"/>
  <c r="J12" i="181" s="1"/>
  <c r="N11" i="181"/>
  <c r="G11" i="181"/>
  <c r="J11" i="181" s="1"/>
  <c r="M11" i="181" s="1"/>
  <c r="N10" i="181"/>
  <c r="H10" i="181"/>
  <c r="G10" i="181"/>
  <c r="N9" i="181"/>
  <c r="G9" i="181"/>
  <c r="J9" i="181" s="1"/>
  <c r="M9" i="181" s="1"/>
  <c r="N22" i="180"/>
  <c r="I22" i="180"/>
  <c r="G22" i="180"/>
  <c r="N21" i="180"/>
  <c r="I21" i="180"/>
  <c r="G21" i="180"/>
  <c r="N19" i="180"/>
  <c r="G19" i="180"/>
  <c r="N17" i="180"/>
  <c r="N15" i="180"/>
  <c r="I15" i="180"/>
  <c r="G15" i="180"/>
  <c r="N14" i="180"/>
  <c r="I14" i="180"/>
  <c r="G14" i="180"/>
  <c r="N12" i="180"/>
  <c r="G12" i="180"/>
  <c r="J12" i="180" s="1"/>
  <c r="M12" i="180" s="1"/>
  <c r="N10" i="180"/>
  <c r="E10" i="180"/>
  <c r="G10" i="180" s="1"/>
  <c r="J10" i="180" s="1"/>
  <c r="M10" i="180" s="1"/>
  <c r="K11" i="179"/>
  <c r="G11" i="179"/>
  <c r="J11" i="179" s="1"/>
  <c r="K10" i="179"/>
  <c r="G10" i="179"/>
  <c r="J10" i="179" s="1"/>
  <c r="K9" i="179"/>
  <c r="J27" i="180" l="1"/>
  <c r="M27" i="180" s="1"/>
  <c r="O40" i="181"/>
  <c r="I378" i="84" s="1"/>
  <c r="K378" i="84" s="1"/>
  <c r="K376" i="84" s="1"/>
  <c r="I118" i="180"/>
  <c r="L9" i="179"/>
  <c r="L10" i="179"/>
  <c r="L11" i="179"/>
  <c r="O9" i="181"/>
  <c r="M12" i="181"/>
  <c r="O12" i="181" s="1"/>
  <c r="O11" i="181"/>
  <c r="H46" i="181" s="1"/>
  <c r="J10" i="181"/>
  <c r="M10" i="181" s="1"/>
  <c r="O10" i="181" s="1"/>
  <c r="J29" i="180"/>
  <c r="M29" i="180" s="1"/>
  <c r="O29" i="180" s="1"/>
  <c r="O18" i="180"/>
  <c r="O27" i="180"/>
  <c r="J26" i="180"/>
  <c r="M26" i="180" s="1"/>
  <c r="O26" i="180" s="1"/>
  <c r="J28" i="180"/>
  <c r="M28" i="180" s="1"/>
  <c r="O28" i="180" s="1"/>
  <c r="J24" i="180"/>
  <c r="M24" i="180" s="1"/>
  <c r="O24" i="180" s="1"/>
  <c r="G25" i="180"/>
  <c r="J25" i="180" s="1"/>
  <c r="M25" i="180" s="1"/>
  <c r="O25" i="180" s="1"/>
  <c r="J22" i="180"/>
  <c r="M22" i="180" s="1"/>
  <c r="O22" i="180" s="1"/>
  <c r="O20" i="180"/>
  <c r="J15" i="180"/>
  <c r="M15" i="180" s="1"/>
  <c r="O15" i="180" s="1"/>
  <c r="O13" i="180"/>
  <c r="O12" i="180"/>
  <c r="G17" i="180"/>
  <c r="J17" i="180" s="1"/>
  <c r="M17" i="180" s="1"/>
  <c r="O17" i="180" s="1"/>
  <c r="J19" i="180"/>
  <c r="M19" i="180" s="1"/>
  <c r="O19" i="180" s="1"/>
  <c r="J14" i="180"/>
  <c r="M14" i="180" s="1"/>
  <c r="O14" i="180" s="1"/>
  <c r="O11" i="180"/>
  <c r="J21" i="180"/>
  <c r="M21" i="180" s="1"/>
  <c r="O21" i="180" s="1"/>
  <c r="O10" i="180"/>
  <c r="L77" i="179" l="1"/>
  <c r="I374" i="84" s="1"/>
  <c r="O110" i="180"/>
  <c r="O112" i="180" s="1"/>
  <c r="I119" i="180"/>
  <c r="I122" i="180"/>
  <c r="I120" i="180"/>
  <c r="H49" i="181"/>
  <c r="O39" i="181"/>
  <c r="O41" i="181" s="1"/>
  <c r="I371" i="84" s="1"/>
  <c r="K371" i="84" s="1"/>
  <c r="N25" i="178"/>
  <c r="G25" i="178"/>
  <c r="J25" i="178" s="1"/>
  <c r="N24" i="178"/>
  <c r="G24" i="178"/>
  <c r="J24" i="178" s="1"/>
  <c r="N23" i="178"/>
  <c r="G23" i="178"/>
  <c r="J23" i="178" s="1"/>
  <c r="M23" i="178" s="1"/>
  <c r="N22" i="178"/>
  <c r="G22" i="178"/>
  <c r="J22" i="178" s="1"/>
  <c r="M22" i="178" s="1"/>
  <c r="N21" i="178"/>
  <c r="G21" i="178"/>
  <c r="J21" i="178" s="1"/>
  <c r="K25" i="178"/>
  <c r="K13" i="178"/>
  <c r="K15" i="178"/>
  <c r="Q13" i="178"/>
  <c r="N19" i="178"/>
  <c r="G19" i="178"/>
  <c r="J19" i="178" s="1"/>
  <c r="N18" i="178"/>
  <c r="G18" i="178"/>
  <c r="J18" i="178" s="1"/>
  <c r="N17" i="178"/>
  <c r="G17" i="178"/>
  <c r="J17" i="178" s="1"/>
  <c r="M17" i="178" s="1"/>
  <c r="N16" i="178"/>
  <c r="G16" i="178"/>
  <c r="J16" i="178" s="1"/>
  <c r="M16" i="178" s="1"/>
  <c r="N15" i="178"/>
  <c r="G15" i="178"/>
  <c r="J15" i="178" s="1"/>
  <c r="N11" i="178"/>
  <c r="G11" i="178"/>
  <c r="J11" i="178" s="1"/>
  <c r="M11" i="178" s="1"/>
  <c r="N13" i="178"/>
  <c r="G13" i="178"/>
  <c r="J13" i="178" s="1"/>
  <c r="N12" i="178"/>
  <c r="G12" i="178"/>
  <c r="J12" i="178" s="1"/>
  <c r="N10" i="178"/>
  <c r="G10" i="178"/>
  <c r="N9" i="178"/>
  <c r="G9" i="178"/>
  <c r="J9" i="178" s="1"/>
  <c r="D242" i="175"/>
  <c r="G242" i="175" s="1"/>
  <c r="H242" i="175" s="1"/>
  <c r="D241" i="175"/>
  <c r="G241" i="175" s="1"/>
  <c r="H241" i="175" s="1"/>
  <c r="N242" i="175"/>
  <c r="I242" i="175"/>
  <c r="N241" i="175"/>
  <c r="I241" i="175"/>
  <c r="N240" i="175"/>
  <c r="I240" i="175"/>
  <c r="N239" i="175"/>
  <c r="I239" i="175"/>
  <c r="D237" i="175"/>
  <c r="G237" i="175" s="1"/>
  <c r="H237" i="175" s="1"/>
  <c r="D236" i="175"/>
  <c r="G236" i="175" s="1"/>
  <c r="H236" i="175" s="1"/>
  <c r="D235" i="175"/>
  <c r="G235" i="175" s="1"/>
  <c r="H235" i="175" s="1"/>
  <c r="D234" i="175"/>
  <c r="G234" i="175" s="1"/>
  <c r="H234" i="175" s="1"/>
  <c r="N237" i="175"/>
  <c r="I237" i="175"/>
  <c r="N236" i="175"/>
  <c r="I236" i="175"/>
  <c r="N235" i="175"/>
  <c r="I235" i="175"/>
  <c r="N234" i="175"/>
  <c r="I234" i="175"/>
  <c r="N233" i="175"/>
  <c r="I233" i="175"/>
  <c r="G233" i="175"/>
  <c r="H233" i="175" s="1"/>
  <c r="N232" i="175"/>
  <c r="I232" i="175"/>
  <c r="G232" i="175"/>
  <c r="H232" i="175" s="1"/>
  <c r="N231" i="175"/>
  <c r="I231" i="175"/>
  <c r="G231" i="175"/>
  <c r="H231" i="175" s="1"/>
  <c r="N230" i="175"/>
  <c r="I230" i="175"/>
  <c r="G230" i="175"/>
  <c r="H230" i="175" s="1"/>
  <c r="N229" i="175"/>
  <c r="I229" i="175"/>
  <c r="G229" i="175"/>
  <c r="H229" i="175" s="1"/>
  <c r="N228" i="175"/>
  <c r="I228" i="175"/>
  <c r="G228" i="175"/>
  <c r="H228" i="175" s="1"/>
  <c r="N227" i="175"/>
  <c r="I227" i="175"/>
  <c r="G227" i="175"/>
  <c r="H227" i="175" s="1"/>
  <c r="N226" i="175"/>
  <c r="I226" i="175"/>
  <c r="G226" i="175"/>
  <c r="H226" i="175" s="1"/>
  <c r="N224" i="175"/>
  <c r="I224" i="175"/>
  <c r="G224" i="175"/>
  <c r="H224" i="175" s="1"/>
  <c r="N223" i="175"/>
  <c r="I223" i="175"/>
  <c r="G223" i="175"/>
  <c r="H223" i="175" s="1"/>
  <c r="N218" i="175"/>
  <c r="I218" i="175"/>
  <c r="G218" i="175"/>
  <c r="H218" i="175" s="1"/>
  <c r="N219" i="175"/>
  <c r="I219" i="175"/>
  <c r="G219" i="175"/>
  <c r="H219" i="175" s="1"/>
  <c r="N222" i="175"/>
  <c r="I222" i="175"/>
  <c r="G222" i="175"/>
  <c r="H222" i="175" s="1"/>
  <c r="N221" i="175"/>
  <c r="I221" i="175"/>
  <c r="G221" i="175"/>
  <c r="H221" i="175" s="1"/>
  <c r="G213" i="175"/>
  <c r="H213" i="175" s="1"/>
  <c r="N220" i="175"/>
  <c r="I220" i="175"/>
  <c r="G220" i="175"/>
  <c r="H220" i="175" s="1"/>
  <c r="N217" i="175"/>
  <c r="I217" i="175"/>
  <c r="G217" i="175"/>
  <c r="H217" i="175" s="1"/>
  <c r="N216" i="175"/>
  <c r="I216" i="175"/>
  <c r="G216" i="175"/>
  <c r="H216" i="175" s="1"/>
  <c r="N215" i="175"/>
  <c r="I215" i="175"/>
  <c r="G215" i="175"/>
  <c r="H215" i="175" s="1"/>
  <c r="N214" i="175"/>
  <c r="I214" i="175"/>
  <c r="G214" i="175"/>
  <c r="H214" i="175" s="1"/>
  <c r="N213" i="175"/>
  <c r="I213" i="175"/>
  <c r="N126" i="175"/>
  <c r="I126" i="175"/>
  <c r="G126" i="175"/>
  <c r="N125" i="175"/>
  <c r="I125" i="175"/>
  <c r="G125" i="175"/>
  <c r="N124" i="175"/>
  <c r="I124" i="175"/>
  <c r="G124" i="175"/>
  <c r="N123" i="175"/>
  <c r="I123" i="175"/>
  <c r="G123" i="175"/>
  <c r="N122" i="175"/>
  <c r="I122" i="175"/>
  <c r="G122" i="175"/>
  <c r="N121" i="175"/>
  <c r="I121" i="175"/>
  <c r="G121" i="175"/>
  <c r="N120" i="175"/>
  <c r="I120" i="175"/>
  <c r="G120" i="175"/>
  <c r="N119" i="175"/>
  <c r="I119" i="175"/>
  <c r="G119" i="175"/>
  <c r="N118" i="175"/>
  <c r="I118" i="175"/>
  <c r="G118" i="175"/>
  <c r="N117" i="175"/>
  <c r="I117" i="175"/>
  <c r="G117" i="175"/>
  <c r="N116" i="175"/>
  <c r="I116" i="175"/>
  <c r="G116" i="175"/>
  <c r="N115" i="175"/>
  <c r="I115" i="175"/>
  <c r="G115" i="175"/>
  <c r="N114" i="175"/>
  <c r="I114" i="175"/>
  <c r="G114" i="175"/>
  <c r="N113" i="175"/>
  <c r="I113" i="175"/>
  <c r="G113" i="175"/>
  <c r="N112" i="175"/>
  <c r="I112" i="175"/>
  <c r="G112" i="175"/>
  <c r="N111" i="175"/>
  <c r="I111" i="175"/>
  <c r="G111" i="175"/>
  <c r="N110" i="175"/>
  <c r="I110" i="175"/>
  <c r="G110" i="175"/>
  <c r="N109" i="175"/>
  <c r="I109" i="175"/>
  <c r="G109" i="175"/>
  <c r="N108" i="175"/>
  <c r="I108" i="175"/>
  <c r="G108" i="175"/>
  <c r="N107" i="175"/>
  <c r="I107" i="175"/>
  <c r="G107" i="175"/>
  <c r="N106" i="175"/>
  <c r="I106" i="175"/>
  <c r="G106" i="175"/>
  <c r="N105" i="175"/>
  <c r="I105" i="175"/>
  <c r="G105" i="175"/>
  <c r="N104" i="175"/>
  <c r="I104" i="175"/>
  <c r="G104" i="175"/>
  <c r="N103" i="175"/>
  <c r="I103" i="175"/>
  <c r="G103" i="175"/>
  <c r="N102" i="175"/>
  <c r="I102" i="175"/>
  <c r="G102" i="175"/>
  <c r="N101" i="175"/>
  <c r="I101" i="175"/>
  <c r="G101" i="175"/>
  <c r="N100" i="175"/>
  <c r="I100" i="175"/>
  <c r="G100" i="175"/>
  <c r="N99" i="175"/>
  <c r="I99" i="175"/>
  <c r="G99" i="175"/>
  <c r="N98" i="175"/>
  <c r="I98" i="175"/>
  <c r="G98" i="175"/>
  <c r="N97" i="175"/>
  <c r="I97" i="175"/>
  <c r="G97" i="175"/>
  <c r="N96" i="175"/>
  <c r="I96" i="175"/>
  <c r="G96" i="175"/>
  <c r="N95" i="175"/>
  <c r="I95" i="175"/>
  <c r="G95" i="175"/>
  <c r="N94" i="175"/>
  <c r="I94" i="175"/>
  <c r="G94" i="175"/>
  <c r="N93" i="175"/>
  <c r="I93" i="175"/>
  <c r="G93" i="175"/>
  <c r="N90" i="175"/>
  <c r="I90" i="175"/>
  <c r="G90" i="175"/>
  <c r="N89" i="175"/>
  <c r="I89" i="175"/>
  <c r="G89" i="175"/>
  <c r="N88" i="175"/>
  <c r="I88" i="175"/>
  <c r="G88" i="175"/>
  <c r="H88" i="175" s="1"/>
  <c r="N87" i="175"/>
  <c r="I87" i="175"/>
  <c r="G87" i="175"/>
  <c r="N86" i="175"/>
  <c r="I86" i="175"/>
  <c r="G86" i="175"/>
  <c r="N85" i="175"/>
  <c r="I85" i="175"/>
  <c r="G85" i="175"/>
  <c r="N84" i="175"/>
  <c r="I84" i="175"/>
  <c r="G84" i="175"/>
  <c r="N83" i="175"/>
  <c r="I83" i="175"/>
  <c r="G83" i="175"/>
  <c r="N82" i="175"/>
  <c r="I82" i="175"/>
  <c r="G82" i="175"/>
  <c r="N81" i="175"/>
  <c r="I81" i="175"/>
  <c r="G81" i="175"/>
  <c r="N80" i="175"/>
  <c r="I80" i="175"/>
  <c r="G80" i="175"/>
  <c r="N79" i="175"/>
  <c r="I79" i="175"/>
  <c r="G79" i="175"/>
  <c r="N78" i="175"/>
  <c r="I78" i="175"/>
  <c r="G78" i="175"/>
  <c r="N77" i="175"/>
  <c r="I77" i="175"/>
  <c r="G77" i="175"/>
  <c r="N76" i="175"/>
  <c r="I76" i="175"/>
  <c r="G76" i="175"/>
  <c r="N75" i="175"/>
  <c r="I75" i="175"/>
  <c r="G75" i="175"/>
  <c r="N74" i="175"/>
  <c r="I74" i="175"/>
  <c r="G74" i="175"/>
  <c r="N73" i="175"/>
  <c r="I73" i="175"/>
  <c r="G73" i="175"/>
  <c r="N72" i="175"/>
  <c r="I72" i="175"/>
  <c r="G72" i="175"/>
  <c r="N71" i="175"/>
  <c r="I71" i="175"/>
  <c r="G71" i="175"/>
  <c r="N70" i="175"/>
  <c r="I70" i="175"/>
  <c r="G70" i="175"/>
  <c r="N69" i="175"/>
  <c r="I69" i="175"/>
  <c r="G69" i="175"/>
  <c r="G50" i="175"/>
  <c r="S251" i="175"/>
  <c r="V251" i="175" s="1"/>
  <c r="X251" i="175" s="1"/>
  <c r="S250" i="175"/>
  <c r="V250" i="175" s="1"/>
  <c r="X250" i="175" s="1"/>
  <c r="R128" i="175"/>
  <c r="U128" i="175" s="1"/>
  <c r="R10" i="175"/>
  <c r="U10" i="175" s="1"/>
  <c r="I135" i="175"/>
  <c r="Y249" i="175"/>
  <c r="S249" i="175"/>
  <c r="V249" i="175" s="1"/>
  <c r="X249" i="175" s="1"/>
  <c r="Y248" i="175"/>
  <c r="S248" i="175"/>
  <c r="V248" i="175" s="1"/>
  <c r="X248" i="175" s="1"/>
  <c r="G152" i="175"/>
  <c r="G167" i="175"/>
  <c r="G189" i="175"/>
  <c r="G183" i="175"/>
  <c r="G203" i="175"/>
  <c r="G202" i="175"/>
  <c r="G201" i="175"/>
  <c r="G200" i="175"/>
  <c r="G199" i="175"/>
  <c r="G198" i="175"/>
  <c r="G197" i="175"/>
  <c r="N203" i="175"/>
  <c r="I203" i="175"/>
  <c r="N202" i="175"/>
  <c r="I202" i="175"/>
  <c r="N201" i="175"/>
  <c r="I201" i="175"/>
  <c r="N200" i="175"/>
  <c r="I200" i="175"/>
  <c r="N199" i="175"/>
  <c r="I199" i="175"/>
  <c r="N198" i="175"/>
  <c r="I198" i="175"/>
  <c r="N197" i="175"/>
  <c r="I197" i="175"/>
  <c r="G196" i="175"/>
  <c r="G195" i="175"/>
  <c r="G194" i="175"/>
  <c r="G193" i="175"/>
  <c r="G192" i="175"/>
  <c r="G191" i="175"/>
  <c r="G190" i="175"/>
  <c r="N196" i="175"/>
  <c r="I196" i="175"/>
  <c r="N195" i="175"/>
  <c r="I195" i="175"/>
  <c r="N194" i="175"/>
  <c r="I194" i="175"/>
  <c r="N193" i="175"/>
  <c r="I193" i="175"/>
  <c r="N192" i="175"/>
  <c r="I192" i="175"/>
  <c r="N191" i="175"/>
  <c r="I191" i="175"/>
  <c r="N190" i="175"/>
  <c r="I190" i="175"/>
  <c r="N189" i="175"/>
  <c r="I189" i="175"/>
  <c r="G160" i="175"/>
  <c r="G207" i="175"/>
  <c r="N208" i="175"/>
  <c r="I208" i="175"/>
  <c r="G208" i="175"/>
  <c r="N207" i="175"/>
  <c r="I207" i="175"/>
  <c r="G188" i="175"/>
  <c r="G187" i="175"/>
  <c r="N187" i="175"/>
  <c r="I187" i="175"/>
  <c r="G186" i="175"/>
  <c r="G185" i="175"/>
  <c r="G184" i="175"/>
  <c r="G182" i="175"/>
  <c r="G153" i="175"/>
  <c r="N159" i="175"/>
  <c r="I159" i="175"/>
  <c r="G159" i="175"/>
  <c r="N158" i="175"/>
  <c r="I158" i="175"/>
  <c r="G158" i="175"/>
  <c r="N157" i="175"/>
  <c r="I157" i="175"/>
  <c r="G157" i="175"/>
  <c r="N156" i="175"/>
  <c r="I156" i="175"/>
  <c r="G156" i="175"/>
  <c r="N155" i="175"/>
  <c r="I155" i="175"/>
  <c r="G155" i="175"/>
  <c r="N154" i="175"/>
  <c r="I154" i="175"/>
  <c r="G154" i="175"/>
  <c r="N153" i="175"/>
  <c r="I153" i="175"/>
  <c r="N188" i="175"/>
  <c r="I188" i="175"/>
  <c r="N186" i="175"/>
  <c r="I186" i="175"/>
  <c r="N185" i="175"/>
  <c r="I185" i="175"/>
  <c r="N184" i="175"/>
  <c r="I184" i="175"/>
  <c r="N183" i="175"/>
  <c r="I183" i="175"/>
  <c r="N182" i="175"/>
  <c r="I182" i="175"/>
  <c r="G181" i="175"/>
  <c r="G180" i="175"/>
  <c r="G179" i="175"/>
  <c r="G178" i="175"/>
  <c r="G177" i="175"/>
  <c r="G176" i="175"/>
  <c r="G175" i="175"/>
  <c r="N181" i="175"/>
  <c r="I181" i="175"/>
  <c r="N180" i="175"/>
  <c r="I180" i="175"/>
  <c r="N179" i="175"/>
  <c r="I179" i="175"/>
  <c r="N178" i="175"/>
  <c r="I178" i="175"/>
  <c r="N177" i="175"/>
  <c r="I177" i="175"/>
  <c r="N176" i="175"/>
  <c r="I176" i="175"/>
  <c r="N175" i="175"/>
  <c r="I175" i="175"/>
  <c r="N173" i="175"/>
  <c r="I173" i="175"/>
  <c r="G173" i="175"/>
  <c r="N174" i="175"/>
  <c r="I174" i="175"/>
  <c r="G174" i="175"/>
  <c r="N172" i="175"/>
  <c r="I172" i="175"/>
  <c r="G172" i="175"/>
  <c r="N171" i="175"/>
  <c r="I171" i="175"/>
  <c r="G171" i="175"/>
  <c r="N170" i="175"/>
  <c r="I170" i="175"/>
  <c r="G170" i="175"/>
  <c r="N169" i="175"/>
  <c r="I169" i="175"/>
  <c r="G169" i="175"/>
  <c r="N168" i="175"/>
  <c r="I168" i="175"/>
  <c r="G168" i="175"/>
  <c r="G209" i="175"/>
  <c r="N210" i="175"/>
  <c r="I210" i="175"/>
  <c r="G210" i="175"/>
  <c r="N209" i="175"/>
  <c r="I209" i="175"/>
  <c r="G165" i="175"/>
  <c r="N165" i="175"/>
  <c r="I165" i="175"/>
  <c r="G166" i="175"/>
  <c r="I166" i="175"/>
  <c r="N166" i="175"/>
  <c r="I167" i="175"/>
  <c r="N167" i="175"/>
  <c r="G162" i="175"/>
  <c r="G161" i="175"/>
  <c r="N164" i="175"/>
  <c r="I164" i="175"/>
  <c r="G164" i="175"/>
  <c r="N163" i="175"/>
  <c r="I163" i="175"/>
  <c r="G163" i="175"/>
  <c r="N162" i="175"/>
  <c r="I162" i="175"/>
  <c r="N161" i="175"/>
  <c r="I161" i="175"/>
  <c r="N160" i="175"/>
  <c r="I160" i="175"/>
  <c r="G206" i="175"/>
  <c r="N206" i="175"/>
  <c r="I206" i="175"/>
  <c r="N205" i="175"/>
  <c r="I205" i="175"/>
  <c r="G205" i="175"/>
  <c r="N152" i="175"/>
  <c r="I152" i="175"/>
  <c r="N151" i="175"/>
  <c r="I151" i="175"/>
  <c r="G151" i="175"/>
  <c r="N150" i="175"/>
  <c r="I150" i="175"/>
  <c r="G150" i="175"/>
  <c r="N149" i="175"/>
  <c r="I149" i="175"/>
  <c r="G149" i="175"/>
  <c r="N148" i="175"/>
  <c r="I148" i="175"/>
  <c r="G148" i="175"/>
  <c r="N147" i="175"/>
  <c r="I147" i="175"/>
  <c r="G147" i="175"/>
  <c r="N146" i="175"/>
  <c r="I146" i="175"/>
  <c r="G146" i="175"/>
  <c r="G67" i="175"/>
  <c r="G66" i="175"/>
  <c r="G65" i="175"/>
  <c r="G64" i="175"/>
  <c r="G63" i="175"/>
  <c r="G62" i="175"/>
  <c r="G61" i="175"/>
  <c r="G60" i="175"/>
  <c r="G59" i="175"/>
  <c r="G58" i="175"/>
  <c r="G57" i="175"/>
  <c r="G56" i="175"/>
  <c r="G55" i="175"/>
  <c r="G54" i="175"/>
  <c r="G53" i="175"/>
  <c r="N52" i="175"/>
  <c r="I52" i="175"/>
  <c r="G52" i="175"/>
  <c r="G51" i="175"/>
  <c r="G49" i="175"/>
  <c r="G48" i="175"/>
  <c r="G47" i="175"/>
  <c r="N67" i="175"/>
  <c r="I67" i="175"/>
  <c r="N66" i="175"/>
  <c r="I66" i="175"/>
  <c r="N65" i="175"/>
  <c r="I65" i="175"/>
  <c r="N64" i="175"/>
  <c r="I64" i="175"/>
  <c r="N63" i="175"/>
  <c r="I63" i="175"/>
  <c r="N62" i="175"/>
  <c r="I62" i="175"/>
  <c r="N61" i="175"/>
  <c r="I61" i="175"/>
  <c r="N60" i="175"/>
  <c r="I60" i="175"/>
  <c r="N59" i="175"/>
  <c r="I59" i="175"/>
  <c r="N58" i="175"/>
  <c r="I58" i="175"/>
  <c r="N57" i="175"/>
  <c r="I57" i="175"/>
  <c r="N56" i="175"/>
  <c r="I56" i="175"/>
  <c r="N55" i="175"/>
  <c r="I55" i="175"/>
  <c r="N54" i="175"/>
  <c r="I54" i="175"/>
  <c r="N53" i="175"/>
  <c r="I53" i="175"/>
  <c r="N51" i="175"/>
  <c r="I51" i="175"/>
  <c r="N50" i="175"/>
  <c r="I50" i="175"/>
  <c r="N49" i="175"/>
  <c r="I49" i="175"/>
  <c r="N48" i="175"/>
  <c r="I48" i="175"/>
  <c r="N47" i="175"/>
  <c r="I47" i="175"/>
  <c r="G46" i="175"/>
  <c r="G45" i="175"/>
  <c r="N45" i="175"/>
  <c r="I45" i="175"/>
  <c r="G44" i="175"/>
  <c r="G43" i="175"/>
  <c r="G42" i="175"/>
  <c r="G41" i="175"/>
  <c r="G40" i="175"/>
  <c r="G39" i="175"/>
  <c r="N46" i="175"/>
  <c r="I46" i="175"/>
  <c r="N44" i="175"/>
  <c r="I44" i="175"/>
  <c r="N43" i="175"/>
  <c r="I43" i="175"/>
  <c r="N42" i="175"/>
  <c r="I42" i="175"/>
  <c r="N41" i="175"/>
  <c r="I41" i="175"/>
  <c r="N40" i="175"/>
  <c r="I40" i="175"/>
  <c r="N39" i="175"/>
  <c r="I39" i="175"/>
  <c r="N35" i="175"/>
  <c r="G143" i="175"/>
  <c r="G142" i="175"/>
  <c r="G141" i="175"/>
  <c r="G140" i="175"/>
  <c r="N143" i="175"/>
  <c r="I143" i="175"/>
  <c r="N142" i="175"/>
  <c r="I142" i="175"/>
  <c r="N141" i="175"/>
  <c r="I141" i="175"/>
  <c r="N140" i="175"/>
  <c r="I140" i="175"/>
  <c r="G139" i="175"/>
  <c r="G135" i="175"/>
  <c r="N139" i="175"/>
  <c r="I139" i="175"/>
  <c r="N138" i="175"/>
  <c r="I138" i="175"/>
  <c r="G138" i="175"/>
  <c r="N137" i="175"/>
  <c r="I137" i="175"/>
  <c r="G137" i="175"/>
  <c r="N136" i="175"/>
  <c r="I136" i="175"/>
  <c r="G136" i="175"/>
  <c r="N135" i="175"/>
  <c r="N134" i="175"/>
  <c r="I134" i="175"/>
  <c r="G134" i="175"/>
  <c r="G133" i="175"/>
  <c r="G128" i="175"/>
  <c r="N133" i="175"/>
  <c r="I133" i="175"/>
  <c r="N128" i="175"/>
  <c r="I128" i="175"/>
  <c r="G38" i="175"/>
  <c r="G37" i="175"/>
  <c r="G36" i="175"/>
  <c r="G35" i="175"/>
  <c r="G34" i="175"/>
  <c r="G33" i="175"/>
  <c r="G32" i="175"/>
  <c r="N38" i="175"/>
  <c r="I38" i="175"/>
  <c r="N37" i="175"/>
  <c r="I37" i="175"/>
  <c r="N36" i="175"/>
  <c r="I36" i="175"/>
  <c r="I35" i="175"/>
  <c r="N34" i="175"/>
  <c r="I34" i="175"/>
  <c r="N33" i="175"/>
  <c r="I33" i="175"/>
  <c r="N32" i="175"/>
  <c r="I32" i="175"/>
  <c r="N31" i="175"/>
  <c r="I31" i="175"/>
  <c r="G31" i="175"/>
  <c r="G28" i="175"/>
  <c r="N29" i="175"/>
  <c r="I29" i="175"/>
  <c r="G29" i="175"/>
  <c r="G27" i="175"/>
  <c r="G26" i="175"/>
  <c r="G25" i="175"/>
  <c r="G24" i="175"/>
  <c r="N30" i="175"/>
  <c r="I30" i="175"/>
  <c r="G30" i="175"/>
  <c r="N28" i="175"/>
  <c r="I28" i="175"/>
  <c r="N27" i="175"/>
  <c r="I27" i="175"/>
  <c r="N26" i="175"/>
  <c r="I26" i="175"/>
  <c r="N25" i="175"/>
  <c r="I25" i="175"/>
  <c r="N24" i="175"/>
  <c r="I24" i="175"/>
  <c r="G23" i="175"/>
  <c r="G22" i="175"/>
  <c r="G20" i="175"/>
  <c r="G21" i="175"/>
  <c r="G19" i="175"/>
  <c r="G18" i="175"/>
  <c r="G17" i="175"/>
  <c r="N23" i="175"/>
  <c r="I23" i="175"/>
  <c r="N22" i="175"/>
  <c r="I22" i="175"/>
  <c r="N21" i="175"/>
  <c r="I21" i="175"/>
  <c r="N20" i="175"/>
  <c r="I20" i="175"/>
  <c r="N19" i="175"/>
  <c r="I19" i="175"/>
  <c r="N18" i="175"/>
  <c r="I18" i="175"/>
  <c r="N17" i="175"/>
  <c r="I17" i="175"/>
  <c r="I11" i="175"/>
  <c r="I12" i="175"/>
  <c r="I13" i="175"/>
  <c r="I14" i="175"/>
  <c r="I15" i="175"/>
  <c r="I16" i="175"/>
  <c r="N11" i="175"/>
  <c r="N12" i="175"/>
  <c r="N13" i="175"/>
  <c r="N14" i="175"/>
  <c r="N15" i="175"/>
  <c r="N16" i="175"/>
  <c r="G16" i="175"/>
  <c r="G15" i="175"/>
  <c r="G13" i="175"/>
  <c r="G14" i="175"/>
  <c r="G12" i="175"/>
  <c r="G11" i="175"/>
  <c r="N10" i="175"/>
  <c r="I10" i="175"/>
  <c r="K356" i="84"/>
  <c r="G357" i="84"/>
  <c r="F357" i="84"/>
  <c r="E357" i="84"/>
  <c r="J350" i="84"/>
  <c r="F350" i="84"/>
  <c r="E350" i="84"/>
  <c r="D350" i="84"/>
  <c r="B350" i="84"/>
  <c r="J357" i="84"/>
  <c r="E348" i="84"/>
  <c r="G269" i="84"/>
  <c r="D269" i="84"/>
  <c r="B269" i="84"/>
  <c r="B268" i="84"/>
  <c r="G266" i="84"/>
  <c r="E266" i="84"/>
  <c r="D266" i="84"/>
  <c r="B266" i="84"/>
  <c r="B265" i="84"/>
  <c r="E129" i="84"/>
  <c r="K129" i="84" s="1"/>
  <c r="K126" i="84"/>
  <c r="D357" i="84"/>
  <c r="B357" i="84"/>
  <c r="G355" i="84"/>
  <c r="E355" i="84"/>
  <c r="D355" i="84"/>
  <c r="B355" i="84"/>
  <c r="J354" i="84"/>
  <c r="G354" i="84"/>
  <c r="D354" i="84"/>
  <c r="B354" i="84"/>
  <c r="J353" i="84"/>
  <c r="G353" i="84"/>
  <c r="D353" i="84"/>
  <c r="B353" i="84"/>
  <c r="B352" i="84"/>
  <c r="F177" i="84"/>
  <c r="E177" i="84"/>
  <c r="K179" i="84"/>
  <c r="K178" i="84"/>
  <c r="K176" i="84"/>
  <c r="A181" i="84"/>
  <c r="B181" i="84"/>
  <c r="C181" i="84"/>
  <c r="H341" i="84"/>
  <c r="K341" i="84" s="1"/>
  <c r="G261" i="84"/>
  <c r="G260" i="84"/>
  <c r="G259" i="84"/>
  <c r="G258" i="84"/>
  <c r="G257" i="84"/>
  <c r="G256" i="84"/>
  <c r="G255" i="84"/>
  <c r="G254" i="84"/>
  <c r="G250" i="84"/>
  <c r="G248" i="84"/>
  <c r="G247" i="84"/>
  <c r="G241" i="84"/>
  <c r="G249" i="84"/>
  <c r="G246" i="84"/>
  <c r="G245" i="84"/>
  <c r="G244" i="84"/>
  <c r="G243" i="84"/>
  <c r="G242" i="84"/>
  <c r="G240" i="84"/>
  <c r="G236" i="84"/>
  <c r="G235" i="84"/>
  <c r="G231" i="84"/>
  <c r="G234" i="84"/>
  <c r="G233" i="84"/>
  <c r="G232" i="84"/>
  <c r="G230" i="84"/>
  <c r="G229" i="84"/>
  <c r="G228" i="84"/>
  <c r="Q321" i="84"/>
  <c r="Q320" i="84"/>
  <c r="J347" i="84"/>
  <c r="J346" i="84"/>
  <c r="J343" i="84"/>
  <c r="J338" i="84"/>
  <c r="J335" i="84"/>
  <c r="J332" i="84"/>
  <c r="J329" i="84"/>
  <c r="J326" i="84"/>
  <c r="J323" i="84"/>
  <c r="J320" i="84"/>
  <c r="J317" i="84"/>
  <c r="G318" i="84"/>
  <c r="H318" i="84"/>
  <c r="G320" i="84"/>
  <c r="H320" i="84"/>
  <c r="G321" i="84"/>
  <c r="H321" i="84"/>
  <c r="G323" i="84"/>
  <c r="H323" i="84"/>
  <c r="G324" i="84"/>
  <c r="H324" i="84"/>
  <c r="G326" i="84"/>
  <c r="H326" i="84"/>
  <c r="G327" i="84"/>
  <c r="H327" i="84"/>
  <c r="G329" i="84"/>
  <c r="H329" i="84"/>
  <c r="G330" i="84"/>
  <c r="H330" i="84"/>
  <c r="G332" i="84"/>
  <c r="H332" i="84"/>
  <c r="G333" i="84"/>
  <c r="H333" i="84"/>
  <c r="G335" i="84"/>
  <c r="H335" i="84"/>
  <c r="G336" i="84"/>
  <c r="H336" i="84"/>
  <c r="G338" i="84"/>
  <c r="H338" i="84"/>
  <c r="G339" i="84"/>
  <c r="H339" i="84"/>
  <c r="G343" i="84"/>
  <c r="H343" i="84"/>
  <c r="G346" i="84"/>
  <c r="G347" i="84"/>
  <c r="G348" i="84"/>
  <c r="G349" i="84"/>
  <c r="G317" i="84"/>
  <c r="H317" i="84"/>
  <c r="D327" i="84"/>
  <c r="D318" i="84"/>
  <c r="D320" i="84"/>
  <c r="D321" i="84"/>
  <c r="D323" i="84"/>
  <c r="D324" i="84"/>
  <c r="D326" i="84"/>
  <c r="D329" i="84"/>
  <c r="D330" i="84"/>
  <c r="D332" i="84"/>
  <c r="D333" i="84"/>
  <c r="D335" i="84"/>
  <c r="D336" i="84"/>
  <c r="D338" i="84"/>
  <c r="D339" i="84"/>
  <c r="D343" i="84"/>
  <c r="D346" i="84"/>
  <c r="D347" i="84"/>
  <c r="D348" i="84"/>
  <c r="D349" i="84"/>
  <c r="D317" i="84"/>
  <c r="B345" i="84"/>
  <c r="B346" i="84"/>
  <c r="B347" i="84"/>
  <c r="B348" i="84"/>
  <c r="B317" i="84"/>
  <c r="B318" i="84"/>
  <c r="B320" i="84"/>
  <c r="B321" i="84"/>
  <c r="B323" i="84"/>
  <c r="B324" i="84"/>
  <c r="B326" i="84"/>
  <c r="B327" i="84"/>
  <c r="B329" i="84"/>
  <c r="B330" i="84"/>
  <c r="B332" i="84"/>
  <c r="B333" i="84"/>
  <c r="B335" i="84"/>
  <c r="B336" i="84"/>
  <c r="B338" i="84"/>
  <c r="B339" i="84"/>
  <c r="B343" i="84"/>
  <c r="B316" i="84"/>
  <c r="D228" i="84"/>
  <c r="E228" i="84"/>
  <c r="D229" i="84"/>
  <c r="E229" i="84"/>
  <c r="D230" i="84"/>
  <c r="E230" i="84"/>
  <c r="D231" i="84"/>
  <c r="E231" i="84"/>
  <c r="D232" i="84"/>
  <c r="E232" i="84"/>
  <c r="D233" i="84"/>
  <c r="E233" i="84"/>
  <c r="D234" i="84"/>
  <c r="E234" i="84"/>
  <c r="D235" i="84"/>
  <c r="E235" i="84"/>
  <c r="D236" i="84"/>
  <c r="E236" i="84"/>
  <c r="D238" i="84"/>
  <c r="G238" i="84"/>
  <c r="D240" i="84"/>
  <c r="E240" i="84"/>
  <c r="D241" i="84"/>
  <c r="E241" i="84"/>
  <c r="D242" i="84"/>
  <c r="E242" i="84"/>
  <c r="D243" i="84"/>
  <c r="E243" i="84"/>
  <c r="D244" i="84"/>
  <c r="E244" i="84"/>
  <c r="D245" i="84"/>
  <c r="E245" i="84"/>
  <c r="D246" i="84"/>
  <c r="E246" i="84"/>
  <c r="D247" i="84"/>
  <c r="E247" i="84"/>
  <c r="D248" i="84"/>
  <c r="E248" i="84"/>
  <c r="D249" i="84"/>
  <c r="E249" i="84"/>
  <c r="D250" i="84"/>
  <c r="E250" i="84"/>
  <c r="D252" i="84"/>
  <c r="E252" i="84"/>
  <c r="G252" i="84"/>
  <c r="D254" i="84"/>
  <c r="E254" i="84"/>
  <c r="D255" i="84"/>
  <c r="E255" i="84"/>
  <c r="D256" i="84"/>
  <c r="E256" i="84"/>
  <c r="D257" i="84"/>
  <c r="E257" i="84"/>
  <c r="D258" i="84"/>
  <c r="E258" i="84"/>
  <c r="D259" i="84"/>
  <c r="E259" i="84"/>
  <c r="D260" i="84"/>
  <c r="E260" i="84"/>
  <c r="D261" i="84"/>
  <c r="E261" i="84"/>
  <c r="E226" i="84"/>
  <c r="G226" i="84"/>
  <c r="D226" i="84"/>
  <c r="B259" i="84"/>
  <c r="B260" i="84"/>
  <c r="B261" i="84"/>
  <c r="B257" i="84"/>
  <c r="B258" i="84"/>
  <c r="B249" i="84"/>
  <c r="B250" i="84"/>
  <c r="B251" i="84"/>
  <c r="B252" i="84"/>
  <c r="B253" i="84"/>
  <c r="B254" i="84"/>
  <c r="B255" i="84"/>
  <c r="B256" i="84"/>
  <c r="B225" i="84"/>
  <c r="B226" i="84"/>
  <c r="B227" i="84"/>
  <c r="B228" i="84"/>
  <c r="B229" i="84"/>
  <c r="B230" i="84"/>
  <c r="B231" i="84"/>
  <c r="B232" i="84"/>
  <c r="B233" i="84"/>
  <c r="B234" i="84"/>
  <c r="B235" i="84"/>
  <c r="B236" i="84"/>
  <c r="B237" i="84"/>
  <c r="B238" i="84"/>
  <c r="B239" i="84"/>
  <c r="B240" i="84"/>
  <c r="B241" i="84"/>
  <c r="B242" i="84"/>
  <c r="B243" i="84"/>
  <c r="B244" i="84"/>
  <c r="B245" i="84"/>
  <c r="B246" i="84"/>
  <c r="B247" i="84"/>
  <c r="B248" i="84"/>
  <c r="B224" i="84"/>
  <c r="D222" i="84"/>
  <c r="G222" i="84"/>
  <c r="D221" i="84"/>
  <c r="G221" i="84"/>
  <c r="G220" i="84"/>
  <c r="D220" i="84"/>
  <c r="B221" i="84"/>
  <c r="B222" i="84"/>
  <c r="B220" i="84"/>
  <c r="G196" i="84"/>
  <c r="G197" i="84"/>
  <c r="G198" i="84"/>
  <c r="G199" i="84"/>
  <c r="G200" i="84"/>
  <c r="G201" i="84"/>
  <c r="G202" i="84"/>
  <c r="G203" i="84"/>
  <c r="G204" i="84"/>
  <c r="G205" i="84"/>
  <c r="G207" i="84"/>
  <c r="G208" i="84"/>
  <c r="G209" i="84"/>
  <c r="G210" i="84"/>
  <c r="G211" i="84"/>
  <c r="G212" i="84"/>
  <c r="G214" i="84"/>
  <c r="E187" i="84"/>
  <c r="E188" i="84"/>
  <c r="E192" i="84"/>
  <c r="E194" i="84"/>
  <c r="E196" i="84"/>
  <c r="E197" i="84"/>
  <c r="E198" i="84"/>
  <c r="E199" i="84"/>
  <c r="E200" i="84"/>
  <c r="E201" i="84"/>
  <c r="E202" i="84"/>
  <c r="E203" i="84"/>
  <c r="E204" i="84"/>
  <c r="E205" i="84"/>
  <c r="E207" i="84"/>
  <c r="E208" i="84"/>
  <c r="E209" i="84"/>
  <c r="E210" i="84"/>
  <c r="E211" i="84"/>
  <c r="E212" i="84"/>
  <c r="E214" i="84"/>
  <c r="D186" i="84"/>
  <c r="D187" i="84"/>
  <c r="D188" i="84"/>
  <c r="D189" i="84"/>
  <c r="D190" i="84"/>
  <c r="D191" i="84"/>
  <c r="D192" i="84"/>
  <c r="D194" i="84"/>
  <c r="D196" i="84"/>
  <c r="D197" i="84"/>
  <c r="D198" i="84"/>
  <c r="D199" i="84"/>
  <c r="D200" i="84"/>
  <c r="D201" i="84"/>
  <c r="D202" i="84"/>
  <c r="D203" i="84"/>
  <c r="D204" i="84"/>
  <c r="D205" i="84"/>
  <c r="D207" i="84"/>
  <c r="D208" i="84"/>
  <c r="D209" i="84"/>
  <c r="D210" i="84"/>
  <c r="D211" i="84"/>
  <c r="D212" i="84"/>
  <c r="D214" i="84"/>
  <c r="D185" i="84"/>
  <c r="B213" i="84"/>
  <c r="B214" i="84"/>
  <c r="B209" i="84"/>
  <c r="B210" i="84"/>
  <c r="B211" i="84"/>
  <c r="B212" i="84"/>
  <c r="B202" i="84"/>
  <c r="B203" i="84"/>
  <c r="B204" i="84"/>
  <c r="B205" i="84"/>
  <c r="B206" i="84"/>
  <c r="B207" i="84"/>
  <c r="B208" i="84"/>
  <c r="B185" i="84"/>
  <c r="B186" i="84"/>
  <c r="B187" i="84"/>
  <c r="B188" i="84"/>
  <c r="B189" i="84"/>
  <c r="B190" i="84"/>
  <c r="B191" i="84"/>
  <c r="B192" i="84"/>
  <c r="B193" i="84"/>
  <c r="B194" i="84"/>
  <c r="B195" i="84"/>
  <c r="B196" i="84"/>
  <c r="B197" i="84"/>
  <c r="B198" i="84"/>
  <c r="B199" i="84"/>
  <c r="B200" i="84"/>
  <c r="B201" i="84"/>
  <c r="B184" i="84"/>
  <c r="K167" i="84"/>
  <c r="K172" i="84"/>
  <c r="K173" i="84"/>
  <c r="K171" i="84"/>
  <c r="K170" i="84"/>
  <c r="K165" i="84"/>
  <c r="K164" i="84"/>
  <c r="K162" i="84"/>
  <c r="K161" i="84"/>
  <c r="K159" i="84"/>
  <c r="K158" i="84"/>
  <c r="K156" i="84"/>
  <c r="K153" i="84"/>
  <c r="D475" i="172"/>
  <c r="D476" i="172"/>
  <c r="G476" i="172" s="1"/>
  <c r="N478" i="172"/>
  <c r="I478" i="172"/>
  <c r="G478" i="172"/>
  <c r="N477" i="172"/>
  <c r="I477" i="172"/>
  <c r="G477" i="172"/>
  <c r="N476" i="172"/>
  <c r="I476" i="172"/>
  <c r="N475" i="172"/>
  <c r="I475" i="172"/>
  <c r="N193" i="173"/>
  <c r="G193" i="173"/>
  <c r="J193" i="173" s="1"/>
  <c r="N192" i="173"/>
  <c r="G192" i="173"/>
  <c r="J192" i="173" s="1"/>
  <c r="M192" i="173" s="1"/>
  <c r="N191" i="173"/>
  <c r="I191" i="173"/>
  <c r="H191" i="173"/>
  <c r="G191" i="173"/>
  <c r="N190" i="173"/>
  <c r="G190" i="173"/>
  <c r="J190" i="173" s="1"/>
  <c r="M190" i="173" s="1"/>
  <c r="N188" i="173"/>
  <c r="G188" i="173"/>
  <c r="J188" i="173" s="1"/>
  <c r="M188" i="173" s="1"/>
  <c r="N187" i="173"/>
  <c r="G187" i="173"/>
  <c r="J187" i="173" s="1"/>
  <c r="M187" i="173" s="1"/>
  <c r="N186" i="173"/>
  <c r="I186" i="173"/>
  <c r="H186" i="173"/>
  <c r="G186" i="173"/>
  <c r="N185" i="173"/>
  <c r="G185" i="173"/>
  <c r="J185" i="173" s="1"/>
  <c r="M185" i="173" s="1"/>
  <c r="N183" i="173"/>
  <c r="G183" i="173"/>
  <c r="J183" i="173" s="1"/>
  <c r="M183" i="173" s="1"/>
  <c r="N182" i="173"/>
  <c r="G182" i="173"/>
  <c r="J182" i="173" s="1"/>
  <c r="M182" i="173" s="1"/>
  <c r="N181" i="173"/>
  <c r="I181" i="173"/>
  <c r="H181" i="173"/>
  <c r="G181" i="173"/>
  <c r="N180" i="173"/>
  <c r="G180" i="173"/>
  <c r="J180" i="173" s="1"/>
  <c r="M180" i="173" s="1"/>
  <c r="N178" i="173"/>
  <c r="G178" i="173"/>
  <c r="J178" i="173" s="1"/>
  <c r="M178" i="173" s="1"/>
  <c r="N177" i="173"/>
  <c r="G177" i="173"/>
  <c r="J177" i="173" s="1"/>
  <c r="M177" i="173" s="1"/>
  <c r="N176" i="173"/>
  <c r="I176" i="173"/>
  <c r="H176" i="173"/>
  <c r="G176" i="173"/>
  <c r="N175" i="173"/>
  <c r="G175" i="173"/>
  <c r="J175" i="173" s="1"/>
  <c r="M175" i="173" s="1"/>
  <c r="N173" i="173"/>
  <c r="G173" i="173"/>
  <c r="J173" i="173" s="1"/>
  <c r="M173" i="173" s="1"/>
  <c r="N172" i="173"/>
  <c r="G172" i="173"/>
  <c r="J172" i="173" s="1"/>
  <c r="M172" i="173" s="1"/>
  <c r="N171" i="173"/>
  <c r="I171" i="173"/>
  <c r="H171" i="173"/>
  <c r="G171" i="173"/>
  <c r="N170" i="173"/>
  <c r="G170" i="173"/>
  <c r="J170" i="173" s="1"/>
  <c r="M170" i="173" s="1"/>
  <c r="D166" i="173"/>
  <c r="G166" i="173" s="1"/>
  <c r="D161" i="173"/>
  <c r="G161" i="173" s="1"/>
  <c r="N168" i="173"/>
  <c r="G168" i="173"/>
  <c r="J168" i="173" s="1"/>
  <c r="M168" i="173" s="1"/>
  <c r="N167" i="173"/>
  <c r="G167" i="173"/>
  <c r="J167" i="173" s="1"/>
  <c r="M167" i="173" s="1"/>
  <c r="N166" i="173"/>
  <c r="I166" i="173"/>
  <c r="H166" i="173"/>
  <c r="N165" i="173"/>
  <c r="G165" i="173"/>
  <c r="J165" i="173" s="1"/>
  <c r="M165" i="173" s="1"/>
  <c r="N163" i="173"/>
  <c r="G163" i="173"/>
  <c r="J163" i="173" s="1"/>
  <c r="M163" i="173" s="1"/>
  <c r="N162" i="173"/>
  <c r="G162" i="173"/>
  <c r="J162" i="173" s="1"/>
  <c r="M162" i="173" s="1"/>
  <c r="N161" i="173"/>
  <c r="I161" i="173"/>
  <c r="H161" i="173"/>
  <c r="N160" i="173"/>
  <c r="G160" i="173"/>
  <c r="J160" i="173" s="1"/>
  <c r="N92" i="173"/>
  <c r="G92" i="173"/>
  <c r="J92" i="173" s="1"/>
  <c r="M92" i="173" s="1"/>
  <c r="N91" i="173"/>
  <c r="G91" i="173"/>
  <c r="J91" i="173" s="1"/>
  <c r="M91" i="173" s="1"/>
  <c r="N90" i="173"/>
  <c r="G90" i="173"/>
  <c r="J90" i="173" s="1"/>
  <c r="M90" i="173" s="1"/>
  <c r="Q89" i="173"/>
  <c r="N89" i="173"/>
  <c r="G89" i="173"/>
  <c r="J89" i="173" s="1"/>
  <c r="M89" i="173" s="1"/>
  <c r="N88" i="173"/>
  <c r="G88" i="173"/>
  <c r="J88" i="173" s="1"/>
  <c r="M88" i="173" s="1"/>
  <c r="N87" i="173"/>
  <c r="I87" i="173"/>
  <c r="H87" i="173"/>
  <c r="G87" i="173"/>
  <c r="N86" i="173"/>
  <c r="I86" i="173"/>
  <c r="H86" i="173"/>
  <c r="G86" i="173"/>
  <c r="N85" i="173"/>
  <c r="G85" i="173"/>
  <c r="J85" i="173" s="1"/>
  <c r="M85" i="173" s="1"/>
  <c r="N157" i="173"/>
  <c r="G157" i="173"/>
  <c r="J157" i="173" s="1"/>
  <c r="M157" i="173" s="1"/>
  <c r="N155" i="173"/>
  <c r="G155" i="173"/>
  <c r="J155" i="173" s="1"/>
  <c r="M155" i="173" s="1"/>
  <c r="I152" i="173"/>
  <c r="I151" i="173"/>
  <c r="H152" i="173"/>
  <c r="N152" i="173"/>
  <c r="G152" i="173"/>
  <c r="N156" i="173"/>
  <c r="G156" i="173"/>
  <c r="J156" i="173" s="1"/>
  <c r="M156" i="173" s="1"/>
  <c r="N154" i="173"/>
  <c r="G154" i="173"/>
  <c r="J154" i="173" s="1"/>
  <c r="N153" i="173"/>
  <c r="G153" i="173"/>
  <c r="J153" i="173" s="1"/>
  <c r="M153" i="173" s="1"/>
  <c r="N151" i="173"/>
  <c r="G151" i="173"/>
  <c r="N150" i="173"/>
  <c r="G150" i="173"/>
  <c r="J150" i="173" s="1"/>
  <c r="M150" i="173" s="1"/>
  <c r="N148" i="173"/>
  <c r="G148" i="173"/>
  <c r="J148" i="173" s="1"/>
  <c r="M148" i="173" s="1"/>
  <c r="N147" i="173"/>
  <c r="G147" i="173"/>
  <c r="J147" i="173" s="1"/>
  <c r="M147" i="173" s="1"/>
  <c r="N146" i="173"/>
  <c r="I146" i="173"/>
  <c r="H146" i="173"/>
  <c r="G146" i="173"/>
  <c r="N145" i="173"/>
  <c r="G145" i="173"/>
  <c r="J145" i="173" s="1"/>
  <c r="M145" i="173" s="1"/>
  <c r="N143" i="173"/>
  <c r="G143" i="173"/>
  <c r="J143" i="173" s="1"/>
  <c r="M143" i="173" s="1"/>
  <c r="N142" i="173"/>
  <c r="G142" i="173"/>
  <c r="J142" i="173" s="1"/>
  <c r="M142" i="173" s="1"/>
  <c r="N141" i="173"/>
  <c r="I141" i="173"/>
  <c r="H141" i="173"/>
  <c r="G141" i="173"/>
  <c r="N140" i="173"/>
  <c r="G140" i="173"/>
  <c r="J140" i="173" s="1"/>
  <c r="M140" i="173" s="1"/>
  <c r="N138" i="173"/>
  <c r="G138" i="173"/>
  <c r="J138" i="173" s="1"/>
  <c r="M138" i="173" s="1"/>
  <c r="N137" i="173"/>
  <c r="G137" i="173"/>
  <c r="J137" i="173" s="1"/>
  <c r="M137" i="173" s="1"/>
  <c r="N136" i="173"/>
  <c r="I136" i="173"/>
  <c r="H136" i="173"/>
  <c r="G136" i="173"/>
  <c r="N135" i="173"/>
  <c r="G135" i="173"/>
  <c r="J135" i="173" s="1"/>
  <c r="M135" i="173" s="1"/>
  <c r="N133" i="173"/>
  <c r="G133" i="173"/>
  <c r="J133" i="173" s="1"/>
  <c r="M133" i="173" s="1"/>
  <c r="N132" i="173"/>
  <c r="G132" i="173"/>
  <c r="J132" i="173" s="1"/>
  <c r="M132" i="173" s="1"/>
  <c r="N131" i="173"/>
  <c r="I131" i="173"/>
  <c r="H131" i="173"/>
  <c r="G131" i="173"/>
  <c r="N130" i="173"/>
  <c r="G130" i="173"/>
  <c r="J130" i="173" s="1"/>
  <c r="M130" i="173" s="1"/>
  <c r="N128" i="173"/>
  <c r="G128" i="173"/>
  <c r="J128" i="173" s="1"/>
  <c r="M128" i="173" s="1"/>
  <c r="N127" i="173"/>
  <c r="G127" i="173"/>
  <c r="J127" i="173" s="1"/>
  <c r="M127" i="173" s="1"/>
  <c r="N126" i="173"/>
  <c r="I126" i="173"/>
  <c r="H126" i="173"/>
  <c r="G126" i="173"/>
  <c r="N125" i="173"/>
  <c r="G125" i="173"/>
  <c r="J125" i="173" s="1"/>
  <c r="M125" i="173" s="1"/>
  <c r="N123" i="173"/>
  <c r="G123" i="173"/>
  <c r="J123" i="173" s="1"/>
  <c r="M123" i="173" s="1"/>
  <c r="N122" i="173"/>
  <c r="G122" i="173"/>
  <c r="J122" i="173" s="1"/>
  <c r="M122" i="173" s="1"/>
  <c r="N121" i="173"/>
  <c r="I121" i="173"/>
  <c r="H121" i="173"/>
  <c r="D121" i="173"/>
  <c r="G121" i="173" s="1"/>
  <c r="N120" i="173"/>
  <c r="G120" i="173"/>
  <c r="J120" i="173" s="1"/>
  <c r="M120" i="173" s="1"/>
  <c r="N118" i="173"/>
  <c r="G118" i="173"/>
  <c r="J118" i="173" s="1"/>
  <c r="M118" i="173" s="1"/>
  <c r="N117" i="173"/>
  <c r="G117" i="173"/>
  <c r="J117" i="173" s="1"/>
  <c r="M117" i="173" s="1"/>
  <c r="N116" i="173"/>
  <c r="I116" i="173"/>
  <c r="H116" i="173"/>
  <c r="D116" i="173"/>
  <c r="G116" i="173" s="1"/>
  <c r="N115" i="173"/>
  <c r="G115" i="173"/>
  <c r="J115" i="173" s="1"/>
  <c r="M115" i="173" s="1"/>
  <c r="Q98" i="173"/>
  <c r="Q99" i="173"/>
  <c r="N113" i="173"/>
  <c r="G113" i="173"/>
  <c r="J113" i="173" s="1"/>
  <c r="M113" i="173" s="1"/>
  <c r="N112" i="173"/>
  <c r="G112" i="173"/>
  <c r="J112" i="173" s="1"/>
  <c r="M112" i="173" s="1"/>
  <c r="N111" i="173"/>
  <c r="I111" i="173"/>
  <c r="H111" i="173"/>
  <c r="J111" i="173" s="1"/>
  <c r="G111" i="173"/>
  <c r="N110" i="173"/>
  <c r="G110" i="173"/>
  <c r="J110" i="173" s="1"/>
  <c r="M110" i="173" s="1"/>
  <c r="N108" i="173"/>
  <c r="G108" i="173"/>
  <c r="J108" i="173" s="1"/>
  <c r="M108" i="173" s="1"/>
  <c r="N107" i="173"/>
  <c r="G107" i="173"/>
  <c r="J107" i="173" s="1"/>
  <c r="M107" i="173" s="1"/>
  <c r="N106" i="173"/>
  <c r="I106" i="173"/>
  <c r="H106" i="173"/>
  <c r="D106" i="173"/>
  <c r="G106" i="173" s="1"/>
  <c r="N105" i="173"/>
  <c r="G105" i="173"/>
  <c r="J105" i="173" s="1"/>
  <c r="M105" i="173" s="1"/>
  <c r="N103" i="173"/>
  <c r="G103" i="173"/>
  <c r="J103" i="173" s="1"/>
  <c r="M103" i="173" s="1"/>
  <c r="N102" i="173"/>
  <c r="G102" i="173"/>
  <c r="J102" i="173" s="1"/>
  <c r="M102" i="173" s="1"/>
  <c r="N101" i="173"/>
  <c r="I101" i="173"/>
  <c r="H101" i="173"/>
  <c r="G101" i="173"/>
  <c r="N100" i="173"/>
  <c r="G100" i="173"/>
  <c r="J100" i="173" s="1"/>
  <c r="M100" i="173" s="1"/>
  <c r="N98" i="173"/>
  <c r="G98" i="173"/>
  <c r="J98" i="173" s="1"/>
  <c r="M98" i="173" s="1"/>
  <c r="N97" i="173"/>
  <c r="G97" i="173"/>
  <c r="J97" i="173" s="1"/>
  <c r="M97" i="173" s="1"/>
  <c r="N96" i="173"/>
  <c r="I96" i="173"/>
  <c r="H96" i="173"/>
  <c r="G96" i="173"/>
  <c r="N95" i="173"/>
  <c r="G95" i="173"/>
  <c r="J95" i="173" s="1"/>
  <c r="M95" i="173" s="1"/>
  <c r="N83" i="173"/>
  <c r="G83" i="173"/>
  <c r="J83" i="173" s="1"/>
  <c r="M83" i="173" s="1"/>
  <c r="N82" i="173"/>
  <c r="G82" i="173"/>
  <c r="J82" i="173" s="1"/>
  <c r="M82" i="173" s="1"/>
  <c r="N81" i="173"/>
  <c r="I81" i="173"/>
  <c r="H81" i="173"/>
  <c r="G81" i="173"/>
  <c r="N80" i="173"/>
  <c r="G80" i="173"/>
  <c r="J80" i="173" s="1"/>
  <c r="M80" i="173" s="1"/>
  <c r="N78" i="173"/>
  <c r="G78" i="173"/>
  <c r="J78" i="173" s="1"/>
  <c r="M78" i="173" s="1"/>
  <c r="N77" i="173"/>
  <c r="G77" i="173"/>
  <c r="M77" i="173" s="1"/>
  <c r="N76" i="173"/>
  <c r="I76" i="173"/>
  <c r="H76" i="173"/>
  <c r="G76" i="173"/>
  <c r="N75" i="173"/>
  <c r="G75" i="173"/>
  <c r="M75" i="173" s="1"/>
  <c r="N73" i="173"/>
  <c r="G73" i="173"/>
  <c r="J73" i="173" s="1"/>
  <c r="M73" i="173" s="1"/>
  <c r="N72" i="173"/>
  <c r="G72" i="173"/>
  <c r="J72" i="173" s="1"/>
  <c r="M72" i="173" s="1"/>
  <c r="N71" i="173"/>
  <c r="I71" i="173"/>
  <c r="H71" i="173"/>
  <c r="G71" i="173"/>
  <c r="N70" i="173"/>
  <c r="G70" i="173"/>
  <c r="J70" i="173" s="1"/>
  <c r="M70" i="173" s="1"/>
  <c r="N68" i="173"/>
  <c r="G68" i="173"/>
  <c r="J68" i="173" s="1"/>
  <c r="M68" i="173" s="1"/>
  <c r="N67" i="173"/>
  <c r="G67" i="173"/>
  <c r="J67" i="173" s="1"/>
  <c r="M67" i="173" s="1"/>
  <c r="N66" i="173"/>
  <c r="I66" i="173"/>
  <c r="H66" i="173"/>
  <c r="G66" i="173"/>
  <c r="N65" i="173"/>
  <c r="G65" i="173"/>
  <c r="J65" i="173" s="1"/>
  <c r="M65" i="173" s="1"/>
  <c r="N63" i="173"/>
  <c r="G63" i="173"/>
  <c r="J63" i="173" s="1"/>
  <c r="M63" i="173" s="1"/>
  <c r="N62" i="173"/>
  <c r="G62" i="173"/>
  <c r="J62" i="173" s="1"/>
  <c r="M62" i="173" s="1"/>
  <c r="N61" i="173"/>
  <c r="I61" i="173"/>
  <c r="H61" i="173"/>
  <c r="G61" i="173"/>
  <c r="N60" i="173"/>
  <c r="G60" i="173"/>
  <c r="J60" i="173" s="1"/>
  <c r="M60" i="173" s="1"/>
  <c r="N58" i="173"/>
  <c r="G58" i="173"/>
  <c r="J58" i="173" s="1"/>
  <c r="M58" i="173" s="1"/>
  <c r="N57" i="173"/>
  <c r="G57" i="173"/>
  <c r="M57" i="173" s="1"/>
  <c r="N56" i="173"/>
  <c r="I56" i="173"/>
  <c r="H56" i="173"/>
  <c r="G56" i="173"/>
  <c r="J56" i="173" s="1"/>
  <c r="N55" i="173"/>
  <c r="G55" i="173"/>
  <c r="J55" i="173" s="1"/>
  <c r="M55" i="173" s="1"/>
  <c r="N53" i="173"/>
  <c r="G53" i="173"/>
  <c r="J53" i="173" s="1"/>
  <c r="M53" i="173" s="1"/>
  <c r="N52" i="173"/>
  <c r="G52" i="173"/>
  <c r="J52" i="173" s="1"/>
  <c r="M52" i="173" s="1"/>
  <c r="N51" i="173"/>
  <c r="I51" i="173"/>
  <c r="H51" i="173"/>
  <c r="G51" i="173"/>
  <c r="N50" i="173"/>
  <c r="G50" i="173"/>
  <c r="J50" i="173" s="1"/>
  <c r="M50" i="173" s="1"/>
  <c r="N48" i="173"/>
  <c r="G48" i="173"/>
  <c r="J48" i="173" s="1"/>
  <c r="M48" i="173" s="1"/>
  <c r="N47" i="173"/>
  <c r="G47" i="173"/>
  <c r="J47" i="173" s="1"/>
  <c r="M47" i="173" s="1"/>
  <c r="N46" i="173"/>
  <c r="I46" i="173"/>
  <c r="H46" i="173"/>
  <c r="G46" i="173"/>
  <c r="N45" i="173"/>
  <c r="G45" i="173"/>
  <c r="J45" i="173" s="1"/>
  <c r="M45" i="173" s="1"/>
  <c r="N43" i="173"/>
  <c r="G43" i="173"/>
  <c r="J43" i="173" s="1"/>
  <c r="N42" i="173"/>
  <c r="G42" i="173"/>
  <c r="J42" i="173" s="1"/>
  <c r="M42" i="173" s="1"/>
  <c r="N41" i="173"/>
  <c r="I41" i="173"/>
  <c r="H41" i="173"/>
  <c r="G41" i="173"/>
  <c r="N40" i="173"/>
  <c r="G40" i="173"/>
  <c r="M40" i="173" s="1"/>
  <c r="N37" i="173"/>
  <c r="K37" i="173"/>
  <c r="G37" i="173"/>
  <c r="J37" i="173" s="1"/>
  <c r="N36" i="173"/>
  <c r="G36" i="173"/>
  <c r="J36" i="173" s="1"/>
  <c r="M36" i="173" s="1"/>
  <c r="N35" i="173"/>
  <c r="I35" i="173"/>
  <c r="H35" i="173"/>
  <c r="D35" i="173"/>
  <c r="G35" i="173" s="1"/>
  <c r="N34" i="173"/>
  <c r="G34" i="173"/>
  <c r="J34" i="173" s="1"/>
  <c r="M34" i="173" s="1"/>
  <c r="N32" i="173"/>
  <c r="K32" i="173"/>
  <c r="G32" i="173"/>
  <c r="J32" i="173" s="1"/>
  <c r="N31" i="173"/>
  <c r="G31" i="173"/>
  <c r="J31" i="173" s="1"/>
  <c r="M31" i="173" s="1"/>
  <c r="N30" i="173"/>
  <c r="I30" i="173"/>
  <c r="H30" i="173"/>
  <c r="G30" i="173"/>
  <c r="N29" i="173"/>
  <c r="G29" i="173"/>
  <c r="J29" i="173" s="1"/>
  <c r="M29" i="173" s="1"/>
  <c r="G12" i="173"/>
  <c r="J12" i="173" s="1"/>
  <c r="G17" i="173"/>
  <c r="J17" i="173" s="1"/>
  <c r="G22" i="173"/>
  <c r="G27" i="173"/>
  <c r="J27" i="173" s="1"/>
  <c r="G26" i="173"/>
  <c r="N27" i="173"/>
  <c r="K27" i="173"/>
  <c r="N26" i="173"/>
  <c r="J26" i="173"/>
  <c r="M26" i="173" s="1"/>
  <c r="N25" i="173"/>
  <c r="I25" i="173"/>
  <c r="H25" i="173"/>
  <c r="G25" i="173"/>
  <c r="N24" i="173"/>
  <c r="G24" i="173"/>
  <c r="J24" i="173" s="1"/>
  <c r="M24" i="173" s="1"/>
  <c r="H20" i="173"/>
  <c r="N22" i="173"/>
  <c r="K22" i="173"/>
  <c r="J22" i="173"/>
  <c r="N21" i="173"/>
  <c r="G21" i="173"/>
  <c r="J21" i="173" s="1"/>
  <c r="M21" i="173" s="1"/>
  <c r="N20" i="173"/>
  <c r="I20" i="173"/>
  <c r="G20" i="173"/>
  <c r="N19" i="173"/>
  <c r="G19" i="173"/>
  <c r="J19" i="173" s="1"/>
  <c r="M19" i="173" s="1"/>
  <c r="K17" i="173"/>
  <c r="K12" i="173"/>
  <c r="N17" i="173"/>
  <c r="N16" i="173"/>
  <c r="G16" i="173"/>
  <c r="J16" i="173" s="1"/>
  <c r="N15" i="173"/>
  <c r="I15" i="173"/>
  <c r="H15" i="173"/>
  <c r="G15" i="173"/>
  <c r="J15" i="173" s="1"/>
  <c r="N14" i="173"/>
  <c r="G14" i="173"/>
  <c r="M14" i="173" s="1"/>
  <c r="I10" i="173"/>
  <c r="N11" i="173"/>
  <c r="G11" i="173"/>
  <c r="J11" i="173" s="1"/>
  <c r="N10" i="173"/>
  <c r="N12" i="173"/>
  <c r="N9" i="173"/>
  <c r="N472" i="172"/>
  <c r="I472" i="172"/>
  <c r="G472" i="172"/>
  <c r="N471" i="172"/>
  <c r="I471" i="172"/>
  <c r="G471" i="172"/>
  <c r="N470" i="172"/>
  <c r="I470" i="172"/>
  <c r="D470" i="172"/>
  <c r="G470" i="172" s="1"/>
  <c r="N469" i="172"/>
  <c r="I469" i="172"/>
  <c r="E469" i="172"/>
  <c r="D469" i="172"/>
  <c r="N467" i="172"/>
  <c r="I467" i="172"/>
  <c r="G467" i="172"/>
  <c r="N466" i="172"/>
  <c r="I466" i="172"/>
  <c r="G466" i="172"/>
  <c r="N465" i="172"/>
  <c r="I465" i="172"/>
  <c r="D465" i="172"/>
  <c r="G465" i="172" s="1"/>
  <c r="N464" i="172"/>
  <c r="I464" i="172"/>
  <c r="E464" i="172"/>
  <c r="D464" i="172"/>
  <c r="N462" i="172"/>
  <c r="I462" i="172"/>
  <c r="G462" i="172"/>
  <c r="N461" i="172"/>
  <c r="I461" i="172"/>
  <c r="G461" i="172"/>
  <c r="N460" i="172"/>
  <c r="I460" i="172"/>
  <c r="D460" i="172"/>
  <c r="G460" i="172" s="1"/>
  <c r="N459" i="172"/>
  <c r="I459" i="172"/>
  <c r="E459" i="172"/>
  <c r="D459" i="172"/>
  <c r="N457" i="172"/>
  <c r="I457" i="172"/>
  <c r="G457" i="172"/>
  <c r="N456" i="172"/>
  <c r="I456" i="172"/>
  <c r="G456" i="172"/>
  <c r="N455" i="172"/>
  <c r="I455" i="172"/>
  <c r="D455" i="172"/>
  <c r="G455" i="172" s="1"/>
  <c r="N454" i="172"/>
  <c r="I454" i="172"/>
  <c r="E454" i="172"/>
  <c r="D454" i="172"/>
  <c r="N452" i="172"/>
  <c r="I452" i="172"/>
  <c r="G452" i="172"/>
  <c r="N451" i="172"/>
  <c r="I451" i="172"/>
  <c r="G451" i="172"/>
  <c r="N450" i="172"/>
  <c r="I450" i="172"/>
  <c r="D450" i="172"/>
  <c r="G450" i="172" s="1"/>
  <c r="N449" i="172"/>
  <c r="I449" i="172"/>
  <c r="E449" i="172"/>
  <c r="D449" i="172"/>
  <c r="N447" i="172"/>
  <c r="I447" i="172"/>
  <c r="G447" i="172"/>
  <c r="N446" i="172"/>
  <c r="I446" i="172"/>
  <c r="G446" i="172"/>
  <c r="N445" i="172"/>
  <c r="I445" i="172"/>
  <c r="D445" i="172"/>
  <c r="G445" i="172" s="1"/>
  <c r="N444" i="172"/>
  <c r="I444" i="172"/>
  <c r="E444" i="172"/>
  <c r="D444" i="172"/>
  <c r="N441" i="172"/>
  <c r="I441" i="172"/>
  <c r="G441" i="172"/>
  <c r="N440" i="172"/>
  <c r="I440" i="172"/>
  <c r="G440" i="172"/>
  <c r="N439" i="172"/>
  <c r="I439" i="172"/>
  <c r="D439" i="172"/>
  <c r="G439" i="172" s="1"/>
  <c r="N438" i="172"/>
  <c r="I438" i="172"/>
  <c r="D438" i="172"/>
  <c r="N436" i="172"/>
  <c r="I436" i="172"/>
  <c r="G436" i="172"/>
  <c r="N435" i="172"/>
  <c r="I435" i="172"/>
  <c r="G435" i="172"/>
  <c r="N434" i="172"/>
  <c r="I434" i="172"/>
  <c r="D434" i="172"/>
  <c r="G434" i="172" s="1"/>
  <c r="N433" i="172"/>
  <c r="I433" i="172"/>
  <c r="D433" i="172"/>
  <c r="N431" i="172"/>
  <c r="I431" i="172"/>
  <c r="G431" i="172"/>
  <c r="N430" i="172"/>
  <c r="I430" i="172"/>
  <c r="G430" i="172"/>
  <c r="N429" i="172"/>
  <c r="I429" i="172"/>
  <c r="D429" i="172"/>
  <c r="G429" i="172" s="1"/>
  <c r="N428" i="172"/>
  <c r="I428" i="172"/>
  <c r="D428" i="172"/>
  <c r="N426" i="172"/>
  <c r="I426" i="172"/>
  <c r="G426" i="172"/>
  <c r="N425" i="172"/>
  <c r="I425" i="172"/>
  <c r="G425" i="172"/>
  <c r="N424" i="172"/>
  <c r="I424" i="172"/>
  <c r="D424" i="172"/>
  <c r="G424" i="172" s="1"/>
  <c r="N423" i="172"/>
  <c r="I423" i="172"/>
  <c r="D423" i="172"/>
  <c r="N421" i="172"/>
  <c r="I421" i="172"/>
  <c r="G421" i="172"/>
  <c r="N420" i="172"/>
  <c r="I420" i="172"/>
  <c r="G420" i="172"/>
  <c r="N419" i="172"/>
  <c r="I419" i="172"/>
  <c r="D419" i="172"/>
  <c r="G419" i="172" s="1"/>
  <c r="N418" i="172"/>
  <c r="I418" i="172"/>
  <c r="D418" i="172"/>
  <c r="N416" i="172"/>
  <c r="I416" i="172"/>
  <c r="G416" i="172"/>
  <c r="N415" i="172"/>
  <c r="I415" i="172"/>
  <c r="G415" i="172"/>
  <c r="N414" i="172"/>
  <c r="I414" i="172"/>
  <c r="D414" i="172"/>
  <c r="G414" i="172" s="1"/>
  <c r="N413" i="172"/>
  <c r="I413" i="172"/>
  <c r="D413" i="172"/>
  <c r="N411" i="172"/>
  <c r="I411" i="172"/>
  <c r="G411" i="172"/>
  <c r="N410" i="172"/>
  <c r="I410" i="172"/>
  <c r="G410" i="172"/>
  <c r="N409" i="172"/>
  <c r="I409" i="172"/>
  <c r="D409" i="172"/>
  <c r="G409" i="172" s="1"/>
  <c r="N408" i="172"/>
  <c r="I408" i="172"/>
  <c r="D408" i="172"/>
  <c r="N406" i="172"/>
  <c r="I406" i="172"/>
  <c r="G406" i="172"/>
  <c r="N405" i="172"/>
  <c r="I405" i="172"/>
  <c r="G405" i="172"/>
  <c r="N404" i="172"/>
  <c r="I404" i="172"/>
  <c r="D404" i="172"/>
  <c r="G404" i="172" s="1"/>
  <c r="N403" i="172"/>
  <c r="I403" i="172"/>
  <c r="D403" i="172"/>
  <c r="N401" i="172"/>
  <c r="I401" i="172"/>
  <c r="G401" i="172"/>
  <c r="N400" i="172"/>
  <c r="I400" i="172"/>
  <c r="G400" i="172"/>
  <c r="N399" i="172"/>
  <c r="I399" i="172"/>
  <c r="D399" i="172"/>
  <c r="G399" i="172" s="1"/>
  <c r="N398" i="172"/>
  <c r="I398" i="172"/>
  <c r="D398" i="172"/>
  <c r="N396" i="172"/>
  <c r="I396" i="172"/>
  <c r="G396" i="172"/>
  <c r="N395" i="172"/>
  <c r="I395" i="172"/>
  <c r="G395" i="172"/>
  <c r="N394" i="172"/>
  <c r="I394" i="172"/>
  <c r="D394" i="172"/>
  <c r="G394" i="172" s="1"/>
  <c r="N393" i="172"/>
  <c r="I393" i="172"/>
  <c r="D393" i="172"/>
  <c r="N390" i="172"/>
  <c r="I390" i="172"/>
  <c r="G390" i="172"/>
  <c r="N389" i="172"/>
  <c r="I389" i="172"/>
  <c r="G389" i="172"/>
  <c r="N388" i="172"/>
  <c r="I388" i="172"/>
  <c r="D388" i="172"/>
  <c r="G388" i="172" s="1"/>
  <c r="N387" i="172"/>
  <c r="I387" i="172"/>
  <c r="E387" i="172"/>
  <c r="D387" i="172"/>
  <c r="N385" i="172"/>
  <c r="I385" i="172"/>
  <c r="G385" i="172"/>
  <c r="N384" i="172"/>
  <c r="I384" i="172"/>
  <c r="G384" i="172"/>
  <c r="N383" i="172"/>
  <c r="I383" i="172"/>
  <c r="D383" i="172"/>
  <c r="G383" i="172" s="1"/>
  <c r="N382" i="172"/>
  <c r="I382" i="172"/>
  <c r="E382" i="172"/>
  <c r="D382" i="172"/>
  <c r="N380" i="172"/>
  <c r="I380" i="172"/>
  <c r="G380" i="172"/>
  <c r="N379" i="172"/>
  <c r="I379" i="172"/>
  <c r="G379" i="172"/>
  <c r="N378" i="172"/>
  <c r="I378" i="172"/>
  <c r="D378" i="172"/>
  <c r="G378" i="172" s="1"/>
  <c r="N377" i="172"/>
  <c r="I377" i="172"/>
  <c r="E377" i="172"/>
  <c r="D377" i="172"/>
  <c r="N374" i="172"/>
  <c r="I374" i="172"/>
  <c r="G374" i="172"/>
  <c r="N373" i="172"/>
  <c r="I373" i="172"/>
  <c r="G373" i="172"/>
  <c r="N372" i="172"/>
  <c r="I372" i="172"/>
  <c r="D372" i="172"/>
  <c r="G372" i="172" s="1"/>
  <c r="N371" i="172"/>
  <c r="I371" i="172"/>
  <c r="E371" i="172"/>
  <c r="D371" i="172"/>
  <c r="N369" i="172"/>
  <c r="I369" i="172"/>
  <c r="G369" i="172"/>
  <c r="N368" i="172"/>
  <c r="I368" i="172"/>
  <c r="G368" i="172"/>
  <c r="N367" i="172"/>
  <c r="I367" i="172"/>
  <c r="D367" i="172"/>
  <c r="G367" i="172" s="1"/>
  <c r="N366" i="172"/>
  <c r="I366" i="172"/>
  <c r="E366" i="172"/>
  <c r="D366" i="172"/>
  <c r="N363" i="172"/>
  <c r="I363" i="172"/>
  <c r="G363" i="172"/>
  <c r="N362" i="172"/>
  <c r="I362" i="172"/>
  <c r="G362" i="172"/>
  <c r="N361" i="172"/>
  <c r="I361" i="172"/>
  <c r="D361" i="172"/>
  <c r="G361" i="172" s="1"/>
  <c r="N360" i="172"/>
  <c r="I360" i="172"/>
  <c r="E360" i="172"/>
  <c r="D360" i="172"/>
  <c r="N358" i="172"/>
  <c r="I358" i="172"/>
  <c r="G358" i="172"/>
  <c r="N357" i="172"/>
  <c r="I357" i="172"/>
  <c r="G357" i="172"/>
  <c r="N356" i="172"/>
  <c r="I356" i="172"/>
  <c r="D356" i="172"/>
  <c r="G356" i="172" s="1"/>
  <c r="N355" i="172"/>
  <c r="I355" i="172"/>
  <c r="E355" i="172"/>
  <c r="D355" i="172"/>
  <c r="N353" i="172"/>
  <c r="I353" i="172"/>
  <c r="G353" i="172"/>
  <c r="N352" i="172"/>
  <c r="I352" i="172"/>
  <c r="G352" i="172"/>
  <c r="N351" i="172"/>
  <c r="I351" i="172"/>
  <c r="D351" i="172"/>
  <c r="G351" i="172" s="1"/>
  <c r="N350" i="172"/>
  <c r="I350" i="172"/>
  <c r="E350" i="172"/>
  <c r="D350" i="172"/>
  <c r="N348" i="172"/>
  <c r="I348" i="172"/>
  <c r="G348" i="172"/>
  <c r="N347" i="172"/>
  <c r="I347" i="172"/>
  <c r="G347" i="172"/>
  <c r="N346" i="172"/>
  <c r="I346" i="172"/>
  <c r="D346" i="172"/>
  <c r="G346" i="172" s="1"/>
  <c r="N345" i="172"/>
  <c r="I345" i="172"/>
  <c r="E345" i="172"/>
  <c r="D345" i="172"/>
  <c r="N342" i="172"/>
  <c r="I342" i="172"/>
  <c r="G342" i="172"/>
  <c r="N341" i="172"/>
  <c r="I341" i="172"/>
  <c r="G341" i="172"/>
  <c r="N340" i="172"/>
  <c r="I340" i="172"/>
  <c r="D340" i="172"/>
  <c r="G340" i="172" s="1"/>
  <c r="N339" i="172"/>
  <c r="I339" i="172"/>
  <c r="E339" i="172"/>
  <c r="D339" i="172"/>
  <c r="N337" i="172"/>
  <c r="I337" i="172"/>
  <c r="G337" i="172"/>
  <c r="N336" i="172"/>
  <c r="I336" i="172"/>
  <c r="G336" i="172"/>
  <c r="N335" i="172"/>
  <c r="I335" i="172"/>
  <c r="D335" i="172"/>
  <c r="G335" i="172" s="1"/>
  <c r="N334" i="172"/>
  <c r="I334" i="172"/>
  <c r="E334" i="172"/>
  <c r="D334" i="172"/>
  <c r="N332" i="172"/>
  <c r="I332" i="172"/>
  <c r="G332" i="172"/>
  <c r="N331" i="172"/>
  <c r="I331" i="172"/>
  <c r="G331" i="172"/>
  <c r="N330" i="172"/>
  <c r="I330" i="172"/>
  <c r="D330" i="172"/>
  <c r="G330" i="172" s="1"/>
  <c r="N329" i="172"/>
  <c r="I329" i="172"/>
  <c r="E329" i="172"/>
  <c r="D329" i="172"/>
  <c r="N327" i="172"/>
  <c r="I327" i="172"/>
  <c r="G327" i="172"/>
  <c r="N326" i="172"/>
  <c r="I326" i="172"/>
  <c r="G326" i="172"/>
  <c r="N325" i="172"/>
  <c r="I325" i="172"/>
  <c r="D325" i="172"/>
  <c r="G325" i="172" s="1"/>
  <c r="N324" i="172"/>
  <c r="I324" i="172"/>
  <c r="E324" i="172"/>
  <c r="D324" i="172"/>
  <c r="N321" i="172"/>
  <c r="I321" i="172"/>
  <c r="G321" i="172"/>
  <c r="N320" i="172"/>
  <c r="I320" i="172"/>
  <c r="G320" i="172"/>
  <c r="N319" i="172"/>
  <c r="I319" i="172"/>
  <c r="D319" i="172"/>
  <c r="G319" i="172" s="1"/>
  <c r="N318" i="172"/>
  <c r="I318" i="172"/>
  <c r="D318" i="172"/>
  <c r="G318" i="172" s="1"/>
  <c r="N316" i="172"/>
  <c r="I316" i="172"/>
  <c r="G316" i="172"/>
  <c r="N315" i="172"/>
  <c r="I315" i="172"/>
  <c r="G315" i="172"/>
  <c r="N314" i="172"/>
  <c r="I314" i="172"/>
  <c r="D314" i="172"/>
  <c r="G314" i="172" s="1"/>
  <c r="N313" i="172"/>
  <c r="I313" i="172"/>
  <c r="E313" i="172"/>
  <c r="D313" i="172"/>
  <c r="N311" i="172"/>
  <c r="I311" i="172"/>
  <c r="G311" i="172"/>
  <c r="N310" i="172"/>
  <c r="I310" i="172"/>
  <c r="G310" i="172"/>
  <c r="N309" i="172"/>
  <c r="I309" i="172"/>
  <c r="D309" i="172"/>
  <c r="G309" i="172" s="1"/>
  <c r="N308" i="172"/>
  <c r="I308" i="172"/>
  <c r="E308" i="172"/>
  <c r="D308" i="172"/>
  <c r="N305" i="172"/>
  <c r="I305" i="172"/>
  <c r="G305" i="172"/>
  <c r="N304" i="172"/>
  <c r="I304" i="172"/>
  <c r="G304" i="172"/>
  <c r="N303" i="172"/>
  <c r="I303" i="172"/>
  <c r="D303" i="172"/>
  <c r="G303" i="172" s="1"/>
  <c r="N302" i="172"/>
  <c r="I302" i="172"/>
  <c r="D302" i="172"/>
  <c r="G302" i="172" s="1"/>
  <c r="N300" i="172"/>
  <c r="I300" i="172"/>
  <c r="G300" i="172"/>
  <c r="N299" i="172"/>
  <c r="I299" i="172"/>
  <c r="G299" i="172"/>
  <c r="N298" i="172"/>
  <c r="I298" i="172"/>
  <c r="D298" i="172"/>
  <c r="G298" i="172" s="1"/>
  <c r="N297" i="172"/>
  <c r="I297" i="172"/>
  <c r="E297" i="172"/>
  <c r="D297" i="172"/>
  <c r="N295" i="172"/>
  <c r="I295" i="172"/>
  <c r="G295" i="172"/>
  <c r="N294" i="172"/>
  <c r="I294" i="172"/>
  <c r="G294" i="172"/>
  <c r="N293" i="172"/>
  <c r="I293" i="172"/>
  <c r="D293" i="172"/>
  <c r="G293" i="172" s="1"/>
  <c r="N292" i="172"/>
  <c r="I292" i="172"/>
  <c r="E292" i="172"/>
  <c r="D292" i="172"/>
  <c r="N289" i="172"/>
  <c r="I289" i="172"/>
  <c r="G289" i="172"/>
  <c r="N288" i="172"/>
  <c r="I288" i="172"/>
  <c r="G288" i="172"/>
  <c r="N287" i="172"/>
  <c r="I287" i="172"/>
  <c r="D287" i="172"/>
  <c r="G287" i="172" s="1"/>
  <c r="N286" i="172"/>
  <c r="I286" i="172"/>
  <c r="D286" i="172"/>
  <c r="G286" i="172" s="1"/>
  <c r="N284" i="172"/>
  <c r="I284" i="172"/>
  <c r="G284" i="172"/>
  <c r="N283" i="172"/>
  <c r="I283" i="172"/>
  <c r="G283" i="172"/>
  <c r="N282" i="172"/>
  <c r="I282" i="172"/>
  <c r="D282" i="172"/>
  <c r="G282" i="172" s="1"/>
  <c r="N281" i="172"/>
  <c r="I281" i="172"/>
  <c r="E281" i="172"/>
  <c r="D281" i="172"/>
  <c r="N279" i="172"/>
  <c r="I279" i="172"/>
  <c r="G279" i="172"/>
  <c r="N278" i="172"/>
  <c r="I278" i="172"/>
  <c r="G278" i="172"/>
  <c r="N277" i="172"/>
  <c r="I277" i="172"/>
  <c r="D277" i="172"/>
  <c r="G277" i="172" s="1"/>
  <c r="N276" i="172"/>
  <c r="I276" i="172"/>
  <c r="E276" i="172"/>
  <c r="D276" i="172"/>
  <c r="N273" i="172"/>
  <c r="I273" i="172"/>
  <c r="G273" i="172"/>
  <c r="N272" i="172"/>
  <c r="I272" i="172"/>
  <c r="G272" i="172"/>
  <c r="N271" i="172"/>
  <c r="I271" i="172"/>
  <c r="D271" i="172"/>
  <c r="G271" i="172" s="1"/>
  <c r="N270" i="172"/>
  <c r="I270" i="172"/>
  <c r="D270" i="172"/>
  <c r="G270" i="172" s="1"/>
  <c r="N268" i="172"/>
  <c r="I268" i="172"/>
  <c r="G268" i="172"/>
  <c r="N267" i="172"/>
  <c r="I267" i="172"/>
  <c r="G267" i="172"/>
  <c r="N266" i="172"/>
  <c r="I266" i="172"/>
  <c r="D266" i="172"/>
  <c r="G266" i="172" s="1"/>
  <c r="N265" i="172"/>
  <c r="I265" i="172"/>
  <c r="E265" i="172"/>
  <c r="D265" i="172"/>
  <c r="N263" i="172"/>
  <c r="I263" i="172"/>
  <c r="G263" i="172"/>
  <c r="N262" i="172"/>
  <c r="I262" i="172"/>
  <c r="G262" i="172"/>
  <c r="N261" i="172"/>
  <c r="I261" i="172"/>
  <c r="D261" i="172"/>
  <c r="G261" i="172" s="1"/>
  <c r="N260" i="172"/>
  <c r="I260" i="172"/>
  <c r="E260" i="172"/>
  <c r="D260" i="172"/>
  <c r="N247" i="172"/>
  <c r="I247" i="172"/>
  <c r="G247" i="172"/>
  <c r="N246" i="172"/>
  <c r="I246" i="172"/>
  <c r="G246" i="172"/>
  <c r="N245" i="172"/>
  <c r="I245" i="172"/>
  <c r="D245" i="172"/>
  <c r="G245" i="172" s="1"/>
  <c r="N244" i="172"/>
  <c r="I244" i="172"/>
  <c r="D244" i="172"/>
  <c r="G244" i="172" s="1"/>
  <c r="N257" i="172"/>
  <c r="I257" i="172"/>
  <c r="G257" i="172"/>
  <c r="N256" i="172"/>
  <c r="I256" i="172"/>
  <c r="G256" i="172"/>
  <c r="N255" i="172"/>
  <c r="I255" i="172"/>
  <c r="D255" i="172"/>
  <c r="G255" i="172" s="1"/>
  <c r="N254" i="172"/>
  <c r="I254" i="172"/>
  <c r="E254" i="172"/>
  <c r="D254" i="172"/>
  <c r="N252" i="172"/>
  <c r="I252" i="172"/>
  <c r="G252" i="172"/>
  <c r="N251" i="172"/>
  <c r="I251" i="172"/>
  <c r="G251" i="172"/>
  <c r="N250" i="172"/>
  <c r="I250" i="172"/>
  <c r="D250" i="172"/>
  <c r="G250" i="172" s="1"/>
  <c r="N249" i="172"/>
  <c r="I249" i="172"/>
  <c r="E249" i="172"/>
  <c r="D249" i="172"/>
  <c r="N242" i="172"/>
  <c r="I242" i="172"/>
  <c r="G242" i="172"/>
  <c r="N241" i="172"/>
  <c r="I241" i="172"/>
  <c r="G241" i="172"/>
  <c r="N240" i="172"/>
  <c r="I240" i="172"/>
  <c r="D240" i="172"/>
  <c r="G240" i="172" s="1"/>
  <c r="N239" i="172"/>
  <c r="I239" i="172"/>
  <c r="E239" i="172"/>
  <c r="D239" i="172"/>
  <c r="N237" i="172"/>
  <c r="I237" i="172"/>
  <c r="G237" i="172"/>
  <c r="N236" i="172"/>
  <c r="I236" i="172"/>
  <c r="G236" i="172"/>
  <c r="N235" i="172"/>
  <c r="I235" i="172"/>
  <c r="D235" i="172"/>
  <c r="G235" i="172" s="1"/>
  <c r="N234" i="172"/>
  <c r="I234" i="172"/>
  <c r="E234" i="172"/>
  <c r="D234" i="172"/>
  <c r="N231" i="172"/>
  <c r="I231" i="172"/>
  <c r="G231" i="172"/>
  <c r="N230" i="172"/>
  <c r="I230" i="172"/>
  <c r="G230" i="172"/>
  <c r="N229" i="172"/>
  <c r="I229" i="172"/>
  <c r="D229" i="172"/>
  <c r="G229" i="172" s="1"/>
  <c r="N228" i="172"/>
  <c r="I228" i="172"/>
  <c r="E228" i="172"/>
  <c r="D228" i="172"/>
  <c r="N226" i="172"/>
  <c r="I226" i="172"/>
  <c r="G226" i="172"/>
  <c r="N225" i="172"/>
  <c r="I225" i="172"/>
  <c r="G225" i="172"/>
  <c r="N224" i="172"/>
  <c r="I224" i="172"/>
  <c r="D224" i="172"/>
  <c r="G224" i="172" s="1"/>
  <c r="N223" i="172"/>
  <c r="I223" i="172"/>
  <c r="E223" i="172"/>
  <c r="D223" i="172"/>
  <c r="N221" i="172"/>
  <c r="I221" i="172"/>
  <c r="G221" i="172"/>
  <c r="N220" i="172"/>
  <c r="I220" i="172"/>
  <c r="G220" i="172"/>
  <c r="N219" i="172"/>
  <c r="I219" i="172"/>
  <c r="D219" i="172"/>
  <c r="G219" i="172" s="1"/>
  <c r="N218" i="172"/>
  <c r="I218" i="172"/>
  <c r="E218" i="172"/>
  <c r="D218" i="172"/>
  <c r="N216" i="172"/>
  <c r="I216" i="172"/>
  <c r="G216" i="172"/>
  <c r="N215" i="172"/>
  <c r="I215" i="172"/>
  <c r="G215" i="172"/>
  <c r="N214" i="172"/>
  <c r="I214" i="172"/>
  <c r="D214" i="172"/>
  <c r="G214" i="172" s="1"/>
  <c r="N213" i="172"/>
  <c r="I213" i="172"/>
  <c r="E213" i="172"/>
  <c r="D213" i="172"/>
  <c r="N210" i="172"/>
  <c r="I210" i="172"/>
  <c r="G210" i="172"/>
  <c r="N209" i="172"/>
  <c r="I209" i="172"/>
  <c r="G209" i="172"/>
  <c r="N208" i="172"/>
  <c r="I208" i="172"/>
  <c r="D208" i="172"/>
  <c r="G208" i="172" s="1"/>
  <c r="N207" i="172"/>
  <c r="I207" i="172"/>
  <c r="E207" i="172"/>
  <c r="D207" i="172"/>
  <c r="N205" i="172"/>
  <c r="I205" i="172"/>
  <c r="G205" i="172"/>
  <c r="N204" i="172"/>
  <c r="I204" i="172"/>
  <c r="G204" i="172"/>
  <c r="N203" i="172"/>
  <c r="I203" i="172"/>
  <c r="D203" i="172"/>
  <c r="G203" i="172" s="1"/>
  <c r="N202" i="172"/>
  <c r="I202" i="172"/>
  <c r="E202" i="172"/>
  <c r="D202" i="172"/>
  <c r="N200" i="172"/>
  <c r="I200" i="172"/>
  <c r="G200" i="172"/>
  <c r="N199" i="172"/>
  <c r="I199" i="172"/>
  <c r="G199" i="172"/>
  <c r="N198" i="172"/>
  <c r="I198" i="172"/>
  <c r="D198" i="172"/>
  <c r="G198" i="172" s="1"/>
  <c r="N197" i="172"/>
  <c r="I197" i="172"/>
  <c r="E197" i="172"/>
  <c r="D197" i="172"/>
  <c r="N195" i="172"/>
  <c r="I195" i="172"/>
  <c r="G195" i="172"/>
  <c r="N194" i="172"/>
  <c r="I194" i="172"/>
  <c r="G194" i="172"/>
  <c r="N193" i="172"/>
  <c r="I193" i="172"/>
  <c r="D193" i="172"/>
  <c r="G193" i="172" s="1"/>
  <c r="N192" i="172"/>
  <c r="I192" i="172"/>
  <c r="E192" i="172"/>
  <c r="D192" i="172"/>
  <c r="N189" i="172"/>
  <c r="I189" i="172"/>
  <c r="G189" i="172"/>
  <c r="N188" i="172"/>
  <c r="I188" i="172"/>
  <c r="G188" i="172"/>
  <c r="N187" i="172"/>
  <c r="I187" i="172"/>
  <c r="D187" i="172"/>
  <c r="G187" i="172" s="1"/>
  <c r="N186" i="172"/>
  <c r="I186" i="172"/>
  <c r="E186" i="172"/>
  <c r="D186" i="172"/>
  <c r="N184" i="172"/>
  <c r="I184" i="172"/>
  <c r="G184" i="172"/>
  <c r="N183" i="172"/>
  <c r="I183" i="172"/>
  <c r="G183" i="172"/>
  <c r="N182" i="172"/>
  <c r="I182" i="172"/>
  <c r="D182" i="172"/>
  <c r="G182" i="172" s="1"/>
  <c r="N181" i="172"/>
  <c r="I181" i="172"/>
  <c r="E181" i="172"/>
  <c r="D181" i="172"/>
  <c r="N179" i="172"/>
  <c r="I179" i="172"/>
  <c r="G179" i="172"/>
  <c r="N178" i="172"/>
  <c r="I178" i="172"/>
  <c r="G178" i="172"/>
  <c r="N177" i="172"/>
  <c r="I177" i="172"/>
  <c r="D177" i="172"/>
  <c r="G177" i="172" s="1"/>
  <c r="N176" i="172"/>
  <c r="I176" i="172"/>
  <c r="E176" i="172"/>
  <c r="D176" i="172"/>
  <c r="D165" i="172"/>
  <c r="G165" i="172" s="1"/>
  <c r="N168" i="172"/>
  <c r="I168" i="172"/>
  <c r="G168" i="172"/>
  <c r="N167" i="172"/>
  <c r="I167" i="172"/>
  <c r="G167" i="172"/>
  <c r="N166" i="172"/>
  <c r="I166" i="172"/>
  <c r="D166" i="172"/>
  <c r="G166" i="172" s="1"/>
  <c r="N165" i="172"/>
  <c r="I165" i="172"/>
  <c r="N173" i="172"/>
  <c r="I173" i="172"/>
  <c r="G173" i="172"/>
  <c r="N172" i="172"/>
  <c r="I172" i="172"/>
  <c r="G172" i="172"/>
  <c r="N171" i="172"/>
  <c r="I171" i="172"/>
  <c r="D171" i="172"/>
  <c r="G171" i="172" s="1"/>
  <c r="N170" i="172"/>
  <c r="I170" i="172"/>
  <c r="E170" i="172"/>
  <c r="D170" i="172"/>
  <c r="D160" i="172"/>
  <c r="G160" i="172" s="1"/>
  <c r="N162" i="172"/>
  <c r="I162" i="172"/>
  <c r="G162" i="172"/>
  <c r="N161" i="172"/>
  <c r="I161" i="172"/>
  <c r="G161" i="172"/>
  <c r="N160" i="172"/>
  <c r="I160" i="172"/>
  <c r="N159" i="172"/>
  <c r="I159" i="172"/>
  <c r="D159" i="172"/>
  <c r="G159" i="172" s="1"/>
  <c r="N157" i="172"/>
  <c r="I157" i="172"/>
  <c r="G157" i="172"/>
  <c r="N156" i="172"/>
  <c r="I156" i="172"/>
  <c r="G156" i="172"/>
  <c r="N155" i="172"/>
  <c r="I155" i="172"/>
  <c r="D155" i="172"/>
  <c r="G155" i="172" s="1"/>
  <c r="N154" i="172"/>
  <c r="I154" i="172"/>
  <c r="E154" i="172"/>
  <c r="D154" i="172"/>
  <c r="N152" i="172"/>
  <c r="I152" i="172"/>
  <c r="G152" i="172"/>
  <c r="N151" i="172"/>
  <c r="I151" i="172"/>
  <c r="G151" i="172"/>
  <c r="N150" i="172"/>
  <c r="I150" i="172"/>
  <c r="D150" i="172"/>
  <c r="G150" i="172" s="1"/>
  <c r="N149" i="172"/>
  <c r="I149" i="172"/>
  <c r="E149" i="172"/>
  <c r="D149" i="172"/>
  <c r="N146" i="172"/>
  <c r="I146" i="172"/>
  <c r="G146" i="172"/>
  <c r="N145" i="172"/>
  <c r="I145" i="172"/>
  <c r="G145" i="172"/>
  <c r="N144" i="172"/>
  <c r="I144" i="172"/>
  <c r="D144" i="172"/>
  <c r="G144" i="172" s="1"/>
  <c r="N143" i="172"/>
  <c r="I143" i="172"/>
  <c r="E143" i="172"/>
  <c r="D143" i="172"/>
  <c r="N141" i="172"/>
  <c r="I141" i="172"/>
  <c r="G141" i="172"/>
  <c r="N140" i="172"/>
  <c r="I140" i="172"/>
  <c r="G140" i="172"/>
  <c r="N139" i="172"/>
  <c r="I139" i="172"/>
  <c r="D139" i="172"/>
  <c r="G139" i="172" s="1"/>
  <c r="N138" i="172"/>
  <c r="I138" i="172"/>
  <c r="E138" i="172"/>
  <c r="D138" i="172"/>
  <c r="N136" i="172"/>
  <c r="I136" i="172"/>
  <c r="G136" i="172"/>
  <c r="N135" i="172"/>
  <c r="I135" i="172"/>
  <c r="G135" i="172"/>
  <c r="N134" i="172"/>
  <c r="I134" i="172"/>
  <c r="D134" i="172"/>
  <c r="G134" i="172" s="1"/>
  <c r="N133" i="172"/>
  <c r="I133" i="172"/>
  <c r="E133" i="172"/>
  <c r="D133" i="172"/>
  <c r="N130" i="172"/>
  <c r="I130" i="172"/>
  <c r="G130" i="172"/>
  <c r="N129" i="172"/>
  <c r="I129" i="172"/>
  <c r="G129" i="172"/>
  <c r="N128" i="172"/>
  <c r="I128" i="172"/>
  <c r="D128" i="172"/>
  <c r="G128" i="172" s="1"/>
  <c r="N127" i="172"/>
  <c r="I127" i="172"/>
  <c r="E127" i="172"/>
  <c r="D127" i="172"/>
  <c r="N125" i="172"/>
  <c r="I125" i="172"/>
  <c r="G125" i="172"/>
  <c r="N124" i="172"/>
  <c r="I124" i="172"/>
  <c r="G124" i="172"/>
  <c r="N123" i="172"/>
  <c r="I123" i="172"/>
  <c r="D123" i="172"/>
  <c r="G123" i="172" s="1"/>
  <c r="N122" i="172"/>
  <c r="I122" i="172"/>
  <c r="E122" i="172"/>
  <c r="D122" i="172"/>
  <c r="N120" i="172"/>
  <c r="I120" i="172"/>
  <c r="G120" i="172"/>
  <c r="N119" i="172"/>
  <c r="I119" i="172"/>
  <c r="G119" i="172"/>
  <c r="N118" i="172"/>
  <c r="I118" i="172"/>
  <c r="D118" i="172"/>
  <c r="G118" i="172" s="1"/>
  <c r="N117" i="172"/>
  <c r="I117" i="172"/>
  <c r="E117" i="172"/>
  <c r="D117" i="172"/>
  <c r="N115" i="172"/>
  <c r="I115" i="172"/>
  <c r="G115" i="172"/>
  <c r="N114" i="172"/>
  <c r="I114" i="172"/>
  <c r="G114" i="172"/>
  <c r="N113" i="172"/>
  <c r="I113" i="172"/>
  <c r="D113" i="172"/>
  <c r="G113" i="172" s="1"/>
  <c r="N112" i="172"/>
  <c r="I112" i="172"/>
  <c r="E112" i="172"/>
  <c r="D112" i="172"/>
  <c r="N109" i="172"/>
  <c r="I109" i="172"/>
  <c r="G109" i="172"/>
  <c r="N108" i="172"/>
  <c r="I108" i="172"/>
  <c r="G108" i="172"/>
  <c r="N107" i="172"/>
  <c r="I107" i="172"/>
  <c r="D107" i="172"/>
  <c r="G107" i="172" s="1"/>
  <c r="N106" i="172"/>
  <c r="I106" i="172"/>
  <c r="E106" i="172"/>
  <c r="D106" i="172"/>
  <c r="N104" i="172"/>
  <c r="I104" i="172"/>
  <c r="G104" i="172"/>
  <c r="N103" i="172"/>
  <c r="I103" i="172"/>
  <c r="G103" i="172"/>
  <c r="N102" i="172"/>
  <c r="I102" i="172"/>
  <c r="D102" i="172"/>
  <c r="G102" i="172" s="1"/>
  <c r="N101" i="172"/>
  <c r="I101" i="172"/>
  <c r="E101" i="172"/>
  <c r="D101" i="172"/>
  <c r="N98" i="172"/>
  <c r="I98" i="172"/>
  <c r="G98" i="172"/>
  <c r="N97" i="172"/>
  <c r="I97" i="172"/>
  <c r="G97" i="172"/>
  <c r="N96" i="172"/>
  <c r="I96" i="172"/>
  <c r="D96" i="172"/>
  <c r="G96" i="172" s="1"/>
  <c r="N95" i="172"/>
  <c r="I95" i="172"/>
  <c r="E95" i="172"/>
  <c r="D95" i="172"/>
  <c r="N93" i="172"/>
  <c r="I93" i="172"/>
  <c r="G93" i="172"/>
  <c r="N92" i="172"/>
  <c r="I92" i="172"/>
  <c r="G92" i="172"/>
  <c r="N91" i="172"/>
  <c r="I91" i="172"/>
  <c r="D91" i="172"/>
  <c r="G91" i="172" s="1"/>
  <c r="N90" i="172"/>
  <c r="I90" i="172"/>
  <c r="E90" i="172"/>
  <c r="D90" i="172"/>
  <c r="N88" i="172"/>
  <c r="I88" i="172"/>
  <c r="G88" i="172"/>
  <c r="N87" i="172"/>
  <c r="I87" i="172"/>
  <c r="G87" i="172"/>
  <c r="N86" i="172"/>
  <c r="I86" i="172"/>
  <c r="D86" i="172"/>
  <c r="G86" i="172" s="1"/>
  <c r="N85" i="172"/>
  <c r="I85" i="172"/>
  <c r="E85" i="172"/>
  <c r="D85" i="172"/>
  <c r="N55" i="172"/>
  <c r="I55" i="172"/>
  <c r="G55" i="172"/>
  <c r="N54" i="172"/>
  <c r="I54" i="172"/>
  <c r="G54" i="172"/>
  <c r="N53" i="172"/>
  <c r="I53" i="172"/>
  <c r="D53" i="172"/>
  <c r="G53" i="172" s="1"/>
  <c r="N52" i="172"/>
  <c r="I52" i="172"/>
  <c r="E52" i="172"/>
  <c r="D52" i="172"/>
  <c r="N50" i="172"/>
  <c r="I50" i="172"/>
  <c r="G50" i="172"/>
  <c r="N49" i="172"/>
  <c r="I49" i="172"/>
  <c r="G49" i="172"/>
  <c r="N48" i="172"/>
  <c r="I48" i="172"/>
  <c r="D48" i="172"/>
  <c r="G48" i="172" s="1"/>
  <c r="N47" i="172"/>
  <c r="I47" i="172"/>
  <c r="E47" i="172"/>
  <c r="D47" i="172"/>
  <c r="N45" i="172"/>
  <c r="I45" i="172"/>
  <c r="G45" i="172"/>
  <c r="N44" i="172"/>
  <c r="I44" i="172"/>
  <c r="G44" i="172"/>
  <c r="N43" i="172"/>
  <c r="I43" i="172"/>
  <c r="D43" i="172"/>
  <c r="G43" i="172" s="1"/>
  <c r="N42" i="172"/>
  <c r="I42" i="172"/>
  <c r="E42" i="172"/>
  <c r="D42" i="172"/>
  <c r="N39" i="172"/>
  <c r="I39" i="172"/>
  <c r="G39" i="172"/>
  <c r="N38" i="172"/>
  <c r="I38" i="172"/>
  <c r="G38" i="172"/>
  <c r="N37" i="172"/>
  <c r="I37" i="172"/>
  <c r="D37" i="172"/>
  <c r="G37" i="172" s="1"/>
  <c r="N36" i="172"/>
  <c r="I36" i="172"/>
  <c r="E36" i="172"/>
  <c r="D36" i="172"/>
  <c r="N34" i="172"/>
  <c r="I34" i="172"/>
  <c r="G34" i="172"/>
  <c r="N33" i="172"/>
  <c r="I33" i="172"/>
  <c r="G33" i="172"/>
  <c r="N32" i="172"/>
  <c r="I32" i="172"/>
  <c r="D32" i="172"/>
  <c r="G32" i="172" s="1"/>
  <c r="N31" i="172"/>
  <c r="I31" i="172"/>
  <c r="E31" i="172"/>
  <c r="D31" i="172"/>
  <c r="I28" i="172"/>
  <c r="I27" i="172"/>
  <c r="I26" i="172"/>
  <c r="I25" i="172"/>
  <c r="I23" i="172"/>
  <c r="I22" i="172"/>
  <c r="I21" i="172"/>
  <c r="I20" i="172"/>
  <c r="I18" i="172"/>
  <c r="I17" i="172"/>
  <c r="I16" i="172"/>
  <c r="I15" i="172"/>
  <c r="I11" i="172"/>
  <c r="I12" i="172"/>
  <c r="I13" i="172"/>
  <c r="I10" i="172"/>
  <c r="N28" i="172"/>
  <c r="G28" i="172"/>
  <c r="N27" i="172"/>
  <c r="G27" i="172"/>
  <c r="N26" i="172"/>
  <c r="D26" i="172"/>
  <c r="G26" i="172" s="1"/>
  <c r="N25" i="172"/>
  <c r="E25" i="172"/>
  <c r="D25" i="172"/>
  <c r="N23" i="172"/>
  <c r="G23" i="172"/>
  <c r="N22" i="172"/>
  <c r="G22" i="172"/>
  <c r="N21" i="172"/>
  <c r="D21" i="172"/>
  <c r="G21" i="172" s="1"/>
  <c r="N20" i="172"/>
  <c r="E20" i="172"/>
  <c r="D20" i="172"/>
  <c r="D11" i="172"/>
  <c r="D16" i="172"/>
  <c r="G16" i="172" s="1"/>
  <c r="N18" i="172"/>
  <c r="G18" i="172"/>
  <c r="N17" i="172"/>
  <c r="G17" i="172"/>
  <c r="N16" i="172"/>
  <c r="N15" i="172"/>
  <c r="E15" i="172"/>
  <c r="D15" i="172"/>
  <c r="N13" i="172"/>
  <c r="N12" i="172"/>
  <c r="N11" i="172"/>
  <c r="N10" i="172"/>
  <c r="D10" i="172"/>
  <c r="E10" i="172"/>
  <c r="G13" i="172"/>
  <c r="G12" i="172"/>
  <c r="K150" i="84"/>
  <c r="K147" i="84"/>
  <c r="K144" i="84"/>
  <c r="K146" i="84"/>
  <c r="K155" i="84"/>
  <c r="K152" i="84"/>
  <c r="K149" i="84"/>
  <c r="K143" i="84"/>
  <c r="G40" i="84"/>
  <c r="K40" i="84" s="1"/>
  <c r="K60" i="84"/>
  <c r="K117" i="84"/>
  <c r="K118" i="84"/>
  <c r="K119" i="84"/>
  <c r="K120" i="84"/>
  <c r="K121" i="84"/>
  <c r="K116" i="84"/>
  <c r="K115" i="84"/>
  <c r="K114" i="84"/>
  <c r="E66" i="84"/>
  <c r="K66" i="84" s="1"/>
  <c r="E68" i="84"/>
  <c r="K68" i="84" s="1"/>
  <c r="E67" i="84"/>
  <c r="K67" i="84" s="1"/>
  <c r="K112" i="84"/>
  <c r="K58" i="84"/>
  <c r="K57" i="84"/>
  <c r="K56" i="84"/>
  <c r="K55" i="84"/>
  <c r="K54" i="84"/>
  <c r="K53" i="84"/>
  <c r="K110" i="84"/>
  <c r="K109" i="84"/>
  <c r="K108" i="84"/>
  <c r="K107" i="84"/>
  <c r="K106" i="84"/>
  <c r="K105" i="84"/>
  <c r="K104" i="84"/>
  <c r="K103" i="84"/>
  <c r="K102" i="84"/>
  <c r="K101" i="84"/>
  <c r="K100" i="84"/>
  <c r="K98" i="84"/>
  <c r="K51" i="84"/>
  <c r="K48" i="84"/>
  <c r="K49" i="84"/>
  <c r="K50" i="84"/>
  <c r="K44" i="84"/>
  <c r="K45" i="84"/>
  <c r="K46" i="84"/>
  <c r="K47" i="84"/>
  <c r="K43" i="84"/>
  <c r="K42" i="84"/>
  <c r="K96" i="84"/>
  <c r="K95" i="84"/>
  <c r="K94" i="84"/>
  <c r="K93" i="84"/>
  <c r="K92" i="84"/>
  <c r="K91" i="84"/>
  <c r="K90" i="84"/>
  <c r="K89" i="84"/>
  <c r="K88" i="84"/>
  <c r="K86" i="84"/>
  <c r="F32" i="88"/>
  <c r="F313" i="84"/>
  <c r="F312" i="84"/>
  <c r="F311" i="84"/>
  <c r="F310" i="84"/>
  <c r="F309" i="84"/>
  <c r="F308" i="84"/>
  <c r="F307" i="84"/>
  <c r="F306" i="84"/>
  <c r="E313" i="84"/>
  <c r="E309" i="84"/>
  <c r="E308" i="84"/>
  <c r="D313" i="84"/>
  <c r="D312" i="84"/>
  <c r="D311" i="84"/>
  <c r="D310" i="84"/>
  <c r="D309" i="84"/>
  <c r="D308" i="84"/>
  <c r="D307" i="84"/>
  <c r="D306" i="84"/>
  <c r="B307" i="84"/>
  <c r="B308" i="84"/>
  <c r="B309" i="84"/>
  <c r="B310" i="84"/>
  <c r="B311" i="84"/>
  <c r="B312" i="84"/>
  <c r="B313" i="84"/>
  <c r="B306" i="84"/>
  <c r="D304" i="84"/>
  <c r="D303" i="84"/>
  <c r="D302" i="84"/>
  <c r="D301" i="84"/>
  <c r="D300" i="84"/>
  <c r="D299" i="84"/>
  <c r="H300" i="84"/>
  <c r="H301" i="84"/>
  <c r="H302" i="84"/>
  <c r="H303" i="84"/>
  <c r="H304" i="84"/>
  <c r="H299" i="84"/>
  <c r="B303" i="84"/>
  <c r="B304" i="84"/>
  <c r="B300" i="84"/>
  <c r="B301" i="84"/>
  <c r="B302" i="84"/>
  <c r="B299" i="84"/>
  <c r="L38" i="84"/>
  <c r="I489" i="172" l="1"/>
  <c r="O23" i="178"/>
  <c r="J420" i="172"/>
  <c r="M420" i="172" s="1"/>
  <c r="J435" i="172"/>
  <c r="M435" i="172" s="1"/>
  <c r="O435" i="172" s="1"/>
  <c r="J478" i="172"/>
  <c r="M478" i="172" s="1"/>
  <c r="O478" i="172" s="1"/>
  <c r="J439" i="172"/>
  <c r="M439" i="172" s="1"/>
  <c r="O439" i="172" s="1"/>
  <c r="J447" i="172"/>
  <c r="M447" i="172" s="1"/>
  <c r="O447" i="172" s="1"/>
  <c r="J467" i="172"/>
  <c r="M467" i="172" s="1"/>
  <c r="O467" i="172" s="1"/>
  <c r="O16" i="178"/>
  <c r="J456" i="172"/>
  <c r="M456" i="172" s="1"/>
  <c r="O456" i="172" s="1"/>
  <c r="O172" i="173"/>
  <c r="O175" i="173"/>
  <c r="O185" i="173"/>
  <c r="J426" i="172"/>
  <c r="M426" i="172" s="1"/>
  <c r="O426" i="172" s="1"/>
  <c r="G433" i="172"/>
  <c r="J433" i="172" s="1"/>
  <c r="M433" i="172" s="1"/>
  <c r="J472" i="172"/>
  <c r="M472" i="172" s="1"/>
  <c r="O472" i="172" s="1"/>
  <c r="J477" i="172"/>
  <c r="M477" i="172" s="1"/>
  <c r="O477" i="172" s="1"/>
  <c r="O17" i="178"/>
  <c r="O22" i="178"/>
  <c r="J451" i="172"/>
  <c r="M451" i="172" s="1"/>
  <c r="O451" i="172" s="1"/>
  <c r="J471" i="172"/>
  <c r="M471" i="172" s="1"/>
  <c r="O471" i="172" s="1"/>
  <c r="J476" i="172"/>
  <c r="M476" i="172" s="1"/>
  <c r="O476" i="172" s="1"/>
  <c r="G239" i="175"/>
  <c r="H239" i="175" s="1"/>
  <c r="J227" i="175"/>
  <c r="M227" i="175" s="1"/>
  <c r="O227" i="175" s="1"/>
  <c r="J241" i="175"/>
  <c r="M241" i="175" s="1"/>
  <c r="O241" i="175" s="1"/>
  <c r="G240" i="175"/>
  <c r="H240" i="175" s="1"/>
  <c r="J240" i="175" s="1"/>
  <c r="M240" i="175" s="1"/>
  <c r="O240" i="175" s="1"/>
  <c r="J239" i="175"/>
  <c r="M239" i="175" s="1"/>
  <c r="O239" i="175" s="1"/>
  <c r="J233" i="175"/>
  <c r="M233" i="175" s="1"/>
  <c r="O233" i="175" s="1"/>
  <c r="I367" i="84"/>
  <c r="K367" i="84" s="1"/>
  <c r="M24" i="178"/>
  <c r="O24" i="178" s="1"/>
  <c r="M25" i="178"/>
  <c r="K21" i="178"/>
  <c r="M21" i="178" s="1"/>
  <c r="O21" i="178" s="1"/>
  <c r="M19" i="178"/>
  <c r="M15" i="178"/>
  <c r="O15" i="178" s="1"/>
  <c r="M12" i="178"/>
  <c r="O12" i="178" s="1"/>
  <c r="M9" i="178"/>
  <c r="O9" i="178" s="1"/>
  <c r="O11" i="178"/>
  <c r="M13" i="178"/>
  <c r="J10" i="178"/>
  <c r="M10" i="178" s="1"/>
  <c r="O10" i="178" s="1"/>
  <c r="J229" i="175"/>
  <c r="M229" i="175" s="1"/>
  <c r="O229" i="175" s="1"/>
  <c r="J237" i="175"/>
  <c r="M237" i="175" s="1"/>
  <c r="O237" i="175" s="1"/>
  <c r="J231" i="175"/>
  <c r="M231" i="175" s="1"/>
  <c r="O231" i="175" s="1"/>
  <c r="J242" i="175"/>
  <c r="M242" i="175" s="1"/>
  <c r="O242" i="175" s="1"/>
  <c r="J235" i="175"/>
  <c r="M235" i="175" s="1"/>
  <c r="O235" i="175" s="1"/>
  <c r="J226" i="175"/>
  <c r="M226" i="175" s="1"/>
  <c r="O226" i="175" s="1"/>
  <c r="J234" i="175"/>
  <c r="M234" i="175" s="1"/>
  <c r="O234" i="175" s="1"/>
  <c r="J232" i="175"/>
  <c r="M232" i="175" s="1"/>
  <c r="O232" i="175" s="1"/>
  <c r="J236" i="175"/>
  <c r="M236" i="175" s="1"/>
  <c r="O236" i="175" s="1"/>
  <c r="J228" i="175"/>
  <c r="M228" i="175" s="1"/>
  <c r="O228" i="175" s="1"/>
  <c r="J230" i="175"/>
  <c r="M230" i="175" s="1"/>
  <c r="O230" i="175" s="1"/>
  <c r="J218" i="175"/>
  <c r="M218" i="175" s="1"/>
  <c r="O218" i="175" s="1"/>
  <c r="J224" i="175"/>
  <c r="M224" i="175" s="1"/>
  <c r="O224" i="175" s="1"/>
  <c r="J79" i="175"/>
  <c r="M79" i="175" s="1"/>
  <c r="O79" i="175" s="1"/>
  <c r="J223" i="175"/>
  <c r="M223" i="175" s="1"/>
  <c r="O223" i="175" s="1"/>
  <c r="J219" i="175"/>
  <c r="M219" i="175" s="1"/>
  <c r="O219" i="175" s="1"/>
  <c r="J217" i="175"/>
  <c r="M217" i="175" s="1"/>
  <c r="O217" i="175" s="1"/>
  <c r="J222" i="175"/>
  <c r="M222" i="175" s="1"/>
  <c r="O222" i="175" s="1"/>
  <c r="J90" i="175"/>
  <c r="M90" i="175" s="1"/>
  <c r="O90" i="175" s="1"/>
  <c r="J93" i="175"/>
  <c r="M93" i="175" s="1"/>
  <c r="O93" i="175" s="1"/>
  <c r="J115" i="175"/>
  <c r="M115" i="175" s="1"/>
  <c r="O115" i="175" s="1"/>
  <c r="J119" i="175"/>
  <c r="M119" i="175" s="1"/>
  <c r="O119" i="175" s="1"/>
  <c r="J122" i="175"/>
  <c r="M122" i="175" s="1"/>
  <c r="O122" i="175" s="1"/>
  <c r="J126" i="175"/>
  <c r="M126" i="175" s="1"/>
  <c r="O126" i="175" s="1"/>
  <c r="J215" i="175"/>
  <c r="M215" i="175" s="1"/>
  <c r="O215" i="175" s="1"/>
  <c r="J69" i="175"/>
  <c r="M69" i="175" s="1"/>
  <c r="O69" i="175" s="1"/>
  <c r="J221" i="175"/>
  <c r="M221" i="175" s="1"/>
  <c r="O221" i="175" s="1"/>
  <c r="J94" i="175"/>
  <c r="M94" i="175" s="1"/>
  <c r="O94" i="175" s="1"/>
  <c r="J216" i="175"/>
  <c r="M216" i="175" s="1"/>
  <c r="O216" i="175" s="1"/>
  <c r="J214" i="175"/>
  <c r="M214" i="175" s="1"/>
  <c r="O214" i="175" s="1"/>
  <c r="J220" i="175"/>
  <c r="M220" i="175" s="1"/>
  <c r="O220" i="175" s="1"/>
  <c r="J213" i="175"/>
  <c r="M213" i="175" s="1"/>
  <c r="O213" i="175" s="1"/>
  <c r="J76" i="175"/>
  <c r="M76" i="175" s="1"/>
  <c r="O76" i="175" s="1"/>
  <c r="J80" i="175"/>
  <c r="M80" i="175" s="1"/>
  <c r="O80" i="175" s="1"/>
  <c r="J116" i="175"/>
  <c r="M116" i="175" s="1"/>
  <c r="O116" i="175" s="1"/>
  <c r="J123" i="175"/>
  <c r="M123" i="175" s="1"/>
  <c r="O123" i="175" s="1"/>
  <c r="O173" i="173"/>
  <c r="O180" i="173"/>
  <c r="O187" i="173"/>
  <c r="O190" i="173"/>
  <c r="J78" i="175"/>
  <c r="M78" i="175" s="1"/>
  <c r="O78" i="175" s="1"/>
  <c r="J82" i="175"/>
  <c r="M82" i="175" s="1"/>
  <c r="O82" i="175" s="1"/>
  <c r="J88" i="175"/>
  <c r="M88" i="175" s="1"/>
  <c r="O88" i="175" s="1"/>
  <c r="J114" i="175"/>
  <c r="M114" i="175" s="1"/>
  <c r="O114" i="175" s="1"/>
  <c r="J118" i="175"/>
  <c r="M118" i="175" s="1"/>
  <c r="O118" i="175" s="1"/>
  <c r="J121" i="175"/>
  <c r="M121" i="175" s="1"/>
  <c r="O121" i="175" s="1"/>
  <c r="J125" i="175"/>
  <c r="M125" i="175" s="1"/>
  <c r="O125" i="175" s="1"/>
  <c r="J77" i="175"/>
  <c r="M77" i="175" s="1"/>
  <c r="O77" i="175" s="1"/>
  <c r="J81" i="175"/>
  <c r="M81" i="175" s="1"/>
  <c r="O81" i="175" s="1"/>
  <c r="J113" i="175"/>
  <c r="M113" i="175" s="1"/>
  <c r="O113" i="175" s="1"/>
  <c r="J117" i="175"/>
  <c r="M117" i="175" s="1"/>
  <c r="O117" i="175" s="1"/>
  <c r="J120" i="175"/>
  <c r="M120" i="175" s="1"/>
  <c r="O120" i="175" s="1"/>
  <c r="J124" i="175"/>
  <c r="M124" i="175" s="1"/>
  <c r="O124" i="175" s="1"/>
  <c r="O188" i="173"/>
  <c r="O192" i="173"/>
  <c r="O178" i="173"/>
  <c r="O155" i="173"/>
  <c r="O85" i="173"/>
  <c r="O163" i="173"/>
  <c r="J181" i="173"/>
  <c r="M181" i="173" s="1"/>
  <c r="O181" i="173" s="1"/>
  <c r="J85" i="175"/>
  <c r="M85" i="175" s="1"/>
  <c r="O85" i="175" s="1"/>
  <c r="J89" i="175"/>
  <c r="M89" i="175" s="1"/>
  <c r="O89" i="175" s="1"/>
  <c r="J70" i="175"/>
  <c r="M70" i="175" s="1"/>
  <c r="O70" i="175" s="1"/>
  <c r="J74" i="175"/>
  <c r="M74" i="175" s="1"/>
  <c r="O74" i="175" s="1"/>
  <c r="J84" i="175"/>
  <c r="M84" i="175" s="1"/>
  <c r="O84" i="175" s="1"/>
  <c r="J106" i="175"/>
  <c r="M106" i="175" s="1"/>
  <c r="O106" i="175" s="1"/>
  <c r="J107" i="175"/>
  <c r="M107" i="175" s="1"/>
  <c r="O107" i="175" s="1"/>
  <c r="J108" i="175"/>
  <c r="M108" i="175" s="1"/>
  <c r="O108" i="175" s="1"/>
  <c r="J109" i="175"/>
  <c r="M109" i="175" s="1"/>
  <c r="O109" i="175" s="1"/>
  <c r="J110" i="175"/>
  <c r="J111" i="175"/>
  <c r="M111" i="175" s="1"/>
  <c r="O111" i="175" s="1"/>
  <c r="J112" i="175"/>
  <c r="M112" i="175" s="1"/>
  <c r="O112" i="175" s="1"/>
  <c r="J72" i="175"/>
  <c r="M72" i="175" s="1"/>
  <c r="O72" i="175" s="1"/>
  <c r="J71" i="175"/>
  <c r="M71" i="175" s="1"/>
  <c r="O71" i="175" s="1"/>
  <c r="J75" i="175"/>
  <c r="M75" i="175" s="1"/>
  <c r="O75" i="175" s="1"/>
  <c r="J73" i="175"/>
  <c r="M73" i="175" s="1"/>
  <c r="O73" i="175" s="1"/>
  <c r="J86" i="175"/>
  <c r="M86" i="175" s="1"/>
  <c r="O86" i="175" s="1"/>
  <c r="J96" i="175"/>
  <c r="M96" i="175" s="1"/>
  <c r="O96" i="175" s="1"/>
  <c r="J98" i="175"/>
  <c r="M98" i="175" s="1"/>
  <c r="O98" i="175" s="1"/>
  <c r="J102" i="175"/>
  <c r="M102" i="175" s="1"/>
  <c r="O102" i="175" s="1"/>
  <c r="J83" i="175"/>
  <c r="M83" i="175" s="1"/>
  <c r="O83" i="175" s="1"/>
  <c r="J87" i="175"/>
  <c r="M87" i="175" s="1"/>
  <c r="O87" i="175" s="1"/>
  <c r="J95" i="175"/>
  <c r="M95" i="175" s="1"/>
  <c r="O95" i="175" s="1"/>
  <c r="J101" i="175"/>
  <c r="M101" i="175" s="1"/>
  <c r="O101" i="175" s="1"/>
  <c r="J105" i="175"/>
  <c r="M105" i="175" s="1"/>
  <c r="O105" i="175" s="1"/>
  <c r="J100" i="175"/>
  <c r="M100" i="175" s="1"/>
  <c r="O100" i="175" s="1"/>
  <c r="J104" i="175"/>
  <c r="M104" i="175" s="1"/>
  <c r="O104" i="175" s="1"/>
  <c r="J97" i="175"/>
  <c r="M97" i="175" s="1"/>
  <c r="O97" i="175" s="1"/>
  <c r="J99" i="175"/>
  <c r="M99" i="175" s="1"/>
  <c r="O99" i="175" s="1"/>
  <c r="J103" i="175"/>
  <c r="M103" i="175" s="1"/>
  <c r="O103" i="175" s="1"/>
  <c r="Z248" i="175"/>
  <c r="Z249" i="175"/>
  <c r="J197" i="175"/>
  <c r="M197" i="175" s="1"/>
  <c r="O197" i="175" s="1"/>
  <c r="J201" i="175"/>
  <c r="M201" i="175" s="1"/>
  <c r="O201" i="175" s="1"/>
  <c r="J191" i="175"/>
  <c r="M191" i="175" s="1"/>
  <c r="O191" i="175" s="1"/>
  <c r="J203" i="175"/>
  <c r="M203" i="175" s="1"/>
  <c r="O203" i="175" s="1"/>
  <c r="J200" i="175"/>
  <c r="M200" i="175" s="1"/>
  <c r="O200" i="175" s="1"/>
  <c r="J198" i="175"/>
  <c r="M198" i="175" s="1"/>
  <c r="O198" i="175" s="1"/>
  <c r="J196" i="175"/>
  <c r="M196" i="175" s="1"/>
  <c r="O196" i="175" s="1"/>
  <c r="J202" i="175"/>
  <c r="M202" i="175" s="1"/>
  <c r="O202" i="175" s="1"/>
  <c r="J199" i="175"/>
  <c r="M199" i="175" s="1"/>
  <c r="O199" i="175" s="1"/>
  <c r="J193" i="175"/>
  <c r="M193" i="175" s="1"/>
  <c r="O193" i="175" s="1"/>
  <c r="J189" i="175"/>
  <c r="M189" i="175" s="1"/>
  <c r="O189" i="175" s="1"/>
  <c r="J192" i="175"/>
  <c r="M192" i="175" s="1"/>
  <c r="O192" i="175" s="1"/>
  <c r="J190" i="175"/>
  <c r="M190" i="175" s="1"/>
  <c r="O190" i="175" s="1"/>
  <c r="J194" i="175"/>
  <c r="M194" i="175" s="1"/>
  <c r="O194" i="175" s="1"/>
  <c r="J195" i="175"/>
  <c r="M195" i="175" s="1"/>
  <c r="O195" i="175" s="1"/>
  <c r="J181" i="175"/>
  <c r="M181" i="175" s="1"/>
  <c r="O181" i="175" s="1"/>
  <c r="J187" i="175"/>
  <c r="M187" i="175" s="1"/>
  <c r="O187" i="175" s="1"/>
  <c r="J207" i="175"/>
  <c r="M207" i="175" s="1"/>
  <c r="O207" i="175" s="1"/>
  <c r="J208" i="175"/>
  <c r="M208" i="175" s="1"/>
  <c r="O208" i="175" s="1"/>
  <c r="J159" i="175"/>
  <c r="M159" i="175" s="1"/>
  <c r="O159" i="175" s="1"/>
  <c r="J156" i="175"/>
  <c r="M156" i="175" s="1"/>
  <c r="O156" i="175" s="1"/>
  <c r="J157" i="175"/>
  <c r="M157" i="175" s="1"/>
  <c r="O157" i="175" s="1"/>
  <c r="J158" i="175"/>
  <c r="M158" i="175" s="1"/>
  <c r="O158" i="175" s="1"/>
  <c r="J153" i="175"/>
  <c r="M153" i="175" s="1"/>
  <c r="O153" i="175" s="1"/>
  <c r="J154" i="175"/>
  <c r="M154" i="175" s="1"/>
  <c r="O154" i="175" s="1"/>
  <c r="J155" i="175"/>
  <c r="M155" i="175" s="1"/>
  <c r="O155" i="175" s="1"/>
  <c r="J185" i="175"/>
  <c r="M185" i="175" s="1"/>
  <c r="O185" i="175" s="1"/>
  <c r="J182" i="175"/>
  <c r="M182" i="175" s="1"/>
  <c r="O182" i="175" s="1"/>
  <c r="J186" i="175"/>
  <c r="M186" i="175" s="1"/>
  <c r="O186" i="175" s="1"/>
  <c r="J188" i="175"/>
  <c r="M188" i="175" s="1"/>
  <c r="O188" i="175" s="1"/>
  <c r="J183" i="175"/>
  <c r="M183" i="175" s="1"/>
  <c r="O183" i="175" s="1"/>
  <c r="J184" i="175"/>
  <c r="M184" i="175" s="1"/>
  <c r="O184" i="175" s="1"/>
  <c r="J175" i="175"/>
  <c r="M175" i="175" s="1"/>
  <c r="O175" i="175" s="1"/>
  <c r="J179" i="175"/>
  <c r="M179" i="175" s="1"/>
  <c r="O179" i="175" s="1"/>
  <c r="J177" i="175"/>
  <c r="M177" i="175" s="1"/>
  <c r="O177" i="175" s="1"/>
  <c r="J173" i="175"/>
  <c r="M173" i="175" s="1"/>
  <c r="O173" i="175" s="1"/>
  <c r="J180" i="175"/>
  <c r="M180" i="175" s="1"/>
  <c r="O180" i="175" s="1"/>
  <c r="J176" i="175"/>
  <c r="M176" i="175" s="1"/>
  <c r="O176" i="175" s="1"/>
  <c r="J178" i="175"/>
  <c r="M178" i="175" s="1"/>
  <c r="O178" i="175" s="1"/>
  <c r="J174" i="175"/>
  <c r="M174" i="175" s="1"/>
  <c r="O174" i="175" s="1"/>
  <c r="J168" i="175"/>
  <c r="M168" i="175" s="1"/>
  <c r="O168" i="175" s="1"/>
  <c r="J169" i="175"/>
  <c r="M169" i="175" s="1"/>
  <c r="O169" i="175" s="1"/>
  <c r="J170" i="175"/>
  <c r="M170" i="175" s="1"/>
  <c r="O170" i="175" s="1"/>
  <c r="J171" i="175"/>
  <c r="M171" i="175" s="1"/>
  <c r="O171" i="175" s="1"/>
  <c r="J172" i="175"/>
  <c r="M172" i="175" s="1"/>
  <c r="O172" i="175" s="1"/>
  <c r="J165" i="175"/>
  <c r="M165" i="175" s="1"/>
  <c r="O165" i="175" s="1"/>
  <c r="J209" i="175"/>
  <c r="M209" i="175" s="1"/>
  <c r="O209" i="175" s="1"/>
  <c r="J210" i="175"/>
  <c r="M210" i="175" s="1"/>
  <c r="O210" i="175" s="1"/>
  <c r="J166" i="175"/>
  <c r="M166" i="175" s="1"/>
  <c r="O166" i="175" s="1"/>
  <c r="J164" i="175"/>
  <c r="M164" i="175" s="1"/>
  <c r="O164" i="175" s="1"/>
  <c r="J167" i="175"/>
  <c r="M167" i="175" s="1"/>
  <c r="O167" i="175" s="1"/>
  <c r="J160" i="175"/>
  <c r="M160" i="175" s="1"/>
  <c r="O160" i="175" s="1"/>
  <c r="J163" i="175"/>
  <c r="M163" i="175" s="1"/>
  <c r="O163" i="175" s="1"/>
  <c r="J162" i="175"/>
  <c r="M162" i="175" s="1"/>
  <c r="O162" i="175" s="1"/>
  <c r="J161" i="175"/>
  <c r="M161" i="175" s="1"/>
  <c r="O161" i="175" s="1"/>
  <c r="J205" i="175"/>
  <c r="M205" i="175" s="1"/>
  <c r="O205" i="175" s="1"/>
  <c r="J148" i="175"/>
  <c r="M148" i="175" s="1"/>
  <c r="O148" i="175" s="1"/>
  <c r="J206" i="175"/>
  <c r="M206" i="175" s="1"/>
  <c r="O206" i="175" s="1"/>
  <c r="J149" i="175"/>
  <c r="M149" i="175" s="1"/>
  <c r="O149" i="175" s="1"/>
  <c r="J152" i="175"/>
  <c r="M152" i="175" s="1"/>
  <c r="O152" i="175" s="1"/>
  <c r="J151" i="175"/>
  <c r="M151" i="175" s="1"/>
  <c r="O151" i="175" s="1"/>
  <c r="J147" i="175"/>
  <c r="M147" i="175" s="1"/>
  <c r="O147" i="175" s="1"/>
  <c r="J150" i="175"/>
  <c r="M150" i="175" s="1"/>
  <c r="O150" i="175" s="1"/>
  <c r="J146" i="175"/>
  <c r="M146" i="175" s="1"/>
  <c r="O146" i="175" s="1"/>
  <c r="J45" i="175"/>
  <c r="M45" i="175" s="1"/>
  <c r="O45" i="175" s="1"/>
  <c r="J62" i="175"/>
  <c r="M62" i="175" s="1"/>
  <c r="O62" i="175" s="1"/>
  <c r="J47" i="175"/>
  <c r="M47" i="175" s="1"/>
  <c r="O47" i="175" s="1"/>
  <c r="J52" i="175"/>
  <c r="M52" i="175" s="1"/>
  <c r="O52" i="175" s="1"/>
  <c r="J66" i="175"/>
  <c r="M66" i="175" s="1"/>
  <c r="O66" i="175" s="1"/>
  <c r="J61" i="175"/>
  <c r="M61" i="175" s="1"/>
  <c r="O61" i="175" s="1"/>
  <c r="J65" i="175"/>
  <c r="M65" i="175" s="1"/>
  <c r="O65" i="175" s="1"/>
  <c r="J59" i="175"/>
  <c r="M59" i="175" s="1"/>
  <c r="O59" i="175" s="1"/>
  <c r="J64" i="175"/>
  <c r="M64" i="175" s="1"/>
  <c r="O64" i="175" s="1"/>
  <c r="J50" i="175"/>
  <c r="M50" i="175" s="1"/>
  <c r="O50" i="175" s="1"/>
  <c r="J44" i="175"/>
  <c r="M44" i="175" s="1"/>
  <c r="O44" i="175" s="1"/>
  <c r="J49" i="175"/>
  <c r="M49" i="175" s="1"/>
  <c r="O49" i="175" s="1"/>
  <c r="J53" i="175"/>
  <c r="M53" i="175" s="1"/>
  <c r="O53" i="175" s="1"/>
  <c r="J54" i="175"/>
  <c r="M54" i="175" s="1"/>
  <c r="O54" i="175" s="1"/>
  <c r="J55" i="175"/>
  <c r="M55" i="175" s="1"/>
  <c r="O55" i="175" s="1"/>
  <c r="J56" i="175"/>
  <c r="M56" i="175" s="1"/>
  <c r="O56" i="175" s="1"/>
  <c r="J57" i="175"/>
  <c r="M57" i="175" s="1"/>
  <c r="O57" i="175" s="1"/>
  <c r="J58" i="175"/>
  <c r="M58" i="175" s="1"/>
  <c r="O58" i="175" s="1"/>
  <c r="J60" i="175"/>
  <c r="M60" i="175" s="1"/>
  <c r="O60" i="175" s="1"/>
  <c r="J40" i="175"/>
  <c r="M40" i="175" s="1"/>
  <c r="O40" i="175" s="1"/>
  <c r="J48" i="175"/>
  <c r="M48" i="175" s="1"/>
  <c r="O48" i="175" s="1"/>
  <c r="J51" i="175"/>
  <c r="M51" i="175" s="1"/>
  <c r="O51" i="175" s="1"/>
  <c r="J63" i="175"/>
  <c r="M63" i="175" s="1"/>
  <c r="O63" i="175" s="1"/>
  <c r="J67" i="175"/>
  <c r="M67" i="175" s="1"/>
  <c r="O67" i="175" s="1"/>
  <c r="J41" i="175"/>
  <c r="M41" i="175" s="1"/>
  <c r="O41" i="175" s="1"/>
  <c r="J42" i="175"/>
  <c r="M42" i="175" s="1"/>
  <c r="O42" i="175" s="1"/>
  <c r="J43" i="175"/>
  <c r="M43" i="175" s="1"/>
  <c r="O43" i="175" s="1"/>
  <c r="J39" i="175"/>
  <c r="M39" i="175" s="1"/>
  <c r="O39" i="175" s="1"/>
  <c r="J46" i="175"/>
  <c r="M46" i="175" s="1"/>
  <c r="O46" i="175" s="1"/>
  <c r="J141" i="175"/>
  <c r="M141" i="175" s="1"/>
  <c r="O141" i="175" s="1"/>
  <c r="J143" i="175"/>
  <c r="M143" i="175" s="1"/>
  <c r="O143" i="175" s="1"/>
  <c r="J140" i="175"/>
  <c r="M140" i="175" s="1"/>
  <c r="O140" i="175" s="1"/>
  <c r="J142" i="175"/>
  <c r="M142" i="175" s="1"/>
  <c r="O142" i="175" s="1"/>
  <c r="J135" i="175"/>
  <c r="M135" i="175" s="1"/>
  <c r="O135" i="175" s="1"/>
  <c r="J139" i="175"/>
  <c r="M139" i="175" s="1"/>
  <c r="O139" i="175" s="1"/>
  <c r="J137" i="175"/>
  <c r="M137" i="175" s="1"/>
  <c r="O137" i="175" s="1"/>
  <c r="J134" i="175"/>
  <c r="M134" i="175" s="1"/>
  <c r="O134" i="175" s="1"/>
  <c r="J138" i="175"/>
  <c r="M138" i="175" s="1"/>
  <c r="O138" i="175" s="1"/>
  <c r="J136" i="175"/>
  <c r="M136" i="175" s="1"/>
  <c r="O136" i="175" s="1"/>
  <c r="J133" i="175"/>
  <c r="M133" i="175" s="1"/>
  <c r="O133" i="175" s="1"/>
  <c r="J128" i="175"/>
  <c r="M128" i="175" s="1"/>
  <c r="O128" i="175" s="1"/>
  <c r="J26" i="175"/>
  <c r="M26" i="175" s="1"/>
  <c r="O26" i="175" s="1"/>
  <c r="J28" i="175"/>
  <c r="M28" i="175" s="1"/>
  <c r="O28" i="175" s="1"/>
  <c r="J27" i="175"/>
  <c r="M27" i="175" s="1"/>
  <c r="O27" i="175" s="1"/>
  <c r="J35" i="175"/>
  <c r="M35" i="175" s="1"/>
  <c r="O35" i="175" s="1"/>
  <c r="J38" i="175"/>
  <c r="M38" i="175" s="1"/>
  <c r="O38" i="175" s="1"/>
  <c r="J37" i="175"/>
  <c r="M37" i="175" s="1"/>
  <c r="O37" i="175" s="1"/>
  <c r="J36" i="175"/>
  <c r="M36" i="175" s="1"/>
  <c r="O36" i="175" s="1"/>
  <c r="J34" i="175"/>
  <c r="M34" i="175" s="1"/>
  <c r="O34" i="175" s="1"/>
  <c r="J33" i="175"/>
  <c r="M33" i="175" s="1"/>
  <c r="O33" i="175" s="1"/>
  <c r="J32" i="175"/>
  <c r="M32" i="175" s="1"/>
  <c r="O32" i="175" s="1"/>
  <c r="J29" i="175"/>
  <c r="M29" i="175" s="1"/>
  <c r="O29" i="175" s="1"/>
  <c r="J31" i="175"/>
  <c r="M31" i="175" s="1"/>
  <c r="O31" i="175" s="1"/>
  <c r="J10" i="175"/>
  <c r="J24" i="175"/>
  <c r="M24" i="175" s="1"/>
  <c r="O24" i="175" s="1"/>
  <c r="J25" i="175"/>
  <c r="M25" i="175" s="1"/>
  <c r="O25" i="175" s="1"/>
  <c r="J30" i="175"/>
  <c r="M30" i="175" s="1"/>
  <c r="O30" i="175" s="1"/>
  <c r="J20" i="175"/>
  <c r="M20" i="175" s="1"/>
  <c r="O20" i="175" s="1"/>
  <c r="J23" i="175"/>
  <c r="M23" i="175" s="1"/>
  <c r="O23" i="175" s="1"/>
  <c r="J17" i="175"/>
  <c r="M17" i="175" s="1"/>
  <c r="O17" i="175" s="1"/>
  <c r="J18" i="175"/>
  <c r="M18" i="175" s="1"/>
  <c r="O18" i="175" s="1"/>
  <c r="J19" i="175"/>
  <c r="M19" i="175" s="1"/>
  <c r="O19" i="175" s="1"/>
  <c r="J21" i="175"/>
  <c r="M21" i="175" s="1"/>
  <c r="O21" i="175" s="1"/>
  <c r="J22" i="175"/>
  <c r="M22" i="175" s="1"/>
  <c r="O22" i="175" s="1"/>
  <c r="K350" i="84"/>
  <c r="K349" i="84"/>
  <c r="K353" i="84"/>
  <c r="K266" i="84"/>
  <c r="E269" i="84"/>
  <c r="K269" i="84" s="1"/>
  <c r="K346" i="84"/>
  <c r="K177" i="84"/>
  <c r="K355" i="84"/>
  <c r="K354" i="84"/>
  <c r="K357" i="84"/>
  <c r="K321" i="84"/>
  <c r="K332" i="84"/>
  <c r="K338" i="84"/>
  <c r="K348" i="84"/>
  <c r="K343" i="84"/>
  <c r="K335" i="84"/>
  <c r="K329" i="84"/>
  <c r="K326" i="84"/>
  <c r="K320" i="84"/>
  <c r="K347" i="84"/>
  <c r="K339" i="84"/>
  <c r="K333" i="84"/>
  <c r="K317" i="84"/>
  <c r="K324" i="84"/>
  <c r="K318" i="84"/>
  <c r="K336" i="84"/>
  <c r="K330" i="84"/>
  <c r="K323" i="84"/>
  <c r="K327" i="84"/>
  <c r="K260" i="84"/>
  <c r="K256" i="84"/>
  <c r="K250" i="84"/>
  <c r="K246" i="84"/>
  <c r="K242" i="84"/>
  <c r="K261" i="84"/>
  <c r="K257" i="84"/>
  <c r="K252" i="84"/>
  <c r="K247" i="84"/>
  <c r="K243" i="84"/>
  <c r="K234" i="84"/>
  <c r="K230" i="84"/>
  <c r="K258" i="84"/>
  <c r="K254" i="84"/>
  <c r="K248" i="84"/>
  <c r="K244" i="84"/>
  <c r="K240" i="84"/>
  <c r="K259" i="84"/>
  <c r="K255" i="84"/>
  <c r="K249" i="84"/>
  <c r="K245" i="84"/>
  <c r="K241" i="84"/>
  <c r="K226" i="84"/>
  <c r="K233" i="84"/>
  <c r="K229" i="84"/>
  <c r="K235" i="84"/>
  <c r="K231" i="84"/>
  <c r="K236" i="84"/>
  <c r="K232" i="84"/>
  <c r="K228" i="84"/>
  <c r="E238" i="84"/>
  <c r="K238" i="84" s="1"/>
  <c r="E222" i="84"/>
  <c r="K222" i="84" s="1"/>
  <c r="K211" i="84"/>
  <c r="K207" i="84"/>
  <c r="K203" i="84"/>
  <c r="K199" i="84"/>
  <c r="K210" i="84"/>
  <c r="E221" i="84"/>
  <c r="K221" i="84" s="1"/>
  <c r="E220" i="84"/>
  <c r="K220" i="84" s="1"/>
  <c r="K209" i="84"/>
  <c r="K205" i="84"/>
  <c r="K201" i="84"/>
  <c r="K197" i="84"/>
  <c r="K212" i="84"/>
  <c r="K208" i="84"/>
  <c r="K204" i="84"/>
  <c r="K200" i="84"/>
  <c r="K196" i="84"/>
  <c r="K214" i="84"/>
  <c r="K202" i="84"/>
  <c r="K198" i="84"/>
  <c r="G194" i="84"/>
  <c r="K194" i="84" s="1"/>
  <c r="G475" i="172"/>
  <c r="J475" i="172" s="1"/>
  <c r="M475" i="172" s="1"/>
  <c r="O475" i="172" s="1"/>
  <c r="J409" i="172"/>
  <c r="M409" i="172" s="1"/>
  <c r="O409" i="172" s="1"/>
  <c r="J462" i="172"/>
  <c r="M462" i="172" s="1"/>
  <c r="O462" i="172" s="1"/>
  <c r="G469" i="172"/>
  <c r="J469" i="172" s="1"/>
  <c r="M469" i="172" s="1"/>
  <c r="O469" i="172" s="1"/>
  <c r="J470" i="172"/>
  <c r="M470" i="172" s="1"/>
  <c r="O470" i="172" s="1"/>
  <c r="G449" i="172"/>
  <c r="J449" i="172" s="1"/>
  <c r="M449" i="172" s="1"/>
  <c r="O449" i="172" s="1"/>
  <c r="J450" i="172"/>
  <c r="M450" i="172" s="1"/>
  <c r="O450" i="172" s="1"/>
  <c r="G459" i="172"/>
  <c r="J459" i="172" s="1"/>
  <c r="M459" i="172" s="1"/>
  <c r="O459" i="172" s="1"/>
  <c r="M193" i="173"/>
  <c r="O193" i="173" s="1"/>
  <c r="J191" i="173"/>
  <c r="M191" i="173" s="1"/>
  <c r="O191" i="173" s="1"/>
  <c r="J186" i="173"/>
  <c r="M186" i="173" s="1"/>
  <c r="O186" i="173" s="1"/>
  <c r="O170" i="173"/>
  <c r="O177" i="173"/>
  <c r="O183" i="173"/>
  <c r="O167" i="173"/>
  <c r="O182" i="173"/>
  <c r="J176" i="173"/>
  <c r="M176" i="173" s="1"/>
  <c r="O176" i="173" s="1"/>
  <c r="O92" i="173"/>
  <c r="J171" i="173"/>
  <c r="M171" i="173" s="1"/>
  <c r="O171" i="173" s="1"/>
  <c r="O165" i="173"/>
  <c r="M160" i="173"/>
  <c r="O160" i="173" s="1"/>
  <c r="O162" i="173"/>
  <c r="O168" i="173"/>
  <c r="J166" i="173"/>
  <c r="M166" i="173" s="1"/>
  <c r="O166" i="173" s="1"/>
  <c r="J161" i="173"/>
  <c r="M161" i="173" s="1"/>
  <c r="O161" i="173" s="1"/>
  <c r="J86" i="173"/>
  <c r="M86" i="173" s="1"/>
  <c r="O86" i="173" s="1"/>
  <c r="J87" i="173"/>
  <c r="M87" i="173" s="1"/>
  <c r="O87" i="173" s="1"/>
  <c r="O90" i="173"/>
  <c r="O157" i="173"/>
  <c r="O89" i="173"/>
  <c r="O88" i="173"/>
  <c r="O91" i="173"/>
  <c r="M154" i="173"/>
  <c r="O154" i="173" s="1"/>
  <c r="J152" i="173"/>
  <c r="M152" i="173" s="1"/>
  <c r="O152" i="173" s="1"/>
  <c r="O156" i="173"/>
  <c r="O78" i="173"/>
  <c r="O98" i="173"/>
  <c r="O102" i="173"/>
  <c r="O105" i="173"/>
  <c r="O127" i="173"/>
  <c r="O130" i="173"/>
  <c r="O133" i="173"/>
  <c r="O137" i="173"/>
  <c r="O140" i="173"/>
  <c r="O143" i="173"/>
  <c r="O147" i="173"/>
  <c r="O75" i="173"/>
  <c r="O153" i="173"/>
  <c r="O150" i="173"/>
  <c r="J151" i="173"/>
  <c r="M151" i="173" s="1"/>
  <c r="O151" i="173" s="1"/>
  <c r="O77" i="173"/>
  <c r="O80" i="173"/>
  <c r="O83" i="173"/>
  <c r="O97" i="173"/>
  <c r="O100" i="173"/>
  <c r="O107" i="173"/>
  <c r="O118" i="173"/>
  <c r="O122" i="173"/>
  <c r="O125" i="173"/>
  <c r="O128" i="173"/>
  <c r="O135" i="173"/>
  <c r="O142" i="173"/>
  <c r="O145" i="173"/>
  <c r="O148" i="173"/>
  <c r="J146" i="173"/>
  <c r="M146" i="173" s="1"/>
  <c r="O146" i="173" s="1"/>
  <c r="O95" i="173"/>
  <c r="O117" i="173"/>
  <c r="J136" i="173"/>
  <c r="M136" i="173" s="1"/>
  <c r="O136" i="173" s="1"/>
  <c r="J131" i="173"/>
  <c r="M131" i="173" s="1"/>
  <c r="O131" i="173" s="1"/>
  <c r="J141" i="173"/>
  <c r="M141" i="173" s="1"/>
  <c r="O141" i="173" s="1"/>
  <c r="O138" i="173"/>
  <c r="O132" i="173"/>
  <c r="J126" i="173"/>
  <c r="M126" i="173" s="1"/>
  <c r="O126" i="173" s="1"/>
  <c r="M111" i="173"/>
  <c r="O111" i="173" s="1"/>
  <c r="O120" i="173"/>
  <c r="O123" i="173"/>
  <c r="O53" i="173"/>
  <c r="O108" i="173"/>
  <c r="J121" i="173"/>
  <c r="M121" i="173" s="1"/>
  <c r="O121" i="173" s="1"/>
  <c r="O48" i="173"/>
  <c r="O52" i="173"/>
  <c r="O110" i="173"/>
  <c r="O113" i="173"/>
  <c r="O115" i="173"/>
  <c r="J116" i="173"/>
  <c r="M116" i="173" s="1"/>
  <c r="O116" i="173" s="1"/>
  <c r="J81" i="173"/>
  <c r="M81" i="173" s="1"/>
  <c r="O81" i="173" s="1"/>
  <c r="J101" i="173"/>
  <c r="M101" i="173" s="1"/>
  <c r="O101" i="173" s="1"/>
  <c r="O62" i="173"/>
  <c r="O65" i="173"/>
  <c r="O68" i="173"/>
  <c r="O72" i="173"/>
  <c r="O103" i="173"/>
  <c r="O112" i="173"/>
  <c r="J106" i="173"/>
  <c r="M106" i="173" s="1"/>
  <c r="O106" i="173" s="1"/>
  <c r="J96" i="173"/>
  <c r="M96" i="173" s="1"/>
  <c r="O96" i="173" s="1"/>
  <c r="O55" i="173"/>
  <c r="O58" i="173"/>
  <c r="O67" i="173"/>
  <c r="O82" i="173"/>
  <c r="J66" i="173"/>
  <c r="M66" i="173" s="1"/>
  <c r="O66" i="173" s="1"/>
  <c r="M56" i="173"/>
  <c r="O56" i="173" s="1"/>
  <c r="O60" i="173"/>
  <c r="O70" i="173"/>
  <c r="J76" i="173"/>
  <c r="M76" i="173" s="1"/>
  <c r="O76" i="173" s="1"/>
  <c r="J61" i="173"/>
  <c r="M61" i="173" s="1"/>
  <c r="O61" i="173" s="1"/>
  <c r="J71" i="173"/>
  <c r="M71" i="173" s="1"/>
  <c r="O71" i="173" s="1"/>
  <c r="O50" i="173"/>
  <c r="O63" i="173"/>
  <c r="O73" i="173"/>
  <c r="O45" i="173"/>
  <c r="J51" i="173"/>
  <c r="M51" i="173" s="1"/>
  <c r="O51" i="173" s="1"/>
  <c r="O47" i="173"/>
  <c r="O57" i="173"/>
  <c r="J46" i="173"/>
  <c r="M46" i="173" s="1"/>
  <c r="O46" i="173" s="1"/>
  <c r="J35" i="173"/>
  <c r="M35" i="173" s="1"/>
  <c r="O35" i="173" s="1"/>
  <c r="M43" i="173"/>
  <c r="O43" i="173" s="1"/>
  <c r="J41" i="173"/>
  <c r="M41" i="173" s="1"/>
  <c r="O41" i="173" s="1"/>
  <c r="O36" i="173"/>
  <c r="O40" i="173"/>
  <c r="O42" i="173"/>
  <c r="J20" i="173"/>
  <c r="M20" i="173" s="1"/>
  <c r="M22" i="173"/>
  <c r="J30" i="173"/>
  <c r="M30" i="173" s="1"/>
  <c r="O30" i="173" s="1"/>
  <c r="O34" i="173"/>
  <c r="M37" i="173"/>
  <c r="O37" i="173" s="1"/>
  <c r="O29" i="173"/>
  <c r="O31" i="173"/>
  <c r="M32" i="173"/>
  <c r="O32" i="173" s="1"/>
  <c r="M27" i="173"/>
  <c r="J25" i="173"/>
  <c r="M25" i="173" s="1"/>
  <c r="M15" i="173"/>
  <c r="O15" i="173" s="1"/>
  <c r="O14" i="173"/>
  <c r="M17" i="173"/>
  <c r="O17" i="173" s="1"/>
  <c r="M16" i="173"/>
  <c r="O16" i="173" s="1"/>
  <c r="M11" i="173"/>
  <c r="O11" i="173" s="1"/>
  <c r="O433" i="172"/>
  <c r="J431" i="172"/>
  <c r="M431" i="172" s="1"/>
  <c r="O431" i="172" s="1"/>
  <c r="J421" i="172"/>
  <c r="M421" i="172" s="1"/>
  <c r="O421" i="172" s="1"/>
  <c r="G428" i="172"/>
  <c r="J428" i="172" s="1"/>
  <c r="M428" i="172" s="1"/>
  <c r="O428" i="172" s="1"/>
  <c r="J429" i="172"/>
  <c r="M429" i="172" s="1"/>
  <c r="G444" i="172"/>
  <c r="J444" i="172" s="1"/>
  <c r="M444" i="172" s="1"/>
  <c r="O444" i="172" s="1"/>
  <c r="J446" i="172"/>
  <c r="M446" i="172" s="1"/>
  <c r="O446" i="172" s="1"/>
  <c r="G454" i="172"/>
  <c r="J454" i="172" s="1"/>
  <c r="M454" i="172" s="1"/>
  <c r="O454" i="172" s="1"/>
  <c r="J457" i="172"/>
  <c r="M457" i="172" s="1"/>
  <c r="O457" i="172" s="1"/>
  <c r="J460" i="172"/>
  <c r="M460" i="172" s="1"/>
  <c r="O460" i="172" s="1"/>
  <c r="J461" i="172"/>
  <c r="M461" i="172" s="1"/>
  <c r="O461" i="172" s="1"/>
  <c r="J466" i="172"/>
  <c r="M466" i="172" s="1"/>
  <c r="O466" i="172" s="1"/>
  <c r="J445" i="172"/>
  <c r="M445" i="172" s="1"/>
  <c r="O445" i="172" s="1"/>
  <c r="J452" i="172"/>
  <c r="M452" i="172" s="1"/>
  <c r="O452" i="172" s="1"/>
  <c r="J455" i="172"/>
  <c r="M455" i="172" s="1"/>
  <c r="O455" i="172" s="1"/>
  <c r="J465" i="172"/>
  <c r="M465" i="172" s="1"/>
  <c r="O465" i="172" s="1"/>
  <c r="G464" i="172"/>
  <c r="J464" i="172" s="1"/>
  <c r="M464" i="172" s="1"/>
  <c r="O464" i="172" s="1"/>
  <c r="J384" i="172"/>
  <c r="M384" i="172" s="1"/>
  <c r="O384" i="172" s="1"/>
  <c r="G398" i="172"/>
  <c r="M398" i="172" s="1"/>
  <c r="O398" i="172" s="1"/>
  <c r="G423" i="172"/>
  <c r="J423" i="172" s="1"/>
  <c r="M423" i="172" s="1"/>
  <c r="O423" i="172" s="1"/>
  <c r="O429" i="172"/>
  <c r="G403" i="172"/>
  <c r="J403" i="172" s="1"/>
  <c r="M403" i="172" s="1"/>
  <c r="O403" i="172" s="1"/>
  <c r="J411" i="172"/>
  <c r="M411" i="172" s="1"/>
  <c r="O411" i="172" s="1"/>
  <c r="J419" i="172"/>
  <c r="M419" i="172" s="1"/>
  <c r="O419" i="172" s="1"/>
  <c r="J401" i="172"/>
  <c r="M401" i="172" s="1"/>
  <c r="O401" i="172" s="1"/>
  <c r="O420" i="172"/>
  <c r="J425" i="172"/>
  <c r="M425" i="172" s="1"/>
  <c r="O425" i="172" s="1"/>
  <c r="J434" i="172"/>
  <c r="M434" i="172" s="1"/>
  <c r="O434" i="172" s="1"/>
  <c r="J440" i="172"/>
  <c r="M440" i="172" s="1"/>
  <c r="O440" i="172" s="1"/>
  <c r="J441" i="172"/>
  <c r="M441" i="172" s="1"/>
  <c r="O441" i="172" s="1"/>
  <c r="J436" i="172"/>
  <c r="M436" i="172" s="1"/>
  <c r="O436" i="172" s="1"/>
  <c r="G438" i="172"/>
  <c r="J438" i="172" s="1"/>
  <c r="M438" i="172" s="1"/>
  <c r="O438" i="172" s="1"/>
  <c r="J424" i="172"/>
  <c r="M424" i="172" s="1"/>
  <c r="O424" i="172" s="1"/>
  <c r="J406" i="172"/>
  <c r="M406" i="172" s="1"/>
  <c r="O406" i="172" s="1"/>
  <c r="G408" i="172"/>
  <c r="J408" i="172" s="1"/>
  <c r="M408" i="172" s="1"/>
  <c r="O408" i="172" s="1"/>
  <c r="G413" i="172"/>
  <c r="J413" i="172" s="1"/>
  <c r="M413" i="172" s="1"/>
  <c r="O413" i="172" s="1"/>
  <c r="J414" i="172"/>
  <c r="M414" i="172" s="1"/>
  <c r="O414" i="172" s="1"/>
  <c r="J415" i="172"/>
  <c r="M415" i="172" s="1"/>
  <c r="O415" i="172" s="1"/>
  <c r="J399" i="172"/>
  <c r="M399" i="172" s="1"/>
  <c r="O399" i="172" s="1"/>
  <c r="J404" i="172"/>
  <c r="M404" i="172" s="1"/>
  <c r="O404" i="172" s="1"/>
  <c r="J405" i="172"/>
  <c r="M405" i="172" s="1"/>
  <c r="O405" i="172" s="1"/>
  <c r="J410" i="172"/>
  <c r="M410" i="172" s="1"/>
  <c r="O410" i="172" s="1"/>
  <c r="J416" i="172"/>
  <c r="M416" i="172" s="1"/>
  <c r="O416" i="172" s="1"/>
  <c r="G418" i="172"/>
  <c r="J418" i="172" s="1"/>
  <c r="M418" i="172" s="1"/>
  <c r="O418" i="172" s="1"/>
  <c r="J430" i="172"/>
  <c r="M430" i="172" s="1"/>
  <c r="O430" i="172" s="1"/>
  <c r="J394" i="172"/>
  <c r="M394" i="172" s="1"/>
  <c r="O394" i="172" s="1"/>
  <c r="G276" i="172"/>
  <c r="J276" i="172" s="1"/>
  <c r="M276" i="172" s="1"/>
  <c r="O276" i="172" s="1"/>
  <c r="J374" i="172"/>
  <c r="M374" i="172" s="1"/>
  <c r="O374" i="172" s="1"/>
  <c r="J389" i="172"/>
  <c r="M389" i="172" s="1"/>
  <c r="O389" i="172" s="1"/>
  <c r="J396" i="172"/>
  <c r="M396" i="172" s="1"/>
  <c r="O396" i="172" s="1"/>
  <c r="J400" i="172"/>
  <c r="M400" i="172" s="1"/>
  <c r="O400" i="172" s="1"/>
  <c r="J341" i="172"/>
  <c r="M341" i="172" s="1"/>
  <c r="O341" i="172" s="1"/>
  <c r="J348" i="172"/>
  <c r="M348" i="172" s="1"/>
  <c r="O348" i="172" s="1"/>
  <c r="J390" i="172"/>
  <c r="M390" i="172" s="1"/>
  <c r="O390" i="172" s="1"/>
  <c r="J353" i="172"/>
  <c r="M353" i="172" s="1"/>
  <c r="O353" i="172" s="1"/>
  <c r="J395" i="172"/>
  <c r="M395" i="172" s="1"/>
  <c r="O395" i="172" s="1"/>
  <c r="G393" i="172"/>
  <c r="J393" i="172" s="1"/>
  <c r="M393" i="172" s="1"/>
  <c r="O393" i="172" s="1"/>
  <c r="G355" i="172"/>
  <c r="J355" i="172" s="1"/>
  <c r="M355" i="172" s="1"/>
  <c r="O355" i="172" s="1"/>
  <c r="G377" i="172"/>
  <c r="J377" i="172" s="1"/>
  <c r="M377" i="172" s="1"/>
  <c r="O377" i="172" s="1"/>
  <c r="J378" i="172"/>
  <c r="M378" i="172" s="1"/>
  <c r="O378" i="172" s="1"/>
  <c r="J379" i="172"/>
  <c r="M379" i="172" s="1"/>
  <c r="O379" i="172" s="1"/>
  <c r="J368" i="172"/>
  <c r="M368" i="172" s="1"/>
  <c r="O368" i="172" s="1"/>
  <c r="J373" i="172"/>
  <c r="M373" i="172" s="1"/>
  <c r="O373" i="172" s="1"/>
  <c r="G382" i="172"/>
  <c r="J382" i="172" s="1"/>
  <c r="M382" i="172" s="1"/>
  <c r="O382" i="172" s="1"/>
  <c r="J388" i="172"/>
  <c r="M388" i="172" s="1"/>
  <c r="O388" i="172" s="1"/>
  <c r="G387" i="172"/>
  <c r="J387" i="172" s="1"/>
  <c r="M387" i="172" s="1"/>
  <c r="O387" i="172" s="1"/>
  <c r="J357" i="172"/>
  <c r="M357" i="172" s="1"/>
  <c r="O357" i="172" s="1"/>
  <c r="J352" i="172"/>
  <c r="M352" i="172" s="1"/>
  <c r="O352" i="172" s="1"/>
  <c r="J361" i="172"/>
  <c r="M361" i="172" s="1"/>
  <c r="O361" i="172" s="1"/>
  <c r="J380" i="172"/>
  <c r="M380" i="172" s="1"/>
  <c r="O380" i="172" s="1"/>
  <c r="J383" i="172"/>
  <c r="M383" i="172" s="1"/>
  <c r="O383" i="172" s="1"/>
  <c r="J385" i="172"/>
  <c r="M385" i="172" s="1"/>
  <c r="O385" i="172" s="1"/>
  <c r="J316" i="172"/>
  <c r="M316" i="172" s="1"/>
  <c r="O316" i="172" s="1"/>
  <c r="J330" i="172"/>
  <c r="M330" i="172" s="1"/>
  <c r="O330" i="172" s="1"/>
  <c r="J367" i="172"/>
  <c r="M367" i="172" s="1"/>
  <c r="O367" i="172" s="1"/>
  <c r="J369" i="172"/>
  <c r="M369" i="172" s="1"/>
  <c r="O369" i="172" s="1"/>
  <c r="J326" i="172"/>
  <c r="M326" i="172" s="1"/>
  <c r="O326" i="172" s="1"/>
  <c r="G366" i="172"/>
  <c r="J366" i="172" s="1"/>
  <c r="M366" i="172" s="1"/>
  <c r="O366" i="172" s="1"/>
  <c r="G371" i="172"/>
  <c r="J371" i="172" s="1"/>
  <c r="M371" i="172" s="1"/>
  <c r="O371" i="172" s="1"/>
  <c r="J347" i="172"/>
  <c r="M347" i="172" s="1"/>
  <c r="O347" i="172" s="1"/>
  <c r="G345" i="172"/>
  <c r="J345" i="172" s="1"/>
  <c r="M345" i="172" s="1"/>
  <c r="O345" i="172" s="1"/>
  <c r="J362" i="172"/>
  <c r="M362" i="172" s="1"/>
  <c r="O362" i="172" s="1"/>
  <c r="J288" i="172"/>
  <c r="M288" i="172" s="1"/>
  <c r="O288" i="172" s="1"/>
  <c r="J302" i="172"/>
  <c r="M302" i="172" s="1"/>
  <c r="O302" i="172" s="1"/>
  <c r="J372" i="172"/>
  <c r="M372" i="172" s="1"/>
  <c r="O372" i="172" s="1"/>
  <c r="J278" i="172"/>
  <c r="M278" i="172" s="1"/>
  <c r="O278" i="172" s="1"/>
  <c r="J358" i="172"/>
  <c r="M358" i="172" s="1"/>
  <c r="O358" i="172" s="1"/>
  <c r="J356" i="172"/>
  <c r="M356" i="172" s="1"/>
  <c r="O356" i="172" s="1"/>
  <c r="J351" i="172"/>
  <c r="M351" i="172" s="1"/>
  <c r="O351" i="172" s="1"/>
  <c r="J346" i="172"/>
  <c r="M346" i="172" s="1"/>
  <c r="O346" i="172" s="1"/>
  <c r="J304" i="172"/>
  <c r="M304" i="172" s="1"/>
  <c r="O304" i="172" s="1"/>
  <c r="J331" i="172"/>
  <c r="M331" i="172" s="1"/>
  <c r="O331" i="172" s="1"/>
  <c r="J337" i="172"/>
  <c r="M337" i="172" s="1"/>
  <c r="O337" i="172" s="1"/>
  <c r="G350" i="172"/>
  <c r="J350" i="172" s="1"/>
  <c r="M350" i="172" s="1"/>
  <c r="O350" i="172" s="1"/>
  <c r="J363" i="172"/>
  <c r="M363" i="172" s="1"/>
  <c r="O363" i="172" s="1"/>
  <c r="G360" i="172"/>
  <c r="J360" i="172" s="1"/>
  <c r="M360" i="172" s="1"/>
  <c r="O360" i="172" s="1"/>
  <c r="J277" i="172"/>
  <c r="M277" i="172" s="1"/>
  <c r="O277" i="172" s="1"/>
  <c r="G334" i="172"/>
  <c r="J334" i="172" s="1"/>
  <c r="M334" i="172" s="1"/>
  <c r="O334" i="172" s="1"/>
  <c r="J336" i="172"/>
  <c r="M336" i="172" s="1"/>
  <c r="O336" i="172" s="1"/>
  <c r="J340" i="172"/>
  <c r="M340" i="172" s="1"/>
  <c r="O340" i="172" s="1"/>
  <c r="J335" i="172"/>
  <c r="M335" i="172" s="1"/>
  <c r="O335" i="172" s="1"/>
  <c r="J342" i="172"/>
  <c r="M342" i="172" s="1"/>
  <c r="O342" i="172" s="1"/>
  <c r="G339" i="172"/>
  <c r="J339" i="172" s="1"/>
  <c r="M339" i="172" s="1"/>
  <c r="O339" i="172" s="1"/>
  <c r="J325" i="172"/>
  <c r="M325" i="172" s="1"/>
  <c r="O325" i="172" s="1"/>
  <c r="G329" i="172"/>
  <c r="J329" i="172" s="1"/>
  <c r="M329" i="172" s="1"/>
  <c r="O329" i="172" s="1"/>
  <c r="G313" i="172"/>
  <c r="J313" i="172" s="1"/>
  <c r="M313" i="172" s="1"/>
  <c r="O313" i="172" s="1"/>
  <c r="J319" i="172"/>
  <c r="M319" i="172" s="1"/>
  <c r="O319" i="172" s="1"/>
  <c r="G324" i="172"/>
  <c r="J324" i="172" s="1"/>
  <c r="M324" i="172" s="1"/>
  <c r="O324" i="172" s="1"/>
  <c r="J300" i="172"/>
  <c r="M300" i="172" s="1"/>
  <c r="O300" i="172" s="1"/>
  <c r="G308" i="172"/>
  <c r="J308" i="172" s="1"/>
  <c r="M308" i="172" s="1"/>
  <c r="O308" i="172" s="1"/>
  <c r="J320" i="172"/>
  <c r="M320" i="172" s="1"/>
  <c r="O320" i="172" s="1"/>
  <c r="J327" i="172"/>
  <c r="M327" i="172" s="1"/>
  <c r="O327" i="172" s="1"/>
  <c r="J332" i="172"/>
  <c r="M332" i="172" s="1"/>
  <c r="O332" i="172" s="1"/>
  <c r="J240" i="172"/>
  <c r="M240" i="172" s="1"/>
  <c r="O240" i="172" s="1"/>
  <c r="J257" i="172"/>
  <c r="M257" i="172" s="1"/>
  <c r="O257" i="172" s="1"/>
  <c r="G297" i="172"/>
  <c r="J297" i="172" s="1"/>
  <c r="M297" i="172" s="1"/>
  <c r="O297" i="172" s="1"/>
  <c r="J303" i="172"/>
  <c r="M303" i="172" s="1"/>
  <c r="O303" i="172" s="1"/>
  <c r="J283" i="172"/>
  <c r="M283" i="172" s="1"/>
  <c r="O283" i="172" s="1"/>
  <c r="J310" i="172"/>
  <c r="M310" i="172" s="1"/>
  <c r="O310" i="172" s="1"/>
  <c r="J314" i="172"/>
  <c r="M314" i="172" s="1"/>
  <c r="O314" i="172" s="1"/>
  <c r="J311" i="172"/>
  <c r="M311" i="172" s="1"/>
  <c r="O311" i="172" s="1"/>
  <c r="J318" i="172"/>
  <c r="M318" i="172" s="1"/>
  <c r="O318" i="172" s="1"/>
  <c r="J282" i="172"/>
  <c r="M282" i="172" s="1"/>
  <c r="O282" i="172" s="1"/>
  <c r="J309" i="172"/>
  <c r="M309" i="172" s="1"/>
  <c r="O309" i="172" s="1"/>
  <c r="J315" i="172"/>
  <c r="M315" i="172" s="1"/>
  <c r="O315" i="172" s="1"/>
  <c r="J321" i="172"/>
  <c r="M321" i="172" s="1"/>
  <c r="O321" i="172" s="1"/>
  <c r="J225" i="172"/>
  <c r="M225" i="172" s="1"/>
  <c r="O225" i="172" s="1"/>
  <c r="J231" i="172"/>
  <c r="M231" i="172" s="1"/>
  <c r="O231" i="172" s="1"/>
  <c r="G239" i="172"/>
  <c r="J239" i="172" s="1"/>
  <c r="M239" i="172" s="1"/>
  <c r="O239" i="172" s="1"/>
  <c r="J271" i="172"/>
  <c r="M271" i="172" s="1"/>
  <c r="O271" i="172" s="1"/>
  <c r="G292" i="172"/>
  <c r="J292" i="172" s="1"/>
  <c r="M292" i="172" s="1"/>
  <c r="O292" i="172" s="1"/>
  <c r="J294" i="172"/>
  <c r="M294" i="172" s="1"/>
  <c r="O294" i="172" s="1"/>
  <c r="J298" i="172"/>
  <c r="M298" i="172" s="1"/>
  <c r="O298" i="172" s="1"/>
  <c r="J216" i="172"/>
  <c r="M216" i="172" s="1"/>
  <c r="O216" i="172" s="1"/>
  <c r="J272" i="172"/>
  <c r="M272" i="172" s="1"/>
  <c r="O272" i="172" s="1"/>
  <c r="J279" i="172"/>
  <c r="M279" i="172" s="1"/>
  <c r="O279" i="172" s="1"/>
  <c r="J295" i="172"/>
  <c r="M295" i="172" s="1"/>
  <c r="O295" i="172" s="1"/>
  <c r="J266" i="172"/>
  <c r="M266" i="172" s="1"/>
  <c r="O266" i="172" s="1"/>
  <c r="J286" i="172"/>
  <c r="M286" i="172" s="1"/>
  <c r="O286" i="172" s="1"/>
  <c r="J293" i="172"/>
  <c r="M293" i="172" s="1"/>
  <c r="O293" i="172" s="1"/>
  <c r="J299" i="172"/>
  <c r="M299" i="172" s="1"/>
  <c r="O299" i="172" s="1"/>
  <c r="J305" i="172"/>
  <c r="M305" i="172" s="1"/>
  <c r="O305" i="172" s="1"/>
  <c r="J246" i="172"/>
  <c r="M246" i="172" s="1"/>
  <c r="O246" i="172" s="1"/>
  <c r="G260" i="172"/>
  <c r="J260" i="172" s="1"/>
  <c r="M260" i="172" s="1"/>
  <c r="O260" i="172" s="1"/>
  <c r="J262" i="172"/>
  <c r="M262" i="172" s="1"/>
  <c r="O262" i="172" s="1"/>
  <c r="J284" i="172"/>
  <c r="M284" i="172" s="1"/>
  <c r="O284" i="172" s="1"/>
  <c r="J241" i="172"/>
  <c r="M241" i="172" s="1"/>
  <c r="O241" i="172" s="1"/>
  <c r="J244" i="172"/>
  <c r="M244" i="172" s="1"/>
  <c r="O244" i="172" s="1"/>
  <c r="J261" i="172"/>
  <c r="M261" i="172" s="1"/>
  <c r="O261" i="172" s="1"/>
  <c r="J267" i="172"/>
  <c r="M267" i="172" s="1"/>
  <c r="O267" i="172" s="1"/>
  <c r="G281" i="172"/>
  <c r="J281" i="172" s="1"/>
  <c r="M281" i="172" s="1"/>
  <c r="O281" i="172" s="1"/>
  <c r="J289" i="172"/>
  <c r="M289" i="172" s="1"/>
  <c r="O289" i="172" s="1"/>
  <c r="J209" i="172"/>
  <c r="M209" i="172" s="1"/>
  <c r="O209" i="172" s="1"/>
  <c r="J287" i="172"/>
  <c r="M287" i="172" s="1"/>
  <c r="O287" i="172" s="1"/>
  <c r="J263" i="172"/>
  <c r="M263" i="172" s="1"/>
  <c r="O263" i="172" s="1"/>
  <c r="J270" i="172"/>
  <c r="M270" i="172" s="1"/>
  <c r="O270" i="172" s="1"/>
  <c r="G265" i="172"/>
  <c r="J265" i="172" s="1"/>
  <c r="M265" i="172" s="1"/>
  <c r="O265" i="172" s="1"/>
  <c r="J273" i="172"/>
  <c r="M273" i="172" s="1"/>
  <c r="O273" i="172" s="1"/>
  <c r="G234" i="172"/>
  <c r="J234" i="172" s="1"/>
  <c r="M234" i="172" s="1"/>
  <c r="O234" i="172" s="1"/>
  <c r="J242" i="172"/>
  <c r="M242" i="172" s="1"/>
  <c r="O242" i="172" s="1"/>
  <c r="J245" i="172"/>
  <c r="M245" i="172" s="1"/>
  <c r="O245" i="172" s="1"/>
  <c r="J268" i="172"/>
  <c r="M268" i="172" s="1"/>
  <c r="O268" i="172" s="1"/>
  <c r="G249" i="172"/>
  <c r="J249" i="172" s="1"/>
  <c r="M249" i="172" s="1"/>
  <c r="O249" i="172" s="1"/>
  <c r="J251" i="172"/>
  <c r="M251" i="172" s="1"/>
  <c r="O251" i="172" s="1"/>
  <c r="G223" i="172"/>
  <c r="J223" i="172" s="1"/>
  <c r="M223" i="172" s="1"/>
  <c r="O223" i="172" s="1"/>
  <c r="J256" i="172"/>
  <c r="M256" i="172" s="1"/>
  <c r="O256" i="172" s="1"/>
  <c r="J247" i="172"/>
  <c r="M247" i="172" s="1"/>
  <c r="O247" i="172" s="1"/>
  <c r="J219" i="172"/>
  <c r="M219" i="172" s="1"/>
  <c r="O219" i="172" s="1"/>
  <c r="G228" i="172"/>
  <c r="J228" i="172" s="1"/>
  <c r="M228" i="172" s="1"/>
  <c r="O228" i="172" s="1"/>
  <c r="J237" i="172"/>
  <c r="M237" i="172" s="1"/>
  <c r="O237" i="172" s="1"/>
  <c r="J235" i="172"/>
  <c r="M235" i="172" s="1"/>
  <c r="O235" i="172" s="1"/>
  <c r="J220" i="172"/>
  <c r="M220" i="172" s="1"/>
  <c r="O220" i="172" s="1"/>
  <c r="J255" i="172"/>
  <c r="M255" i="172" s="1"/>
  <c r="O255" i="172" s="1"/>
  <c r="J195" i="172"/>
  <c r="M195" i="172" s="1"/>
  <c r="O195" i="172" s="1"/>
  <c r="G218" i="172"/>
  <c r="J218" i="172" s="1"/>
  <c r="M218" i="172" s="1"/>
  <c r="O218" i="172" s="1"/>
  <c r="J229" i="172"/>
  <c r="M229" i="172" s="1"/>
  <c r="O229" i="172" s="1"/>
  <c r="J236" i="172"/>
  <c r="M236" i="172" s="1"/>
  <c r="O236" i="172" s="1"/>
  <c r="J252" i="172"/>
  <c r="M252" i="172" s="1"/>
  <c r="O252" i="172" s="1"/>
  <c r="J215" i="172"/>
  <c r="M215" i="172" s="1"/>
  <c r="O215" i="172" s="1"/>
  <c r="J226" i="172"/>
  <c r="M226" i="172" s="1"/>
  <c r="O226" i="172" s="1"/>
  <c r="J250" i="172"/>
  <c r="M250" i="172" s="1"/>
  <c r="O250" i="172" s="1"/>
  <c r="G254" i="172"/>
  <c r="J254" i="172" s="1"/>
  <c r="M254" i="172" s="1"/>
  <c r="O254" i="172" s="1"/>
  <c r="J188" i="172"/>
  <c r="M188" i="172" s="1"/>
  <c r="O188" i="172" s="1"/>
  <c r="J208" i="172"/>
  <c r="M208" i="172" s="1"/>
  <c r="O208" i="172" s="1"/>
  <c r="J177" i="172"/>
  <c r="M177" i="172" s="1"/>
  <c r="O177" i="172" s="1"/>
  <c r="G213" i="172"/>
  <c r="J213" i="172" s="1"/>
  <c r="M213" i="172" s="1"/>
  <c r="O213" i="172" s="1"/>
  <c r="J221" i="172"/>
  <c r="M221" i="172" s="1"/>
  <c r="O221" i="172" s="1"/>
  <c r="J224" i="172"/>
  <c r="M224" i="172" s="1"/>
  <c r="O224" i="172" s="1"/>
  <c r="J194" i="172"/>
  <c r="M194" i="172" s="1"/>
  <c r="O194" i="172" s="1"/>
  <c r="J230" i="172"/>
  <c r="M230" i="172" s="1"/>
  <c r="O230" i="172" s="1"/>
  <c r="J198" i="172"/>
  <c r="M198" i="172" s="1"/>
  <c r="O198" i="172" s="1"/>
  <c r="J204" i="172"/>
  <c r="M204" i="172" s="1"/>
  <c r="O204" i="172" s="1"/>
  <c r="J214" i="172"/>
  <c r="M214" i="172" s="1"/>
  <c r="O214" i="172" s="1"/>
  <c r="J183" i="172"/>
  <c r="M183" i="172" s="1"/>
  <c r="O183" i="172" s="1"/>
  <c r="J193" i="172"/>
  <c r="M193" i="172" s="1"/>
  <c r="O193" i="172" s="1"/>
  <c r="J210" i="172"/>
  <c r="M210" i="172" s="1"/>
  <c r="O210" i="172" s="1"/>
  <c r="G197" i="172"/>
  <c r="J197" i="172" s="1"/>
  <c r="M197" i="172" s="1"/>
  <c r="O197" i="172" s="1"/>
  <c r="J199" i="172"/>
  <c r="M199" i="172" s="1"/>
  <c r="O199" i="172" s="1"/>
  <c r="J205" i="172"/>
  <c r="M205" i="172" s="1"/>
  <c r="O205" i="172" s="1"/>
  <c r="G192" i="172"/>
  <c r="J192" i="172" s="1"/>
  <c r="M192" i="172" s="1"/>
  <c r="O192" i="172" s="1"/>
  <c r="J200" i="172"/>
  <c r="M200" i="172" s="1"/>
  <c r="O200" i="172" s="1"/>
  <c r="J179" i="172"/>
  <c r="M179" i="172" s="1"/>
  <c r="O179" i="172" s="1"/>
  <c r="G207" i="172"/>
  <c r="J207" i="172" s="1"/>
  <c r="M207" i="172" s="1"/>
  <c r="O207" i="172" s="1"/>
  <c r="J184" i="172"/>
  <c r="M184" i="172" s="1"/>
  <c r="O184" i="172" s="1"/>
  <c r="J182" i="172"/>
  <c r="M182" i="172" s="1"/>
  <c r="O182" i="172" s="1"/>
  <c r="J203" i="172"/>
  <c r="M203" i="172" s="1"/>
  <c r="O203" i="172" s="1"/>
  <c r="G186" i="172"/>
  <c r="J186" i="172" s="1"/>
  <c r="M186" i="172" s="1"/>
  <c r="O186" i="172" s="1"/>
  <c r="G181" i="172"/>
  <c r="J181" i="172" s="1"/>
  <c r="M181" i="172" s="1"/>
  <c r="O181" i="172" s="1"/>
  <c r="J189" i="172"/>
  <c r="M189" i="172" s="1"/>
  <c r="O189" i="172" s="1"/>
  <c r="G202" i="172"/>
  <c r="J202" i="172" s="1"/>
  <c r="M202" i="172" s="1"/>
  <c r="O202" i="172" s="1"/>
  <c r="G176" i="172"/>
  <c r="J176" i="172" s="1"/>
  <c r="M176" i="172" s="1"/>
  <c r="O176" i="172" s="1"/>
  <c r="J178" i="172"/>
  <c r="M178" i="172" s="1"/>
  <c r="O178" i="172" s="1"/>
  <c r="J187" i="172"/>
  <c r="M187" i="172" s="1"/>
  <c r="O187" i="172" s="1"/>
  <c r="J167" i="172"/>
  <c r="M167" i="172" s="1"/>
  <c r="O167" i="172" s="1"/>
  <c r="J168" i="172"/>
  <c r="M168" i="172" s="1"/>
  <c r="O168" i="172" s="1"/>
  <c r="G170" i="172"/>
  <c r="J170" i="172" s="1"/>
  <c r="M170" i="172" s="1"/>
  <c r="O170" i="172" s="1"/>
  <c r="J172" i="172"/>
  <c r="M172" i="172" s="1"/>
  <c r="O172" i="172" s="1"/>
  <c r="J173" i="172"/>
  <c r="M173" i="172" s="1"/>
  <c r="O173" i="172" s="1"/>
  <c r="J155" i="172"/>
  <c r="M155" i="172" s="1"/>
  <c r="O155" i="172" s="1"/>
  <c r="J165" i="172"/>
  <c r="M165" i="172" s="1"/>
  <c r="O165" i="172" s="1"/>
  <c r="J161" i="172"/>
  <c r="M161" i="172" s="1"/>
  <c r="O161" i="172" s="1"/>
  <c r="J166" i="172"/>
  <c r="M166" i="172" s="1"/>
  <c r="O166" i="172" s="1"/>
  <c r="J162" i="172"/>
  <c r="M162" i="172" s="1"/>
  <c r="O162" i="172" s="1"/>
  <c r="J171" i="172"/>
  <c r="M171" i="172" s="1"/>
  <c r="O171" i="172" s="1"/>
  <c r="J114" i="172"/>
  <c r="M114" i="172" s="1"/>
  <c r="O114" i="172" s="1"/>
  <c r="J151" i="172"/>
  <c r="M151" i="172" s="1"/>
  <c r="O151" i="172" s="1"/>
  <c r="J157" i="172"/>
  <c r="M157" i="172" s="1"/>
  <c r="O157" i="172" s="1"/>
  <c r="J159" i="172"/>
  <c r="M159" i="172" s="1"/>
  <c r="O159" i="172" s="1"/>
  <c r="J156" i="172"/>
  <c r="M156" i="172" s="1"/>
  <c r="O156" i="172" s="1"/>
  <c r="J160" i="172"/>
  <c r="M160" i="172" s="1"/>
  <c r="O160" i="172" s="1"/>
  <c r="J87" i="172"/>
  <c r="M87" i="172" s="1"/>
  <c r="O87" i="172" s="1"/>
  <c r="J136" i="172"/>
  <c r="M136" i="172" s="1"/>
  <c r="O136" i="172" s="1"/>
  <c r="G143" i="172"/>
  <c r="J143" i="172" s="1"/>
  <c r="M143" i="172" s="1"/>
  <c r="O143" i="172" s="1"/>
  <c r="J152" i="172"/>
  <c r="M152" i="172" s="1"/>
  <c r="O152" i="172" s="1"/>
  <c r="J134" i="172"/>
  <c r="M134" i="172" s="1"/>
  <c r="O134" i="172" s="1"/>
  <c r="J140" i="172"/>
  <c r="M140" i="172" s="1"/>
  <c r="O140" i="172" s="1"/>
  <c r="J144" i="172"/>
  <c r="M144" i="172" s="1"/>
  <c r="O144" i="172" s="1"/>
  <c r="G154" i="172"/>
  <c r="J154" i="172" s="1"/>
  <c r="M154" i="172" s="1"/>
  <c r="O154" i="172" s="1"/>
  <c r="J119" i="172"/>
  <c r="M119" i="172" s="1"/>
  <c r="O119" i="172" s="1"/>
  <c r="J145" i="172"/>
  <c r="M145" i="172" s="1"/>
  <c r="O145" i="172" s="1"/>
  <c r="J129" i="172"/>
  <c r="M129" i="172" s="1"/>
  <c r="O129" i="172" s="1"/>
  <c r="J150" i="172"/>
  <c r="M150" i="172" s="1"/>
  <c r="O150" i="172" s="1"/>
  <c r="J146" i="172"/>
  <c r="M146" i="172" s="1"/>
  <c r="O146" i="172" s="1"/>
  <c r="J135" i="172"/>
  <c r="M135" i="172" s="1"/>
  <c r="O135" i="172" s="1"/>
  <c r="G149" i="172"/>
  <c r="J149" i="172" s="1"/>
  <c r="M149" i="172" s="1"/>
  <c r="O149" i="172" s="1"/>
  <c r="J128" i="172"/>
  <c r="M128" i="172" s="1"/>
  <c r="O128" i="172" s="1"/>
  <c r="G138" i="172"/>
  <c r="J138" i="172" s="1"/>
  <c r="M138" i="172" s="1"/>
  <c r="O138" i="172" s="1"/>
  <c r="J141" i="172"/>
  <c r="M141" i="172" s="1"/>
  <c r="O141" i="172" s="1"/>
  <c r="J139" i="172"/>
  <c r="M139" i="172" s="1"/>
  <c r="O139" i="172" s="1"/>
  <c r="J124" i="172"/>
  <c r="M124" i="172" s="1"/>
  <c r="O124" i="172" s="1"/>
  <c r="J130" i="172"/>
  <c r="M130" i="172" s="1"/>
  <c r="O130" i="172" s="1"/>
  <c r="G133" i="172"/>
  <c r="J133" i="172" s="1"/>
  <c r="M133" i="172" s="1"/>
  <c r="O133" i="172" s="1"/>
  <c r="G127" i="172"/>
  <c r="J127" i="172" s="1"/>
  <c r="M127" i="172" s="1"/>
  <c r="O127" i="172" s="1"/>
  <c r="J86" i="172"/>
  <c r="M86" i="172" s="1"/>
  <c r="O86" i="172" s="1"/>
  <c r="J120" i="172"/>
  <c r="M120" i="172" s="1"/>
  <c r="O120" i="172" s="1"/>
  <c r="J125" i="172"/>
  <c r="M125" i="172" s="1"/>
  <c r="O125" i="172" s="1"/>
  <c r="J123" i="172"/>
  <c r="M123" i="172" s="1"/>
  <c r="O123" i="172" s="1"/>
  <c r="J108" i="172"/>
  <c r="M108" i="172" s="1"/>
  <c r="O108" i="172" s="1"/>
  <c r="J118" i="172"/>
  <c r="M118" i="172" s="1"/>
  <c r="O118" i="172" s="1"/>
  <c r="J115" i="172"/>
  <c r="M115" i="172" s="1"/>
  <c r="O115" i="172" s="1"/>
  <c r="G122" i="172"/>
  <c r="J122" i="172" s="1"/>
  <c r="M122" i="172" s="1"/>
  <c r="O122" i="172" s="1"/>
  <c r="J97" i="172"/>
  <c r="M97" i="172" s="1"/>
  <c r="O97" i="172" s="1"/>
  <c r="G112" i="172"/>
  <c r="J112" i="172" s="1"/>
  <c r="M112" i="172" s="1"/>
  <c r="O112" i="172" s="1"/>
  <c r="J92" i="172"/>
  <c r="M92" i="172" s="1"/>
  <c r="O92" i="172" s="1"/>
  <c r="G106" i="172"/>
  <c r="J106" i="172" s="1"/>
  <c r="M106" i="172" s="1"/>
  <c r="O106" i="172" s="1"/>
  <c r="J113" i="172"/>
  <c r="M113" i="172" s="1"/>
  <c r="O113" i="172" s="1"/>
  <c r="G117" i="172"/>
  <c r="J117" i="172" s="1"/>
  <c r="M117" i="172" s="1"/>
  <c r="O117" i="172" s="1"/>
  <c r="J102" i="172"/>
  <c r="M102" i="172" s="1"/>
  <c r="O102" i="172" s="1"/>
  <c r="G101" i="172"/>
  <c r="J101" i="172" s="1"/>
  <c r="M101" i="172" s="1"/>
  <c r="O101" i="172" s="1"/>
  <c r="J107" i="172"/>
  <c r="M107" i="172" s="1"/>
  <c r="O107" i="172" s="1"/>
  <c r="J109" i="172"/>
  <c r="M109" i="172" s="1"/>
  <c r="O109" i="172" s="1"/>
  <c r="J104" i="172"/>
  <c r="M104" i="172" s="1"/>
  <c r="O104" i="172" s="1"/>
  <c r="J98" i="172"/>
  <c r="M98" i="172" s="1"/>
  <c r="O98" i="172" s="1"/>
  <c r="J50" i="172"/>
  <c r="M50" i="172" s="1"/>
  <c r="O50" i="172" s="1"/>
  <c r="J93" i="172"/>
  <c r="M93" i="172" s="1"/>
  <c r="O93" i="172" s="1"/>
  <c r="J103" i="172"/>
  <c r="M103" i="172" s="1"/>
  <c r="O103" i="172" s="1"/>
  <c r="J96" i="172"/>
  <c r="M96" i="172" s="1"/>
  <c r="O96" i="172" s="1"/>
  <c r="J91" i="172"/>
  <c r="M91" i="172" s="1"/>
  <c r="O91" i="172" s="1"/>
  <c r="J48" i="172"/>
  <c r="M48" i="172" s="1"/>
  <c r="O48" i="172" s="1"/>
  <c r="J54" i="172"/>
  <c r="M54" i="172" s="1"/>
  <c r="O54" i="172" s="1"/>
  <c r="G95" i="172"/>
  <c r="J95" i="172" s="1"/>
  <c r="M95" i="172" s="1"/>
  <c r="O95" i="172" s="1"/>
  <c r="G90" i="172"/>
  <c r="J90" i="172" s="1"/>
  <c r="M90" i="172" s="1"/>
  <c r="O90" i="172" s="1"/>
  <c r="J27" i="172"/>
  <c r="M27" i="172" s="1"/>
  <c r="O27" i="172" s="1"/>
  <c r="J88" i="172"/>
  <c r="M88" i="172" s="1"/>
  <c r="O88" i="172" s="1"/>
  <c r="J32" i="172"/>
  <c r="M32" i="172" s="1"/>
  <c r="O32" i="172" s="1"/>
  <c r="J38" i="172"/>
  <c r="M38" i="172" s="1"/>
  <c r="O38" i="172" s="1"/>
  <c r="G52" i="172"/>
  <c r="J52" i="172" s="1"/>
  <c r="M52" i="172" s="1"/>
  <c r="O52" i="172" s="1"/>
  <c r="J39" i="172"/>
  <c r="M39" i="172" s="1"/>
  <c r="O39" i="172" s="1"/>
  <c r="G85" i="172"/>
  <c r="J85" i="172" s="1"/>
  <c r="M85" i="172" s="1"/>
  <c r="O85" i="172" s="1"/>
  <c r="J49" i="172"/>
  <c r="M49" i="172" s="1"/>
  <c r="O49" i="172" s="1"/>
  <c r="J55" i="172"/>
  <c r="M55" i="172" s="1"/>
  <c r="O55" i="172" s="1"/>
  <c r="J53" i="172"/>
  <c r="M53" i="172" s="1"/>
  <c r="O53" i="172" s="1"/>
  <c r="J26" i="172"/>
  <c r="M26" i="172" s="1"/>
  <c r="O26" i="172" s="1"/>
  <c r="G42" i="172"/>
  <c r="J42" i="172" s="1"/>
  <c r="M42" i="172" s="1"/>
  <c r="O42" i="172" s="1"/>
  <c r="G36" i="172"/>
  <c r="J36" i="172" s="1"/>
  <c r="M36" i="172" s="1"/>
  <c r="O36" i="172" s="1"/>
  <c r="J45" i="172"/>
  <c r="M45" i="172" s="1"/>
  <c r="O45" i="172" s="1"/>
  <c r="J33" i="172"/>
  <c r="M33" i="172" s="1"/>
  <c r="O33" i="172" s="1"/>
  <c r="J34" i="172"/>
  <c r="M34" i="172" s="1"/>
  <c r="O34" i="172" s="1"/>
  <c r="G47" i="172"/>
  <c r="J47" i="172" s="1"/>
  <c r="M47" i="172" s="1"/>
  <c r="O47" i="172" s="1"/>
  <c r="J44" i="172"/>
  <c r="M44" i="172" s="1"/>
  <c r="O44" i="172" s="1"/>
  <c r="J18" i="172"/>
  <c r="M18" i="172" s="1"/>
  <c r="O18" i="172" s="1"/>
  <c r="G31" i="172"/>
  <c r="J31" i="172" s="1"/>
  <c r="M31" i="172" s="1"/>
  <c r="O31" i="172" s="1"/>
  <c r="J37" i="172"/>
  <c r="M37" i="172" s="1"/>
  <c r="O37" i="172" s="1"/>
  <c r="J43" i="172"/>
  <c r="M43" i="172" s="1"/>
  <c r="O43" i="172" s="1"/>
  <c r="J12" i="172"/>
  <c r="M12" i="172" s="1"/>
  <c r="O12" i="172" s="1"/>
  <c r="J13" i="172"/>
  <c r="M13" i="172" s="1"/>
  <c r="O13" i="172" s="1"/>
  <c r="J16" i="172"/>
  <c r="M16" i="172" s="1"/>
  <c r="O16" i="172" s="1"/>
  <c r="J21" i="172"/>
  <c r="M21" i="172" s="1"/>
  <c r="O21" i="172" s="1"/>
  <c r="J28" i="172"/>
  <c r="M28" i="172" s="1"/>
  <c r="O28" i="172" s="1"/>
  <c r="J22" i="172"/>
  <c r="M22" i="172" s="1"/>
  <c r="O22" i="172" s="1"/>
  <c r="J23" i="172"/>
  <c r="M23" i="172" s="1"/>
  <c r="O23" i="172" s="1"/>
  <c r="J17" i="172"/>
  <c r="M17" i="172" s="1"/>
  <c r="O17" i="172" s="1"/>
  <c r="G15" i="172"/>
  <c r="J15" i="172" s="1"/>
  <c r="M15" i="172" s="1"/>
  <c r="O15" i="172" s="1"/>
  <c r="G25" i="172"/>
  <c r="J25" i="172" s="1"/>
  <c r="M25" i="172" s="1"/>
  <c r="G20" i="172"/>
  <c r="G11" i="172"/>
  <c r="G10" i="172"/>
  <c r="K65" i="84"/>
  <c r="K308" i="84"/>
  <c r="K309" i="84"/>
  <c r="K313" i="84"/>
  <c r="K300" i="84"/>
  <c r="K304" i="84"/>
  <c r="K301" i="84"/>
  <c r="K302" i="84"/>
  <c r="K299" i="84"/>
  <c r="K303" i="84"/>
  <c r="J291" i="84"/>
  <c r="J292" i="84"/>
  <c r="J293" i="84"/>
  <c r="J294" i="84"/>
  <c r="J295" i="84"/>
  <c r="J314" i="84"/>
  <c r="J290" i="84"/>
  <c r="H314" i="84"/>
  <c r="H291" i="84"/>
  <c r="H292" i="84"/>
  <c r="H293" i="84"/>
  <c r="H295" i="84"/>
  <c r="H290" i="84"/>
  <c r="D314" i="84"/>
  <c r="D295" i="84"/>
  <c r="D294" i="84"/>
  <c r="D293" i="84"/>
  <c r="D292" i="84"/>
  <c r="D291" i="84"/>
  <c r="D290" i="84"/>
  <c r="B290" i="84"/>
  <c r="B291" i="84"/>
  <c r="B292" i="84"/>
  <c r="B293" i="84"/>
  <c r="B294" i="84"/>
  <c r="B295" i="84"/>
  <c r="B314" i="84"/>
  <c r="B289" i="84"/>
  <c r="G275" i="84"/>
  <c r="K286" i="84"/>
  <c r="G83" i="84"/>
  <c r="K83" i="84" s="1"/>
  <c r="G80" i="84"/>
  <c r="G282" i="84" s="1"/>
  <c r="G82" i="84"/>
  <c r="G284" i="84" s="1"/>
  <c r="G81" i="84"/>
  <c r="G283" i="84" s="1"/>
  <c r="G79" i="84"/>
  <c r="K79" i="84" s="1"/>
  <c r="D275" i="84"/>
  <c r="D276" i="84"/>
  <c r="D277" i="84"/>
  <c r="D278" i="84"/>
  <c r="D280" i="84"/>
  <c r="D281" i="84"/>
  <c r="D282" i="84"/>
  <c r="D283" i="84"/>
  <c r="D284" i="84"/>
  <c r="D285" i="84"/>
  <c r="D274" i="84"/>
  <c r="B284" i="84"/>
  <c r="B285" i="84"/>
  <c r="B278" i="84"/>
  <c r="B279" i="84"/>
  <c r="B280" i="84"/>
  <c r="B281" i="84"/>
  <c r="B282" i="84"/>
  <c r="B283" i="84"/>
  <c r="B274" i="84"/>
  <c r="B275" i="84"/>
  <c r="B276" i="84"/>
  <c r="B277" i="84"/>
  <c r="B273" i="84"/>
  <c r="B272" i="84"/>
  <c r="K138" i="84"/>
  <c r="K136" i="84"/>
  <c r="K135" i="84"/>
  <c r="K134" i="84"/>
  <c r="K133" i="84"/>
  <c r="K73" i="84"/>
  <c r="H137" i="84"/>
  <c r="K137" i="84" s="1"/>
  <c r="G78" i="84"/>
  <c r="K78" i="84" s="1"/>
  <c r="G38" i="84"/>
  <c r="E37" i="84"/>
  <c r="G37" i="84"/>
  <c r="G191" i="84" s="1"/>
  <c r="E36" i="84"/>
  <c r="G36" i="84"/>
  <c r="G190" i="84" s="1"/>
  <c r="E35" i="84"/>
  <c r="G35" i="84"/>
  <c r="G189" i="84" s="1"/>
  <c r="G34" i="84"/>
  <c r="G33" i="84"/>
  <c r="G32" i="84"/>
  <c r="G186" i="84" s="1"/>
  <c r="E32" i="84"/>
  <c r="G31" i="84"/>
  <c r="G185" i="84" s="1"/>
  <c r="E31" i="84"/>
  <c r="E185" i="84" s="1"/>
  <c r="G72" i="84"/>
  <c r="K72" i="84" s="1"/>
  <c r="G75" i="84"/>
  <c r="K75" i="84" s="1"/>
  <c r="G74" i="84"/>
  <c r="K74" i="84" s="1"/>
  <c r="G76" i="84"/>
  <c r="K76" i="84" s="1"/>
  <c r="L79" i="84"/>
  <c r="L74" i="84"/>
  <c r="L32" i="84"/>
  <c r="L72" i="84"/>
  <c r="L137" i="84"/>
  <c r="L76" i="84"/>
  <c r="L83" i="84"/>
  <c r="L82" i="84"/>
  <c r="L37" i="84"/>
  <c r="L78" i="84"/>
  <c r="L31" i="84"/>
  <c r="L75" i="84"/>
  <c r="L35" i="84"/>
  <c r="L33" i="84"/>
  <c r="L36" i="84"/>
  <c r="L81" i="84"/>
  <c r="L34" i="84"/>
  <c r="L80" i="84"/>
  <c r="H489" i="172" l="1"/>
  <c r="H201" i="173"/>
  <c r="O27" i="178"/>
  <c r="I381" i="84" s="1"/>
  <c r="K381" i="84" s="1"/>
  <c r="O480" i="172"/>
  <c r="I380" i="84" s="1"/>
  <c r="H486" i="172"/>
  <c r="H35" i="178"/>
  <c r="M110" i="175"/>
  <c r="O110" i="175" s="1"/>
  <c r="H248" i="175"/>
  <c r="M18" i="178"/>
  <c r="O18" i="178" s="1"/>
  <c r="H33" i="178" s="1"/>
  <c r="Y251" i="175"/>
  <c r="Z251" i="175" s="1"/>
  <c r="H362" i="84"/>
  <c r="K362" i="84" s="1"/>
  <c r="K223" i="84"/>
  <c r="K219" i="84"/>
  <c r="K34" i="84"/>
  <c r="G188" i="84"/>
  <c r="K188" i="84" s="1"/>
  <c r="E311" i="84"/>
  <c r="K311" i="84" s="1"/>
  <c r="E190" i="84"/>
  <c r="K190" i="84" s="1"/>
  <c r="K33" i="84"/>
  <c r="G187" i="84"/>
  <c r="K187" i="84" s="1"/>
  <c r="K38" i="84"/>
  <c r="G192" i="84"/>
  <c r="K192" i="84" s="1"/>
  <c r="E307" i="84"/>
  <c r="K307" i="84" s="1"/>
  <c r="E186" i="84"/>
  <c r="K186" i="84" s="1"/>
  <c r="E310" i="84"/>
  <c r="K310" i="84" s="1"/>
  <c r="E189" i="84"/>
  <c r="K189" i="84" s="1"/>
  <c r="E312" i="84"/>
  <c r="K312" i="84" s="1"/>
  <c r="E191" i="84"/>
  <c r="K191" i="84" s="1"/>
  <c r="J11" i="172"/>
  <c r="M11" i="172" s="1"/>
  <c r="O11" i="172" s="1"/>
  <c r="O25" i="172"/>
  <c r="J20" i="172"/>
  <c r="M20" i="172" s="1"/>
  <c r="O20" i="172" s="1"/>
  <c r="J10" i="172"/>
  <c r="M10" i="172" s="1"/>
  <c r="O10" i="172" s="1"/>
  <c r="K81" i="84"/>
  <c r="K185" i="84"/>
  <c r="E306" i="84"/>
  <c r="K306" i="84" s="1"/>
  <c r="G281" i="84"/>
  <c r="K281" i="84" s="1"/>
  <c r="G285" i="84"/>
  <c r="K285" i="84" s="1"/>
  <c r="K314" i="84"/>
  <c r="K35" i="84"/>
  <c r="K284" i="84"/>
  <c r="K275" i="84"/>
  <c r="K291" i="84"/>
  <c r="K295" i="84"/>
  <c r="H294" i="84"/>
  <c r="K294" i="84" s="1"/>
  <c r="K80" i="84"/>
  <c r="K283" i="84"/>
  <c r="K292" i="84"/>
  <c r="K293" i="84"/>
  <c r="K290" i="84"/>
  <c r="K282" i="84"/>
  <c r="G277" i="84"/>
  <c r="K277" i="84" s="1"/>
  <c r="K32" i="84"/>
  <c r="K36" i="84"/>
  <c r="G278" i="84"/>
  <c r="K278" i="84" s="1"/>
  <c r="G274" i="84"/>
  <c r="K274" i="84" s="1"/>
  <c r="G280" i="84"/>
  <c r="K280" i="84" s="1"/>
  <c r="K37" i="84"/>
  <c r="K82" i="84"/>
  <c r="G276" i="84"/>
  <c r="K276" i="84" s="1"/>
  <c r="K31" i="84"/>
  <c r="K19" i="177"/>
  <c r="K18" i="177"/>
  <c r="K23" i="177"/>
  <c r="K22" i="177"/>
  <c r="I25" i="177"/>
  <c r="I24" i="177" s="1"/>
  <c r="J13" i="177"/>
  <c r="K16" i="177"/>
  <c r="K15" i="177"/>
  <c r="K14" i="177"/>
  <c r="I13" i="177"/>
  <c r="O26" i="178" l="1"/>
  <c r="O28" i="178" s="1"/>
  <c r="I368" i="84" s="1"/>
  <c r="K368" i="84" s="1"/>
  <c r="H488" i="172"/>
  <c r="O479" i="172"/>
  <c r="O481" i="172" s="1"/>
  <c r="I366" i="84" s="1"/>
  <c r="K366" i="84" s="1"/>
  <c r="K365" i="84" s="1"/>
  <c r="K288" i="84"/>
  <c r="H361" i="84" s="1"/>
  <c r="K361" i="84" s="1"/>
  <c r="K360" i="84" s="1"/>
  <c r="K69" i="84"/>
  <c r="K29" i="84"/>
  <c r="I21" i="177"/>
  <c r="K271" i="84"/>
  <c r="K183" i="84"/>
  <c r="K20" i="177"/>
  <c r="K17" i="177" s="1"/>
  <c r="J17" i="177"/>
  <c r="I17" i="177"/>
  <c r="J21" i="177"/>
  <c r="K21" i="177"/>
  <c r="K13" i="177"/>
  <c r="J12" i="177" l="1"/>
  <c r="I26" i="177"/>
  <c r="I12" i="177"/>
  <c r="K12" i="177"/>
  <c r="H141" i="84" l="1"/>
  <c r="K141" i="84" s="1"/>
  <c r="K131" i="84" s="1"/>
  <c r="G6" i="176"/>
  <c r="G3" i="176"/>
  <c r="G10" i="173"/>
  <c r="L141" i="84"/>
  <c r="J11" i="175" l="1"/>
  <c r="M11" i="175" s="1"/>
  <c r="O11" i="175" s="1"/>
  <c r="J14" i="175"/>
  <c r="M14" i="175" s="1"/>
  <c r="O14" i="175" s="1"/>
  <c r="J13" i="175"/>
  <c r="M13" i="175" s="1"/>
  <c r="O13" i="175" s="1"/>
  <c r="J15" i="175"/>
  <c r="M15" i="175" s="1"/>
  <c r="O15" i="175" s="1"/>
  <c r="J12" i="175"/>
  <c r="M12" i="175" s="1"/>
  <c r="O12" i="175" s="1"/>
  <c r="J16" i="175"/>
  <c r="M16" i="175" s="1"/>
  <c r="O16" i="175" s="1"/>
  <c r="M10" i="175"/>
  <c r="O10" i="175" s="1"/>
  <c r="H250" i="175" l="1"/>
  <c r="O243" i="175"/>
  <c r="I373" i="84" s="1"/>
  <c r="Y250" i="175"/>
  <c r="Z250" i="175" s="1"/>
  <c r="G4" i="176"/>
  <c r="N5" i="176" l="1"/>
  <c r="N6" i="176"/>
  <c r="N4" i="176"/>
  <c r="N3" i="176"/>
  <c r="H5" i="176"/>
  <c r="H6" i="176"/>
  <c r="H3" i="176"/>
  <c r="F6" i="176"/>
  <c r="E3" i="176"/>
  <c r="N7" i="176" l="1"/>
  <c r="H4" i="176" l="1"/>
  <c r="G5" i="176" l="1"/>
  <c r="G9" i="173" l="1"/>
  <c r="J9" i="173" s="1"/>
  <c r="M9" i="173" s="1"/>
  <c r="O9" i="173" s="1"/>
  <c r="H10" i="173" l="1"/>
  <c r="M12" i="173"/>
  <c r="J10" i="173" l="1"/>
  <c r="M10" i="173" s="1"/>
  <c r="F3" i="176"/>
  <c r="I3" i="176" s="1"/>
  <c r="K3" i="176" s="1"/>
  <c r="O12" i="173"/>
  <c r="O195" i="173" s="1"/>
  <c r="I382" i="84" s="1"/>
  <c r="K382" i="84" s="1"/>
  <c r="O10" i="173" l="1"/>
  <c r="O194" i="173" s="1"/>
  <c r="O196" i="173" s="1"/>
  <c r="I370" i="84" s="1"/>
  <c r="K370" i="84" s="1"/>
  <c r="K369" i="84" s="1"/>
  <c r="F4" i="176"/>
  <c r="F5" i="176"/>
  <c r="H203" i="173" l="1"/>
  <c r="E4" i="176"/>
  <c r="I4" i="176" s="1"/>
  <c r="K4" i="176" s="1"/>
  <c r="E6" i="176"/>
  <c r="I6" i="176" s="1"/>
  <c r="L6" i="176" s="1"/>
  <c r="E5" i="176"/>
  <c r="I5" i="176" s="1"/>
  <c r="K373" i="84"/>
  <c r="K380" i="84"/>
  <c r="K379" i="84" s="1"/>
  <c r="L4" i="176" l="1"/>
  <c r="K6" i="176"/>
  <c r="L5" i="176"/>
  <c r="K5" i="176"/>
  <c r="K374" i="84"/>
  <c r="K372" i="84" s="1"/>
  <c r="K7" i="176" l="1"/>
  <c r="N8" i="176" s="1"/>
  <c r="Q46" i="88"/>
  <c r="B379" i="84" l="1"/>
  <c r="B383" i="84"/>
  <c r="B384" i="84"/>
  <c r="B385" i="84"/>
  <c r="B386" i="84"/>
  <c r="B387" i="84"/>
  <c r="B388" i="84"/>
  <c r="B389" i="84"/>
  <c r="B390" i="84"/>
  <c r="B391" i="84"/>
  <c r="B392" i="84"/>
  <c r="B393" i="84"/>
  <c r="K21" i="27"/>
  <c r="A17" i="27"/>
  <c r="E20" i="167"/>
  <c r="E11" i="167"/>
  <c r="K6" i="167"/>
  <c r="K5" i="167"/>
  <c r="F6" i="167"/>
  <c r="F5" i="167"/>
  <c r="B7" i="167"/>
  <c r="B6" i="167"/>
  <c r="B5" i="167"/>
  <c r="A2" i="167"/>
  <c r="F16" i="27"/>
  <c r="G16" i="88" l="1"/>
  <c r="G17" i="88"/>
  <c r="G18" i="88"/>
  <c r="G19" i="88"/>
  <c r="G20" i="88"/>
  <c r="G21" i="88"/>
  <c r="G22" i="88"/>
  <c r="G23" i="88"/>
  <c r="G24" i="88"/>
  <c r="G25" i="88"/>
  <c r="G26" i="88"/>
  <c r="G27" i="88"/>
  <c r="G28" i="88"/>
  <c r="G29" i="88"/>
  <c r="G30" i="88"/>
  <c r="G31" i="88"/>
  <c r="G32" i="88"/>
  <c r="G33" i="88"/>
  <c r="G34" i="88"/>
  <c r="G35" i="88"/>
  <c r="G36" i="88"/>
  <c r="G37" i="88"/>
  <c r="G38" i="88"/>
  <c r="G39" i="88"/>
  <c r="G40" i="88"/>
  <c r="G41" i="88"/>
  <c r="G42" i="88"/>
  <c r="G43" i="88"/>
  <c r="G44" i="88"/>
  <c r="G45" i="88"/>
  <c r="G46" i="88"/>
  <c r="G47" i="88"/>
  <c r="G48" i="88"/>
  <c r="G49" i="88"/>
  <c r="G50" i="88"/>
  <c r="G51" i="88"/>
  <c r="G52" i="88"/>
  <c r="G53" i="88"/>
  <c r="G54" i="88"/>
  <c r="G55" i="88"/>
  <c r="G56" i="88"/>
  <c r="G57" i="88"/>
  <c r="G58" i="88"/>
  <c r="G59" i="88"/>
  <c r="J59" i="88"/>
  <c r="K59" i="88"/>
  <c r="G60" i="88"/>
  <c r="J60" i="88"/>
  <c r="K60" i="88"/>
  <c r="G61" i="88"/>
  <c r="G62" i="88"/>
  <c r="G63" i="88"/>
  <c r="G64" i="88"/>
  <c r="J64" i="88"/>
  <c r="K64" i="88"/>
  <c r="G65" i="88"/>
  <c r="G66" i="88"/>
  <c r="J66" i="88"/>
  <c r="K66" i="88"/>
  <c r="G67" i="88"/>
  <c r="G68" i="88"/>
  <c r="G69" i="88"/>
  <c r="G70" i="88"/>
  <c r="G71" i="88"/>
  <c r="J71" i="88"/>
  <c r="K71" i="88"/>
  <c r="G72" i="88"/>
  <c r="J72" i="88"/>
  <c r="K72" i="88"/>
  <c r="G73" i="88"/>
  <c r="J73" i="88"/>
  <c r="K73" i="88"/>
  <c r="G74" i="88"/>
  <c r="J74" i="88"/>
  <c r="K74" i="88"/>
  <c r="G75" i="88"/>
  <c r="G76" i="88"/>
  <c r="G77" i="88"/>
  <c r="G78" i="88"/>
  <c r="G79" i="88"/>
  <c r="G80" i="88"/>
  <c r="G81" i="88"/>
  <c r="J81" i="88"/>
  <c r="K81" i="88"/>
  <c r="G82" i="88"/>
  <c r="J82" i="88"/>
  <c r="K82" i="88"/>
  <c r="G83" i="88"/>
  <c r="J83" i="88"/>
  <c r="K83" i="88"/>
  <c r="G84" i="88"/>
  <c r="G85" i="88"/>
  <c r="J85" i="88"/>
  <c r="K85" i="88"/>
  <c r="G86" i="88"/>
  <c r="J86" i="88"/>
  <c r="K86" i="88"/>
  <c r="G87" i="88"/>
  <c r="G88" i="88"/>
  <c r="G89" i="88"/>
  <c r="J89" i="88"/>
  <c r="K89" i="88"/>
  <c r="G90" i="88"/>
  <c r="G91" i="88"/>
  <c r="J91" i="88"/>
  <c r="K91" i="88"/>
  <c r="G92" i="88"/>
  <c r="G93" i="88"/>
  <c r="G94" i="88"/>
  <c r="G95" i="88"/>
  <c r="G96" i="88"/>
  <c r="J96" i="88"/>
  <c r="K96" i="88"/>
  <c r="G97" i="88"/>
  <c r="J97" i="88"/>
  <c r="K97" i="88"/>
  <c r="G98" i="88"/>
  <c r="J98" i="88"/>
  <c r="K98" i="88"/>
  <c r="G99" i="88"/>
  <c r="J99" i="88"/>
  <c r="K99" i="88"/>
  <c r="G100" i="88"/>
  <c r="J100" i="88"/>
  <c r="K100" i="88"/>
  <c r="G101" i="88"/>
  <c r="J101" i="88"/>
  <c r="K101" i="88"/>
  <c r="G102" i="88"/>
  <c r="J102" i="88"/>
  <c r="K102" i="88"/>
  <c r="G103" i="88"/>
  <c r="G104" i="88"/>
  <c r="G105" i="88"/>
  <c r="J105" i="88"/>
  <c r="K105" i="88"/>
  <c r="G106" i="88"/>
  <c r="J106" i="88"/>
  <c r="K106" i="88"/>
  <c r="G107" i="88"/>
  <c r="J107" i="88"/>
  <c r="K107" i="88"/>
  <c r="G108" i="88"/>
  <c r="G109" i="88"/>
  <c r="G110" i="88"/>
  <c r="J110" i="88"/>
  <c r="K110" i="88"/>
  <c r="G111" i="88"/>
  <c r="J111" i="88"/>
  <c r="K111" i="88"/>
  <c r="G112" i="88"/>
  <c r="G113" i="88"/>
  <c r="G114" i="88"/>
  <c r="J114" i="88"/>
  <c r="K114" i="88"/>
  <c r="G115" i="88"/>
  <c r="J115" i="88"/>
  <c r="K115" i="88"/>
  <c r="G116" i="88"/>
  <c r="J116" i="88"/>
  <c r="K116" i="88"/>
  <c r="G117" i="88"/>
  <c r="J117" i="88"/>
  <c r="K117" i="88"/>
  <c r="G118" i="88"/>
  <c r="G119" i="88"/>
  <c r="G120" i="88"/>
  <c r="J120" i="88"/>
  <c r="K120" i="88"/>
  <c r="G121" i="88"/>
  <c r="G122" i="88"/>
  <c r="G123" i="88"/>
  <c r="J123" i="88"/>
  <c r="K123" i="88"/>
  <c r="G124" i="88"/>
  <c r="G125" i="88"/>
  <c r="G126" i="88"/>
  <c r="J126" i="88"/>
  <c r="K126" i="88"/>
  <c r="G127" i="88"/>
  <c r="G128" i="88"/>
  <c r="G129" i="88"/>
  <c r="J129" i="88"/>
  <c r="K129" i="88"/>
  <c r="G130" i="88"/>
  <c r="J130" i="88"/>
  <c r="K130" i="88"/>
  <c r="G131" i="88"/>
  <c r="J131" i="88"/>
  <c r="K131" i="88"/>
  <c r="G132" i="88"/>
  <c r="G133" i="88"/>
  <c r="J133" i="88"/>
  <c r="K133" i="88"/>
  <c r="G134" i="88"/>
  <c r="G135" i="88"/>
  <c r="J135" i="88"/>
  <c r="K135" i="88"/>
  <c r="G136" i="88"/>
  <c r="J136" i="88"/>
  <c r="K136" i="88"/>
  <c r="G137" i="88"/>
  <c r="J137" i="88"/>
  <c r="K137" i="88"/>
  <c r="G138" i="88"/>
  <c r="J138" i="88"/>
  <c r="K138" i="88"/>
  <c r="G139" i="88"/>
  <c r="J139" i="88"/>
  <c r="K139" i="88"/>
  <c r="G140" i="88"/>
  <c r="J140" i="88"/>
  <c r="K140" i="88"/>
  <c r="G141" i="88"/>
  <c r="J141" i="88"/>
  <c r="K141" i="88"/>
  <c r="G142" i="88"/>
  <c r="G143" i="88"/>
  <c r="G144" i="88"/>
  <c r="J144" i="88"/>
  <c r="K144" i="88"/>
  <c r="G145" i="88"/>
  <c r="J145" i="88"/>
  <c r="K145" i="88"/>
  <c r="G146" i="88"/>
  <c r="J146" i="88"/>
  <c r="K146" i="88"/>
  <c r="G147" i="88"/>
  <c r="G148" i="88"/>
  <c r="G149" i="88"/>
  <c r="J149" i="88"/>
  <c r="K149" i="88"/>
  <c r="G150" i="88"/>
  <c r="J150" i="88"/>
  <c r="K150" i="88"/>
  <c r="G151" i="88"/>
  <c r="G152" i="88"/>
  <c r="G15" i="88"/>
  <c r="J54" i="87"/>
  <c r="L59" i="88" s="1"/>
  <c r="N59" i="88" s="1"/>
  <c r="J55" i="87"/>
  <c r="L60" i="88" s="1"/>
  <c r="N60" i="88" s="1"/>
  <c r="J59" i="87"/>
  <c r="L64" i="88" s="1"/>
  <c r="N64" i="88" s="1"/>
  <c r="J61" i="87"/>
  <c r="L66" i="88" s="1"/>
  <c r="N66" i="88" s="1"/>
  <c r="J66" i="87"/>
  <c r="L71" i="88" s="1"/>
  <c r="N71" i="88" s="1"/>
  <c r="J67" i="87"/>
  <c r="L72" i="88" s="1"/>
  <c r="N72" i="88" s="1"/>
  <c r="J68" i="87"/>
  <c r="L73" i="88" s="1"/>
  <c r="N73" i="88" s="1"/>
  <c r="J69" i="87"/>
  <c r="L74" i="88" s="1"/>
  <c r="N74" i="88" s="1"/>
  <c r="J76" i="87"/>
  <c r="L81" i="88" s="1"/>
  <c r="N81" i="88" s="1"/>
  <c r="J77" i="87"/>
  <c r="L82" i="88" s="1"/>
  <c r="N82" i="88" s="1"/>
  <c r="J78" i="87"/>
  <c r="L83" i="88" s="1"/>
  <c r="N83" i="88" s="1"/>
  <c r="J80" i="87"/>
  <c r="L85" i="88" s="1"/>
  <c r="N85" i="88" s="1"/>
  <c r="J81" i="87"/>
  <c r="L86" i="88" s="1"/>
  <c r="N86" i="88" s="1"/>
  <c r="J84" i="87"/>
  <c r="L89" i="88" s="1"/>
  <c r="N89" i="88" s="1"/>
  <c r="J86" i="87"/>
  <c r="L91" i="88" s="1"/>
  <c r="N91" i="88" s="1"/>
  <c r="J91" i="87"/>
  <c r="L96" i="88" s="1"/>
  <c r="N96" i="88" s="1"/>
  <c r="J92" i="87"/>
  <c r="L97" i="88" s="1"/>
  <c r="N97" i="88" s="1"/>
  <c r="J93" i="87"/>
  <c r="L98" i="88" s="1"/>
  <c r="N98" i="88" s="1"/>
  <c r="J94" i="87"/>
  <c r="L99" i="88" s="1"/>
  <c r="N99" i="88" s="1"/>
  <c r="J95" i="87"/>
  <c r="L100" i="88" s="1"/>
  <c r="N100" i="88" s="1"/>
  <c r="J96" i="87"/>
  <c r="L101" i="88" s="1"/>
  <c r="N101" i="88" s="1"/>
  <c r="J97" i="87"/>
  <c r="L102" i="88" s="1"/>
  <c r="N102" i="88" s="1"/>
  <c r="J100" i="87"/>
  <c r="L105" i="88" s="1"/>
  <c r="N105" i="88" s="1"/>
  <c r="J101" i="87"/>
  <c r="L106" i="88" s="1"/>
  <c r="N106" i="88" s="1"/>
  <c r="J102" i="87"/>
  <c r="L107" i="88" s="1"/>
  <c r="N107" i="88" s="1"/>
  <c r="J105" i="87"/>
  <c r="L110" i="88" s="1"/>
  <c r="N110" i="88" s="1"/>
  <c r="J106" i="87"/>
  <c r="L111" i="88" s="1"/>
  <c r="N111" i="88" s="1"/>
  <c r="J109" i="87"/>
  <c r="L114" i="88" s="1"/>
  <c r="N114" i="88" s="1"/>
  <c r="J110" i="87"/>
  <c r="L115" i="88" s="1"/>
  <c r="N115" i="88" s="1"/>
  <c r="J111" i="87"/>
  <c r="L116" i="88" s="1"/>
  <c r="N116" i="88" s="1"/>
  <c r="J112" i="87"/>
  <c r="L117" i="88" s="1"/>
  <c r="N117" i="88" s="1"/>
  <c r="J115" i="87"/>
  <c r="L120" i="88" s="1"/>
  <c r="N120" i="88" s="1"/>
  <c r="J118" i="87"/>
  <c r="L123" i="88" s="1"/>
  <c r="N123" i="88" s="1"/>
  <c r="J121" i="87"/>
  <c r="L126" i="88" s="1"/>
  <c r="N126" i="88" s="1"/>
  <c r="J124" i="87"/>
  <c r="L129" i="88" s="1"/>
  <c r="N129" i="88" s="1"/>
  <c r="J125" i="87"/>
  <c r="L130" i="88" s="1"/>
  <c r="N130" i="88" s="1"/>
  <c r="J126" i="87"/>
  <c r="L131" i="88" s="1"/>
  <c r="N131" i="88" s="1"/>
  <c r="J128" i="87"/>
  <c r="L133" i="88" s="1"/>
  <c r="N133" i="88" s="1"/>
  <c r="J130" i="87"/>
  <c r="L135" i="88" s="1"/>
  <c r="N135" i="88" s="1"/>
  <c r="J131" i="87"/>
  <c r="L136" i="88" s="1"/>
  <c r="N136" i="88" s="1"/>
  <c r="J132" i="87"/>
  <c r="L137" i="88" s="1"/>
  <c r="N137" i="88" s="1"/>
  <c r="J133" i="87"/>
  <c r="L138" i="88" s="1"/>
  <c r="N138" i="88" s="1"/>
  <c r="J134" i="87"/>
  <c r="L139" i="88" s="1"/>
  <c r="N139" i="88" s="1"/>
  <c r="J135" i="87"/>
  <c r="L140" i="88" s="1"/>
  <c r="N140" i="88" s="1"/>
  <c r="J136" i="87"/>
  <c r="L141" i="88" s="1"/>
  <c r="N141" i="88" s="1"/>
  <c r="J139" i="87"/>
  <c r="L144" i="88" s="1"/>
  <c r="N144" i="88" s="1"/>
  <c r="J140" i="87"/>
  <c r="L145" i="88" s="1"/>
  <c r="N145" i="88" s="1"/>
  <c r="J141" i="87"/>
  <c r="L146" i="88" s="1"/>
  <c r="N146" i="88" s="1"/>
  <c r="J144" i="87"/>
  <c r="L149" i="88" s="1"/>
  <c r="N149" i="88" s="1"/>
  <c r="J145" i="87"/>
  <c r="L150" i="88" s="1"/>
  <c r="N150" i="88" s="1"/>
  <c r="F31" i="86" l="1"/>
  <c r="F26" i="87" s="1"/>
  <c r="F37" i="86"/>
  <c r="F32" i="87" s="1"/>
  <c r="D45" i="86"/>
  <c r="F45" i="86" s="1"/>
  <c r="F40" i="87" s="1"/>
  <c r="D46" i="86"/>
  <c r="F46" i="86" s="1"/>
  <c r="F41" i="87" s="1"/>
  <c r="D47" i="86"/>
  <c r="F47" i="86" s="1"/>
  <c r="F42" i="87" s="1"/>
  <c r="D48" i="86"/>
  <c r="F48" i="86" s="1"/>
  <c r="F43" i="87" s="1"/>
  <c r="D49" i="86"/>
  <c r="F49" i="86" s="1"/>
  <c r="F44" i="87" s="1"/>
  <c r="D50" i="86"/>
  <c r="F50" i="86" s="1"/>
  <c r="F45" i="87" s="1"/>
  <c r="D51" i="86"/>
  <c r="F51" i="86" s="1"/>
  <c r="F46" i="87" s="1"/>
  <c r="D52" i="86"/>
  <c r="F52" i="86" s="1"/>
  <c r="F47" i="87" s="1"/>
  <c r="D53" i="86"/>
  <c r="F53" i="86" s="1"/>
  <c r="F48" i="87" s="1"/>
  <c r="D54" i="86"/>
  <c r="F54" i="86" s="1"/>
  <c r="F49" i="87" s="1"/>
  <c r="D55" i="86"/>
  <c r="F55" i="86" s="1"/>
  <c r="F50" i="87" s="1"/>
  <c r="D56" i="86"/>
  <c r="F56" i="86" s="1"/>
  <c r="F51" i="87" s="1"/>
  <c r="D57" i="86"/>
  <c r="F57" i="86" s="1"/>
  <c r="F52" i="87" s="1"/>
  <c r="D58" i="86"/>
  <c r="F58" i="86" s="1"/>
  <c r="F53" i="87" s="1"/>
  <c r="D59" i="86"/>
  <c r="F59" i="86" s="1"/>
  <c r="F54" i="87" s="1"/>
  <c r="D60" i="86"/>
  <c r="F60" i="86" s="1"/>
  <c r="F55" i="87" s="1"/>
  <c r="D61" i="86"/>
  <c r="F61" i="86" s="1"/>
  <c r="F56" i="87" s="1"/>
  <c r="D62" i="86"/>
  <c r="F62" i="86" s="1"/>
  <c r="F57" i="87" s="1"/>
  <c r="D63" i="86"/>
  <c r="F63" i="86" s="1"/>
  <c r="F58" i="87" s="1"/>
  <c r="D64" i="86"/>
  <c r="F64" i="86" s="1"/>
  <c r="F59" i="87" s="1"/>
  <c r="D65" i="86"/>
  <c r="F65" i="86" s="1"/>
  <c r="F60" i="87" s="1"/>
  <c r="D66" i="86"/>
  <c r="F66" i="86" s="1"/>
  <c r="F61" i="87" s="1"/>
  <c r="D67" i="86"/>
  <c r="F67" i="86" s="1"/>
  <c r="F62" i="87" s="1"/>
  <c r="D68" i="86"/>
  <c r="F68" i="86" s="1"/>
  <c r="F63" i="87" s="1"/>
  <c r="D69" i="86"/>
  <c r="F69" i="86" s="1"/>
  <c r="F64" i="87" s="1"/>
  <c r="D70" i="86"/>
  <c r="F70" i="86" s="1"/>
  <c r="F65" i="87" s="1"/>
  <c r="D71" i="86"/>
  <c r="F71" i="86" s="1"/>
  <c r="F66" i="87" s="1"/>
  <c r="D72" i="86"/>
  <c r="F72" i="86" s="1"/>
  <c r="F67" i="87" s="1"/>
  <c r="D73" i="86"/>
  <c r="F73" i="86" s="1"/>
  <c r="F68" i="87" s="1"/>
  <c r="D74" i="86"/>
  <c r="F74" i="86" s="1"/>
  <c r="F69" i="87" s="1"/>
  <c r="D75" i="86"/>
  <c r="F75" i="86" s="1"/>
  <c r="F70" i="87" s="1"/>
  <c r="D76" i="86"/>
  <c r="F76" i="86" s="1"/>
  <c r="F71" i="87" s="1"/>
  <c r="D77" i="86"/>
  <c r="F77" i="86" s="1"/>
  <c r="F72" i="87" s="1"/>
  <c r="D78" i="86"/>
  <c r="F78" i="86" s="1"/>
  <c r="F73" i="87" s="1"/>
  <c r="D79" i="86"/>
  <c r="F79" i="86" s="1"/>
  <c r="F74" i="87" s="1"/>
  <c r="D80" i="86"/>
  <c r="F80" i="86" s="1"/>
  <c r="F75" i="87" s="1"/>
  <c r="D81" i="86"/>
  <c r="F81" i="86" s="1"/>
  <c r="F76" i="87" s="1"/>
  <c r="D82" i="86"/>
  <c r="F82" i="86" s="1"/>
  <c r="F77" i="87" s="1"/>
  <c r="D83" i="86"/>
  <c r="F83" i="86" s="1"/>
  <c r="F78" i="87" s="1"/>
  <c r="D84" i="86"/>
  <c r="F84" i="86" s="1"/>
  <c r="F79" i="87" s="1"/>
  <c r="D85" i="86"/>
  <c r="F85" i="86" s="1"/>
  <c r="F80" i="87" s="1"/>
  <c r="D86" i="86"/>
  <c r="F86" i="86" s="1"/>
  <c r="F81" i="87" s="1"/>
  <c r="D87" i="86"/>
  <c r="F87" i="86" s="1"/>
  <c r="F82" i="87" s="1"/>
  <c r="D88" i="86"/>
  <c r="F88" i="86" s="1"/>
  <c r="F83" i="87" s="1"/>
  <c r="D89" i="86"/>
  <c r="F89" i="86" s="1"/>
  <c r="F84" i="87" s="1"/>
  <c r="D90" i="86"/>
  <c r="F90" i="86" s="1"/>
  <c r="F85" i="87" s="1"/>
  <c r="D91" i="86"/>
  <c r="F91" i="86" s="1"/>
  <c r="F86" i="87" s="1"/>
  <c r="D92" i="86"/>
  <c r="F92" i="86" s="1"/>
  <c r="F87" i="87" s="1"/>
  <c r="D93" i="86"/>
  <c r="F93" i="86" s="1"/>
  <c r="F88" i="87" s="1"/>
  <c r="D94" i="86"/>
  <c r="F94" i="86" s="1"/>
  <c r="F89" i="87" s="1"/>
  <c r="D95" i="86"/>
  <c r="F95" i="86" s="1"/>
  <c r="F90" i="87" s="1"/>
  <c r="D96" i="86"/>
  <c r="F96" i="86" s="1"/>
  <c r="F91" i="87" s="1"/>
  <c r="D97" i="86"/>
  <c r="F97" i="86" s="1"/>
  <c r="F92" i="87" s="1"/>
  <c r="D98" i="86"/>
  <c r="F98" i="86" s="1"/>
  <c r="F93" i="87" s="1"/>
  <c r="D99" i="86"/>
  <c r="F99" i="86" s="1"/>
  <c r="F94" i="87" s="1"/>
  <c r="D100" i="86"/>
  <c r="F100" i="86" s="1"/>
  <c r="F95" i="87" s="1"/>
  <c r="D101" i="86"/>
  <c r="F101" i="86" s="1"/>
  <c r="F96" i="87" s="1"/>
  <c r="D102" i="86"/>
  <c r="F102" i="86" s="1"/>
  <c r="F97" i="87" s="1"/>
  <c r="D103" i="86"/>
  <c r="F103" i="86" s="1"/>
  <c r="F98" i="87" s="1"/>
  <c r="D104" i="86"/>
  <c r="F104" i="86" s="1"/>
  <c r="F99" i="87" s="1"/>
  <c r="D105" i="86"/>
  <c r="F105" i="86" s="1"/>
  <c r="F100" i="87" s="1"/>
  <c r="D106" i="86"/>
  <c r="F106" i="86" s="1"/>
  <c r="F101" i="87" s="1"/>
  <c r="D107" i="86"/>
  <c r="F107" i="86" s="1"/>
  <c r="F102" i="87" s="1"/>
  <c r="D108" i="86"/>
  <c r="F108" i="86" s="1"/>
  <c r="F103" i="87" s="1"/>
  <c r="D109" i="86"/>
  <c r="F109" i="86" s="1"/>
  <c r="F104" i="87" s="1"/>
  <c r="D110" i="86"/>
  <c r="F110" i="86" s="1"/>
  <c r="F105" i="87" s="1"/>
  <c r="D111" i="86"/>
  <c r="F111" i="86" s="1"/>
  <c r="F106" i="87" s="1"/>
  <c r="D112" i="86"/>
  <c r="F112" i="86" s="1"/>
  <c r="F107" i="87" s="1"/>
  <c r="D113" i="86"/>
  <c r="F113" i="86" s="1"/>
  <c r="F108" i="87" s="1"/>
  <c r="D114" i="86"/>
  <c r="F114" i="86" s="1"/>
  <c r="F109" i="87" s="1"/>
  <c r="D115" i="86"/>
  <c r="F115" i="86" s="1"/>
  <c r="F110" i="87" s="1"/>
  <c r="D116" i="86"/>
  <c r="F116" i="86" s="1"/>
  <c r="F111" i="87" s="1"/>
  <c r="D117" i="86"/>
  <c r="F117" i="86" s="1"/>
  <c r="F112" i="87" s="1"/>
  <c r="D118" i="86"/>
  <c r="F118" i="86" s="1"/>
  <c r="F113" i="87" s="1"/>
  <c r="D119" i="86"/>
  <c r="F119" i="86" s="1"/>
  <c r="F114" i="87" s="1"/>
  <c r="D120" i="86"/>
  <c r="F120" i="86" s="1"/>
  <c r="F115" i="87" s="1"/>
  <c r="D121" i="86"/>
  <c r="F121" i="86" s="1"/>
  <c r="F116" i="87" s="1"/>
  <c r="D122" i="86"/>
  <c r="F122" i="86" s="1"/>
  <c r="F117" i="87" s="1"/>
  <c r="D123" i="86"/>
  <c r="F123" i="86" s="1"/>
  <c r="F118" i="87" s="1"/>
  <c r="D124" i="86"/>
  <c r="F124" i="86" s="1"/>
  <c r="F119" i="87" s="1"/>
  <c r="D125" i="86"/>
  <c r="F125" i="86" s="1"/>
  <c r="F120" i="87" s="1"/>
  <c r="D126" i="86"/>
  <c r="F126" i="86" s="1"/>
  <c r="F121" i="87" s="1"/>
  <c r="D127" i="86"/>
  <c r="F127" i="86" s="1"/>
  <c r="F122" i="87" s="1"/>
  <c r="D128" i="86"/>
  <c r="F128" i="86" s="1"/>
  <c r="F123" i="87" s="1"/>
  <c r="D129" i="86"/>
  <c r="F129" i="86" s="1"/>
  <c r="F124" i="87" s="1"/>
  <c r="D130" i="86"/>
  <c r="F130" i="86" s="1"/>
  <c r="F125" i="87" s="1"/>
  <c r="D131" i="86"/>
  <c r="F131" i="86" s="1"/>
  <c r="F126" i="87" s="1"/>
  <c r="D132" i="86"/>
  <c r="F132" i="86" s="1"/>
  <c r="F127" i="87" s="1"/>
  <c r="D133" i="86"/>
  <c r="F133" i="86" s="1"/>
  <c r="F128" i="87" s="1"/>
  <c r="D134" i="86"/>
  <c r="F134" i="86" s="1"/>
  <c r="F129" i="87" s="1"/>
  <c r="D135" i="86"/>
  <c r="F135" i="86" s="1"/>
  <c r="F130" i="87" s="1"/>
  <c r="D136" i="86"/>
  <c r="F136" i="86" s="1"/>
  <c r="F131" i="87" s="1"/>
  <c r="D137" i="86"/>
  <c r="F137" i="86" s="1"/>
  <c r="F132" i="87" s="1"/>
  <c r="D138" i="86"/>
  <c r="F138" i="86" s="1"/>
  <c r="F133" i="87" s="1"/>
  <c r="D139" i="86"/>
  <c r="F139" i="86" s="1"/>
  <c r="F134" i="87" s="1"/>
  <c r="D140" i="86"/>
  <c r="F140" i="86" s="1"/>
  <c r="F135" i="87" s="1"/>
  <c r="D141" i="86"/>
  <c r="F141" i="86" s="1"/>
  <c r="F136" i="87" s="1"/>
  <c r="D142" i="86"/>
  <c r="F142" i="86" s="1"/>
  <c r="F137" i="87" s="1"/>
  <c r="D143" i="86"/>
  <c r="F143" i="86" s="1"/>
  <c r="F138" i="87" s="1"/>
  <c r="D144" i="86"/>
  <c r="F144" i="86" s="1"/>
  <c r="F139" i="87" s="1"/>
  <c r="D145" i="86"/>
  <c r="F145" i="86" s="1"/>
  <c r="F140" i="87" s="1"/>
  <c r="D146" i="86"/>
  <c r="F146" i="86" s="1"/>
  <c r="F141" i="87" s="1"/>
  <c r="D147" i="86"/>
  <c r="F147" i="86" s="1"/>
  <c r="F142" i="87" s="1"/>
  <c r="D148" i="86"/>
  <c r="F148" i="86" s="1"/>
  <c r="F143" i="87" s="1"/>
  <c r="D149" i="86"/>
  <c r="F149" i="86" s="1"/>
  <c r="F144" i="87" s="1"/>
  <c r="D150" i="86"/>
  <c r="F150" i="86" s="1"/>
  <c r="F145" i="87" s="1"/>
  <c r="D151" i="86"/>
  <c r="F151" i="86" s="1"/>
  <c r="F146" i="87" s="1"/>
  <c r="D152" i="86"/>
  <c r="F152" i="86" s="1"/>
  <c r="F147" i="87" s="1"/>
  <c r="D39" i="86"/>
  <c r="F39" i="86" s="1"/>
  <c r="F34" i="87" s="1"/>
  <c r="D40" i="86"/>
  <c r="F40" i="86" s="1"/>
  <c r="F35" i="87" s="1"/>
  <c r="D41" i="86"/>
  <c r="F41" i="86" s="1"/>
  <c r="F36" i="87" s="1"/>
  <c r="D42" i="86"/>
  <c r="F42" i="86" s="1"/>
  <c r="F37" i="87" s="1"/>
  <c r="D43" i="86"/>
  <c r="F43" i="86" s="1"/>
  <c r="F38" i="87" s="1"/>
  <c r="D44" i="86"/>
  <c r="F44" i="86" s="1"/>
  <c r="F39" i="87" s="1"/>
  <c r="D36" i="86"/>
  <c r="F36" i="86" s="1"/>
  <c r="F31" i="87" s="1"/>
  <c r="D33" i="86"/>
  <c r="F33" i="86" s="1"/>
  <c r="F28" i="87" s="1"/>
  <c r="D16" i="86"/>
  <c r="F16" i="86" s="1"/>
  <c r="F11" i="87" s="1"/>
  <c r="D17" i="86"/>
  <c r="F17" i="86" s="1"/>
  <c r="F12" i="87" s="1"/>
  <c r="D18" i="86"/>
  <c r="F18" i="86" s="1"/>
  <c r="F13" i="87" s="1"/>
  <c r="D19" i="86"/>
  <c r="F19" i="86" s="1"/>
  <c r="F14" i="87" s="1"/>
  <c r="D20" i="86"/>
  <c r="F20" i="86" s="1"/>
  <c r="F15" i="87" s="1"/>
  <c r="D21" i="86"/>
  <c r="F21" i="86" s="1"/>
  <c r="F16" i="87" s="1"/>
  <c r="D22" i="86"/>
  <c r="F22" i="86" s="1"/>
  <c r="F17" i="87" s="1"/>
  <c r="D23" i="86"/>
  <c r="F23" i="86" s="1"/>
  <c r="F18" i="87" s="1"/>
  <c r="D24" i="86"/>
  <c r="F24" i="86" s="1"/>
  <c r="F19" i="87" s="1"/>
  <c r="D25" i="86"/>
  <c r="F25" i="86" s="1"/>
  <c r="F20" i="87" s="1"/>
  <c r="D26" i="86"/>
  <c r="F26" i="86" s="1"/>
  <c r="F21" i="87" s="1"/>
  <c r="D27" i="86"/>
  <c r="F27" i="86" s="1"/>
  <c r="F22" i="87" s="1"/>
  <c r="D28" i="86"/>
  <c r="F28" i="86" s="1"/>
  <c r="F23" i="87" s="1"/>
  <c r="D29" i="86"/>
  <c r="F29" i="86" s="1"/>
  <c r="F24" i="87" s="1"/>
  <c r="D30" i="86"/>
  <c r="F30" i="86" s="1"/>
  <c r="F25" i="87" s="1"/>
  <c r="D15" i="86"/>
  <c r="F15" i="86" s="1"/>
  <c r="F10" i="87" s="1"/>
  <c r="D38" i="86"/>
  <c r="F38" i="86" s="1"/>
  <c r="F33" i="87" s="1"/>
  <c r="B471" i="84"/>
  <c r="C471" i="84"/>
  <c r="A472" i="84"/>
  <c r="B472" i="84"/>
  <c r="A473" i="84"/>
  <c r="B473" i="84"/>
  <c r="C473" i="84"/>
  <c r="B474" i="84"/>
  <c r="C474" i="84"/>
  <c r="B475" i="84"/>
  <c r="C475" i="84"/>
  <c r="B476" i="84"/>
  <c r="C476" i="84"/>
  <c r="A477" i="84"/>
  <c r="B477" i="84"/>
  <c r="C477" i="84"/>
  <c r="A478" i="84"/>
  <c r="B478" i="84"/>
  <c r="C478" i="84"/>
  <c r="A479" i="84"/>
  <c r="B479" i="84"/>
  <c r="C479" i="84"/>
  <c r="A480" i="84"/>
  <c r="B480" i="84"/>
  <c r="C480" i="84"/>
  <c r="A481" i="84"/>
  <c r="B481" i="84"/>
  <c r="C481" i="84"/>
  <c r="A482" i="84"/>
  <c r="B482" i="84"/>
  <c r="C482" i="84"/>
  <c r="A13" i="84"/>
  <c r="B13" i="84"/>
  <c r="C13" i="84"/>
  <c r="A14" i="84"/>
  <c r="B14" i="84"/>
  <c r="C14" i="84"/>
  <c r="A15" i="84"/>
  <c r="B15" i="84"/>
  <c r="C15" i="84"/>
  <c r="A16" i="84"/>
  <c r="B16" i="84"/>
  <c r="C16" i="84"/>
  <c r="A17" i="84"/>
  <c r="B17" i="84"/>
  <c r="C17" i="84"/>
  <c r="A18" i="84"/>
  <c r="B18" i="84"/>
  <c r="C18" i="84"/>
  <c r="A19" i="84"/>
  <c r="B19" i="84"/>
  <c r="C19" i="84"/>
  <c r="A20" i="84"/>
  <c r="B20" i="84"/>
  <c r="C20" i="84"/>
  <c r="A21" i="84"/>
  <c r="B21" i="84"/>
  <c r="C21" i="84"/>
  <c r="A22" i="84"/>
  <c r="B22" i="84"/>
  <c r="C22" i="84"/>
  <c r="A23" i="84"/>
  <c r="B23" i="84"/>
  <c r="C23" i="84"/>
  <c r="A24" i="84"/>
  <c r="B24" i="84"/>
  <c r="C24" i="84"/>
  <c r="A25" i="84"/>
  <c r="B25" i="84"/>
  <c r="C25" i="84"/>
  <c r="A26" i="84"/>
  <c r="B26" i="84"/>
  <c r="C26" i="84"/>
  <c r="A27" i="84"/>
  <c r="B27" i="84"/>
  <c r="C27" i="84"/>
  <c r="A28" i="84"/>
  <c r="B28" i="84"/>
  <c r="A29" i="84"/>
  <c r="B29" i="84"/>
  <c r="C29" i="84"/>
  <c r="A65" i="84"/>
  <c r="B65" i="84"/>
  <c r="C65" i="84"/>
  <c r="A69" i="84"/>
  <c r="B69" i="84"/>
  <c r="C69" i="84"/>
  <c r="A131" i="84"/>
  <c r="B131" i="84"/>
  <c r="C131" i="84"/>
  <c r="A182" i="84"/>
  <c r="B182" i="84"/>
  <c r="A183" i="84"/>
  <c r="B183" i="84"/>
  <c r="C183" i="84"/>
  <c r="A219" i="84"/>
  <c r="B219" i="84"/>
  <c r="C219" i="84"/>
  <c r="A223" i="84"/>
  <c r="B223" i="84"/>
  <c r="C223" i="84"/>
  <c r="A271" i="84"/>
  <c r="B271" i="84"/>
  <c r="C271" i="84"/>
  <c r="A288" i="84"/>
  <c r="B288" i="84"/>
  <c r="C288" i="84"/>
  <c r="A359" i="84"/>
  <c r="B359" i="84"/>
  <c r="C359" i="84"/>
  <c r="A360" i="84"/>
  <c r="B360" i="84"/>
  <c r="C360" i="84"/>
  <c r="A364" i="84"/>
  <c r="B364" i="84"/>
  <c r="A365" i="84"/>
  <c r="B365" i="84"/>
  <c r="C365" i="84"/>
  <c r="A368" i="84"/>
  <c r="B368" i="84"/>
  <c r="C368" i="84"/>
  <c r="A369" i="84"/>
  <c r="B369" i="84"/>
  <c r="C369" i="84"/>
  <c r="A372" i="84"/>
  <c r="B372" i="84"/>
  <c r="C372" i="84"/>
  <c r="A375" i="84"/>
  <c r="B375" i="84"/>
  <c r="C375" i="84"/>
  <c r="A376" i="84"/>
  <c r="B376" i="84"/>
  <c r="A379" i="84"/>
  <c r="C379" i="84"/>
  <c r="A383" i="84"/>
  <c r="A384" i="84"/>
  <c r="A385" i="84"/>
  <c r="A386" i="84"/>
  <c r="C386" i="84"/>
  <c r="A387" i="84"/>
  <c r="C387" i="84"/>
  <c r="A388" i="84"/>
  <c r="C388" i="84"/>
  <c r="C389" i="84"/>
  <c r="C390" i="84"/>
  <c r="A391" i="84"/>
  <c r="C391" i="84"/>
  <c r="A392" i="84"/>
  <c r="C392" i="84"/>
  <c r="C393" i="84"/>
  <c r="B394" i="84"/>
  <c r="C394" i="84"/>
  <c r="A395" i="84"/>
  <c r="B395" i="84"/>
  <c r="C395" i="84"/>
  <c r="B396" i="84"/>
  <c r="C396" i="84"/>
  <c r="A397" i="84"/>
  <c r="B397" i="84"/>
  <c r="A398" i="84"/>
  <c r="B398" i="84"/>
  <c r="C398" i="84"/>
  <c r="A399" i="84"/>
  <c r="B399" i="84"/>
  <c r="C399" i="84"/>
  <c r="A400" i="84"/>
  <c r="B400" i="84"/>
  <c r="C400" i="84"/>
  <c r="B401" i="84"/>
  <c r="C401" i="84"/>
  <c r="B402" i="84"/>
  <c r="C402" i="84"/>
  <c r="B403" i="84"/>
  <c r="C403" i="84"/>
  <c r="B404" i="84"/>
  <c r="C404" i="84"/>
  <c r="A405" i="84"/>
  <c r="B405" i="84"/>
  <c r="C405" i="84"/>
  <c r="A406" i="84"/>
  <c r="B406" i="84"/>
  <c r="A407" i="84"/>
  <c r="B407" i="84"/>
  <c r="C407" i="84"/>
  <c r="A408" i="84"/>
  <c r="B408" i="84"/>
  <c r="C408" i="84"/>
  <c r="A409" i="84"/>
  <c r="B409" i="84"/>
  <c r="C409" i="84"/>
  <c r="A410" i="84"/>
  <c r="B410" i="84"/>
  <c r="C410" i="84"/>
  <c r="B411" i="84"/>
  <c r="C411" i="84"/>
  <c r="B412" i="84"/>
  <c r="C412" i="84"/>
  <c r="B413" i="84"/>
  <c r="C413" i="84"/>
  <c r="A414" i="84"/>
  <c r="B414" i="84"/>
  <c r="C414" i="84"/>
  <c r="B415" i="84"/>
  <c r="C415" i="84"/>
  <c r="B416" i="84"/>
  <c r="C416" i="84"/>
  <c r="A417" i="84"/>
  <c r="B417" i="84"/>
  <c r="A418" i="84"/>
  <c r="B418" i="84"/>
  <c r="C418" i="84"/>
  <c r="B419" i="84"/>
  <c r="C419" i="84"/>
  <c r="A420" i="84"/>
  <c r="B420" i="84"/>
  <c r="C420" i="84"/>
  <c r="B421" i="84"/>
  <c r="C421" i="84"/>
  <c r="A422" i="84"/>
  <c r="B422" i="84"/>
  <c r="A423" i="84"/>
  <c r="B423" i="84"/>
  <c r="C423" i="84"/>
  <c r="A424" i="84"/>
  <c r="B424" i="84"/>
  <c r="C424" i="84"/>
  <c r="A425" i="84"/>
  <c r="B425" i="84"/>
  <c r="C425" i="84"/>
  <c r="B426" i="84"/>
  <c r="C426" i="84"/>
  <c r="B427" i="84"/>
  <c r="C427" i="84"/>
  <c r="B428" i="84"/>
  <c r="C428" i="84"/>
  <c r="B429" i="84"/>
  <c r="C429" i="84"/>
  <c r="B430" i="84"/>
  <c r="C430" i="84"/>
  <c r="B431" i="84"/>
  <c r="C431" i="84"/>
  <c r="B432" i="84"/>
  <c r="C432" i="84"/>
  <c r="A433" i="84"/>
  <c r="B433" i="84"/>
  <c r="A434" i="84"/>
  <c r="B434" i="84"/>
  <c r="A435" i="84"/>
  <c r="B435" i="84"/>
  <c r="C435" i="84"/>
  <c r="A436" i="84"/>
  <c r="B436" i="84"/>
  <c r="C436" i="84"/>
  <c r="A437" i="84"/>
  <c r="B437" i="84"/>
  <c r="C437" i="84"/>
  <c r="A438" i="84"/>
  <c r="B438" i="84"/>
  <c r="C438" i="84"/>
  <c r="A439" i="84"/>
  <c r="B439" i="84"/>
  <c r="C439" i="84"/>
  <c r="A440" i="84"/>
  <c r="B440" i="84"/>
  <c r="C440" i="84"/>
  <c r="A441" i="84"/>
  <c r="B441" i="84"/>
  <c r="C441" i="84"/>
  <c r="A442" i="84"/>
  <c r="B442" i="84"/>
  <c r="C442" i="84"/>
  <c r="A443" i="84"/>
  <c r="B443" i="84"/>
  <c r="C443" i="84"/>
  <c r="A444" i="84"/>
  <c r="B444" i="84"/>
  <c r="C444" i="84"/>
  <c r="A445" i="84"/>
  <c r="B445" i="84"/>
  <c r="C445" i="84"/>
  <c r="A446" i="84"/>
  <c r="B446" i="84"/>
  <c r="C446" i="84"/>
  <c r="A447" i="84"/>
  <c r="B447" i="84"/>
  <c r="C447" i="84"/>
  <c r="A448" i="84"/>
  <c r="B448" i="84"/>
  <c r="C448" i="84"/>
  <c r="A449" i="84"/>
  <c r="B449" i="84"/>
  <c r="C449" i="84"/>
  <c r="A450" i="84"/>
  <c r="B450" i="84"/>
  <c r="C450" i="84"/>
  <c r="A451" i="84"/>
  <c r="B451" i="84"/>
  <c r="C451" i="84"/>
  <c r="A452" i="84"/>
  <c r="B452" i="84"/>
  <c r="C452" i="84"/>
  <c r="A453" i="84"/>
  <c r="B453" i="84"/>
  <c r="C453" i="84"/>
  <c r="A454" i="84"/>
  <c r="B454" i="84"/>
  <c r="C454" i="84"/>
  <c r="A455" i="84"/>
  <c r="B455" i="84"/>
  <c r="C455" i="84"/>
  <c r="A456" i="84"/>
  <c r="B456" i="84"/>
  <c r="C456" i="84"/>
  <c r="A457" i="84"/>
  <c r="B457" i="84"/>
  <c r="C457" i="84"/>
  <c r="A458" i="84"/>
  <c r="B458" i="84"/>
  <c r="C458" i="84"/>
  <c r="A459" i="84"/>
  <c r="B459" i="84"/>
  <c r="C459" i="84"/>
  <c r="A460" i="84"/>
  <c r="B460" i="84"/>
  <c r="C460" i="84"/>
  <c r="A461" i="84"/>
  <c r="B461" i="84"/>
  <c r="C461" i="84"/>
  <c r="A462" i="84"/>
  <c r="B462" i="84"/>
  <c r="C462" i="84"/>
  <c r="A463" i="84"/>
  <c r="B463" i="84"/>
  <c r="C463" i="84"/>
  <c r="A464" i="84"/>
  <c r="B464" i="84"/>
  <c r="C464" i="84"/>
  <c r="B465" i="84"/>
  <c r="C465" i="84"/>
  <c r="B466" i="84"/>
  <c r="C466" i="84"/>
  <c r="B467" i="84"/>
  <c r="C467" i="84"/>
  <c r="B468" i="84"/>
  <c r="C468" i="84"/>
  <c r="B469" i="84"/>
  <c r="C469" i="84"/>
  <c r="B470" i="84"/>
  <c r="C470" i="84"/>
  <c r="A11" i="84"/>
  <c r="A12" i="84"/>
  <c r="C12" i="84"/>
  <c r="B12" i="84"/>
  <c r="B11" i="84"/>
  <c r="B10" i="84"/>
  <c r="B9" i="84"/>
  <c r="A10" i="84"/>
  <c r="A120" i="86"/>
  <c r="B120" i="86"/>
  <c r="C120" i="86"/>
  <c r="A121" i="86"/>
  <c r="B121" i="86"/>
  <c r="C121" i="86"/>
  <c r="A122" i="86"/>
  <c r="B122" i="86"/>
  <c r="C122" i="86"/>
  <c r="A123" i="86"/>
  <c r="B123" i="86"/>
  <c r="C123" i="86"/>
  <c r="A124" i="86"/>
  <c r="B124" i="86"/>
  <c r="C124" i="86"/>
  <c r="A125" i="86"/>
  <c r="B125" i="86"/>
  <c r="C125" i="86"/>
  <c r="A126" i="86"/>
  <c r="B126" i="86"/>
  <c r="C126" i="86"/>
  <c r="A127" i="86"/>
  <c r="B127" i="86"/>
  <c r="C127" i="86"/>
  <c r="A128" i="86"/>
  <c r="B128" i="86"/>
  <c r="C128" i="86"/>
  <c r="A129" i="86"/>
  <c r="B129" i="86"/>
  <c r="C129" i="86"/>
  <c r="A130" i="86"/>
  <c r="B130" i="86"/>
  <c r="C130" i="86"/>
  <c r="A131" i="86"/>
  <c r="B131" i="86"/>
  <c r="C131" i="86"/>
  <c r="A132" i="86"/>
  <c r="B132" i="86"/>
  <c r="C132" i="86"/>
  <c r="A133" i="86"/>
  <c r="B133" i="86"/>
  <c r="C133" i="86"/>
  <c r="A134" i="86"/>
  <c r="B134" i="86"/>
  <c r="C134" i="86"/>
  <c r="B135" i="86"/>
  <c r="C135" i="86"/>
  <c r="B136" i="86"/>
  <c r="C136" i="86"/>
  <c r="B137" i="86"/>
  <c r="C137" i="86"/>
  <c r="B138" i="86"/>
  <c r="C138" i="86"/>
  <c r="B139" i="86"/>
  <c r="C139" i="86"/>
  <c r="B140" i="86"/>
  <c r="C140" i="86"/>
  <c r="B141" i="86"/>
  <c r="C141" i="86"/>
  <c r="A142" i="86"/>
  <c r="B142" i="86"/>
  <c r="A143" i="86"/>
  <c r="B143" i="86"/>
  <c r="C143" i="86"/>
  <c r="B144" i="86"/>
  <c r="C144" i="86"/>
  <c r="B145" i="86"/>
  <c r="C145" i="86"/>
  <c r="B146" i="86"/>
  <c r="C146" i="86"/>
  <c r="A147" i="86"/>
  <c r="B147" i="86"/>
  <c r="C147" i="86"/>
  <c r="A148" i="86"/>
  <c r="B148" i="86"/>
  <c r="C148" i="86"/>
  <c r="A149" i="86"/>
  <c r="B149" i="86"/>
  <c r="C149" i="86"/>
  <c r="A150" i="86"/>
  <c r="B150" i="86"/>
  <c r="C150" i="86"/>
  <c r="A151" i="86"/>
  <c r="B151" i="86"/>
  <c r="C151" i="86"/>
  <c r="A152" i="86"/>
  <c r="B152" i="86"/>
  <c r="C152" i="86"/>
  <c r="A13" i="86"/>
  <c r="B13" i="86"/>
  <c r="A14" i="86"/>
  <c r="B14" i="86"/>
  <c r="A15" i="86"/>
  <c r="B15" i="86"/>
  <c r="C15" i="86"/>
  <c r="A16" i="86"/>
  <c r="B16" i="86"/>
  <c r="C16" i="86"/>
  <c r="A17" i="86"/>
  <c r="B17" i="86"/>
  <c r="C17" i="86"/>
  <c r="A18" i="86"/>
  <c r="B18" i="86"/>
  <c r="C18" i="86"/>
  <c r="A19" i="86"/>
  <c r="B19" i="86"/>
  <c r="C19" i="86"/>
  <c r="A20" i="86"/>
  <c r="B20" i="86"/>
  <c r="C20" i="86"/>
  <c r="A21" i="86"/>
  <c r="B21" i="86"/>
  <c r="C21" i="86"/>
  <c r="A22" i="86"/>
  <c r="B22" i="86"/>
  <c r="C22" i="86"/>
  <c r="A23" i="86"/>
  <c r="B23" i="86"/>
  <c r="C23" i="86"/>
  <c r="A24" i="86"/>
  <c r="B24" i="86"/>
  <c r="C24" i="86"/>
  <c r="A25" i="86"/>
  <c r="B25" i="86"/>
  <c r="C25" i="86"/>
  <c r="A26" i="86"/>
  <c r="B26" i="86"/>
  <c r="C26" i="86"/>
  <c r="A27" i="86"/>
  <c r="B27" i="86"/>
  <c r="C27" i="86"/>
  <c r="A28" i="86"/>
  <c r="B28" i="86"/>
  <c r="C28" i="86"/>
  <c r="A29" i="86"/>
  <c r="B29" i="86"/>
  <c r="C29" i="86"/>
  <c r="A30" i="86"/>
  <c r="B30" i="86"/>
  <c r="C30" i="86"/>
  <c r="A31" i="86"/>
  <c r="B31" i="86"/>
  <c r="A32" i="86"/>
  <c r="B32" i="86"/>
  <c r="C32" i="86"/>
  <c r="A33" i="86"/>
  <c r="B33" i="86"/>
  <c r="C33" i="86"/>
  <c r="A34" i="86"/>
  <c r="B34" i="86"/>
  <c r="C34" i="86"/>
  <c r="A35" i="86"/>
  <c r="B35" i="86"/>
  <c r="C35" i="86"/>
  <c r="A36" i="86"/>
  <c r="B36" i="86"/>
  <c r="C36" i="86"/>
  <c r="A37" i="86"/>
  <c r="B37" i="86"/>
  <c r="A38" i="86"/>
  <c r="B38" i="86"/>
  <c r="C38" i="86"/>
  <c r="A39" i="86"/>
  <c r="B39" i="86"/>
  <c r="C39" i="86"/>
  <c r="A40" i="86"/>
  <c r="B40" i="86"/>
  <c r="C40" i="86"/>
  <c r="A41" i="86"/>
  <c r="B41" i="86"/>
  <c r="C41" i="86"/>
  <c r="A42" i="86"/>
  <c r="B42" i="86"/>
  <c r="C42" i="86"/>
  <c r="A43" i="86"/>
  <c r="B43" i="86"/>
  <c r="C43" i="86"/>
  <c r="A44" i="86"/>
  <c r="B44" i="86"/>
  <c r="C44" i="86"/>
  <c r="A45" i="86"/>
  <c r="B45" i="86"/>
  <c r="A46" i="86"/>
  <c r="B46" i="86"/>
  <c r="C46" i="86"/>
  <c r="A47" i="86"/>
  <c r="B47" i="86"/>
  <c r="C47" i="86"/>
  <c r="A48" i="86"/>
  <c r="B48" i="86"/>
  <c r="C48" i="86"/>
  <c r="A49" i="86"/>
  <c r="B49" i="86"/>
  <c r="C49" i="86"/>
  <c r="A50" i="86"/>
  <c r="B50" i="86"/>
  <c r="C50" i="86"/>
  <c r="A51" i="86"/>
  <c r="B51" i="86"/>
  <c r="C51" i="86"/>
  <c r="A52" i="86"/>
  <c r="B52" i="86"/>
  <c r="C52" i="86"/>
  <c r="A53" i="86"/>
  <c r="B53" i="86"/>
  <c r="A54" i="86"/>
  <c r="B54" i="86"/>
  <c r="A55" i="86"/>
  <c r="B55" i="86"/>
  <c r="A56" i="86"/>
  <c r="B56" i="86"/>
  <c r="C56" i="86"/>
  <c r="A57" i="86"/>
  <c r="B57" i="86"/>
  <c r="C57" i="86"/>
  <c r="A58" i="86"/>
  <c r="B58" i="86"/>
  <c r="C58" i="86"/>
  <c r="B59" i="86"/>
  <c r="C59" i="86"/>
  <c r="B60" i="86"/>
  <c r="C60" i="86"/>
  <c r="A61" i="86"/>
  <c r="B61" i="86"/>
  <c r="C61" i="86"/>
  <c r="A62" i="86"/>
  <c r="B62" i="86"/>
  <c r="C62" i="86"/>
  <c r="B63" i="86"/>
  <c r="C63" i="86"/>
  <c r="B64" i="86"/>
  <c r="C64" i="86"/>
  <c r="A65" i="86"/>
  <c r="B65" i="86"/>
  <c r="C65" i="86"/>
  <c r="B66" i="86"/>
  <c r="C66" i="86"/>
  <c r="A67" i="86"/>
  <c r="B67" i="86"/>
  <c r="A68" i="86"/>
  <c r="B68" i="86"/>
  <c r="C68" i="86"/>
  <c r="A69" i="86"/>
  <c r="B69" i="86"/>
  <c r="C69" i="86"/>
  <c r="A70" i="86"/>
  <c r="B70" i="86"/>
  <c r="C70" i="86"/>
  <c r="B71" i="86"/>
  <c r="C71" i="86"/>
  <c r="B72" i="86"/>
  <c r="C72" i="86"/>
  <c r="B73" i="86"/>
  <c r="C73" i="86"/>
  <c r="B74" i="86"/>
  <c r="C74" i="86"/>
  <c r="A75" i="86"/>
  <c r="B75" i="86"/>
  <c r="C75" i="86"/>
  <c r="A76" i="86"/>
  <c r="B76" i="86"/>
  <c r="A77" i="86"/>
  <c r="B77" i="86"/>
  <c r="C77" i="86"/>
  <c r="A78" i="86"/>
  <c r="B78" i="86"/>
  <c r="C78" i="86"/>
  <c r="A79" i="86"/>
  <c r="B79" i="86"/>
  <c r="C79" i="86"/>
  <c r="A80" i="86"/>
  <c r="B80" i="86"/>
  <c r="C80" i="86"/>
  <c r="B81" i="86"/>
  <c r="C81" i="86"/>
  <c r="B82" i="86"/>
  <c r="C82" i="86"/>
  <c r="B83" i="86"/>
  <c r="C83" i="86"/>
  <c r="A84" i="86"/>
  <c r="B84" i="86"/>
  <c r="C84" i="86"/>
  <c r="B85" i="86"/>
  <c r="C85" i="86"/>
  <c r="B86" i="86"/>
  <c r="C86" i="86"/>
  <c r="A87" i="86"/>
  <c r="B87" i="86"/>
  <c r="A88" i="86"/>
  <c r="B88" i="86"/>
  <c r="C88" i="86"/>
  <c r="B89" i="86"/>
  <c r="C89" i="86"/>
  <c r="A90" i="86"/>
  <c r="B90" i="86"/>
  <c r="C90" i="86"/>
  <c r="B91" i="86"/>
  <c r="C91" i="86"/>
  <c r="A92" i="86"/>
  <c r="B92" i="86"/>
  <c r="A93" i="86"/>
  <c r="B93" i="86"/>
  <c r="C93" i="86"/>
  <c r="A94" i="86"/>
  <c r="B94" i="86"/>
  <c r="C94" i="86"/>
  <c r="A95" i="86"/>
  <c r="B95" i="86"/>
  <c r="C95" i="86"/>
  <c r="B96" i="86"/>
  <c r="C96" i="86"/>
  <c r="B97" i="86"/>
  <c r="C97" i="86"/>
  <c r="B98" i="86"/>
  <c r="C98" i="86"/>
  <c r="B99" i="86"/>
  <c r="C99" i="86"/>
  <c r="B100" i="86"/>
  <c r="C100" i="86"/>
  <c r="B101" i="86"/>
  <c r="C101" i="86"/>
  <c r="B102" i="86"/>
  <c r="C102" i="86"/>
  <c r="A103" i="86"/>
  <c r="B103" i="86"/>
  <c r="A104" i="86"/>
  <c r="B104" i="86"/>
  <c r="A105" i="86"/>
  <c r="B105" i="86"/>
  <c r="C105" i="86"/>
  <c r="A106" i="86"/>
  <c r="B106" i="86"/>
  <c r="C106" i="86"/>
  <c r="A107" i="86"/>
  <c r="B107" i="86"/>
  <c r="C107" i="86"/>
  <c r="A108" i="86"/>
  <c r="B108" i="86"/>
  <c r="C108" i="86"/>
  <c r="A109" i="86"/>
  <c r="B109" i="86"/>
  <c r="C109" i="86"/>
  <c r="A110" i="86"/>
  <c r="B110" i="86"/>
  <c r="C110" i="86"/>
  <c r="A111" i="86"/>
  <c r="B111" i="86"/>
  <c r="C111" i="86"/>
  <c r="A112" i="86"/>
  <c r="B112" i="86"/>
  <c r="C112" i="86"/>
  <c r="A113" i="86"/>
  <c r="B113" i="86"/>
  <c r="C113" i="86"/>
  <c r="A114" i="86"/>
  <c r="B114" i="86"/>
  <c r="C114" i="86"/>
  <c r="A115" i="86"/>
  <c r="B115" i="86"/>
  <c r="C115" i="86"/>
  <c r="A116" i="86"/>
  <c r="B116" i="86"/>
  <c r="C116" i="86"/>
  <c r="A117" i="86"/>
  <c r="B117" i="86"/>
  <c r="C117" i="86"/>
  <c r="A118" i="86"/>
  <c r="B118" i="86"/>
  <c r="C118" i="86"/>
  <c r="A119" i="86"/>
  <c r="B119" i="86"/>
  <c r="C119" i="86"/>
  <c r="B12" i="86"/>
  <c r="D11" i="87"/>
  <c r="H11" i="87" s="1"/>
  <c r="J16" i="88" s="1"/>
  <c r="D12" i="87"/>
  <c r="H12" i="87" s="1"/>
  <c r="J17" i="88" s="1"/>
  <c r="D13" i="87"/>
  <c r="H13" i="87" s="1"/>
  <c r="J18" i="88" s="1"/>
  <c r="D14" i="87"/>
  <c r="H14" i="87" s="1"/>
  <c r="J19" i="88" s="1"/>
  <c r="D15" i="87"/>
  <c r="H15" i="87" s="1"/>
  <c r="J20" i="88" s="1"/>
  <c r="D16" i="87"/>
  <c r="H16" i="87" s="1"/>
  <c r="J21" i="88" s="1"/>
  <c r="D17" i="87"/>
  <c r="H17" i="87" s="1"/>
  <c r="J22" i="88" s="1"/>
  <c r="D18" i="87"/>
  <c r="H18" i="87" s="1"/>
  <c r="J23" i="88" s="1"/>
  <c r="D19" i="87"/>
  <c r="H19" i="87" s="1"/>
  <c r="J24" i="88" s="1"/>
  <c r="D20" i="87"/>
  <c r="H20" i="87" s="1"/>
  <c r="J25" i="88" s="1"/>
  <c r="D21" i="87"/>
  <c r="H21" i="87" s="1"/>
  <c r="J26" i="88" s="1"/>
  <c r="D22" i="87"/>
  <c r="H22" i="87" s="1"/>
  <c r="J27" i="88" s="1"/>
  <c r="D23" i="87"/>
  <c r="H23" i="87" s="1"/>
  <c r="J28" i="88" s="1"/>
  <c r="D24" i="87"/>
  <c r="H24" i="87" s="1"/>
  <c r="J29" i="88" s="1"/>
  <c r="D25" i="87"/>
  <c r="H25" i="87" s="1"/>
  <c r="J30" i="88" s="1"/>
  <c r="D26" i="87"/>
  <c r="H26" i="87" s="1"/>
  <c r="J31" i="88" s="1"/>
  <c r="D27" i="87"/>
  <c r="H27" i="87" s="1"/>
  <c r="J32" i="88" s="1"/>
  <c r="D28" i="87"/>
  <c r="H28" i="87" s="1"/>
  <c r="J33" i="88" s="1"/>
  <c r="D29" i="87"/>
  <c r="H29" i="87" s="1"/>
  <c r="J34" i="88" s="1"/>
  <c r="D30" i="87"/>
  <c r="H30" i="87" s="1"/>
  <c r="J35" i="88" s="1"/>
  <c r="D31" i="87"/>
  <c r="H31" i="87" s="1"/>
  <c r="J36" i="88" s="1"/>
  <c r="D32" i="87"/>
  <c r="H32" i="87" s="1"/>
  <c r="J37" i="88" s="1"/>
  <c r="D33" i="87"/>
  <c r="H33" i="87" s="1"/>
  <c r="J38" i="88" s="1"/>
  <c r="D34" i="87"/>
  <c r="H34" i="87" s="1"/>
  <c r="J39" i="88" s="1"/>
  <c r="D35" i="87"/>
  <c r="H35" i="87" s="1"/>
  <c r="J40" i="88" s="1"/>
  <c r="D36" i="87"/>
  <c r="H36" i="87" s="1"/>
  <c r="J41" i="88" s="1"/>
  <c r="D37" i="87"/>
  <c r="H37" i="87" s="1"/>
  <c r="J42" i="88" s="1"/>
  <c r="D38" i="87"/>
  <c r="H38" i="87" s="1"/>
  <c r="J43" i="88" s="1"/>
  <c r="D39" i="87"/>
  <c r="H39" i="87" s="1"/>
  <c r="J44" i="88" s="1"/>
  <c r="D40" i="87"/>
  <c r="H40" i="87" s="1"/>
  <c r="J45" i="88" s="1"/>
  <c r="D41" i="87"/>
  <c r="H41" i="87" s="1"/>
  <c r="J46" i="88" s="1"/>
  <c r="D42" i="87"/>
  <c r="H42" i="87" s="1"/>
  <c r="J47" i="88" s="1"/>
  <c r="D43" i="87"/>
  <c r="H43" i="87" s="1"/>
  <c r="J48" i="88" s="1"/>
  <c r="D44" i="87"/>
  <c r="H44" i="87" s="1"/>
  <c r="J49" i="88" s="1"/>
  <c r="D45" i="87"/>
  <c r="H45" i="87" s="1"/>
  <c r="J50" i="88" s="1"/>
  <c r="D46" i="87"/>
  <c r="H46" i="87" s="1"/>
  <c r="J51" i="88" s="1"/>
  <c r="D47" i="87"/>
  <c r="H47" i="87" s="1"/>
  <c r="J52" i="88" s="1"/>
  <c r="D48" i="87"/>
  <c r="H48" i="87" s="1"/>
  <c r="J53" i="88" s="1"/>
  <c r="D49" i="87"/>
  <c r="H49" i="87" s="1"/>
  <c r="J54" i="88" s="1"/>
  <c r="D50" i="87"/>
  <c r="H50" i="87" s="1"/>
  <c r="J55" i="88" s="1"/>
  <c r="D51" i="87"/>
  <c r="H51" i="87" s="1"/>
  <c r="J56" i="88" s="1"/>
  <c r="D52" i="87"/>
  <c r="H52" i="87" s="1"/>
  <c r="J57" i="88" s="1"/>
  <c r="D53" i="87"/>
  <c r="H53" i="87" s="1"/>
  <c r="J58" i="88" s="1"/>
  <c r="D54" i="87"/>
  <c r="D55" i="87"/>
  <c r="D56" i="87"/>
  <c r="H56" i="87" s="1"/>
  <c r="J61" i="88" s="1"/>
  <c r="D57" i="87"/>
  <c r="H57" i="87" s="1"/>
  <c r="J62" i="88" s="1"/>
  <c r="D58" i="87"/>
  <c r="H58" i="87" s="1"/>
  <c r="J63" i="88" s="1"/>
  <c r="D59" i="87"/>
  <c r="D60" i="87"/>
  <c r="H60" i="87" s="1"/>
  <c r="J65" i="88" s="1"/>
  <c r="D61" i="87"/>
  <c r="D62" i="87"/>
  <c r="H62" i="87" s="1"/>
  <c r="J67" i="88" s="1"/>
  <c r="D63" i="87"/>
  <c r="H63" i="87" s="1"/>
  <c r="J68" i="88" s="1"/>
  <c r="D64" i="87"/>
  <c r="H64" i="87" s="1"/>
  <c r="J69" i="88" s="1"/>
  <c r="D65" i="87"/>
  <c r="H65" i="87" s="1"/>
  <c r="J70" i="88" s="1"/>
  <c r="D66" i="87"/>
  <c r="D67" i="87"/>
  <c r="D68" i="87"/>
  <c r="D69" i="87"/>
  <c r="D70" i="87"/>
  <c r="H70" i="87" s="1"/>
  <c r="J75" i="88" s="1"/>
  <c r="D71" i="87"/>
  <c r="H71" i="87" s="1"/>
  <c r="J76" i="88" s="1"/>
  <c r="D72" i="87"/>
  <c r="H72" i="87" s="1"/>
  <c r="J77" i="88" s="1"/>
  <c r="D73" i="87"/>
  <c r="H73" i="87" s="1"/>
  <c r="J78" i="88" s="1"/>
  <c r="D74" i="87"/>
  <c r="H74" i="87" s="1"/>
  <c r="J79" i="88" s="1"/>
  <c r="D75" i="87"/>
  <c r="H75" i="87" s="1"/>
  <c r="J80" i="88" s="1"/>
  <c r="D76" i="87"/>
  <c r="D77" i="87"/>
  <c r="D78" i="87"/>
  <c r="D79" i="87"/>
  <c r="H79" i="87" s="1"/>
  <c r="J84" i="88" s="1"/>
  <c r="D80" i="87"/>
  <c r="D81" i="87"/>
  <c r="D82" i="87"/>
  <c r="H82" i="87" s="1"/>
  <c r="J87" i="88" s="1"/>
  <c r="D83" i="87"/>
  <c r="H83" i="87" s="1"/>
  <c r="J88" i="88" s="1"/>
  <c r="D84" i="87"/>
  <c r="D85" i="87"/>
  <c r="H85" i="87" s="1"/>
  <c r="J90" i="88" s="1"/>
  <c r="D86" i="87"/>
  <c r="D87" i="87"/>
  <c r="H87" i="87" s="1"/>
  <c r="J92" i="88" s="1"/>
  <c r="D88" i="87"/>
  <c r="H88" i="87" s="1"/>
  <c r="J93" i="88" s="1"/>
  <c r="D89" i="87"/>
  <c r="H89" i="87" s="1"/>
  <c r="J94" i="88" s="1"/>
  <c r="D90" i="87"/>
  <c r="H90" i="87" s="1"/>
  <c r="J95" i="88" s="1"/>
  <c r="D91" i="87"/>
  <c r="D92" i="87"/>
  <c r="D93" i="87"/>
  <c r="D94" i="87"/>
  <c r="D95" i="87"/>
  <c r="D96" i="87"/>
  <c r="D97" i="87"/>
  <c r="D98" i="87"/>
  <c r="H98" i="87" s="1"/>
  <c r="J103" i="88" s="1"/>
  <c r="D99" i="87"/>
  <c r="H99" i="87" s="1"/>
  <c r="J104" i="88" s="1"/>
  <c r="D100" i="87"/>
  <c r="D101" i="87"/>
  <c r="D102" i="87"/>
  <c r="D103" i="87"/>
  <c r="H103" i="87" s="1"/>
  <c r="J108" i="88" s="1"/>
  <c r="D104" i="87"/>
  <c r="H104" i="87" s="1"/>
  <c r="J109" i="88" s="1"/>
  <c r="D105" i="87"/>
  <c r="D106" i="87"/>
  <c r="D107" i="87"/>
  <c r="H107" i="87" s="1"/>
  <c r="J112" i="88" s="1"/>
  <c r="D108" i="87"/>
  <c r="H108" i="87" s="1"/>
  <c r="J113" i="88" s="1"/>
  <c r="D109" i="87"/>
  <c r="D110" i="87"/>
  <c r="D111" i="87"/>
  <c r="D112" i="87"/>
  <c r="D113" i="87"/>
  <c r="H113" i="87" s="1"/>
  <c r="J118" i="88" s="1"/>
  <c r="D114" i="87"/>
  <c r="H114" i="87" s="1"/>
  <c r="J119" i="88" s="1"/>
  <c r="D115" i="87"/>
  <c r="D116" i="87"/>
  <c r="H116" i="87" s="1"/>
  <c r="J121" i="88" s="1"/>
  <c r="D117" i="87"/>
  <c r="H117" i="87" s="1"/>
  <c r="J122" i="88" s="1"/>
  <c r="D118" i="87"/>
  <c r="D119" i="87"/>
  <c r="H119" i="87" s="1"/>
  <c r="J124" i="88" s="1"/>
  <c r="D120" i="87"/>
  <c r="H120" i="87" s="1"/>
  <c r="J125" i="88" s="1"/>
  <c r="D121" i="87"/>
  <c r="D122" i="87"/>
  <c r="H122" i="87" s="1"/>
  <c r="J127" i="88" s="1"/>
  <c r="D123" i="87"/>
  <c r="H123" i="87" s="1"/>
  <c r="J128" i="88" s="1"/>
  <c r="D124" i="87"/>
  <c r="D125" i="87"/>
  <c r="D126" i="87"/>
  <c r="D127" i="87"/>
  <c r="H127" i="87" s="1"/>
  <c r="J132" i="88" s="1"/>
  <c r="D128" i="87"/>
  <c r="D129" i="87"/>
  <c r="H129" i="87" s="1"/>
  <c r="J134" i="88" s="1"/>
  <c r="D130" i="87"/>
  <c r="D131" i="87"/>
  <c r="D132" i="87"/>
  <c r="D133" i="87"/>
  <c r="D134" i="87"/>
  <c r="D135" i="87"/>
  <c r="D136" i="87"/>
  <c r="D137" i="87"/>
  <c r="H137" i="87" s="1"/>
  <c r="J142" i="88" s="1"/>
  <c r="D138" i="87"/>
  <c r="H138" i="87" s="1"/>
  <c r="J143" i="88" s="1"/>
  <c r="D139" i="87"/>
  <c r="D140" i="87"/>
  <c r="D141" i="87"/>
  <c r="D142" i="87"/>
  <c r="H142" i="87" s="1"/>
  <c r="J147" i="88" s="1"/>
  <c r="D143" i="87"/>
  <c r="H143" i="87" s="1"/>
  <c r="J148" i="88" s="1"/>
  <c r="D144" i="87"/>
  <c r="D145" i="87"/>
  <c r="D146" i="87"/>
  <c r="H146" i="87" s="1"/>
  <c r="J151" i="88" s="1"/>
  <c r="D147" i="87"/>
  <c r="H147" i="87" s="1"/>
  <c r="J152" i="88" s="1"/>
  <c r="D10" i="87"/>
  <c r="H10" i="87" s="1"/>
  <c r="J15" i="88" s="1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1" i="87"/>
  <c r="C42" i="87"/>
  <c r="C43" i="87"/>
  <c r="C44" i="87"/>
  <c r="C45" i="87"/>
  <c r="C46" i="87"/>
  <c r="C47" i="87"/>
  <c r="C51" i="87"/>
  <c r="C52" i="87"/>
  <c r="C53" i="87"/>
  <c r="C54" i="87"/>
  <c r="C55" i="87"/>
  <c r="C56" i="87"/>
  <c r="C57" i="87"/>
  <c r="C58" i="87"/>
  <c r="C59" i="87"/>
  <c r="C60" i="87"/>
  <c r="C61" i="87"/>
  <c r="C63" i="87"/>
  <c r="C64" i="87"/>
  <c r="C65" i="87"/>
  <c r="C66" i="87"/>
  <c r="C67" i="87"/>
  <c r="C68" i="87"/>
  <c r="C69" i="87"/>
  <c r="C70" i="87"/>
  <c r="C72" i="87"/>
  <c r="C73" i="87"/>
  <c r="C74" i="87"/>
  <c r="C75" i="87"/>
  <c r="C76" i="87"/>
  <c r="C77" i="87"/>
  <c r="C78" i="87"/>
  <c r="C79" i="87"/>
  <c r="C80" i="87"/>
  <c r="C81" i="87"/>
  <c r="C83" i="87"/>
  <c r="C84" i="87"/>
  <c r="C85" i="87"/>
  <c r="C86" i="87"/>
  <c r="C88" i="87"/>
  <c r="C89" i="87"/>
  <c r="C90" i="87"/>
  <c r="C91" i="87"/>
  <c r="C92" i="87"/>
  <c r="C93" i="87"/>
  <c r="C94" i="87"/>
  <c r="C95" i="87"/>
  <c r="C96" i="87"/>
  <c r="C97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8" i="87"/>
  <c r="C139" i="87"/>
  <c r="C140" i="87"/>
  <c r="C141" i="87"/>
  <c r="C142" i="87"/>
  <c r="C143" i="87"/>
  <c r="C144" i="87"/>
  <c r="C145" i="87"/>
  <c r="C146" i="87"/>
  <c r="C147" i="87"/>
  <c r="C10" i="87"/>
  <c r="B11" i="87"/>
  <c r="B12" i="87"/>
  <c r="B13" i="87"/>
  <c r="B14" i="87"/>
  <c r="B15" i="87"/>
  <c r="B16" i="87"/>
  <c r="B17" i="87"/>
  <c r="B18" i="87"/>
  <c r="B19" i="87"/>
  <c r="B20" i="87"/>
  <c r="B21" i="87"/>
  <c r="B22" i="87"/>
  <c r="B23" i="87"/>
  <c r="B24" i="87"/>
  <c r="B25" i="87"/>
  <c r="B26" i="87"/>
  <c r="B27" i="87"/>
  <c r="B28" i="87"/>
  <c r="B29" i="87"/>
  <c r="B30" i="87"/>
  <c r="B31" i="87"/>
  <c r="B32" i="87"/>
  <c r="B33" i="87"/>
  <c r="B34" i="87"/>
  <c r="B35" i="87"/>
  <c r="B36" i="87"/>
  <c r="B37" i="87"/>
  <c r="B38" i="87"/>
  <c r="B39" i="87"/>
  <c r="B40" i="87"/>
  <c r="B41" i="87"/>
  <c r="B42" i="87"/>
  <c r="B43" i="87"/>
  <c r="B44" i="87"/>
  <c r="B45" i="87"/>
  <c r="B46" i="87"/>
  <c r="B47" i="87"/>
  <c r="B48" i="87"/>
  <c r="B49" i="87"/>
  <c r="B50" i="87"/>
  <c r="B51" i="87"/>
  <c r="B52" i="87"/>
  <c r="B53" i="87"/>
  <c r="B54" i="87"/>
  <c r="B55" i="87"/>
  <c r="B56" i="87"/>
  <c r="B57" i="87"/>
  <c r="B58" i="87"/>
  <c r="B59" i="87"/>
  <c r="B60" i="87"/>
  <c r="B61" i="87"/>
  <c r="B62" i="87"/>
  <c r="B63" i="87"/>
  <c r="B64" i="87"/>
  <c r="B65" i="87"/>
  <c r="B66" i="87"/>
  <c r="B67" i="87"/>
  <c r="B68" i="87"/>
  <c r="B69" i="87"/>
  <c r="B70" i="87"/>
  <c r="B71" i="87"/>
  <c r="B72" i="87"/>
  <c r="B73" i="87"/>
  <c r="B74" i="87"/>
  <c r="B75" i="87"/>
  <c r="B76" i="87"/>
  <c r="B77" i="87"/>
  <c r="B78" i="87"/>
  <c r="B79" i="87"/>
  <c r="B80" i="87"/>
  <c r="B81" i="87"/>
  <c r="B82" i="87"/>
  <c r="B83" i="87"/>
  <c r="B84" i="87"/>
  <c r="B85" i="87"/>
  <c r="B86" i="87"/>
  <c r="B87" i="87"/>
  <c r="B88" i="87"/>
  <c r="B89" i="87"/>
  <c r="B90" i="87"/>
  <c r="B91" i="87"/>
  <c r="B92" i="87"/>
  <c r="B93" i="87"/>
  <c r="B94" i="87"/>
  <c r="B95" i="87"/>
  <c r="B96" i="87"/>
  <c r="B97" i="87"/>
  <c r="B98" i="87"/>
  <c r="B99" i="87"/>
  <c r="B100" i="87"/>
  <c r="B101" i="87"/>
  <c r="B102" i="87"/>
  <c r="B103" i="87"/>
  <c r="B104" i="87"/>
  <c r="B105" i="87"/>
  <c r="B106" i="87"/>
  <c r="B107" i="87"/>
  <c r="B108" i="87"/>
  <c r="B109" i="87"/>
  <c r="B110" i="87"/>
  <c r="B111" i="87"/>
  <c r="B112" i="87"/>
  <c r="B113" i="87"/>
  <c r="B114" i="87"/>
  <c r="B115" i="87"/>
  <c r="B116" i="87"/>
  <c r="B117" i="87"/>
  <c r="B118" i="87"/>
  <c r="B119" i="87"/>
  <c r="B120" i="87"/>
  <c r="B121" i="87"/>
  <c r="B122" i="87"/>
  <c r="B123" i="87"/>
  <c r="B124" i="87"/>
  <c r="B125" i="87"/>
  <c r="B126" i="87"/>
  <c r="B127" i="87"/>
  <c r="B128" i="87"/>
  <c r="B129" i="87"/>
  <c r="B130" i="87"/>
  <c r="B131" i="87"/>
  <c r="B132" i="87"/>
  <c r="B133" i="87"/>
  <c r="B134" i="87"/>
  <c r="B135" i="87"/>
  <c r="B136" i="87"/>
  <c r="B137" i="87"/>
  <c r="B138" i="87"/>
  <c r="B139" i="87"/>
  <c r="B140" i="87"/>
  <c r="B141" i="87"/>
  <c r="B142" i="87"/>
  <c r="B143" i="87"/>
  <c r="B144" i="87"/>
  <c r="B145" i="87"/>
  <c r="B146" i="87"/>
  <c r="B147" i="87"/>
  <c r="A144" i="87"/>
  <c r="A145" i="87"/>
  <c r="A146" i="87"/>
  <c r="A147" i="87"/>
  <c r="A137" i="87"/>
  <c r="A138" i="87"/>
  <c r="A142" i="87"/>
  <c r="A143" i="87"/>
  <c r="A125" i="87"/>
  <c r="A126" i="87"/>
  <c r="A127" i="87"/>
  <c r="A128" i="87"/>
  <c r="A129" i="87"/>
  <c r="A120" i="87"/>
  <c r="A121" i="87"/>
  <c r="A122" i="87"/>
  <c r="A123" i="87"/>
  <c r="A124" i="87"/>
  <c r="A100" i="87"/>
  <c r="A101" i="87"/>
  <c r="A102" i="87"/>
  <c r="A103" i="87"/>
  <c r="A104" i="87"/>
  <c r="A105" i="87"/>
  <c r="A106" i="87"/>
  <c r="A107" i="87"/>
  <c r="A108" i="87"/>
  <c r="A109" i="87"/>
  <c r="A110" i="87"/>
  <c r="A111" i="87"/>
  <c r="A112" i="87"/>
  <c r="A113" i="87"/>
  <c r="A114" i="87"/>
  <c r="A115" i="87"/>
  <c r="A116" i="87"/>
  <c r="A117" i="87"/>
  <c r="A118" i="87"/>
  <c r="A119" i="87"/>
  <c r="A79" i="87"/>
  <c r="A82" i="87"/>
  <c r="A83" i="87"/>
  <c r="A85" i="87"/>
  <c r="A87" i="87"/>
  <c r="A88" i="87"/>
  <c r="A89" i="87"/>
  <c r="A90" i="87"/>
  <c r="A98" i="87"/>
  <c r="A99" i="87"/>
  <c r="A11" i="87"/>
  <c r="A12" i="87"/>
  <c r="A13" i="87"/>
  <c r="A14" i="87"/>
  <c r="A15" i="87"/>
  <c r="A16" i="87"/>
  <c r="A17" i="87"/>
  <c r="A18" i="87"/>
  <c r="A19" i="87"/>
  <c r="A20" i="87"/>
  <c r="A21" i="87"/>
  <c r="A22" i="87"/>
  <c r="A23" i="87"/>
  <c r="A24" i="87"/>
  <c r="A25" i="87"/>
  <c r="A26" i="87"/>
  <c r="A27" i="87"/>
  <c r="A28" i="87"/>
  <c r="A29" i="87"/>
  <c r="A30" i="87"/>
  <c r="A31" i="87"/>
  <c r="A32" i="87"/>
  <c r="A33" i="87"/>
  <c r="A34" i="87"/>
  <c r="A35" i="87"/>
  <c r="A36" i="87"/>
  <c r="A37" i="87"/>
  <c r="A38" i="87"/>
  <c r="A39" i="87"/>
  <c r="A40" i="87"/>
  <c r="A41" i="87"/>
  <c r="A42" i="87"/>
  <c r="A43" i="87"/>
  <c r="A44" i="87"/>
  <c r="A45" i="87"/>
  <c r="A46" i="87"/>
  <c r="A47" i="87"/>
  <c r="A48" i="87"/>
  <c r="A49" i="87"/>
  <c r="A50" i="87"/>
  <c r="A51" i="87"/>
  <c r="A52" i="87"/>
  <c r="A53" i="87"/>
  <c r="A56" i="87"/>
  <c r="A57" i="87"/>
  <c r="A60" i="87"/>
  <c r="A62" i="87"/>
  <c r="A63" i="87"/>
  <c r="A64" i="87"/>
  <c r="A65" i="87"/>
  <c r="A70" i="87"/>
  <c r="A71" i="87"/>
  <c r="A72" i="87"/>
  <c r="A73" i="87"/>
  <c r="A74" i="87"/>
  <c r="A75" i="87"/>
  <c r="B10" i="87"/>
  <c r="B9" i="87"/>
  <c r="B8" i="87"/>
  <c r="B7" i="87"/>
  <c r="A8" i="87"/>
  <c r="A9" i="87"/>
  <c r="A10" i="87"/>
  <c r="F152" i="88"/>
  <c r="F151" i="88"/>
  <c r="F148" i="88"/>
  <c r="F147" i="88"/>
  <c r="F143" i="88"/>
  <c r="F142" i="88"/>
  <c r="F134" i="88"/>
  <c r="F132" i="88"/>
  <c r="F128" i="88"/>
  <c r="F127" i="88"/>
  <c r="F125" i="88"/>
  <c r="F124" i="88"/>
  <c r="F122" i="88"/>
  <c r="F121" i="88"/>
  <c r="F119" i="88"/>
  <c r="F118" i="88"/>
  <c r="F113" i="88"/>
  <c r="F112" i="88"/>
  <c r="F109" i="88"/>
  <c r="F108" i="88"/>
  <c r="F104" i="88"/>
  <c r="F103" i="88"/>
  <c r="F95" i="88"/>
  <c r="F94" i="88"/>
  <c r="F93" i="88"/>
  <c r="F92" i="88"/>
  <c r="F90" i="88"/>
  <c r="F88" i="88"/>
  <c r="F87" i="88"/>
  <c r="F84" i="88"/>
  <c r="F80" i="88"/>
  <c r="F79" i="88"/>
  <c r="F78" i="88"/>
  <c r="F75" i="88"/>
  <c r="F70" i="88"/>
  <c r="F69" i="88"/>
  <c r="F68" i="88"/>
  <c r="F65" i="88"/>
  <c r="F61" i="88"/>
  <c r="F58" i="88"/>
  <c r="F57" i="88"/>
  <c r="F56" i="88"/>
  <c r="F52" i="88"/>
  <c r="F51" i="88"/>
  <c r="F50" i="88"/>
  <c r="F49" i="88"/>
  <c r="F48" i="88"/>
  <c r="F47" i="88"/>
  <c r="F46" i="88"/>
  <c r="F44" i="88"/>
  <c r="F43" i="88"/>
  <c r="F42" i="88"/>
  <c r="F41" i="88"/>
  <c r="F40" i="88"/>
  <c r="F39" i="88"/>
  <c r="F38" i="88"/>
  <c r="F36" i="88"/>
  <c r="F35" i="88"/>
  <c r="F34" i="88"/>
  <c r="F33" i="88"/>
  <c r="F30" i="88"/>
  <c r="F29" i="88"/>
  <c r="F28" i="88"/>
  <c r="F27" i="88"/>
  <c r="F26" i="88"/>
  <c r="F25" i="88"/>
  <c r="F24" i="88"/>
  <c r="F23" i="88"/>
  <c r="F22" i="88"/>
  <c r="F21" i="88"/>
  <c r="F20" i="88"/>
  <c r="F19" i="88"/>
  <c r="F18" i="88"/>
  <c r="F17" i="88"/>
  <c r="F16" i="88"/>
  <c r="F15" i="88"/>
  <c r="F153" i="88" l="1"/>
  <c r="K25" i="177"/>
  <c r="K24" i="177" s="1"/>
  <c r="K26" i="177" s="1"/>
  <c r="J24" i="177"/>
  <c r="J26" i="177" s="1"/>
  <c r="J28" i="167" s="1"/>
  <c r="I32" i="87"/>
  <c r="H37" i="88"/>
  <c r="G32" i="87"/>
  <c r="I37" i="88" s="1"/>
  <c r="M37" i="88" s="1"/>
  <c r="I26" i="87"/>
  <c r="G26" i="87"/>
  <c r="I31" i="88" s="1"/>
  <c r="M31" i="88" s="1"/>
  <c r="H31" i="88"/>
  <c r="H27" i="88"/>
  <c r="I22" i="87"/>
  <c r="G22" i="87"/>
  <c r="I27" i="88" s="1"/>
  <c r="M27" i="88" s="1"/>
  <c r="H19" i="88"/>
  <c r="I14" i="87"/>
  <c r="G14" i="87"/>
  <c r="I19" i="88" s="1"/>
  <c r="M19" i="88" s="1"/>
  <c r="H148" i="88"/>
  <c r="I143" i="87"/>
  <c r="G143" i="87"/>
  <c r="I148" i="88" s="1"/>
  <c r="M148" i="88" s="1"/>
  <c r="H140" i="88"/>
  <c r="G135" i="87"/>
  <c r="I140" i="88" s="1"/>
  <c r="M140" i="88" s="1"/>
  <c r="H132" i="88"/>
  <c r="G127" i="87"/>
  <c r="I132" i="88" s="1"/>
  <c r="M132" i="88" s="1"/>
  <c r="I127" i="87"/>
  <c r="H124" i="88"/>
  <c r="G119" i="87"/>
  <c r="I124" i="88" s="1"/>
  <c r="M124" i="88" s="1"/>
  <c r="I119" i="87"/>
  <c r="H116" i="88"/>
  <c r="G111" i="87"/>
  <c r="I116" i="88" s="1"/>
  <c r="M116" i="88" s="1"/>
  <c r="H108" i="88"/>
  <c r="G103" i="87"/>
  <c r="I108" i="88" s="1"/>
  <c r="M108" i="88" s="1"/>
  <c r="I103" i="87"/>
  <c r="H100" i="88"/>
  <c r="G95" i="87"/>
  <c r="I100" i="88" s="1"/>
  <c r="M100" i="88" s="1"/>
  <c r="H92" i="88"/>
  <c r="I87" i="87"/>
  <c r="G87" i="87"/>
  <c r="I92" i="88" s="1"/>
  <c r="M92" i="88" s="1"/>
  <c r="H84" i="88"/>
  <c r="G79" i="87"/>
  <c r="I84" i="88" s="1"/>
  <c r="M84" i="88" s="1"/>
  <c r="I79" i="87"/>
  <c r="H76" i="88"/>
  <c r="I71" i="87"/>
  <c r="G71" i="87"/>
  <c r="I76" i="88" s="1"/>
  <c r="M76" i="88" s="1"/>
  <c r="H68" i="88"/>
  <c r="G63" i="87"/>
  <c r="I68" i="88" s="1"/>
  <c r="M68" i="88" s="1"/>
  <c r="I63" i="87"/>
  <c r="H60" i="88"/>
  <c r="G55" i="87"/>
  <c r="I60" i="88" s="1"/>
  <c r="M60" i="88" s="1"/>
  <c r="H52" i="88"/>
  <c r="I47" i="87"/>
  <c r="G47" i="87"/>
  <c r="I52" i="88" s="1"/>
  <c r="M52" i="88" s="1"/>
  <c r="H36" i="88"/>
  <c r="G31" i="87"/>
  <c r="I36" i="88" s="1"/>
  <c r="M36" i="88" s="1"/>
  <c r="I31" i="87"/>
  <c r="H29" i="88"/>
  <c r="I24" i="87"/>
  <c r="G24" i="87"/>
  <c r="I29" i="88" s="1"/>
  <c r="M29" i="88" s="1"/>
  <c r="H21" i="88"/>
  <c r="G16" i="87"/>
  <c r="I21" i="88" s="1"/>
  <c r="M21" i="88" s="1"/>
  <c r="I16" i="87"/>
  <c r="H43" i="88"/>
  <c r="I38" i="87"/>
  <c r="G38" i="87"/>
  <c r="I43" i="88" s="1"/>
  <c r="M43" i="88" s="1"/>
  <c r="H26" i="88"/>
  <c r="I21" i="87"/>
  <c r="G21" i="87"/>
  <c r="I26" i="88" s="1"/>
  <c r="M26" i="88" s="1"/>
  <c r="H18" i="88"/>
  <c r="G13" i="87"/>
  <c r="I18" i="88" s="1"/>
  <c r="M18" i="88" s="1"/>
  <c r="I13" i="87"/>
  <c r="H147" i="88"/>
  <c r="G142" i="87"/>
  <c r="I147" i="88" s="1"/>
  <c r="M147" i="88" s="1"/>
  <c r="I142" i="87"/>
  <c r="H139" i="88"/>
  <c r="G134" i="87"/>
  <c r="I139" i="88" s="1"/>
  <c r="M139" i="88" s="1"/>
  <c r="H131" i="88"/>
  <c r="G126" i="87"/>
  <c r="I131" i="88" s="1"/>
  <c r="M131" i="88" s="1"/>
  <c r="G118" i="87"/>
  <c r="I123" i="88" s="1"/>
  <c r="M123" i="88" s="1"/>
  <c r="H123" i="88"/>
  <c r="G110" i="87"/>
  <c r="I115" i="88" s="1"/>
  <c r="M115" i="88" s="1"/>
  <c r="H115" i="88"/>
  <c r="G102" i="87"/>
  <c r="I107" i="88" s="1"/>
  <c r="M107" i="88" s="1"/>
  <c r="H107" i="88"/>
  <c r="G94" i="87"/>
  <c r="I99" i="88" s="1"/>
  <c r="M99" i="88" s="1"/>
  <c r="H99" i="88"/>
  <c r="G86" i="87"/>
  <c r="I91" i="88" s="1"/>
  <c r="M91" i="88" s="1"/>
  <c r="H91" i="88"/>
  <c r="G78" i="87"/>
  <c r="I83" i="88" s="1"/>
  <c r="M83" i="88" s="1"/>
  <c r="H83" i="88"/>
  <c r="H75" i="88"/>
  <c r="G70" i="87"/>
  <c r="I75" i="88" s="1"/>
  <c r="M75" i="88" s="1"/>
  <c r="I70" i="87"/>
  <c r="G62" i="87"/>
  <c r="I67" i="88" s="1"/>
  <c r="M67" i="88" s="1"/>
  <c r="H67" i="88"/>
  <c r="I62" i="87"/>
  <c r="G54" i="87"/>
  <c r="I59" i="88" s="1"/>
  <c r="M59" i="88" s="1"/>
  <c r="H59" i="88"/>
  <c r="G46" i="87"/>
  <c r="I51" i="88" s="1"/>
  <c r="M51" i="88" s="1"/>
  <c r="H51" i="88"/>
  <c r="I46" i="87"/>
  <c r="H20" i="88"/>
  <c r="G15" i="87"/>
  <c r="I20" i="88" s="1"/>
  <c r="M20" i="88" s="1"/>
  <c r="I15" i="87"/>
  <c r="H25" i="88"/>
  <c r="I20" i="87"/>
  <c r="G20" i="87"/>
  <c r="I25" i="88" s="1"/>
  <c r="M25" i="88" s="1"/>
  <c r="H17" i="88"/>
  <c r="I12" i="87"/>
  <c r="G12" i="87"/>
  <c r="I17" i="88" s="1"/>
  <c r="M17" i="88" s="1"/>
  <c r="H146" i="88"/>
  <c r="G141" i="87"/>
  <c r="I146" i="88" s="1"/>
  <c r="M146" i="88" s="1"/>
  <c r="H138" i="88"/>
  <c r="G133" i="87"/>
  <c r="I138" i="88" s="1"/>
  <c r="M138" i="88" s="1"/>
  <c r="H130" i="88"/>
  <c r="G125" i="87"/>
  <c r="I130" i="88" s="1"/>
  <c r="M130" i="88" s="1"/>
  <c r="H122" i="88"/>
  <c r="G117" i="87"/>
  <c r="I122" i="88" s="1"/>
  <c r="M122" i="88" s="1"/>
  <c r="I117" i="87"/>
  <c r="H114" i="88"/>
  <c r="G109" i="87"/>
  <c r="I114" i="88" s="1"/>
  <c r="M114" i="88" s="1"/>
  <c r="H106" i="88"/>
  <c r="G101" i="87"/>
  <c r="I106" i="88" s="1"/>
  <c r="M106" i="88" s="1"/>
  <c r="H98" i="88"/>
  <c r="G93" i="87"/>
  <c r="I98" i="88" s="1"/>
  <c r="M98" i="88" s="1"/>
  <c r="H90" i="88"/>
  <c r="I85" i="87"/>
  <c r="G85" i="87"/>
  <c r="I90" i="88" s="1"/>
  <c r="M90" i="88" s="1"/>
  <c r="H82" i="88"/>
  <c r="G77" i="87"/>
  <c r="I82" i="88" s="1"/>
  <c r="M82" i="88" s="1"/>
  <c r="H74" i="88"/>
  <c r="G69" i="87"/>
  <c r="I74" i="88" s="1"/>
  <c r="M74" i="88" s="1"/>
  <c r="H66" i="88"/>
  <c r="G61" i="87"/>
  <c r="I66" i="88" s="1"/>
  <c r="M66" i="88" s="1"/>
  <c r="H58" i="88"/>
  <c r="G53" i="87"/>
  <c r="I58" i="88" s="1"/>
  <c r="M58" i="88" s="1"/>
  <c r="I53" i="87"/>
  <c r="H50" i="88"/>
  <c r="G45" i="87"/>
  <c r="I50" i="88" s="1"/>
  <c r="M50" i="88" s="1"/>
  <c r="I45" i="87"/>
  <c r="H38" i="88"/>
  <c r="I33" i="87"/>
  <c r="G33" i="87"/>
  <c r="I38" i="88" s="1"/>
  <c r="M38" i="88" s="1"/>
  <c r="H24" i="88"/>
  <c r="I19" i="87"/>
  <c r="G19" i="87"/>
  <c r="I24" i="88" s="1"/>
  <c r="M24" i="88" s="1"/>
  <c r="H16" i="88"/>
  <c r="I11" i="87"/>
  <c r="G11" i="87"/>
  <c r="I16" i="88" s="1"/>
  <c r="M16" i="88" s="1"/>
  <c r="I34" i="87"/>
  <c r="G34" i="87"/>
  <c r="I39" i="88" s="1"/>
  <c r="M39" i="88" s="1"/>
  <c r="H39" i="88"/>
  <c r="H145" i="88"/>
  <c r="G140" i="87"/>
  <c r="I145" i="88" s="1"/>
  <c r="M145" i="88" s="1"/>
  <c r="H137" i="88"/>
  <c r="G132" i="87"/>
  <c r="I137" i="88" s="1"/>
  <c r="M137" i="88" s="1"/>
  <c r="H129" i="88"/>
  <c r="G124" i="87"/>
  <c r="I129" i="88" s="1"/>
  <c r="M129" i="88" s="1"/>
  <c r="H121" i="88"/>
  <c r="I116" i="87"/>
  <c r="G116" i="87"/>
  <c r="I121" i="88" s="1"/>
  <c r="M121" i="88" s="1"/>
  <c r="H113" i="88"/>
  <c r="I108" i="87"/>
  <c r="G108" i="87"/>
  <c r="I113" i="88" s="1"/>
  <c r="M113" i="88" s="1"/>
  <c r="H105" i="88"/>
  <c r="G100" i="87"/>
  <c r="I105" i="88" s="1"/>
  <c r="M105" i="88" s="1"/>
  <c r="H97" i="88"/>
  <c r="G92" i="87"/>
  <c r="I97" i="88" s="1"/>
  <c r="M97" i="88" s="1"/>
  <c r="H89" i="88"/>
  <c r="G84" i="87"/>
  <c r="I89" i="88" s="1"/>
  <c r="M89" i="88" s="1"/>
  <c r="H81" i="88"/>
  <c r="G76" i="87"/>
  <c r="I81" i="88" s="1"/>
  <c r="M81" i="88" s="1"/>
  <c r="H73" i="88"/>
  <c r="G68" i="87"/>
  <c r="I73" i="88" s="1"/>
  <c r="M73" i="88" s="1"/>
  <c r="H65" i="88"/>
  <c r="I60" i="87"/>
  <c r="G60" i="87"/>
  <c r="I65" i="88" s="1"/>
  <c r="M65" i="88" s="1"/>
  <c r="H57" i="88"/>
  <c r="I52" i="87"/>
  <c r="G52" i="87"/>
  <c r="I57" i="88" s="1"/>
  <c r="M57" i="88" s="1"/>
  <c r="H30" i="88"/>
  <c r="I25" i="87"/>
  <c r="G25" i="87"/>
  <c r="I30" i="88" s="1"/>
  <c r="M30" i="88" s="1"/>
  <c r="H22" i="88"/>
  <c r="I17" i="87"/>
  <c r="G17" i="87"/>
  <c r="I22" i="88" s="1"/>
  <c r="M22" i="88" s="1"/>
  <c r="H44" i="88"/>
  <c r="I39" i="87"/>
  <c r="G39" i="87"/>
  <c r="I44" i="88" s="1"/>
  <c r="M44" i="88" s="1"/>
  <c r="H28" i="88"/>
  <c r="G23" i="87"/>
  <c r="I28" i="88" s="1"/>
  <c r="M28" i="88" s="1"/>
  <c r="I23" i="87"/>
  <c r="H15" i="88"/>
  <c r="I10" i="87"/>
  <c r="G10" i="87"/>
  <c r="I15" i="88" s="1"/>
  <c r="M15" i="88" s="1"/>
  <c r="H23" i="88"/>
  <c r="I18" i="87"/>
  <c r="G18" i="87"/>
  <c r="I23" i="88" s="1"/>
  <c r="M23" i="88" s="1"/>
  <c r="H33" i="88"/>
  <c r="I28" i="87"/>
  <c r="G28" i="87"/>
  <c r="I33" i="88" s="1"/>
  <c r="M33" i="88" s="1"/>
  <c r="H152" i="88"/>
  <c r="G147" i="87"/>
  <c r="I152" i="88" s="1"/>
  <c r="M152" i="88" s="1"/>
  <c r="I147" i="87"/>
  <c r="H144" i="88"/>
  <c r="G139" i="87"/>
  <c r="I144" i="88" s="1"/>
  <c r="M144" i="88" s="1"/>
  <c r="H136" i="88"/>
  <c r="G131" i="87"/>
  <c r="I136" i="88" s="1"/>
  <c r="M136" i="88" s="1"/>
  <c r="H128" i="88"/>
  <c r="I123" i="87"/>
  <c r="G123" i="87"/>
  <c r="I128" i="88" s="1"/>
  <c r="M128" i="88" s="1"/>
  <c r="H120" i="88"/>
  <c r="G115" i="87"/>
  <c r="I120" i="88" s="1"/>
  <c r="M120" i="88" s="1"/>
  <c r="H112" i="88"/>
  <c r="I107" i="87"/>
  <c r="G107" i="87"/>
  <c r="I112" i="88" s="1"/>
  <c r="M112" i="88" s="1"/>
  <c r="H104" i="88"/>
  <c r="G99" i="87"/>
  <c r="I104" i="88" s="1"/>
  <c r="M104" i="88" s="1"/>
  <c r="I99" i="87"/>
  <c r="H96" i="88"/>
  <c r="G91" i="87"/>
  <c r="I96" i="88" s="1"/>
  <c r="M96" i="88" s="1"/>
  <c r="H88" i="88"/>
  <c r="I83" i="87"/>
  <c r="G83" i="87"/>
  <c r="I88" i="88" s="1"/>
  <c r="M88" i="88" s="1"/>
  <c r="H80" i="88"/>
  <c r="G75" i="87"/>
  <c r="I80" i="88" s="1"/>
  <c r="M80" i="88" s="1"/>
  <c r="I75" i="87"/>
  <c r="H72" i="88"/>
  <c r="G67" i="87"/>
  <c r="I72" i="88" s="1"/>
  <c r="M72" i="88" s="1"/>
  <c r="H64" i="88"/>
  <c r="G59" i="87"/>
  <c r="I64" i="88" s="1"/>
  <c r="M64" i="88" s="1"/>
  <c r="H56" i="88"/>
  <c r="G51" i="87"/>
  <c r="I56" i="88" s="1"/>
  <c r="M56" i="88" s="1"/>
  <c r="I51" i="87"/>
  <c r="H119" i="88"/>
  <c r="I114" i="87"/>
  <c r="G114" i="87"/>
  <c r="I119" i="88" s="1"/>
  <c r="M119" i="88" s="1"/>
  <c r="H134" i="88"/>
  <c r="I129" i="87"/>
  <c r="G129" i="87"/>
  <c r="I134" i="88" s="1"/>
  <c r="M134" i="88" s="1"/>
  <c r="H102" i="88"/>
  <c r="G97" i="87"/>
  <c r="I102" i="88" s="1"/>
  <c r="M102" i="88" s="1"/>
  <c r="H78" i="88"/>
  <c r="I73" i="87"/>
  <c r="G73" i="87"/>
  <c r="I78" i="88" s="1"/>
  <c r="M78" i="88" s="1"/>
  <c r="H133" i="88"/>
  <c r="G128" i="87"/>
  <c r="I133" i="88" s="1"/>
  <c r="M133" i="88" s="1"/>
  <c r="H117" i="88"/>
  <c r="G112" i="87"/>
  <c r="I117" i="88" s="1"/>
  <c r="M117" i="88" s="1"/>
  <c r="H101" i="88"/>
  <c r="G96" i="87"/>
  <c r="I101" i="88" s="1"/>
  <c r="M101" i="88" s="1"/>
  <c r="H77" i="88"/>
  <c r="I72" i="87"/>
  <c r="G72" i="87"/>
  <c r="I77" i="88" s="1"/>
  <c r="M77" i="88" s="1"/>
  <c r="I146" i="87"/>
  <c r="H151" i="88"/>
  <c r="G146" i="87"/>
  <c r="I151" i="88" s="1"/>
  <c r="M151" i="88" s="1"/>
  <c r="H111" i="88"/>
  <c r="G106" i="87"/>
  <c r="I111" i="88" s="1"/>
  <c r="M111" i="88" s="1"/>
  <c r="H95" i="88"/>
  <c r="I90" i="87"/>
  <c r="G90" i="87"/>
  <c r="I95" i="88" s="1"/>
  <c r="M95" i="88" s="1"/>
  <c r="I74" i="87"/>
  <c r="H79" i="88"/>
  <c r="G74" i="87"/>
  <c r="I79" i="88" s="1"/>
  <c r="M79" i="88" s="1"/>
  <c r="I58" i="87"/>
  <c r="H63" i="88"/>
  <c r="G58" i="87"/>
  <c r="I63" i="88" s="1"/>
  <c r="M63" i="88" s="1"/>
  <c r="H142" i="88"/>
  <c r="G137" i="87"/>
  <c r="I142" i="88" s="1"/>
  <c r="M142" i="88" s="1"/>
  <c r="I137" i="87"/>
  <c r="H94" i="88"/>
  <c r="I89" i="87"/>
  <c r="G89" i="87"/>
  <c r="I94" i="88" s="1"/>
  <c r="M94" i="88" s="1"/>
  <c r="H62" i="88"/>
  <c r="I57" i="87"/>
  <c r="G57" i="87"/>
  <c r="I62" i="88" s="1"/>
  <c r="M62" i="88" s="1"/>
  <c r="H141" i="88"/>
  <c r="G136" i="87"/>
  <c r="I141" i="88" s="1"/>
  <c r="M141" i="88" s="1"/>
  <c r="H125" i="88"/>
  <c r="I120" i="87"/>
  <c r="G120" i="87"/>
  <c r="I125" i="88" s="1"/>
  <c r="M125" i="88" s="1"/>
  <c r="H109" i="88"/>
  <c r="I104" i="87"/>
  <c r="G104" i="87"/>
  <c r="I109" i="88" s="1"/>
  <c r="M109" i="88" s="1"/>
  <c r="H93" i="88"/>
  <c r="I88" i="87"/>
  <c r="G88" i="87"/>
  <c r="I93" i="88" s="1"/>
  <c r="M93" i="88" s="1"/>
  <c r="H85" i="88"/>
  <c r="G80" i="87"/>
  <c r="I85" i="88" s="1"/>
  <c r="M85" i="88" s="1"/>
  <c r="H69" i="88"/>
  <c r="G64" i="87"/>
  <c r="I69" i="88" s="1"/>
  <c r="M69" i="88" s="1"/>
  <c r="I64" i="87"/>
  <c r="H61" i="88"/>
  <c r="G56" i="87"/>
  <c r="I61" i="88" s="1"/>
  <c r="M61" i="88" s="1"/>
  <c r="I56" i="87"/>
  <c r="H135" i="88"/>
  <c r="G130" i="87"/>
  <c r="I135" i="88" s="1"/>
  <c r="M135" i="88" s="1"/>
  <c r="H47" i="88"/>
  <c r="I42" i="87"/>
  <c r="G42" i="87"/>
  <c r="I47" i="88" s="1"/>
  <c r="M47" i="88" s="1"/>
  <c r="H126" i="88"/>
  <c r="G121" i="87"/>
  <c r="I126" i="88" s="1"/>
  <c r="M126" i="88" s="1"/>
  <c r="H45" i="88"/>
  <c r="I40" i="87"/>
  <c r="G40" i="87"/>
  <c r="I45" i="88" s="1"/>
  <c r="M45" i="88" s="1"/>
  <c r="H143" i="88"/>
  <c r="G138" i="87"/>
  <c r="I143" i="88" s="1"/>
  <c r="M143" i="88" s="1"/>
  <c r="I138" i="87"/>
  <c r="I50" i="87"/>
  <c r="G50" i="87"/>
  <c r="I55" i="88" s="1"/>
  <c r="M55" i="88" s="1"/>
  <c r="H55" i="88"/>
  <c r="H118" i="88"/>
  <c r="I113" i="87"/>
  <c r="G113" i="87"/>
  <c r="I118" i="88" s="1"/>
  <c r="M118" i="88" s="1"/>
  <c r="H54" i="88"/>
  <c r="I49" i="87"/>
  <c r="G49" i="87"/>
  <c r="I54" i="88" s="1"/>
  <c r="M54" i="88" s="1"/>
  <c r="H53" i="88"/>
  <c r="I48" i="87"/>
  <c r="G48" i="87"/>
  <c r="I53" i="88" s="1"/>
  <c r="M53" i="88" s="1"/>
  <c r="I122" i="87"/>
  <c r="H127" i="88"/>
  <c r="G122" i="87"/>
  <c r="I127" i="88" s="1"/>
  <c r="M127" i="88" s="1"/>
  <c r="I98" i="87"/>
  <c r="G98" i="87"/>
  <c r="I103" i="88" s="1"/>
  <c r="M103" i="88" s="1"/>
  <c r="H103" i="88"/>
  <c r="I82" i="87"/>
  <c r="H87" i="88"/>
  <c r="G82" i="87"/>
  <c r="I87" i="88" s="1"/>
  <c r="M87" i="88" s="1"/>
  <c r="H71" i="88"/>
  <c r="G66" i="87"/>
  <c r="I71" i="88" s="1"/>
  <c r="M71" i="88" s="1"/>
  <c r="H150" i="88"/>
  <c r="G145" i="87"/>
  <c r="I150" i="88" s="1"/>
  <c r="M150" i="88" s="1"/>
  <c r="H110" i="88"/>
  <c r="G105" i="87"/>
  <c r="I110" i="88" s="1"/>
  <c r="M110" i="88" s="1"/>
  <c r="H86" i="88"/>
  <c r="G81" i="87"/>
  <c r="I86" i="88" s="1"/>
  <c r="M86" i="88" s="1"/>
  <c r="H70" i="88"/>
  <c r="I65" i="87"/>
  <c r="G65" i="87"/>
  <c r="I70" i="88" s="1"/>
  <c r="M70" i="88" s="1"/>
  <c r="H149" i="88"/>
  <c r="G144" i="87"/>
  <c r="I149" i="88" s="1"/>
  <c r="M149" i="88" s="1"/>
  <c r="I44" i="87"/>
  <c r="G44" i="87"/>
  <c r="I49" i="88" s="1"/>
  <c r="M49" i="88" s="1"/>
  <c r="H49" i="88"/>
  <c r="H48" i="88"/>
  <c r="G43" i="87"/>
  <c r="I48" i="88" s="1"/>
  <c r="M48" i="88" s="1"/>
  <c r="I43" i="87"/>
  <c r="G41" i="87"/>
  <c r="I46" i="88" s="1"/>
  <c r="M46" i="88" s="1"/>
  <c r="H46" i="88"/>
  <c r="I41" i="87"/>
  <c r="I35" i="87"/>
  <c r="H40" i="88"/>
  <c r="G35" i="87"/>
  <c r="I40" i="88" s="1"/>
  <c r="M40" i="88" s="1"/>
  <c r="I36" i="87"/>
  <c r="H41" i="88"/>
  <c r="G36" i="87"/>
  <c r="I41" i="88" s="1"/>
  <c r="M41" i="88" s="1"/>
  <c r="I37" i="87"/>
  <c r="G37" i="87"/>
  <c r="I42" i="88" s="1"/>
  <c r="M42" i="88" s="1"/>
  <c r="H42" i="88"/>
  <c r="D35" i="86"/>
  <c r="F35" i="86" s="1"/>
  <c r="F30" i="87" s="1"/>
  <c r="D32" i="86" l="1"/>
  <c r="F32" i="86" s="1"/>
  <c r="F27" i="87" s="1"/>
  <c r="H32" i="88" s="1"/>
  <c r="K31" i="88"/>
  <c r="J26" i="87"/>
  <c r="L31" i="88" s="1"/>
  <c r="J32" i="87"/>
  <c r="L37" i="88" s="1"/>
  <c r="K37" i="88"/>
  <c r="K70" i="88"/>
  <c r="J65" i="87"/>
  <c r="L70" i="88" s="1"/>
  <c r="N70" i="88" s="1"/>
  <c r="K109" i="88"/>
  <c r="J104" i="87"/>
  <c r="L109" i="88" s="1"/>
  <c r="N109" i="88" s="1"/>
  <c r="K78" i="88"/>
  <c r="J73" i="87"/>
  <c r="L78" i="88" s="1"/>
  <c r="N78" i="88" s="1"/>
  <c r="K52" i="88"/>
  <c r="J47" i="87"/>
  <c r="L52" i="88" s="1"/>
  <c r="N52" i="88" s="1"/>
  <c r="K76" i="88"/>
  <c r="J71" i="87"/>
  <c r="L76" i="88" s="1"/>
  <c r="N76" i="88" s="1"/>
  <c r="K148" i="88"/>
  <c r="J143" i="87"/>
  <c r="L148" i="88" s="1"/>
  <c r="N148" i="88" s="1"/>
  <c r="K118" i="88"/>
  <c r="J113" i="87"/>
  <c r="L118" i="88" s="1"/>
  <c r="N118" i="88" s="1"/>
  <c r="K63" i="88"/>
  <c r="J58" i="87"/>
  <c r="L63" i="88" s="1"/>
  <c r="N63" i="88" s="1"/>
  <c r="K128" i="88"/>
  <c r="J123" i="87"/>
  <c r="L128" i="88" s="1"/>
  <c r="N128" i="88" s="1"/>
  <c r="K15" i="88"/>
  <c r="J10" i="87"/>
  <c r="L15" i="88" s="1"/>
  <c r="N15" i="88" s="1"/>
  <c r="J20" i="87"/>
  <c r="L25" i="88" s="1"/>
  <c r="N25" i="88" s="1"/>
  <c r="K25" i="88"/>
  <c r="K147" i="88"/>
  <c r="J142" i="87"/>
  <c r="L147" i="88" s="1"/>
  <c r="N147" i="88" s="1"/>
  <c r="J24" i="87"/>
  <c r="L29" i="88" s="1"/>
  <c r="N29" i="88" s="1"/>
  <c r="K29" i="88"/>
  <c r="K84" i="88"/>
  <c r="J79" i="87"/>
  <c r="L84" i="88" s="1"/>
  <c r="N84" i="88" s="1"/>
  <c r="K108" i="88"/>
  <c r="J103" i="87"/>
  <c r="L108" i="88" s="1"/>
  <c r="N108" i="88" s="1"/>
  <c r="K132" i="88"/>
  <c r="J127" i="87"/>
  <c r="L132" i="88" s="1"/>
  <c r="N132" i="88" s="1"/>
  <c r="K47" i="88"/>
  <c r="J42" i="87"/>
  <c r="L47" i="88" s="1"/>
  <c r="N47" i="88" s="1"/>
  <c r="K62" i="88"/>
  <c r="J57" i="87"/>
  <c r="L62" i="88" s="1"/>
  <c r="K152" i="88"/>
  <c r="J147" i="87"/>
  <c r="L152" i="88" s="1"/>
  <c r="N152" i="88" s="1"/>
  <c r="K16" i="88"/>
  <c r="J11" i="87"/>
  <c r="L16" i="88" s="1"/>
  <c r="N16" i="88" s="1"/>
  <c r="K80" i="88"/>
  <c r="J75" i="87"/>
  <c r="L80" i="88" s="1"/>
  <c r="N80" i="88" s="1"/>
  <c r="H35" i="88"/>
  <c r="I30" i="87"/>
  <c r="G30" i="87"/>
  <c r="I35" i="88" s="1"/>
  <c r="M35" i="88" s="1"/>
  <c r="K127" i="88"/>
  <c r="J122" i="87"/>
  <c r="L127" i="88" s="1"/>
  <c r="N127" i="88" s="1"/>
  <c r="K56" i="88"/>
  <c r="J51" i="87"/>
  <c r="L56" i="88" s="1"/>
  <c r="N56" i="88" s="1"/>
  <c r="K45" i="88"/>
  <c r="J40" i="87"/>
  <c r="L45" i="88" s="1"/>
  <c r="K125" i="88"/>
  <c r="J120" i="87"/>
  <c r="L125" i="88" s="1"/>
  <c r="N125" i="88" s="1"/>
  <c r="K94" i="88"/>
  <c r="J89" i="87"/>
  <c r="L94" i="88" s="1"/>
  <c r="N94" i="88" s="1"/>
  <c r="K22" i="88"/>
  <c r="J17" i="87"/>
  <c r="L22" i="88" s="1"/>
  <c r="N22" i="88" s="1"/>
  <c r="K24" i="88"/>
  <c r="J19" i="87"/>
  <c r="L24" i="88" s="1"/>
  <c r="N24" i="88" s="1"/>
  <c r="K58" i="88"/>
  <c r="J53" i="87"/>
  <c r="L58" i="88" s="1"/>
  <c r="N58" i="88" s="1"/>
  <c r="K19" i="88"/>
  <c r="J14" i="87"/>
  <c r="L19" i="88" s="1"/>
  <c r="N19" i="88" s="1"/>
  <c r="K119" i="88"/>
  <c r="J114" i="87"/>
  <c r="L119" i="88" s="1"/>
  <c r="N119" i="88" s="1"/>
  <c r="K44" i="88"/>
  <c r="J39" i="87"/>
  <c r="L44" i="88" s="1"/>
  <c r="N44" i="88" s="1"/>
  <c r="K50" i="88"/>
  <c r="J45" i="87"/>
  <c r="L50" i="88" s="1"/>
  <c r="N50" i="88" s="1"/>
  <c r="K104" i="88"/>
  <c r="J99" i="87"/>
  <c r="L104" i="88" s="1"/>
  <c r="N104" i="88" s="1"/>
  <c r="J52" i="87"/>
  <c r="L57" i="88" s="1"/>
  <c r="N57" i="88" s="1"/>
  <c r="K57" i="88"/>
  <c r="J108" i="87"/>
  <c r="L113" i="88" s="1"/>
  <c r="N113" i="88" s="1"/>
  <c r="K113" i="88"/>
  <c r="K26" i="88"/>
  <c r="J21" i="87"/>
  <c r="L26" i="88" s="1"/>
  <c r="N26" i="88" s="1"/>
  <c r="K61" i="88"/>
  <c r="J56" i="87"/>
  <c r="L61" i="88" s="1"/>
  <c r="N61" i="88" s="1"/>
  <c r="K67" i="88"/>
  <c r="J62" i="87"/>
  <c r="L67" i="88" s="1"/>
  <c r="N67" i="88" s="1"/>
  <c r="J38" i="87"/>
  <c r="L43" i="88" s="1"/>
  <c r="N43" i="88" s="1"/>
  <c r="K43" i="88"/>
  <c r="K68" i="88"/>
  <c r="J63" i="87"/>
  <c r="L68" i="88" s="1"/>
  <c r="N68" i="88" s="1"/>
  <c r="K93" i="88"/>
  <c r="J88" i="87"/>
  <c r="L93" i="88" s="1"/>
  <c r="N93" i="88" s="1"/>
  <c r="K142" i="88"/>
  <c r="J137" i="87"/>
  <c r="L142" i="88" s="1"/>
  <c r="N142" i="88" s="1"/>
  <c r="K79" i="88"/>
  <c r="J74" i="87"/>
  <c r="L79" i="88" s="1"/>
  <c r="N79" i="88" s="1"/>
  <c r="K151" i="88"/>
  <c r="J146" i="87"/>
  <c r="L151" i="88" s="1"/>
  <c r="N151" i="88" s="1"/>
  <c r="K134" i="88"/>
  <c r="J129" i="87"/>
  <c r="L134" i="88" s="1"/>
  <c r="N134" i="88" s="1"/>
  <c r="K88" i="88"/>
  <c r="J83" i="87"/>
  <c r="L88" i="88" s="1"/>
  <c r="N88" i="88" s="1"/>
  <c r="K112" i="88"/>
  <c r="J107" i="87"/>
  <c r="L112" i="88" s="1"/>
  <c r="N112" i="88" s="1"/>
  <c r="K90" i="88"/>
  <c r="J85" i="87"/>
  <c r="L90" i="88" s="1"/>
  <c r="N90" i="88" s="1"/>
  <c r="K122" i="88"/>
  <c r="J117" i="87"/>
  <c r="L122" i="88" s="1"/>
  <c r="N122" i="88" s="1"/>
  <c r="J13" i="87"/>
  <c r="L18" i="88" s="1"/>
  <c r="N18" i="88" s="1"/>
  <c r="K18" i="88"/>
  <c r="K87" i="88"/>
  <c r="J82" i="87"/>
  <c r="L87" i="88" s="1"/>
  <c r="N87" i="88" s="1"/>
  <c r="J28" i="87"/>
  <c r="L33" i="88" s="1"/>
  <c r="N33" i="88" s="1"/>
  <c r="K33" i="88"/>
  <c r="J60" i="87"/>
  <c r="L65" i="88" s="1"/>
  <c r="N65" i="88" s="1"/>
  <c r="K65" i="88"/>
  <c r="J116" i="87"/>
  <c r="L121" i="88" s="1"/>
  <c r="N121" i="88" s="1"/>
  <c r="K121" i="88"/>
  <c r="K20" i="88"/>
  <c r="J15" i="87"/>
  <c r="L20" i="88" s="1"/>
  <c r="N20" i="88" s="1"/>
  <c r="K36" i="88"/>
  <c r="J31" i="87"/>
  <c r="L36" i="88" s="1"/>
  <c r="N36" i="88" s="1"/>
  <c r="K55" i="88"/>
  <c r="J50" i="87"/>
  <c r="L55" i="88" s="1"/>
  <c r="N55" i="88" s="1"/>
  <c r="K30" i="88"/>
  <c r="J25" i="87"/>
  <c r="L30" i="88" s="1"/>
  <c r="N30" i="88" s="1"/>
  <c r="K39" i="88"/>
  <c r="J34" i="87"/>
  <c r="L39" i="88" s="1"/>
  <c r="N39" i="88" s="1"/>
  <c r="K38" i="88"/>
  <c r="J33" i="87"/>
  <c r="L38" i="88" s="1"/>
  <c r="N38" i="88" s="1"/>
  <c r="J16" i="87"/>
  <c r="L21" i="88" s="1"/>
  <c r="N21" i="88" s="1"/>
  <c r="K21" i="88"/>
  <c r="K92" i="88"/>
  <c r="J87" i="87"/>
  <c r="L92" i="88" s="1"/>
  <c r="N92" i="88" s="1"/>
  <c r="K27" i="88"/>
  <c r="J22" i="87"/>
  <c r="L27" i="88" s="1"/>
  <c r="N27" i="88" s="1"/>
  <c r="K53" i="88"/>
  <c r="J48" i="87"/>
  <c r="L53" i="88" s="1"/>
  <c r="N53" i="88" s="1"/>
  <c r="K28" i="88"/>
  <c r="J23" i="87"/>
  <c r="L28" i="88" s="1"/>
  <c r="N28" i="88" s="1"/>
  <c r="K103" i="88"/>
  <c r="J98" i="87"/>
  <c r="L103" i="88" s="1"/>
  <c r="N103" i="88" s="1"/>
  <c r="K54" i="88"/>
  <c r="J49" i="87"/>
  <c r="L54" i="88" s="1"/>
  <c r="N54" i="88" s="1"/>
  <c r="K143" i="88"/>
  <c r="J138" i="87"/>
  <c r="L143" i="88" s="1"/>
  <c r="N143" i="88" s="1"/>
  <c r="K69" i="88"/>
  <c r="J64" i="87"/>
  <c r="L69" i="88" s="1"/>
  <c r="N69" i="88" s="1"/>
  <c r="K95" i="88"/>
  <c r="J90" i="87"/>
  <c r="L95" i="88" s="1"/>
  <c r="N95" i="88" s="1"/>
  <c r="K77" i="88"/>
  <c r="J72" i="87"/>
  <c r="L77" i="88" s="1"/>
  <c r="K23" i="88"/>
  <c r="J18" i="87"/>
  <c r="L23" i="88" s="1"/>
  <c r="N23" i="88" s="1"/>
  <c r="J12" i="87"/>
  <c r="L17" i="88" s="1"/>
  <c r="N17" i="88" s="1"/>
  <c r="K17" i="88"/>
  <c r="K51" i="88"/>
  <c r="J46" i="87"/>
  <c r="L51" i="88" s="1"/>
  <c r="N51" i="88" s="1"/>
  <c r="K75" i="88"/>
  <c r="J70" i="87"/>
  <c r="L75" i="88" s="1"/>
  <c r="N75" i="88" s="1"/>
  <c r="K124" i="88"/>
  <c r="J119" i="87"/>
  <c r="L124" i="88" s="1"/>
  <c r="N124" i="88" s="1"/>
  <c r="J44" i="87"/>
  <c r="L49" i="88" s="1"/>
  <c r="N49" i="88" s="1"/>
  <c r="K49" i="88"/>
  <c r="J43" i="87"/>
  <c r="L48" i="88" s="1"/>
  <c r="N48" i="88" s="1"/>
  <c r="K48" i="88"/>
  <c r="K46" i="88"/>
  <c r="J41" i="87"/>
  <c r="L46" i="88" s="1"/>
  <c r="N46" i="88" s="1"/>
  <c r="J35" i="87"/>
  <c r="L40" i="88" s="1"/>
  <c r="N40" i="88" s="1"/>
  <c r="K40" i="88"/>
  <c r="J36" i="87"/>
  <c r="L41" i="88" s="1"/>
  <c r="N41" i="88" s="1"/>
  <c r="K41" i="88"/>
  <c r="J37" i="87"/>
  <c r="L42" i="88" s="1"/>
  <c r="N42" i="88" s="1"/>
  <c r="K42" i="88"/>
  <c r="G27" i="87" l="1"/>
  <c r="I32" i="88" s="1"/>
  <c r="M32" i="88" s="1"/>
  <c r="I27" i="87"/>
  <c r="K32" i="88" s="1"/>
  <c r="K35" i="88"/>
  <c r="J30" i="87"/>
  <c r="L35" i="88" s="1"/>
  <c r="N35" i="88" s="1"/>
  <c r="J27" i="87" l="1"/>
  <c r="L32" i="88" s="1"/>
  <c r="N32" i="88" s="1"/>
  <c r="H148" i="87" l="1"/>
  <c r="J153" i="88"/>
  <c r="J154" i="88" l="1"/>
  <c r="J155" i="88" s="1"/>
  <c r="J12" i="88"/>
  <c r="H149" i="87" l="1"/>
  <c r="H150" i="87" s="1"/>
  <c r="F154" i="88" l="1"/>
  <c r="F155" i="88" s="1"/>
  <c r="E10" i="167" s="1"/>
  <c r="E13" i="167" s="1"/>
  <c r="E12" i="167" l="1"/>
  <c r="E9" i="167"/>
  <c r="D34" i="86" l="1"/>
  <c r="F34" i="86" s="1"/>
  <c r="F29" i="87" s="1"/>
  <c r="H34" i="88" s="1"/>
  <c r="G29" i="87" l="1"/>
  <c r="I34" i="88" s="1"/>
  <c r="M34" i="88" s="1"/>
  <c r="I29" i="87"/>
  <c r="K34" i="88" l="1"/>
  <c r="I148" i="87"/>
  <c r="J29" i="87"/>
  <c r="L34" i="88" l="1"/>
  <c r="J148" i="87"/>
  <c r="I149" i="87"/>
  <c r="I150" i="87" s="1"/>
  <c r="K153" i="88"/>
  <c r="K12" i="88"/>
  <c r="J149" i="87" l="1"/>
  <c r="J150" i="87" s="1"/>
  <c r="K154" i="88"/>
  <c r="K155" i="88" s="1"/>
  <c r="L12" i="88"/>
  <c r="N34" i="88"/>
  <c r="L153" i="88"/>
  <c r="L154" i="88" s="1"/>
  <c r="E18" i="167" l="1"/>
  <c r="E17" i="167"/>
  <c r="F12" i="27" s="1"/>
  <c r="L155" i="88"/>
  <c r="E16" i="167" s="1"/>
  <c r="N12" i="88"/>
  <c r="N153" i="88"/>
  <c r="E26" i="167" l="1"/>
  <c r="E27" i="167"/>
  <c r="O33" i="167"/>
  <c r="N154" i="88"/>
  <c r="N155" i="88" s="1"/>
  <c r="E29" i="167" l="1"/>
  <c r="E30" i="167" s="1"/>
  <c r="J30" i="167" l="1"/>
  <c r="F13" i="27" s="1"/>
  <c r="D16" i="27" l="1"/>
  <c r="K14" i="27"/>
</calcChain>
</file>

<file path=xl/sharedStrings.xml><?xml version="1.0" encoding="utf-8"?>
<sst xmlns="http://schemas.openxmlformats.org/spreadsheetml/2006/main" count="2092" uniqueCount="758">
  <si>
    <t>STT</t>
  </si>
  <si>
    <t>ĐVT</t>
  </si>
  <si>
    <t>Ghi chú</t>
  </si>
  <si>
    <t>(1)</t>
  </si>
  <si>
    <t>(2)</t>
  </si>
  <si>
    <t>Khối lượng</t>
  </si>
  <si>
    <t>Nội dung</t>
  </si>
  <si>
    <t>Giá trị</t>
  </si>
  <si>
    <t>ĐỀ NGHỊ THANH TOÁN THEO KÌ</t>
  </si>
  <si>
    <t>Đơn vị tính: vnđ</t>
  </si>
  <si>
    <t>Stt</t>
  </si>
  <si>
    <t>Hạng mục công việc</t>
  </si>
  <si>
    <t>Hợp đồng</t>
  </si>
  <si>
    <t>Khối lượng nghiệm thu</t>
  </si>
  <si>
    <t>Giá trị nghiệm thu</t>
  </si>
  <si>
    <t>Hợp đồng còn lại</t>
  </si>
  <si>
    <t>Kỳ này</t>
  </si>
  <si>
    <t>(Không bao gồm bảo lưu)</t>
  </si>
  <si>
    <t>đồng</t>
  </si>
  <si>
    <t xml:space="preserve">Đơn vị </t>
  </si>
  <si>
    <t xml:space="preserve">Nội dung công việc/
Khu vực/vị trí thực hiện </t>
  </si>
  <si>
    <t xml:space="preserve">  Kích thước (m)</t>
  </si>
  <si>
    <t xml:space="preserve">Dài </t>
  </si>
  <si>
    <t>Rộng</t>
  </si>
  <si>
    <t>Cao</t>
  </si>
  <si>
    <t>(3)</t>
  </si>
  <si>
    <t>(4)</t>
  </si>
  <si>
    <t>(5)</t>
  </si>
  <si>
    <t>(6)</t>
  </si>
  <si>
    <t>(7)</t>
  </si>
  <si>
    <t>(8)</t>
  </si>
  <si>
    <t>(9)</t>
  </si>
  <si>
    <t xml:space="preserve">Thanh toán lần : </t>
  </si>
  <si>
    <t>Số trang:</t>
  </si>
  <si>
    <t>Tổng trang:</t>
  </si>
  <si>
    <t>BẢNG TỔNG HỢP KHỐI LƯỢNG HOÀN THÀNH
THẦU PHỤ ĐÃ THỰC HIỆN LUỸ KẾ</t>
  </si>
  <si>
    <t>CỘNG HÒA XÃ HỘI CHỦ NGHĨA VIỆT NAM</t>
  </si>
  <si>
    <t>GIẤY ĐỀ NGHỊ THANH TOÁN</t>
  </si>
  <si>
    <t>A</t>
  </si>
  <si>
    <t xml:space="preserve">Tổng khối lượng </t>
  </si>
  <si>
    <t xml:space="preserve">Địa điểm thi công: </t>
  </si>
  <si>
    <t>Hệ số</t>
  </si>
  <si>
    <t>TỔNG CỘNG (CHƯA VAT)</t>
  </si>
  <si>
    <t>TỔNG CỘNG (GỒM VAT)</t>
  </si>
  <si>
    <t xml:space="preserve">Nhà/ Block : </t>
  </si>
  <si>
    <t xml:space="preserve">Khu vực : </t>
  </si>
  <si>
    <t xml:space="preserve">Tên nhà thầu phụ : </t>
  </si>
  <si>
    <t>(6)=(4)*(5)</t>
  </si>
  <si>
    <t>Số bộ phận giống nhau</t>
  </si>
  <si>
    <t>Độc lập - Tự do - Hạnh phúc</t>
  </si>
  <si>
    <t xml:space="preserve">Đơn giá </t>
  </si>
  <si>
    <t>Đơn giá 
(Chưa VAT)</t>
  </si>
  <si>
    <t>VAT</t>
  </si>
  <si>
    <t>Đơn vị tính: VNĐ</t>
  </si>
  <si>
    <t xml:space="preserve">Khối lượng </t>
  </si>
  <si>
    <t>TỔNG CỘNG (chưa bao gồm VAT)</t>
  </si>
  <si>
    <t>Giá trị tạm ứng vật tư [3]</t>
  </si>
  <si>
    <t>Lũy kế giá trị nghiệm thu đến nay [4]</t>
  </si>
  <si>
    <t>Giá trị nghiệm thu kỳ này [5]</t>
  </si>
  <si>
    <t>- Lũy kế giá trị ĐNTT [7]</t>
  </si>
  <si>
    <t>- Lũy kế tạm giữ vật tư [8]</t>
  </si>
  <si>
    <t>- Lũy kế trừ BHLĐ [9]</t>
  </si>
  <si>
    <t>- Lũy kế trừ khác [10]</t>
  </si>
  <si>
    <t>- Còn nợ kỳ trước chưa bao gồm BL [11]</t>
  </si>
  <si>
    <t>- Trừ vật tư kỳ này [17a]</t>
  </si>
  <si>
    <t>- Trừ BHLĐ kỳ này [17b]</t>
  </si>
  <si>
    <t>- Tạm giữ kỳ này [17c]</t>
  </si>
  <si>
    <t>Lũy kế thu hồi tạm ứng vật tư [14] = [….]</t>
  </si>
  <si>
    <t>- Trừ khác kỳ này [17d]</t>
  </si>
  <si>
    <t>Giá trị thanh toán kỳ này (chưa trừ) [16] = [4-15]</t>
  </si>
  <si>
    <t>Giá trị hoàn thành kỳ này theo HĐ [5A]</t>
  </si>
  <si>
    <t>Giá trị hoàn thành kỳ này theo PLHĐ [5B]</t>
  </si>
  <si>
    <t>Hà Nội, ngày …... tháng …... năm 2025</t>
  </si>
  <si>
    <t>HÀ NỘI - 2025</t>
  </si>
  <si>
    <t>Giá trị HĐ gốc [1.1]</t>
  </si>
  <si>
    <t>Giá trị PLHĐ số …. [1.2]</t>
  </si>
  <si>
    <t>Giá trị hợp đồng + PLHĐ   [1] = [1.1]+[1.2] + ….</t>
  </si>
  <si>
    <r>
      <t xml:space="preserve">Giá trị tạm ứng PLHĐ số </t>
    </r>
    <r>
      <rPr>
        <b/>
        <sz val="14"/>
        <color rgb="FFFF0000"/>
        <rFont val="Times New Roman"/>
        <family val="1"/>
      </rPr>
      <t>…..</t>
    </r>
    <r>
      <rPr>
        <b/>
        <sz val="14"/>
        <color theme="1"/>
        <rFont val="Times New Roman"/>
        <family val="1"/>
      </rPr>
      <t xml:space="preserve"> [2.2]</t>
    </r>
  </si>
  <si>
    <r>
      <t xml:space="preserve">Giá trị tạm ứng HĐ + PLHĐ [2] = [2.1] + [2.2] </t>
    </r>
    <r>
      <rPr>
        <b/>
        <sz val="14"/>
        <color rgb="FFFF0000"/>
        <rFont val="Times New Roman"/>
        <family val="1"/>
      </rPr>
      <t>+ ….</t>
    </r>
  </si>
  <si>
    <t>Giá trị tạm ứng HĐ [2.1]</t>
  </si>
  <si>
    <t>Lũy kế giá trị đã duyệt các kỳ trước [6] = [7]+[8]+[9]+[10]+[11]</t>
  </si>
  <si>
    <t>Giá trị trừ kỳ này [17]=[17a]+[17b]+[17c]+[17d]</t>
  </si>
  <si>
    <t>BÊN NHẬN THẦU</t>
  </si>
  <si>
    <t>CHỈ HUY TRƯỞNG</t>
  </si>
  <si>
    <t>BÊN GIAO THẦU</t>
  </si>
  <si>
    <t>BỘ PHẬN QS</t>
  </si>
  <si>
    <t>Tổng khối  
lượng thực hiện</t>
  </si>
  <si>
    <t>Tỷ lệ lên hồ sơ thanh toán</t>
  </si>
  <si>
    <t>Lũy kế đến nay</t>
  </si>
  <si>
    <t>Luỹ kế kỳ trước</t>
  </si>
  <si>
    <t>Luỹ kế đến nay</t>
  </si>
  <si>
    <t>BẢNG DIỄN GIẢI CHI TIẾT KHỐI LƯỢNG THẦU PHỤ THỰC HIỆN KỲ NÀY</t>
  </si>
  <si>
    <t>Giá trị thanh toán kỳ này [18]= [16] - [17]</t>
  </si>
  <si>
    <t xml:space="preserve">          [15] = [6]+[12]+[13]+[14]</t>
  </si>
  <si>
    <t>PHỤ TRÁCH BAN ĐIỀU HÀNH DỰ ÁN</t>
  </si>
  <si>
    <t>BẢNG TỔNG HỢP GIÁ TRỊ KHỐI LƯỢNG HOÀN THÀNH THEO HỢP ĐỒNG</t>
  </si>
  <si>
    <t>HĐ số 21/2025/CT01/SM-HL</t>
  </si>
  <si>
    <t>CÔNG TRÌNH: THI CÔNG KẾT CẤU, CHỐNG THẤM CẢNH QUAN NGOÀI NHÀ KHU VỰC CAO TẦNG</t>
  </si>
  <si>
    <t>II</t>
  </si>
  <si>
    <t>CÔNG TÁC BÊ TÔNG</t>
  </si>
  <si>
    <t>III</t>
  </si>
  <si>
    <t>CÔNG TÁC VÁN KHUÔN</t>
  </si>
  <si>
    <t>I</t>
  </si>
  <si>
    <t>CÔNG TÁC XÂY</t>
  </si>
  <si>
    <t>IV</t>
  </si>
  <si>
    <t>m3</t>
  </si>
  <si>
    <t>2.1</t>
  </si>
  <si>
    <t>kg</t>
  </si>
  <si>
    <t>V</t>
  </si>
  <si>
    <t>Công trình: Chung cư cao tầng kết hợp dịch vụ thương mại và nhà ở Thấp tầng Sunshine Crystal River</t>
  </si>
  <si>
    <t>Hạng mục: Thi công kết cấu, chống thấm cảnh quan ngoài nhà - Khu vực nhà cao tầng</t>
  </si>
  <si>
    <t>Cấu 
kiện</t>
  </si>
  <si>
    <t>Đ/K (mm)</t>
  </si>
  <si>
    <t>Chiều dài thanh nối</t>
  </si>
  <si>
    <t>Tổng chiều dài (m)</t>
  </si>
  <si>
    <t xml:space="preserve">Trọng lượng (kg/1m) </t>
  </si>
  <si>
    <t>m2</t>
  </si>
  <si>
    <t>Gói thầu:</t>
  </si>
  <si>
    <t>HẠNG MỤC: THI CÔNG KẾT CẤU CẢNH QUAN NGOÀI NHÀ KHU VỰC CAO TẦNG</t>
  </si>
  <si>
    <t>Xây tường gạch đặc, chiều dày &gt;330mm, VXM mác 75</t>
  </si>
  <si>
    <t>Xây tường gạch đặc, chiều dày &lt;=330mm, VXM mác 75</t>
  </si>
  <si>
    <t>Xây tường gạch đặc, chiều dày &lt;=110mm, VXM mác 75</t>
  </si>
  <si>
    <t>Xây cột, trụ, gạch đặc, VXM mác 75</t>
  </si>
  <si>
    <t>Ván khuôn giằng tường</t>
  </si>
  <si>
    <t>Cốt thép giằng tường</t>
  </si>
  <si>
    <t>Bê tông giằng tường mác 200#</t>
  </si>
  <si>
    <t>Khoan cấy cốt thép, đường kính thép D14</t>
  </si>
  <si>
    <t>Ván khuôn trụ tường</t>
  </si>
  <si>
    <t>Cốt thép trụ tường</t>
  </si>
  <si>
    <t>Bê tông trụ tường mác 200#</t>
  </si>
  <si>
    <t>Ván khuôn tấm đan, bậc cấp</t>
  </si>
  <si>
    <t>Cốt thép tấm đan, bậc cấp</t>
  </si>
  <si>
    <t>Bê tông tấm đan, bậc cấp mác 200#</t>
  </si>
  <si>
    <t>Lắp đặt tấm đan D430 khu vực Poolbar</t>
  </si>
  <si>
    <t>Chi phí cộng thêm đối với đầu việc ván khuôn bậc tam cấp - tại vị trí ván khuôn thí (ván khuôn chết không luân chuyển được)</t>
  </si>
  <si>
    <t>Bê tông sản xuất qua dây chuyền trạm trộn tại hiện trường hoặc thương phẩm, đổ bằng bơm bê tông, bê tông dầm mác M400#</t>
  </si>
  <si>
    <t>Bê tông sản xuất qua dây chuyền trạm trộn tại hiện trường hoặc thương phẩm, đổ bằng bơm bê tông, bê tông giếng gió mác M400#</t>
  </si>
  <si>
    <t>Bê tông sản xuất qua dây chuyền trạm trộn tại hiện trường hoặc thương phẩm, đổ bằng bơm bê tông, bê tông vách bể mác M400#</t>
  </si>
  <si>
    <t>Bê tông sản xuất qua dây chuyền trạm trộn tại hiện trường hoặc thương phẩm, đổ bằng bơm bê tông, bê tông sàn đáy bể mác M400#</t>
  </si>
  <si>
    <t>Bê tông rãnh thoát nước B200 mác M400#</t>
  </si>
  <si>
    <t>Ván khuôn dầm bể</t>
  </si>
  <si>
    <t>Ván khuôn giếng gió</t>
  </si>
  <si>
    <t>Ván khuôn vách bể</t>
  </si>
  <si>
    <t>Ván khuôn cong vách bể</t>
  </si>
  <si>
    <t>Ván khuôn sàn đáy bể</t>
  </si>
  <si>
    <t>Ván khuôn rãnh thoát nước B200</t>
  </si>
  <si>
    <t>Chi phí cộng thêm đối với đầu việc ván khuôn bậc sàn đáy bể tại vị trí ván khuôn thí (ván khuôn chết không luân chuyển được)</t>
  </si>
  <si>
    <t>CÔNG TÁC CỐT THÉP</t>
  </si>
  <si>
    <t>Cốt thép dầm bể</t>
  </si>
  <si>
    <t>Cốt thép giếng gió</t>
  </si>
  <si>
    <t>Cốt thép vách bể</t>
  </si>
  <si>
    <t>Cốt thép sàn đáy bể</t>
  </si>
  <si>
    <t>Cốt thép rãnh thoát nước</t>
  </si>
  <si>
    <t>Khoan cấy cốt thép, đường kính thép D12, Keo ramset, hilti hoặc tương đương</t>
  </si>
  <si>
    <t>Thép khoan cấy</t>
  </si>
  <si>
    <t>vị trí</t>
  </si>
  <si>
    <t>cái</t>
  </si>
  <si>
    <t>B</t>
  </si>
  <si>
    <t>*</t>
  </si>
  <si>
    <t>**</t>
  </si>
  <si>
    <t xml:space="preserve">HẠNG MỤC: TRÁT, LÁNG, CHỐNG THẤM CẢNH QUAN NGOÀI NHÀ </t>
  </si>
  <si>
    <t>HẠNG MỤC BỂ + ĐẢO + BỒN HOA QUANH BỂ</t>
  </si>
  <si>
    <t>Bể bơi</t>
  </si>
  <si>
    <t>Quét lớp chống thấm</t>
  </si>
  <si>
    <t>Vữa xi măng M75 dày 30-50mm, phần nền</t>
  </si>
  <si>
    <t xml:space="preserve">Vữa xi măng M75 dày 15mm, trát thành </t>
  </si>
  <si>
    <t>Đá Mosaic gốm màu xanh KT300x300x4mm</t>
  </si>
  <si>
    <t>Đá Moca crema limestone KT theo TK</t>
  </si>
  <si>
    <t>Vữa xi măng lót trước khi ốp đá</t>
  </si>
  <si>
    <t>Xây ghế ngôi trong bể bơi</t>
  </si>
  <si>
    <t>Mặt ghế ngồi</t>
  </si>
  <si>
    <t>Hoàn thiện mặt ghế ngồi</t>
  </si>
  <si>
    <t>Chữ lòng bể bơi theo thiết kế</t>
  </si>
  <si>
    <t>Rãnh thác tràn</t>
  </si>
  <si>
    <t>Quét chống thấm</t>
  </si>
  <si>
    <t>Vữa xi măng dày 15mm, đáy rãnh</t>
  </si>
  <si>
    <t>Vữa xi măng dày 15mm, thành rãnh</t>
  </si>
  <si>
    <t>Lát gạch Ceramic men trắng bề mặt bóng dày 10mm</t>
  </si>
  <si>
    <t>Sỏi tự nhiên 20-30mm dày 30mm</t>
  </si>
  <si>
    <t>Thanh nhựa đậy rãnh 180x25mm, nhựa nguyên sinh</t>
  </si>
  <si>
    <t>Nẹp V inox KT50x40mm</t>
  </si>
  <si>
    <t>Nẹp V miệng rãnh thoát tràn</t>
  </si>
  <si>
    <t>Poolbar</t>
  </si>
  <si>
    <t>Xây tường poolbar, &lt;=110mm</t>
  </si>
  <si>
    <t>Vữa xi măng mác 75 tạo dốc 1% độ dày theo thực tế</t>
  </si>
  <si>
    <t xml:space="preserve">Vữa xi măng mác 75 trát thành </t>
  </si>
  <si>
    <t>Đá Cubic Granite Bình Định vàng nhạt băm mặt KT100x100x30mm</t>
  </si>
  <si>
    <t>Đá Thanh Hóa xanh đen băm mặt KT200x200x30mm</t>
  </si>
  <si>
    <t>Đá Thanh Hóa xanh đen băm mặt KT300x300x30mm</t>
  </si>
  <si>
    <t>Vữa xi măng trước khi ốp đá</t>
  </si>
  <si>
    <t>Hệ khung thép hộp mạ kẽm nhúng nóng KT20x20x1,2mm</t>
  </si>
  <si>
    <t>Đá Moca crema limestone KT theo KT</t>
  </si>
  <si>
    <t>Biển hồ</t>
  </si>
  <si>
    <t>Bê tông bọt</t>
  </si>
  <si>
    <t>Lưới sợi thủy tinh</t>
  </si>
  <si>
    <t>Cát nén phủ bề mặt tạo hình độ dày mỏng tùy vị trí</t>
  </si>
  <si>
    <t>Bồn hoa + đảo quanh biển hồ</t>
  </si>
  <si>
    <t xml:space="preserve">Quét chống thấm </t>
  </si>
  <si>
    <t>Lớp vữa xi măng M75 đánh dốc 0,5% về phía phễu thu độ dày theo thực tế</t>
  </si>
  <si>
    <t>Lớp vữa xi măng M75 trát thành bồn hoa</t>
  </si>
  <si>
    <t>Lớp vỉ nhựa Plastic Cell chất liệu nhựa PP màu đen KT500x500x30mm</t>
  </si>
  <si>
    <t>Lớp vải địa ART15 hoặc tương đương</t>
  </si>
  <si>
    <t>Lớp sỏi 10x20mm trộn cát vàng tỷ lệ 1:1</t>
  </si>
  <si>
    <t>Đất màu trồng cây</t>
  </si>
  <si>
    <t>Khối đá trang trí lớn</t>
  </si>
  <si>
    <t>Khối đá trang trí cỡ vừa</t>
  </si>
  <si>
    <t>Khối đá trang trí cỡ nhỏ</t>
  </si>
  <si>
    <t>HẠNG MỤC NỀN CẢNH QUAN + BỒN HOA + GIẾNG GIÓ</t>
  </si>
  <si>
    <t>Phần nền</t>
  </si>
  <si>
    <t>Vị trí hoàn thiện Cát biển tự nhiên (F1)</t>
  </si>
  <si>
    <t>1.1</t>
  </si>
  <si>
    <t>Lớp vải địa ART 15 hoặc tương đương</t>
  </si>
  <si>
    <t>1.2</t>
  </si>
  <si>
    <t>Lớp vỉ nhựa Plastic Cell chất liệu nhựa PP màu đen, KT 500x500x30</t>
  </si>
  <si>
    <t>1.3</t>
  </si>
  <si>
    <t xml:space="preserve">Lớp vữa M75 dày min 15mm, dốc về phía phễu thu </t>
  </si>
  <si>
    <t>1.4</t>
  </si>
  <si>
    <t>Lát gỗ nhựa ngoài trời (F2)</t>
  </si>
  <si>
    <t>Hệ khung thép hộp 25x25x1,0mm</t>
  </si>
  <si>
    <t>2.2</t>
  </si>
  <si>
    <t>Vữa XM M75, tạo dốc 1% độ dày min 20mm</t>
  </si>
  <si>
    <t>2.3</t>
  </si>
  <si>
    <t>Đá thanh hóa xanh đen băm mặt dày 30mm, chẻ tay hình thức theo thiết kế (F3)</t>
  </si>
  <si>
    <t>3.1</t>
  </si>
  <si>
    <t>Sỏi tự nhiên đầm chặt chải phẳng dày 50mm</t>
  </si>
  <si>
    <t>3.2</t>
  </si>
  <si>
    <t>Đá thanh hóa (F3.1)</t>
  </si>
  <si>
    <t>4.1</t>
  </si>
  <si>
    <t>Vữa XM mác 75, tạo dốc 1% độ dày theo thực tế</t>
  </si>
  <si>
    <t>4.2</t>
  </si>
  <si>
    <t>Quét 2 lớp chống thấm gốc XM 2 thành phần Sika topseal 108 dày min&gt;=1.0mm ( hoặc tương đương)</t>
  </si>
  <si>
    <t>Đá thanh hóa xanh đen băm mặt (F3.2)</t>
  </si>
  <si>
    <t>5.1</t>
  </si>
  <si>
    <t>5.2</t>
  </si>
  <si>
    <t>Đá Cubic Granite Bình Định màu vàng nhạt, băm mặt (F6)</t>
  </si>
  <si>
    <t>6.1</t>
  </si>
  <si>
    <t>6.2</t>
  </si>
  <si>
    <t>Đá Kim Sa hạt nhỏ màu đen (F6.1)</t>
  </si>
  <si>
    <t>7.1</t>
  </si>
  <si>
    <t>7.2</t>
  </si>
  <si>
    <t>Quét 2 lớp chống thấm</t>
  </si>
  <si>
    <t>Ốp đá tổ ong xám (OB) bao gồm cả lớp vữa XM dính kết</t>
  </si>
  <si>
    <t>Bê tông mài Granito màu trắng (F7) bao gồm cả lớp vữa XM dính kết</t>
  </si>
  <si>
    <t>9.1</t>
  </si>
  <si>
    <t xml:space="preserve">Khung lưới thép </t>
  </si>
  <si>
    <t>9.2</t>
  </si>
  <si>
    <t>Vữa XM M75 tạo phẳng</t>
  </si>
  <si>
    <t>Đá sỏi cuội tự nhiên 20-30 (F8) bao gồm lớp vữa liên kết</t>
  </si>
  <si>
    <t>10.1</t>
  </si>
  <si>
    <t>Sơn sân bóng rổ</t>
  </si>
  <si>
    <t xml:space="preserve">Sơn 2 lớp sơn nhựa tạo êm </t>
  </si>
  <si>
    <t>Phủ 1 lớp chống thấm, co giãn</t>
  </si>
  <si>
    <t>1 lớp trám vá, làm phẳng bề mặt sân</t>
  </si>
  <si>
    <t xml:space="preserve">Lớp thảm nhựa nóng </t>
  </si>
  <si>
    <t>Viền ngoài sân bóng rổ</t>
  </si>
  <si>
    <t>Trụ bóng rổ</t>
  </si>
  <si>
    <t>Công tác bồn hoa</t>
  </si>
  <si>
    <t>Công tác thi công trát thành bồn hoa</t>
  </si>
  <si>
    <t>Lớp sỏi 10x20mm trộn cát vàng tỷ lệ  1:1 đáy bồn hoa</t>
  </si>
  <si>
    <t>Lớp vữa láng XM75</t>
  </si>
  <si>
    <t>Lớp vải địa ART 15 hoặc tương đương - Thành bồn hoa</t>
  </si>
  <si>
    <t>Lớp vữa trát XM75</t>
  </si>
  <si>
    <t>Tấm</t>
  </si>
  <si>
    <t>Bộ</t>
  </si>
  <si>
    <t>md</t>
  </si>
  <si>
    <t>Viên</t>
  </si>
  <si>
    <t>trụ</t>
  </si>
  <si>
    <t>Chưa bao gồm, không chào giá</t>
  </si>
  <si>
    <t>Chưa bao gồm, hoàn thiện sau</t>
  </si>
  <si>
    <t>Đã gồm trong xây kết cấu</t>
  </si>
  <si>
    <t>Tổng (kg)</t>
  </si>
  <si>
    <t xml:space="preserve">HỒ SƠ THANH TOÁN </t>
  </si>
  <si>
    <t>BÊN NHẬN THẦU: CÔNG TY CỔ PHẦN ĐẦU TƯ XÂY DỰNG HOÀNG LONG GROUP</t>
  </si>
  <si>
    <t xml:space="preserve"> </t>
  </si>
  <si>
    <t>DỰ ÁN: DỰ ÁN ĐẦU TƯ XÂY DỰNG NHÀ Ở CAO TẦNG KẾT HỢP THƯƠNG MẠI DỊCH VỤ VÀ NHÀ Ở THẤP TẦNG SUNSHINE CRYSTAL RIVER</t>
  </si>
  <si>
    <t>GÓI THẦU: THI CÔNG KẾT CẤU, CHỐNG THẤM CẢNH QUAN NGOÀI NHÀ KHU VỰC CAO TẦNG</t>
  </si>
  <si>
    <t>ĐỊA ĐIỂM: Ô ĐẤT CT01-CT VÀ CT01-TT (ĐƯỢC ĐIỀU CHỈNH TỪ Ô ĐẤT CT01) THUỘC KHU ĐÔ THỊ NAM THĂNG LONG, GIAI ĐOẠN III, PHƯỜNG PHÚ THƯỢNG, QUẬN TÂY HỒ, HÀ NỘI</t>
  </si>
  <si>
    <t>BÊN GIAO THẦU: CÔNG TY TNHH ĐẦU TƯ THƯƠNG MẠI SÔNG MÃ</t>
  </si>
  <si>
    <t>SỐ HỢP ĐỒNG : 21/2025/HĐTC/CT01/SM-HL NGÀY 10/02/2025</t>
  </si>
  <si>
    <t>CÔNG TY CỔ PHẦN ĐTXD HOÀNG LONG GROUP</t>
  </si>
  <si>
    <t>Độc Lập - Tự Do - Hạnh Phúc</t>
  </si>
  <si>
    <t>=====o0o =====</t>
  </si>
  <si>
    <t>(V/v: Đề nghị thanh toán)</t>
  </si>
  <si>
    <t>Hà Nội, ngày ....  tháng .… năm 2025</t>
  </si>
  <si>
    <t>Kính gửi:</t>
  </si>
  <si>
    <t>Giá trị hoàn thành</t>
  </si>
  <si>
    <t>Giá trị thanh toán</t>
  </si>
  <si>
    <t>Giá trị:</t>
  </si>
  <si>
    <t>Về tài khoản:</t>
  </si>
  <si>
    <t>+ Chủ tài khoản: Công ty Cổ phần Đầu tư Xây dựng Hoàng Long Group</t>
  </si>
  <si>
    <t>+ Người đại diện: Đầu Minh Lăng                       + Chức vụ: Tổng Giám đốc</t>
  </si>
  <si>
    <t>+ Số tài khoản: 00083589003</t>
  </si>
  <si>
    <t>+ Tại Ngân hàng: TMCP Tiên Phong - Chi nhánh Đống Đa</t>
  </si>
  <si>
    <t>Xin trân trọng cảm ơn./</t>
  </si>
  <si>
    <t>CÔNG TY CỔ PHẦN ĐẦU TƯ XÂY DỰNG</t>
  </si>
  <si>
    <t xml:space="preserve"> HOÀNG LONG GROUP</t>
  </si>
  <si>
    <t>Nơi nhận:</t>
  </si>
  <si>
    <t>- Như kính gửi</t>
  </si>
  <si>
    <t>- Lưu CT</t>
  </si>
  <si>
    <t>01.2025/CV-HL-SM/CT01</t>
  </si>
  <si>
    <t>CÔNG TY TNHH ĐẦU TƯ THƯƠNG MẠI SÔNG MÃ</t>
  </si>
  <si>
    <t>- Căn cứ vào hồ sơ thanh toán đợt 1</t>
  </si>
  <si>
    <r>
      <t xml:space="preserve">- Căn cứ Hợp đồng thi công số </t>
    </r>
    <r>
      <rPr>
        <sz val="13"/>
        <color rgb="FFC00000"/>
        <rFont val="Times New Roman"/>
        <family val="1"/>
      </rPr>
      <t>21/2025/HĐTC/CT01/SM-HL</t>
    </r>
    <r>
      <rPr>
        <sz val="13"/>
        <color theme="1"/>
        <rFont val="Times New Roman"/>
        <family val="1"/>
      </rPr>
      <t xml:space="preserve"> ngày </t>
    </r>
    <r>
      <rPr>
        <sz val="13"/>
        <color rgb="FFC00000"/>
        <rFont val="Times New Roman"/>
        <family val="1"/>
      </rPr>
      <t>10/02/2025</t>
    </r>
    <r>
      <rPr>
        <sz val="13"/>
        <color theme="1"/>
        <rFont val="Times New Roman"/>
        <family val="1"/>
      </rPr>
      <t xml:space="preserve"> giữa Công ty TNHH Đầu tư Thương mại Sông Mã và Công ty Cổ phần Đầu tư Xây dựng Hoàng Long Group về việc thực hiện Gói thầu: </t>
    </r>
    <r>
      <rPr>
        <sz val="13"/>
        <color rgb="FFC00000"/>
        <rFont val="Times New Roman"/>
        <family val="1"/>
      </rPr>
      <t>Thi công kết cấu, chống thấm cảnh quan ngoài nhà khu vực cao tầng</t>
    </r>
    <r>
      <rPr>
        <sz val="13"/>
        <color theme="1"/>
        <rFont val="Times New Roman"/>
        <family val="1"/>
      </rPr>
      <t xml:space="preserve"> thuộc Dự án đầu tư xây dựng nhà ở cao tầng kết hợp thương mại dịch vụ và nhà ở thấp tầng Sunshine Crystal River</t>
    </r>
  </si>
  <si>
    <t>Thầu phụ: Công ty Cổ phần Đầu tư Xây dựng Hoàng Long Group</t>
  </si>
  <si>
    <t>Chủ thẻ: Công ty Cổ phần Đầu tư Xây dựng Hoàng Long Group</t>
  </si>
  <si>
    <t>Số tài khoản: 00083589003</t>
  </si>
  <si>
    <t>Ngân hàng: TMCP Tiên Phong - Chi nhánh Đống Đa</t>
  </si>
  <si>
    <t>Ô đất CT01-CT và CT01-TT (được điều chỉnh từ ô đất CT01) thuộc Khu đô thị Nam Thăng Long, giai đoạn III, Phường Phú Thượng, Quận Tây Hồ, Hà Nội</t>
  </si>
  <si>
    <t>Dự án: Dự án đầu tư xây dựng nhà ở cao tầng kết hợp thương mại dịch vụ và nhà ở thấp tầng Sunshine Crystal River</t>
  </si>
  <si>
    <r>
      <t xml:space="preserve">Lũy kế bảo lưu </t>
    </r>
    <r>
      <rPr>
        <b/>
        <sz val="14"/>
        <color rgb="FFFF0000"/>
        <rFont val="Times New Roman"/>
        <family val="1"/>
      </rPr>
      <t>10</t>
    </r>
    <r>
      <rPr>
        <b/>
        <sz val="14"/>
        <color theme="1"/>
        <rFont val="Times New Roman"/>
        <family val="1"/>
      </rPr>
      <t>% đến nay [12] = [4]*10%</t>
    </r>
  </si>
  <si>
    <t>Lũy kế thu hồi tạm ứng đến nay [13] =[4]*[2]/{[1]*0.8}</t>
  </si>
  <si>
    <r>
      <t xml:space="preserve">Kính mong </t>
    </r>
    <r>
      <rPr>
        <sz val="13"/>
        <color rgb="FFC00000"/>
        <rFont val="Times New Roman"/>
        <family val="1"/>
        <charset val="163"/>
      </rPr>
      <t>Công ty TNHH Đầu tư Thương mại Sông Mã</t>
    </r>
    <r>
      <rPr>
        <sz val="13"/>
        <color theme="1"/>
        <rFont val="Times New Roman"/>
        <family val="1"/>
      </rPr>
      <t xml:space="preserve"> tạo điều kiện giúp đỡ.</t>
    </r>
  </si>
  <si>
    <r>
      <t xml:space="preserve">Nay Công ty Cổ phần Đầu tư xây dựng Hoàng Long Group đề nghị </t>
    </r>
    <r>
      <rPr>
        <sz val="13"/>
        <color rgb="FFC00000"/>
        <rFont val="Times New Roman"/>
        <family val="1"/>
        <charset val="163"/>
      </rPr>
      <t>Công ty TNHH Đầu tư Thương mại Sông Mã</t>
    </r>
    <r>
      <rPr>
        <sz val="13"/>
        <color theme="1"/>
        <rFont val="Times New Roman"/>
        <family val="1"/>
      </rPr>
      <t xml:space="preserve"> thanh toán số tiền là:</t>
    </r>
  </si>
  <si>
    <t xml:space="preserve">Bằng chữ: </t>
  </si>
  <si>
    <t>Dự án :</t>
  </si>
  <si>
    <t>Sunshine Crystal River</t>
  </si>
  <si>
    <t>Thi công kết cấu, chống thấm cảnh quan ngoài nhà khu vực cao tầng</t>
  </si>
  <si>
    <t>Công ty Cổ phần Đầu tư Xây dựng Hoàng Long Group</t>
  </si>
  <si>
    <t>BẢNG TỔNG HỢP GIÁ TRỊ ĐỀ NGHỊ THANH TOÁN THEO KÌ</t>
  </si>
  <si>
    <t>Hợp đồng số: 21/2025/CT01/SM-HL</t>
  </si>
  <si>
    <t>Khối 
lượng (kg)</t>
  </si>
  <si>
    <t>L=</t>
  </si>
  <si>
    <t>mm</t>
  </si>
  <si>
    <t>Số lượng thanh nối /thanh mỏ</t>
  </si>
  <si>
    <t>Chu vi/ Diện tích</t>
  </si>
  <si>
    <t xml:space="preserve">                                                                </t>
  </si>
  <si>
    <t>(10)</t>
  </si>
  <si>
    <t>(11=(9)x(10)</t>
  </si>
  <si>
    <t>(12)</t>
  </si>
  <si>
    <t>Hình dạng, kích thước</t>
  </si>
  <si>
    <t>Chủng loại</t>
  </si>
  <si>
    <t>Trọng lượng/md</t>
  </si>
  <si>
    <t>Tổng khối lượng (kg)</t>
  </si>
  <si>
    <t>Số cây</t>
  </si>
  <si>
    <t>Tổng</t>
  </si>
  <si>
    <t>Thép</t>
  </si>
  <si>
    <t>d</t>
  </si>
  <si>
    <t>dầm</t>
  </si>
  <si>
    <t>vách</t>
  </si>
  <si>
    <t>sàn</t>
  </si>
  <si>
    <t>đường dạo</t>
  </si>
  <si>
    <t>Số hiệu thép</t>
  </si>
  <si>
    <t>(11)</t>
  </si>
  <si>
    <t>(13)</t>
  </si>
  <si>
    <t>Số thanh/1 KC</t>
  </si>
  <si>
    <t>Số lượng cấu kiện</t>
  </si>
  <si>
    <t>Chiều dài/ 1 thanh (mm)</t>
  </si>
  <si>
    <t>khoan cắm</t>
  </si>
  <si>
    <t>(14)</t>
  </si>
  <si>
    <t xml:space="preserve">  </t>
  </si>
  <si>
    <t>Thực tế nhập</t>
  </si>
  <si>
    <t>Dự án: Dự án đầu tư xây dựng nhà ở cao tầng kết hợp thương mại dịch vụ và nhà ở thấp tầng SunShine Crystal River</t>
  </si>
  <si>
    <t>Địa điểm: Ô đất CT01-CT và CT01-TT(được điều chỉnh từ ô đất CT01) thuộc khu đô thị Nam Thăng Long, giai đoạn III, phường Phú Thượng, quận Tây Hồ, Hà Nội</t>
  </si>
  <si>
    <t>BẢNG TỔNG HỢP GIÁ TRỊ KHẤU TRỪ</t>
  </si>
  <si>
    <t>Từ ngày ….../….../ năm ……....  Đến ngày ….../….../ năm ……....</t>
  </si>
  <si>
    <t xml:space="preserve">Thanh toán lần: </t>
  </si>
  <si>
    <t>Giá trị tiền</t>
  </si>
  <si>
    <t>LK Kỳ trước</t>
  </si>
  <si>
    <t xml:space="preserve">LK đến nay </t>
  </si>
  <si>
    <t>VAT 8%</t>
  </si>
  <si>
    <t>Khấu trừ khác</t>
  </si>
  <si>
    <t>І</t>
  </si>
  <si>
    <t>Tiền điện</t>
  </si>
  <si>
    <t>tháng</t>
  </si>
  <si>
    <t>Tiền điện tháng 2/2025</t>
  </si>
  <si>
    <t>Tiền điện tháng 3/2025</t>
  </si>
  <si>
    <t>Tiền rác thải</t>
  </si>
  <si>
    <t>Khấu trừ bê tông</t>
  </si>
  <si>
    <t>Tạm giữ hao hụt thép</t>
  </si>
  <si>
    <t>Cốt thép tạm giữ hao hụt</t>
  </si>
  <si>
    <t>Tạm giữ hao hụt 3%</t>
  </si>
  <si>
    <t>Tổng cộng (Đã bao gồm VAT)</t>
  </si>
  <si>
    <t>Bên giao thầu: Công ty TNHH Đầu tư Thương mại Sông Mã</t>
  </si>
  <si>
    <t>Bên nhận thầu: Công ty Cổ phần Đầu tư Xây dựng Hoàng Long Group</t>
  </si>
  <si>
    <t>Tiền điện tháng 4/2025</t>
  </si>
  <si>
    <t>1</t>
  </si>
  <si>
    <t xml:space="preserve">Mác 450 - Lỗ mở số 03 </t>
  </si>
  <si>
    <t>Phụ gia R7-Dầm giằng thang thoát hiểm</t>
  </si>
  <si>
    <t xml:space="preserve">Việt Đức hầm đợt 27 </t>
  </si>
  <si>
    <t xml:space="preserve">Việt Đức thấp tầng đợt 24 </t>
  </si>
  <si>
    <t>Tiền rác tháng 3/2025</t>
  </si>
  <si>
    <t>Dọn vệ sinh- biên bản làm việc ngày 25/04/2025</t>
  </si>
  <si>
    <t>công</t>
  </si>
  <si>
    <t>+ Vách V7</t>
  </si>
  <si>
    <t>BV SHOP-HOBOI-02</t>
  </si>
  <si>
    <t>+ Vách V1</t>
  </si>
  <si>
    <t>+ Vách V2</t>
  </si>
  <si>
    <t>+ Vách V4</t>
  </si>
  <si>
    <t>+ Vách V6</t>
  </si>
  <si>
    <t>- Vách ngoài bể bơi trục B18-B27</t>
  </si>
  <si>
    <t>+ Vách BY1</t>
  </si>
  <si>
    <t>+ Vách BY2</t>
  </si>
  <si>
    <t>+ Vách BY3</t>
  </si>
  <si>
    <t>+ Vách BY4</t>
  </si>
  <si>
    <t>+ Vách BY5</t>
  </si>
  <si>
    <t>+ Vách BY6</t>
  </si>
  <si>
    <t>- Vách trong bể bơi trục B18-B27</t>
  </si>
  <si>
    <t>- Sàn cos -0,350</t>
  </si>
  <si>
    <t>- Sàn cos -0,290</t>
  </si>
  <si>
    <t>- Sàn cos -0,450</t>
  </si>
  <si>
    <t>- Sàn cos -0,61</t>
  </si>
  <si>
    <t>- Sàn cos +0,01</t>
  </si>
  <si>
    <t>- Sàn cos -0,600</t>
  </si>
  <si>
    <t>Dầm bể bơi trục B18-B27</t>
  </si>
  <si>
    <t>Vách bể bơi trục B18-B27</t>
  </si>
  <si>
    <t>Từ giao đầu dầm 30x25</t>
  </si>
  <si>
    <t>vách ngoài tính đủ</t>
  </si>
  <si>
    <t>Sàn đáy hồ bơi trục B18-B27</t>
  </si>
  <si>
    <t>- Trừ vách trong lòng bể</t>
  </si>
  <si>
    <t>- Trừ dầm trong lòng bể</t>
  </si>
  <si>
    <t>Trừ lỗ thoát sàn bể bơi</t>
  </si>
  <si>
    <t>Vách bồn cây trục BF</t>
  </si>
  <si>
    <t>Dầm dãy bồn cây trục BF</t>
  </si>
  <si>
    <t>- Giằng TX1</t>
  </si>
  <si>
    <t>+ VC8</t>
  </si>
  <si>
    <t>+ VC-3.8</t>
  </si>
  <si>
    <t>+ VC-3.9</t>
  </si>
  <si>
    <t>Trục 12</t>
  </si>
  <si>
    <t>Trục 13</t>
  </si>
  <si>
    <t>+ VC-3.10</t>
  </si>
  <si>
    <t>+ VC-3.11</t>
  </si>
  <si>
    <t>+ VC-3.12</t>
  </si>
  <si>
    <t>+ VC-3.13</t>
  </si>
  <si>
    <t>Trục 13-14</t>
  </si>
  <si>
    <t>Trục 14</t>
  </si>
  <si>
    <t>Trục 14-15</t>
  </si>
  <si>
    <t>+ VC-3.14</t>
  </si>
  <si>
    <t>+ VC-3.15</t>
  </si>
  <si>
    <t>+ VC-3.16</t>
  </si>
  <si>
    <t>Trục 15</t>
  </si>
  <si>
    <t>Trục 12-13</t>
  </si>
  <si>
    <t>- Vách ngoài bồn cây</t>
  </si>
  <si>
    <t>- Vách bồn cây trục 12-16</t>
  </si>
  <si>
    <t>+ Giằng TX-3.1</t>
  </si>
  <si>
    <t>+ Giằng TX-3.2</t>
  </si>
  <si>
    <t>+ Giằng TX-3.3</t>
  </si>
  <si>
    <t>+ Giằng TX-3.4</t>
  </si>
  <si>
    <t>+ Giằng TX-3.5</t>
  </si>
  <si>
    <t>+ Giằng TX-3.6</t>
  </si>
  <si>
    <t>+ Giằng TX-3.7</t>
  </si>
  <si>
    <t>+ Giằng TX-3.8</t>
  </si>
  <si>
    <t>+ Giằng TX-3.9</t>
  </si>
  <si>
    <t>+ Giằng TX-3.10</t>
  </si>
  <si>
    <t>- Vách bể phòng kỹ thuật số 06</t>
  </si>
  <si>
    <t>+ Vách bể</t>
  </si>
  <si>
    <t>+ BC1</t>
  </si>
  <si>
    <t>+ BC2</t>
  </si>
  <si>
    <t>+ BC1.1</t>
  </si>
  <si>
    <t>+ BC1.2</t>
  </si>
  <si>
    <t>+ BC1.3</t>
  </si>
  <si>
    <t>+ BC1.4</t>
  </si>
  <si>
    <t>+ BC1.5</t>
  </si>
  <si>
    <t>+ BY1</t>
  </si>
  <si>
    <t>- Vách bồn cây trục 21-24</t>
  </si>
  <si>
    <t>+ VC-3.7A</t>
  </si>
  <si>
    <t>+ VC-3.7B</t>
  </si>
  <si>
    <t>+ VC-3.1</t>
  </si>
  <si>
    <t>+ VC-3.2</t>
  </si>
  <si>
    <t>+ VC-3.3</t>
  </si>
  <si>
    <t>+ VC-3.4</t>
  </si>
  <si>
    <t>+ VC-3.5</t>
  </si>
  <si>
    <t>+ VC-3.6</t>
  </si>
  <si>
    <t>+ VC-3.7</t>
  </si>
  <si>
    <t>+ VC-3.7C</t>
  </si>
  <si>
    <t>+ VC-3.7D</t>
  </si>
  <si>
    <t>- Vách bể phòng kỹ thuật số 05</t>
  </si>
  <si>
    <t>- Giếng gió GG-11</t>
  </si>
  <si>
    <t>- Giếng gió GG-12</t>
  </si>
  <si>
    <t>- Giếng gió GG-10</t>
  </si>
  <si>
    <t>- Vách bồn cây trục 30-33</t>
  </si>
  <si>
    <t>+ VC-1.8</t>
  </si>
  <si>
    <t>+ VC-1.7</t>
  </si>
  <si>
    <t>+ VC-1.6</t>
  </si>
  <si>
    <t>+ VC-1.5</t>
  </si>
  <si>
    <t>+ VC-1.4</t>
  </si>
  <si>
    <t>+ VC-1.3</t>
  </si>
  <si>
    <t>+ VC-1.2</t>
  </si>
  <si>
    <t>+ VC-1.1</t>
  </si>
  <si>
    <t>+ Giằng TX-1.1</t>
  </si>
  <si>
    <t>Sàn nâng cos bồn cây trục BF</t>
  </si>
  <si>
    <t>- Sàn cos -0,65 trục B6-B11</t>
  </si>
  <si>
    <t>- Sàn cos -0,65 trục B16-B21</t>
  </si>
  <si>
    <t>- Sàn cos -0,65 trục B24-B30</t>
  </si>
  <si>
    <t>- Sàn cos -0,65 trục B34-B38</t>
  </si>
  <si>
    <t>- Sàn cos -0,65 trục B12-B16</t>
  </si>
  <si>
    <t>- Sàn cos -1,3 trục B6-B11</t>
  </si>
  <si>
    <t>- Sàn cos -1,3 trục B12-B16</t>
  </si>
  <si>
    <t>- Sàn cos -1,3 trục B16-B21</t>
  </si>
  <si>
    <t>Giằng chân tường xây trục B37-B38</t>
  </si>
  <si>
    <t>Tường xây TX-1</t>
  </si>
  <si>
    <t>Số mối nối</t>
  </si>
  <si>
    <t>Chiều dài mối nối (mm)</t>
  </si>
  <si>
    <t>Chiều dài 1 thanh (mm)</t>
  </si>
  <si>
    <t>Giằng chân tường xây trục B36-B37</t>
  </si>
  <si>
    <t>Giằng chân tường xây trục B35-B36</t>
  </si>
  <si>
    <t>Giằng chân tường xây trục B32-B33</t>
  </si>
  <si>
    <t>Giằng chân tường xây trục B31-B32</t>
  </si>
  <si>
    <t>thiếu 1 giằng chân tam cấp</t>
  </si>
  <si>
    <t>Giằng chân tường xây trục B30-B31</t>
  </si>
  <si>
    <t>Giằng chân tường xây trục B29-B30</t>
  </si>
  <si>
    <t>Giằng chân tường xây trục B28-B29</t>
  </si>
  <si>
    <t>Tường xây TX-2</t>
  </si>
  <si>
    <t>Giằng chân tường xây trục B27-B28</t>
  </si>
  <si>
    <t>Giằng chân tường xây trục B26-B27</t>
  </si>
  <si>
    <t>Giằng chân tường xây trục B25-B26</t>
  </si>
  <si>
    <t>Giằng chân tường xây trục B23-B25</t>
  </si>
  <si>
    <t>Giằng chân tường xây trục B20-B22</t>
  </si>
  <si>
    <t>Giằng chân tường xây trục B19-B20</t>
  </si>
  <si>
    <t>Giằng chân tường xây trục B18-B19</t>
  </si>
  <si>
    <t>Giằng chân tường xây trục B17-B18</t>
  </si>
  <si>
    <t>Giằng chân tường xây trục B16-B17</t>
  </si>
  <si>
    <t>Giằng chân tường xây trục B10-B12</t>
  </si>
  <si>
    <t>Giằng chân tường xây trục B9-B10</t>
  </si>
  <si>
    <t>Giằng chân tường xây trục B8-B9</t>
  </si>
  <si>
    <t>Giằng chân tường xây trục B7-B8</t>
  </si>
  <si>
    <t>Giằng chân tường xây trục B11-B16</t>
  </si>
  <si>
    <t>Tường xây TX-3.1</t>
  </si>
  <si>
    <t>Tường xây TX-3.2</t>
  </si>
  <si>
    <t>Tường xây TX-3.3</t>
  </si>
  <si>
    <t>Tường xây TX-3.4</t>
  </si>
  <si>
    <t>Tường xây TX-3.5</t>
  </si>
  <si>
    <t>Tường xây TX-3.6</t>
  </si>
  <si>
    <t>Tường xây TX-3.7</t>
  </si>
  <si>
    <t>Tường xây TX-3.8</t>
  </si>
  <si>
    <t>Tường xây TX-3.9</t>
  </si>
  <si>
    <t>Tường xây TX-3.10</t>
  </si>
  <si>
    <t>Giằng chân tường xây trục B21-B24</t>
  </si>
  <si>
    <t>Thép Vách VC8 (Trục B23-2750/B23+4695)</t>
  </si>
  <si>
    <t>Thép Vách VC8 (Trục B24-B31)</t>
  </si>
  <si>
    <t>Thép Vách VC8- (Trục B14-B21)</t>
  </si>
  <si>
    <t>Thép Vách VC8- (Trục B6-B13)</t>
  </si>
  <si>
    <t>Thép Vách VC3.8</t>
  </si>
  <si>
    <t>Vách trục B11-B16</t>
  </si>
  <si>
    <t>Thép Vách VC3.9</t>
  </si>
  <si>
    <t>Thép Vách VC3.10</t>
  </si>
  <si>
    <t>Thép Vách VC3.11</t>
  </si>
  <si>
    <t>Thép Vách VC3.13</t>
  </si>
  <si>
    <t>Thép Vách VC3.12</t>
  </si>
  <si>
    <t>Thép Vách VC3.14</t>
  </si>
  <si>
    <t>Thép Vách VC3.15</t>
  </si>
  <si>
    <t>Thép Vách VC3.16</t>
  </si>
  <si>
    <t>Vách trục B21-B24</t>
  </si>
  <si>
    <t>Thép Vách VC3.6</t>
  </si>
  <si>
    <t>Thép Vách VC3.7</t>
  </si>
  <si>
    <t>Thép Vách VC3.7A</t>
  </si>
  <si>
    <t>Thép Vách VC3.7B</t>
  </si>
  <si>
    <t>Thép Vách VC3.7C</t>
  </si>
  <si>
    <t>Thép Vách VC3.7D</t>
  </si>
  <si>
    <t>Thép Vách VC3.1</t>
  </si>
  <si>
    <t>Thép Vách VC3.2</t>
  </si>
  <si>
    <t>Thép Vách VC3.3</t>
  </si>
  <si>
    <t>Thép Vách VC3.4</t>
  </si>
  <si>
    <t>Thép Vách VC3.5</t>
  </si>
  <si>
    <t>Vách trục bể PKT 05 trục  B21-B24</t>
  </si>
  <si>
    <t>Thép PKT</t>
  </si>
  <si>
    <t>Vách trục bể PKT 06 trục  B12-B16</t>
  </si>
  <si>
    <t>Vách trục B30-B34</t>
  </si>
  <si>
    <t>Thép Vách VC-1.1,1.8</t>
  </si>
  <si>
    <t>Thép Vách VC-1.2</t>
  </si>
  <si>
    <t>Thép Vách VC-1.3</t>
  </si>
  <si>
    <t>Thép Vách VC-1.4</t>
  </si>
  <si>
    <t>Thép Vách VC-1.5</t>
  </si>
  <si>
    <t>Thép Vách VC-1.6</t>
  </si>
  <si>
    <t>Thép Vách VC-1.7</t>
  </si>
  <si>
    <t>Thép khoan cắm vách D10 (kg)</t>
  </si>
  <si>
    <t>Giằng chân tường xây trục B30-B34</t>
  </si>
  <si>
    <t>- Sàn cos -1,3 trục B24-B30</t>
  </si>
  <si>
    <t>- Sàn cos -1,3 trục B34-B38</t>
  </si>
  <si>
    <t>- Sàn cos -0,65 trục B21-B24</t>
  </si>
  <si>
    <t>- Sàn cos -1,3 trục B21-B24</t>
  </si>
  <si>
    <t>- Sàn cos -0,65 trục B30-B33</t>
  </si>
  <si>
    <t>- Sàn cos -1,3 trục B30,-B33</t>
  </si>
  <si>
    <t>- Đáy bể</t>
  </si>
  <si>
    <t>- Thành bể</t>
  </si>
  <si>
    <t>- Nắp bể</t>
  </si>
  <si>
    <t>- trừ nắp thăm</t>
  </si>
  <si>
    <t>- Dầm nắp thăm</t>
  </si>
  <si>
    <t>- Sàn nâng cos +0,07</t>
  </si>
  <si>
    <t>vách trong 0,5 vách ngoài 0,53</t>
  </si>
  <si>
    <t>vách trong 1,33 vách ngoài 1,45</t>
  </si>
  <si>
    <t>- trừ giằng tường xây chiếm chỗ</t>
  </si>
  <si>
    <t>Bể PKT 05</t>
  </si>
  <si>
    <t>Bể PKT 06</t>
  </si>
  <si>
    <t>Ván khuôn sàn</t>
  </si>
  <si>
    <t>- trừ phần bể nước</t>
  </si>
  <si>
    <t>Thép Sàn cos -0,65 lớp dưới phương X
Phân đoạn 1 ( Trục B6-B11)</t>
  </si>
  <si>
    <t>Thép Sàn cos -0,65 lớp dưới phương X
Phân đoạn 1 ( Trục B16-B21)</t>
  </si>
  <si>
    <t>29a</t>
  </si>
  <si>
    <t>26a</t>
  </si>
  <si>
    <t>25a</t>
  </si>
  <si>
    <t>24a</t>
  </si>
  <si>
    <t>23a</t>
  </si>
  <si>
    <t>21a</t>
  </si>
  <si>
    <t>20a</t>
  </si>
  <si>
    <t>19a</t>
  </si>
  <si>
    <t>18a</t>
  </si>
  <si>
    <t>17a</t>
  </si>
  <si>
    <t>16a</t>
  </si>
  <si>
    <t>Thép Sàn cos -0,65 lớp dưới phương X
Phân đoạn 1 ( Trục B34-B38)</t>
  </si>
  <si>
    <t>7a</t>
  </si>
  <si>
    <t>6a</t>
  </si>
  <si>
    <t>5a</t>
  </si>
  <si>
    <t>4a</t>
  </si>
  <si>
    <t>3a</t>
  </si>
  <si>
    <t>2a</t>
  </si>
  <si>
    <t>1a</t>
  </si>
  <si>
    <t>Thép Sàn cos -0,65 lớp dưới phương X
Phân đoạn 1 ( Trục B24-B30)</t>
  </si>
  <si>
    <t>Thép Sàn cos -0,65 lớp dưới phương Y
Phân đoạn 1 ( Trục B6-B11)</t>
  </si>
  <si>
    <t>Thép Sàn cos -0,65 lớp dưới phương Y
Phân đoạn 1 ( Trục B16-B21)</t>
  </si>
  <si>
    <t>27a</t>
  </si>
  <si>
    <t>Thép Sàn cos -0,65 lớp dưới phương Y
Phân đoạn 1 ( Trục B24-B30)</t>
  </si>
  <si>
    <t>22a</t>
  </si>
  <si>
    <t>Thép Sàn cos -0,65 lớp dưới phương Y
Phân đoạn 1 ( Trục B34-B38)</t>
  </si>
  <si>
    <t>Thép Sàn cos -1,18 lớp dưới phương X
Phân đoạn 1 ( Trục B6-B11)</t>
  </si>
  <si>
    <t>Thép Sàn cos -1,18 lớp dưới phương X
Phân đoạn 1 ( Trục B24-B30)</t>
  </si>
  <si>
    <t>Thép Sàn cos -1,18 lớp dưới phương X
Phân đoạn 1 ( Trục B34-B38)</t>
  </si>
  <si>
    <t>Thép Sàn cos -1,18 lớp dưới phương Y
Phân đoạn 1 ( Trục B6-B11)</t>
  </si>
  <si>
    <t>Thép Sàn cos -1,18 lớp dưới phương X
Phân đoạn 1 ( Trục B16-B21)</t>
  </si>
  <si>
    <t>Thép Sàn cos -1,18 lớp dưới phương Y
Phân đoạn 1 ( Trục B16-B21)</t>
  </si>
  <si>
    <t>Thép Sàn cos -1,18 lớp dưới phương Y
Phân đoạn 1 ( Trục B24-B30)</t>
  </si>
  <si>
    <t>Thép Sàn cos -1,18 lớp dưới phương Y
Phân đoạn 1 ( Trục B30-B38)</t>
  </si>
  <si>
    <t>I SÀN COS -0,65</t>
  </si>
  <si>
    <t>I.1 THÉP SÀN LỚP DƯỚI</t>
  </si>
  <si>
    <t>I.2 THÉP SÀN LỚP TRÊN</t>
  </si>
  <si>
    <t>II SÀN COS -1,18</t>
  </si>
  <si>
    <t>II.1 THÉP SÀN LỚP DƯỚI</t>
  </si>
  <si>
    <t>Thép vách bồn cây (kg)</t>
  </si>
  <si>
    <t>Thép cổ PKT</t>
  </si>
  <si>
    <t>Thép đáy</t>
  </si>
  <si>
    <t>Thép nắp lớp dưới</t>
  </si>
  <si>
    <t>Thép nắp lớp trên</t>
  </si>
  <si>
    <t>III.1 THÉP SÀN PKT 06</t>
  </si>
  <si>
    <t>III.1 THÉP SÀN PKT 05</t>
  </si>
  <si>
    <t>III SÀN PKT</t>
  </si>
  <si>
    <t>III SÀN NÂNG COS +0,07</t>
  </si>
  <si>
    <t>Thép sàn cos +0,07</t>
  </si>
  <si>
    <t>Tổng thép sàn bồn cây(kg)</t>
  </si>
  <si>
    <t>Thép khoan cắm dầm bồn cây D10 (kg)</t>
  </si>
  <si>
    <t>Thép dầm bồn cây (kg)</t>
  </si>
  <si>
    <t>Thép Vách GG10</t>
  </si>
  <si>
    <t>Thép Vách GG11</t>
  </si>
  <si>
    <t>Thép Vách GG12</t>
  </si>
  <si>
    <t>Cốt thép dầm bồn cây</t>
  </si>
  <si>
    <t>Cốt thép dầm bể bơi</t>
  </si>
  <si>
    <t>Cốt thép vách bồn cây</t>
  </si>
  <si>
    <t>Cốt thép váchbể bơi</t>
  </si>
  <si>
    <t>Cốt thép sàn bồn cây</t>
  </si>
  <si>
    <t>Cốt thép sàn bể bơi</t>
  </si>
  <si>
    <t>Khoan cấy dầm bồn cây</t>
  </si>
  <si>
    <t>Khoan cấy vách bồn cây</t>
  </si>
  <si>
    <t>Khoan cấy vách giếng gió</t>
  </si>
  <si>
    <t>Khoan cấy vách bể bơi</t>
  </si>
  <si>
    <t>DẦM B1.1 30X29</t>
  </si>
  <si>
    <t>DẦM B1.2 30X29</t>
  </si>
  <si>
    <t>DẦM BC1.1 30X45</t>
  </si>
  <si>
    <t>DẦM BC1.2 30X61</t>
  </si>
  <si>
    <t>DẦM B1.3 30X29</t>
  </si>
  <si>
    <t>DẦM B1.4 30X29</t>
  </si>
  <si>
    <t>DẦM B1.5 30X29</t>
  </si>
  <si>
    <t>DẦM BY7 30X61</t>
  </si>
  <si>
    <t>DẦM BY1 30X131</t>
  </si>
  <si>
    <t>DẦM BY2 30X131</t>
  </si>
  <si>
    <t>DẦM BY4 30X131</t>
  </si>
  <si>
    <t>DẦM BY5 30X131</t>
  </si>
  <si>
    <t>DẦM BY3 30X185</t>
  </si>
  <si>
    <t>DẦM BY6 30X185</t>
  </si>
  <si>
    <t>KC</t>
  </si>
  <si>
    <t xml:space="preserve">Thép Vách V7 </t>
  </si>
  <si>
    <t xml:space="preserve">Thép Vách V1 </t>
  </si>
  <si>
    <t>Thép Vách V6</t>
  </si>
  <si>
    <t>Thép Vách V2</t>
  </si>
  <si>
    <t>Thép Vách V4</t>
  </si>
  <si>
    <t>Thép dầm bể bơi (kg)</t>
  </si>
  <si>
    <t>Khoan cấy dầm bể bơi</t>
  </si>
  <si>
    <t>Thép vách bể bơi (kg)</t>
  </si>
  <si>
    <t>I SÀN COS -0,35</t>
  </si>
  <si>
    <t xml:space="preserve">Thép Sàn cos -0,35 lớp dưới phương X
</t>
  </si>
  <si>
    <t>Thép Sàn cos -0,35 lớp dưới phương Y</t>
  </si>
  <si>
    <t xml:space="preserve">Thép Sàn cos -0,35 lớp trên phương X
</t>
  </si>
  <si>
    <t>Thép Sàn cos -0,35 lớp trên phương Y</t>
  </si>
  <si>
    <t>I SÀN COS -0,45</t>
  </si>
  <si>
    <t xml:space="preserve">Thép Sàn cos -0,45 lớp dưới phương X
</t>
  </si>
  <si>
    <t>Thép Sàn cos -0,45 lớp dưới phương Y</t>
  </si>
  <si>
    <t xml:space="preserve">Thép Sàn cos -0,45 lớp trên phương X
</t>
  </si>
  <si>
    <t>Thép Sàn cos -0,45 lớp trên phương Y</t>
  </si>
  <si>
    <t>I SÀN COS -0,61</t>
  </si>
  <si>
    <t xml:space="preserve">Thép Sàn cos -0,61 lớp dưới phương X
</t>
  </si>
  <si>
    <t>Thép Sàn cos -0,61 lớp dưới phương Y</t>
  </si>
  <si>
    <t xml:space="preserve">Thép Sàn cos -0,61 lớp trên phương X
</t>
  </si>
  <si>
    <t>Thép Sàn cos -0,61 lớp trên phương Y</t>
  </si>
  <si>
    <t>I SÀN COS +0.01</t>
  </si>
  <si>
    <t xml:space="preserve">Thép Sàn cos -0,01 lớp dưới phương X
</t>
  </si>
  <si>
    <t>Thép Sàn cos -0,01 lớp dưới phương Y</t>
  </si>
  <si>
    <t xml:space="preserve">Thép Sàn cos -0,01 lớp trên phương X
</t>
  </si>
  <si>
    <t>Thép Sàn cos -0,01 lớp trên phương Y</t>
  </si>
  <si>
    <t>8.2</t>
  </si>
  <si>
    <t>THÉP TĂNG CƯỜNG DẦM</t>
  </si>
  <si>
    <t>8.3</t>
  </si>
  <si>
    <t>8.1</t>
  </si>
  <si>
    <t>10.2</t>
  </si>
  <si>
    <t>10.3</t>
  </si>
  <si>
    <t>10.4</t>
  </si>
  <si>
    <t>9.3</t>
  </si>
  <si>
    <t>9.4</t>
  </si>
  <si>
    <t>Thép khoan cắm dầm bể bơi D12 (vị trí)</t>
  </si>
  <si>
    <t>Thép khoan cắm vách D12 (vị trí)</t>
  </si>
  <si>
    <t>Thép Sàn cos -0,01 lớp dưới phương X</t>
  </si>
  <si>
    <t>Thép Sàn cos -0,01 lớp trên phương X</t>
  </si>
  <si>
    <t>I SÀN COS +0,01</t>
  </si>
  <si>
    <t>I SÀN COS -0,60</t>
  </si>
  <si>
    <t>Thép Sàn cos -0,60 lớp dưới phương X</t>
  </si>
  <si>
    <t>Thép Sàn cos -0,60 lớp dưới phương Y</t>
  </si>
  <si>
    <t>Thép Sàn cos -0,60 lớp trên phương Y</t>
  </si>
  <si>
    <t>8a</t>
  </si>
  <si>
    <t>9a</t>
  </si>
  <si>
    <t>10a</t>
  </si>
  <si>
    <t>11a</t>
  </si>
  <si>
    <t>12a</t>
  </si>
  <si>
    <t>13a</t>
  </si>
  <si>
    <t>14a</t>
  </si>
  <si>
    <t>15a</t>
  </si>
  <si>
    <t>28a</t>
  </si>
  <si>
    <t>Thép Sàn cos -0,65 lớp dưới
Phân đoạn 1 ( Trục B12-B16)</t>
  </si>
  <si>
    <t>Thép Sàn cos -0,65 lớp dưới
Phân đoạn 1 ( Trục B21-B24)</t>
  </si>
  <si>
    <t>Khu vực thay đổi thiết kế sàn cos -0,65</t>
  </si>
  <si>
    <t>Khu vực thay đổi thiết kế sàn cos -1,18</t>
  </si>
  <si>
    <t>Thép Sàn cos -1,18 
Phân đoạn 1 ( Trục B12-B16)</t>
  </si>
  <si>
    <t>Thép Sàn cos -1,18 
Phân đoạn 1 ( Trục B21-B24)</t>
  </si>
  <si>
    <t>Thép Sàn cos -1,18 
Phân đoạn 1 ( Trục B30-B34)</t>
  </si>
  <si>
    <t>Thép Vách VCX-2</t>
  </si>
  <si>
    <t>Khu vực ngoài trục BB</t>
  </si>
  <si>
    <t>DẦM B 22X20</t>
  </si>
  <si>
    <t>- Ngoài trục BB</t>
  </si>
  <si>
    <t>+ Giằng B 22x20</t>
  </si>
  <si>
    <t>+ VCX-02</t>
  </si>
  <si>
    <t xml:space="preserve">- Sàn cos -0,600 ngoài trục BB </t>
  </si>
  <si>
    <t>I SÀN COS -0,60 NGOÀI TRỤC BB</t>
  </si>
  <si>
    <t xml:space="preserve">- Sàn cos -0,500 ngoài trục BB </t>
  </si>
  <si>
    <t>BẢNG KHỐI LƯỢNG CỐT THÉP DẦM BỂ BƠI</t>
  </si>
  <si>
    <t>BẢNG KHỐI LƯỢNG CỐT THÉP SÀN BỒN CÂY</t>
  </si>
  <si>
    <t>BẢNG KHỐI LƯỢNG CỐT THÉP VÁCH BỒN CÂY</t>
  </si>
  <si>
    <t>BẢNG KHỐI LƯỢNG CỐT THÉP VÁCH GIẾNG GIÓ</t>
  </si>
  <si>
    <t>BẢNG KHỐI LƯỢNG CỐT THÉP DẦM BỒN CÂY</t>
  </si>
  <si>
    <t>BẢNG KHỐI LƯỢNG CỐT THÉP VÁCH BỂ BƠI</t>
  </si>
  <si>
    <t>BẢNG KHỐI LƯỢNG CỐT THÉP SÀN BỂ BƠI</t>
  </si>
  <si>
    <t>ĐỢT 02</t>
  </si>
  <si>
    <t>02</t>
  </si>
  <si>
    <t>Thép Sàn cos -0,65 lớp dưới
Phân đoạn 1 ( Trục B30-B34)</t>
  </si>
  <si>
    <t>Giằng chân tường xây trục B34-B35</t>
  </si>
  <si>
    <t>Giằng chân tường xây trục B33-B34</t>
  </si>
  <si>
    <t>bổ sung mặt cắt shop</t>
  </si>
  <si>
    <t>sửa số lượng thanh thép vách từ 39 lên 57</t>
  </si>
  <si>
    <t>Thép Vách VC8 (Trục B32-B37+5975)</t>
  </si>
  <si>
    <t>tính vào VC3.7</t>
  </si>
  <si>
    <t>Thép Vách VC8- (Trục B21-B22)</t>
  </si>
  <si>
    <t>L=11400</t>
  </si>
  <si>
    <t>sửa shop</t>
  </si>
  <si>
    <t>L=12000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</si>
</sst>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2">
    <numFmt numFmtId="41" formatCode="_(* #,##0_);_(* \(#,##0\);_(* &quot;-&quot;_);_(@_)"/>
    <numFmt numFmtId="43" formatCode="_(* #,##0.00_);_(* \(#,##0.00\);_(* &quot;-&quot;??_);_(@_)"/>
    <numFmt numFmtId="164" formatCode="#,##0\ &quot;₫&quot;;\-#,##0\ &quot;₫&quot;"/>
    <numFmt numFmtId="165" formatCode="#,##0\ &quot;₫&quot;;[Red]\-#,##0\ &quot;₫&quot;"/>
    <numFmt numFmtId="166" formatCode="_-* #,##0\ &quot;₫&quot;_-;\-* #,##0\ &quot;₫&quot;_-;_-* &quot;-&quot;\ &quot;₫&quot;_-;_-@_-"/>
    <numFmt numFmtId="167" formatCode="_-* #,##0_-;\-* #,##0_-;_-* &quot;-&quot;_-;_-@_-"/>
    <numFmt numFmtId="168" formatCode="_-* #,##0.00\ &quot;₫&quot;_-;\-* #,##0.00\ &quot;₫&quot;_-;_-* &quot;-&quot;??\ &quot;₫&quot;_-;_-@_-"/>
    <numFmt numFmtId="169" formatCode="_-* #,##0.00_-;\-* #,##0.00_-;_-* &quot;-&quot;??_-;_-@_-"/>
    <numFmt numFmtId="170" formatCode="_-* #,##0\ _₫_-;\-* #,##0\ _₫_-;_-* &quot;-&quot;\ _₫_-;_-@_-"/>
    <numFmt numFmtId="171" formatCode="_-* #,##0.00\ _₫_-;\-* #,##0.00\ _₫_-;_-* &quot;-&quot;??\ _₫_-;_-@_-"/>
    <numFmt numFmtId="172" formatCode="&quot;£&quot;#,##0;\-&quot;£&quot;#,##0"/>
    <numFmt numFmtId="173" formatCode="&quot;£&quot;#,##0;[Red]\-&quot;£&quot;#,##0"/>
    <numFmt numFmtId="174" formatCode="_-&quot;£&quot;* #,##0_-;\-&quot;£&quot;* #,##0_-;_-&quot;£&quot;* &quot;-&quot;_-;_-@_-"/>
    <numFmt numFmtId="175" formatCode="_-&quot;£&quot;* #,##0.00_-;\-&quot;£&quot;* #,##0.00_-;_-&quot;£&quot;* &quot;-&quot;??_-;_-@_-"/>
    <numFmt numFmtId="176" formatCode="_(* #,##0_);_(* \(#,##0\);_(* &quot;-&quot;??_);_(@_)"/>
    <numFmt numFmtId="177" formatCode="[$-1010000]d/m/yyyy;@"/>
    <numFmt numFmtId="178" formatCode="#,##0.0"/>
    <numFmt numFmtId="179" formatCode="_-[$€]* #,##0.00_-;\-[$€]* #,##0.00_-;_-[$€]* &quot;-&quot;??_-;_-@_-"/>
    <numFmt numFmtId="180" formatCode="&quot;\&quot;#,##0;[Red]&quot;\&quot;&quot;\&quot;\-#,##0"/>
    <numFmt numFmtId="181" formatCode="_ * #,##0.00_ ;_ * \-#,##0.00_ ;_ * &quot;-&quot;??_ ;_ @_ "/>
    <numFmt numFmtId="182" formatCode="_-* #,##0\ _®_-;\-* #,##0\ _®_-;_-* &quot;-&quot;\ _®_-;_-@_-"/>
    <numFmt numFmtId="183" formatCode="_-* #,##0\ _F_-;\-* #,##0\ _F_-;_-* &quot;-&quot;\ _F_-;_-@_-"/>
    <numFmt numFmtId="184" formatCode="_ &quot;\&quot;* #,##0_ ;_ &quot;\&quot;* \-#,##0_ ;_ &quot;\&quot;* &quot;-&quot;_ ;_ @_ "/>
    <numFmt numFmtId="185" formatCode="&quot;\&quot;#,##0.00;[Red]&quot;\&quot;\-#,##0.00"/>
    <numFmt numFmtId="186" formatCode="&quot;\&quot;#,##0;[Red]&quot;\&quot;\-#,##0"/>
    <numFmt numFmtId="187" formatCode="m\-d\-yy"/>
    <numFmt numFmtId="188" formatCode="_ &quot;\&quot;* #,##0.00_ ;_ &quot;\&quot;* \-#,##0.00_ ;_ &quot;\&quot;* &quot;-&quot;??_ ;_ @_ "/>
    <numFmt numFmtId="189" formatCode="_ * #,##0_ ;_ * \-#,##0_ ;_ * &quot;-&quot;_ ;_ @_ "/>
    <numFmt numFmtId="190" formatCode=";;"/>
    <numFmt numFmtId="191" formatCode="#,##0.0_);\(#,##0.0\)"/>
    <numFmt numFmtId="192" formatCode="_(* #,##0.0000_);_(* \(#,##0.0000\);_(* &quot;-&quot;??_);_(@_)"/>
    <numFmt numFmtId="193" formatCode="0.0%;[Red]\(0.0%\)"/>
    <numFmt numFmtId="194" formatCode="_ * #,##0.00_)&quot;£&quot;_ ;_ * \(#,##0.00\)&quot;£&quot;_ ;_ * &quot;-&quot;??_)&quot;£&quot;_ ;_ @_ "/>
    <numFmt numFmtId="195" formatCode="_-&quot;₫&quot;* #,##0.00_-;\-&quot;₫&quot;* #,##0.00_-;_-&quot;₫&quot;* &quot;-&quot;??_-;_-@_-"/>
    <numFmt numFmtId="196" formatCode="0.0%;\(0.0%\)"/>
    <numFmt numFmtId="197" formatCode="0.000_)"/>
    <numFmt numFmtId="198" formatCode="#,##0;\(#,##0\)"/>
    <numFmt numFmtId="199" formatCode="_ &quot;R&quot;\ * #,##0_ ;_ &quot;R&quot;\ * \-#,##0_ ;_ &quot;R&quot;\ * &quot;-&quot;_ ;_ @_ "/>
    <numFmt numFmtId="200" formatCode="0.0%"/>
    <numFmt numFmtId="201" formatCode="\t0.00%"/>
    <numFmt numFmtId="202" formatCode="&quot;\&quot;&quot;\&quot;&quot;\&quot;&quot;\&quot;&quot;\&quot;\$#,##0_);&quot;\&quot;&quot;\&quot;&quot;\&quot;&quot;\&quot;&quot;\&quot;\(&quot;\&quot;&quot;\&quot;&quot;\&quot;&quot;\&quot;&quot;\&quot;\$#,##0&quot;\&quot;&quot;\&quot;&quot;\&quot;&quot;\&quot;&quot;\&quot;\)"/>
    <numFmt numFmtId="203" formatCode="#,##0_);[Red]\(#,##0\);;@"/>
    <numFmt numFmtId="204" formatCode="&quot;£&quot;\ \ \ \ #,##0_);\(&quot;£&quot;\ \ \ #,##0\)"/>
    <numFmt numFmtId="205" formatCode="&quot;£&quot;\ \ \ \ \ #,##0_);\(&quot;£&quot;\ \ \ \ \ #,##0\)"/>
    <numFmt numFmtId="206" formatCode="\t#\ ??/??"/>
    <numFmt numFmtId="207" formatCode="0.000%"/>
    <numFmt numFmtId="208" formatCode="#,###"/>
    <numFmt numFmtId="209" formatCode="#,##0\ &quot;₫&quot;_);[Red]\(#,##0\ &quot;₫&quot;\)"/>
    <numFmt numFmtId="210" formatCode="&quot;₫&quot;###,0&quot;.&quot;00_);[Red]\(&quot;₫&quot;###,0&quot;.&quot;00\)"/>
    <numFmt numFmtId="211" formatCode="&quot;\&quot;#,##0;[Red]\-&quot;\&quot;#,##0"/>
    <numFmt numFmtId="212" formatCode="&quot;\&quot;#,##0.00;\-&quot;\&quot;#,##0.00"/>
    <numFmt numFmtId="213" formatCode="0.00_)"/>
    <numFmt numFmtId="214" formatCode="0.000"/>
    <numFmt numFmtId="215" formatCode="\P\ \-\ 0_);\(&quot;₫&quot;#,##0\)"/>
    <numFmt numFmtId="216" formatCode="&quot;&quot;###0;\-&quot;£&quot;#,##0"/>
    <numFmt numFmtId="217" formatCode="#,##0\ &quot;€&quot;;\-#,##0\ &quot;€&quot;"/>
    <numFmt numFmtId="218" formatCode="#,##0.000_);\(#,##0.000\)"/>
    <numFmt numFmtId="219" formatCode="#"/>
    <numFmt numFmtId="220" formatCode="0#"/>
    <numFmt numFmtId="221" formatCode="#,##0.00\ &quot;F&quot;;[Red]\-#,##0.00\ &quot;F&quot;"/>
    <numFmt numFmtId="222" formatCode="&quot;¡Ì&quot;#,##0;[Red]\-&quot;¡Ì&quot;#,##0"/>
    <numFmt numFmtId="223" formatCode="_ * #,##0_ ;_ * \-#,##0_ ;_ * &quot;-&quot;??_ ;_ @_ "/>
    <numFmt numFmtId="224" formatCode="###,0&quot;.&quot;00\ &quot;F&quot;;[Red]\-###,0&quot;.&quot;00\ &quot;F&quot;"/>
    <numFmt numFmtId="225" formatCode="#,##0.00\ \ \ \ "/>
    <numFmt numFmtId="226" formatCode="#,##0.00\ \ "/>
    <numFmt numFmtId="227" formatCode="#,##0\ &quot;F&quot;;\-#,##0\ &quot;F&quot;"/>
    <numFmt numFmtId="228" formatCode="#,##0\ &quot;F&quot;;[Red]\-#,##0\ &quot;F&quot;"/>
    <numFmt numFmtId="229" formatCode="_ * #,##0.00_)\ _$_ ;_ * \(#,##0.00\)\ _$_ ;_ * &quot;-&quot;??_)\ _$_ ;_ @_ "/>
    <numFmt numFmtId="230" formatCode="_-* #,##0.00\ _F_-;\-* #,##0.00\ _F_-;_-* &quot;-&quot;??\ _F_-;_-@_-"/>
    <numFmt numFmtId="231" formatCode="_-* #,##0_-;&quot;\&quot;\!\-* #,##0_-;_-* &quot;-&quot;_-;_-@_-"/>
    <numFmt numFmtId="232" formatCode="_-* #,##0.00\ _k_r_._-;\-* #,##0.00\ _k_r_._-;_-* &quot;-&quot;??\ _k_r_._-;_-@_-"/>
    <numFmt numFmtId="233" formatCode="&quot;?&quot;#,##0;&quot;?&quot;\-#,##0"/>
    <numFmt numFmtId="234" formatCode="_ * #,##0_)\ _$_ ;_ * \(#,##0\)\ _$_ ;_ * &quot;-&quot;_)\ _$_ ;_ @_ "/>
    <numFmt numFmtId="235" formatCode="_ * #,##0.00_)_d_ ;_ * \(#,##0.00\)_d_ ;_ * &quot;-&quot;??_)_d_ ;_ @_ "/>
    <numFmt numFmtId="236" formatCode="_(* #,##0.0_);_(* \(#,##0.0\);_(* &quot;-&quot;??_);_(@_)"/>
    <numFmt numFmtId="237" formatCode="_(* #,##0.000_);_(* \(#,##0.000\);_(* &quot;-&quot;??_);_(@_)"/>
    <numFmt numFmtId="238" formatCode="#,##0.000"/>
    <numFmt numFmtId="239" formatCode="_-* #,##0\ _₫_-;\-* #,##0\ _₫_-;_-* &quot;-&quot;??\ _₫_-;_-@_-"/>
    <numFmt numFmtId="240" formatCode="&quot;\&quot;#,##0.00;[Red]&quot;\&quot;&quot;\&quot;&quot;\&quot;&quot;\&quot;&quot;\&quot;&quot;\&quot;\-#,##0.00"/>
    <numFmt numFmtId="241" formatCode="_-* #,##0.000\ _₫_-;\-* #,##0.000\ _₫_-;_-* &quot;-&quot;??\ _₫_-;_-@_-"/>
    <numFmt numFmtId="242" formatCode="_(* #,##0.0_);_(* \(#,##0.0\);_(* &quot;-&quot;?_);_(@_)"/>
    <numFmt numFmtId="243" formatCode="_-[$€]* #,##0.00_-;\-[$€]* #,##0.00_-;_-[$€]* &quot;-&quot;??_-;_-@"/>
  </numFmts>
  <fonts count="260">
    <font>
      <sz val="12"/>
      <color theme="1"/>
      <name val="Times New Roman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</font>
    <font>
      <sz val="10"/>
      <name val="Times New Roman"/>
      <family val="1"/>
    </font>
    <font>
      <sz val="8.25"/>
      <name val="Microsoft Sans Serif"/>
      <family val="2"/>
    </font>
    <font>
      <sz val="10"/>
      <name val="Arial"/>
      <family val="2"/>
    </font>
    <font>
      <b/>
      <sz val="18"/>
      <color indexed="56"/>
      <name val="Cambria"/>
      <family val="1"/>
    </font>
    <font>
      <b/>
      <sz val="11"/>
      <color indexed="52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15"/>
      <color indexed="56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돋움"/>
      <family val="3"/>
      <charset val="129"/>
    </font>
    <font>
      <sz val="12"/>
      <name val="VNI-Times"/>
    </font>
    <font>
      <sz val="10"/>
      <name val="VNI-Avo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2"/>
      <name val=".VnTime"/>
      <family val="2"/>
    </font>
    <font>
      <sz val="12"/>
      <name val="VNtimes new roman"/>
      <family val="2"/>
    </font>
    <font>
      <sz val="10"/>
      <name val=".VnArial"/>
      <family val="2"/>
    </font>
    <font>
      <sz val="10"/>
      <name val="?? ??"/>
      <family val="1"/>
      <charset val="136"/>
    </font>
    <font>
      <sz val="12"/>
      <name val="바탕체"/>
      <family val="1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Times New Roman"/>
      <family val="1"/>
    </font>
    <font>
      <sz val="12"/>
      <name val="|??¢¥¢¬¨Ï"/>
      <family val="1"/>
      <charset val="129"/>
    </font>
    <font>
      <sz val="10"/>
      <name val="Helv"/>
      <charset val="204"/>
    </font>
    <font>
      <sz val="10"/>
      <name val=".VnTime"/>
      <family val="2"/>
    </font>
    <font>
      <sz val="10"/>
      <name val="Helv"/>
      <family val="2"/>
    </font>
    <font>
      <sz val="10"/>
      <name val="MS Sans Serif"/>
      <family val="2"/>
    </font>
    <font>
      <sz val="12"/>
      <name val="???"/>
    </font>
    <font>
      <sz val="11"/>
      <name val="‚l‚r ‚oƒSƒVƒbƒN"/>
      <family val="3"/>
      <charset val="128"/>
    </font>
    <font>
      <sz val="11"/>
      <name val="–¾’©"/>
      <family val="1"/>
      <charset val="128"/>
    </font>
    <font>
      <sz val="14"/>
      <name val="VnTime"/>
      <family val="2"/>
    </font>
    <font>
      <b/>
      <u/>
      <sz val="14"/>
      <color indexed="8"/>
      <name val=".VnBook-AntiquaH"/>
      <family val="2"/>
    </font>
    <font>
      <sz val="11"/>
      <name val=".VnTime"/>
      <family val="2"/>
    </font>
    <font>
      <sz val="12"/>
      <name val="¹ÙÅÁÃ¼"/>
      <charset val="129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TimesNewRomanPS"/>
      <family val="1"/>
    </font>
    <font>
      <b/>
      <u/>
      <sz val="18"/>
      <color indexed="9"/>
      <name val="Tahoma"/>
      <family val="2"/>
    </font>
    <font>
      <sz val="11"/>
      <name val="±¼¸²Ã¼"/>
      <family val="3"/>
      <charset val="129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2"/>
      <color indexed="63"/>
      <name val="VNI-Times"/>
    </font>
    <font>
      <b/>
      <i/>
      <sz val="14"/>
      <name val="VNTime"/>
      <family val="2"/>
    </font>
    <font>
      <sz val="10"/>
      <name val="Arial"/>
      <family val="2"/>
      <charset val="163"/>
    </font>
    <font>
      <sz val="12"/>
      <name val="Tms Rmn"/>
    </font>
    <font>
      <sz val="10"/>
      <name val="±¼¸²A¼"/>
      <family val="3"/>
      <charset val="129"/>
    </font>
    <font>
      <sz val="10"/>
      <name val="Helv"/>
    </font>
    <font>
      <b/>
      <sz val="10"/>
      <name val="Helv"/>
    </font>
    <font>
      <sz val="10"/>
      <name val="VNI-Aptima"/>
    </font>
    <font>
      <sz val="11"/>
      <name val="Tms Rmn"/>
    </font>
    <font>
      <b/>
      <sz val="12"/>
      <name val="VNTime"/>
      <family val="2"/>
    </font>
    <font>
      <sz val="10"/>
      <name val="MS Serif"/>
      <family val="1"/>
    </font>
    <font>
      <sz val="13"/>
      <name val=".VnTime"/>
      <family val="2"/>
    </font>
    <font>
      <sz val="12"/>
      <name val="VNTime"/>
      <family val="2"/>
    </font>
    <font>
      <sz val="8"/>
      <name val="Arial"/>
      <family val="2"/>
      <charset val="163"/>
    </font>
    <font>
      <sz val="12"/>
      <name val="바탕체"/>
      <family val="1"/>
      <charset val="129"/>
    </font>
    <font>
      <b/>
      <sz val="12"/>
      <name val="VNTimeH"/>
      <family val="2"/>
    </font>
    <font>
      <sz val="10"/>
      <name val="Century Gothic"/>
      <family val="2"/>
    </font>
    <font>
      <sz val="10"/>
      <name val="Arial CE"/>
      <charset val="238"/>
    </font>
    <font>
      <i/>
      <sz val="10"/>
      <name val="Times New Roman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8"/>
      <name val="Arial"/>
      <family val="2"/>
    </font>
    <font>
      <b/>
      <sz val="12"/>
      <name val=".VnBook-AntiquaH"/>
      <family val="2"/>
    </font>
    <font>
      <sz val="14"/>
      <name val=".VnTime"/>
      <family val="2"/>
    </font>
    <font>
      <b/>
      <sz val="12"/>
      <color indexed="9"/>
      <name val="Tms Rmn"/>
    </font>
    <font>
      <b/>
      <sz val="12"/>
      <name val="Helv"/>
    </font>
    <font>
      <b/>
      <sz val="8"/>
      <name val="MS Sans Serif"/>
      <family val="2"/>
    </font>
    <font>
      <b/>
      <sz val="10"/>
      <name val=".VnTime"/>
      <family val="2"/>
    </font>
    <font>
      <sz val="10"/>
      <color indexed="12"/>
      <name val="Arial"/>
      <family val="2"/>
    </font>
    <font>
      <b/>
      <sz val="14"/>
      <name val=".VnTimeH"/>
      <family val="2"/>
    </font>
    <font>
      <sz val="14"/>
      <name val=".VnAvant"/>
      <family val="2"/>
    </font>
    <font>
      <b/>
      <sz val="11"/>
      <color indexed="56"/>
      <name val="VNI-Helve-Condense"/>
    </font>
    <font>
      <sz val="11"/>
      <name val="VNI-Helve-Condense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b/>
      <sz val="10"/>
      <color indexed="9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1"/>
      <color indexed="8"/>
      <name val="맑은 고딕"/>
      <family val="3"/>
      <charset val="129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1"/>
      <name val="3C_Times_T"/>
      <family val="2"/>
    </font>
    <font>
      <b/>
      <sz val="8.25"/>
      <name val="Helv"/>
    </font>
    <font>
      <sz val="8"/>
      <name val="MS Sans Serif"/>
      <family val="2"/>
    </font>
    <font>
      <b/>
      <sz val="8"/>
      <color indexed="8"/>
      <name val="Helv"/>
    </font>
    <font>
      <b/>
      <sz val="10"/>
      <name val="VNI-Univer"/>
    </font>
    <font>
      <sz val="10"/>
      <name val="VNI-Centur"/>
    </font>
    <font>
      <b/>
      <sz val="13"/>
      <color indexed="8"/>
      <name val=".VnTimeH"/>
      <family val="2"/>
    </font>
    <font>
      <sz val="8"/>
      <color indexed="12"/>
      <name val="Arial"/>
      <family val="2"/>
    </font>
    <font>
      <u/>
      <sz val="10"/>
      <color indexed="14"/>
      <name val="COUR"/>
      <family val="3"/>
    </font>
    <font>
      <sz val="10"/>
      <name val="VNtimes new roman"/>
      <family val="2"/>
    </font>
    <font>
      <sz val="14"/>
      <name val="VnTime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VNI-Times"/>
      <family val="2"/>
    </font>
    <font>
      <sz val="12"/>
      <name val="宋体"/>
      <charset val="134"/>
    </font>
    <font>
      <sz val="10"/>
      <name val=".VnArial"/>
      <family val="1"/>
    </font>
    <font>
      <sz val="11"/>
      <name val="??"/>
      <family val="3"/>
    </font>
    <font>
      <sz val="10"/>
      <name val="???"/>
      <family val="3"/>
      <charset val="129"/>
    </font>
    <font>
      <sz val="11"/>
      <color indexed="10"/>
      <name val="Arial"/>
      <family val="2"/>
    </font>
    <font>
      <sz val="12"/>
      <name val="µ¸¿òÃ¼"/>
      <family val="3"/>
      <charset val="129"/>
    </font>
    <font>
      <sz val="11"/>
      <color indexed="8"/>
      <name val="Arial"/>
      <family val="2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8"/>
      <color indexed="10"/>
      <name val="VNnew Century Cond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sz val="10"/>
      <name val=".VnArialH"/>
      <family val="2"/>
    </font>
    <font>
      <sz val="10"/>
      <color indexed="62"/>
      <name val="Arial"/>
      <family val="2"/>
    </font>
    <font>
      <sz val="13"/>
      <name val=".VnArial"/>
      <family val="2"/>
    </font>
    <font>
      <b/>
      <sz val="10.5"/>
      <name val=".VnAvantH"/>
      <family val="2"/>
    </font>
    <font>
      <sz val="11"/>
      <name val=".VnAvant"/>
      <family val="2"/>
    </font>
    <font>
      <sz val="9.5"/>
      <name val=".VnBlackH"/>
      <family val="2"/>
    </font>
    <font>
      <b/>
      <sz val="10"/>
      <name val=".VnBahamasBH"/>
      <family val="2"/>
    </font>
    <font>
      <b/>
      <sz val="11"/>
      <name val=".VnArialH"/>
      <family val="2"/>
    </font>
    <font>
      <b/>
      <sz val="10"/>
      <name val=".VnArialH"/>
      <family val="2"/>
    </font>
    <font>
      <sz val="10"/>
      <name val=".VnArial Narrow"/>
      <family val="2"/>
    </font>
    <font>
      <b/>
      <i/>
      <sz val="12"/>
      <name val=".VnTime"/>
      <family val="2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ＭＳ 明朝"/>
      <family val="1"/>
      <charset val="128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8"/>
      <name val="Times New Roman"/>
      <family val="1"/>
    </font>
    <font>
      <sz val="11"/>
      <name val="VNI-Times"/>
    </font>
    <font>
      <sz val="12"/>
      <name val="Times New Roman"/>
      <family val="1"/>
      <charset val="163"/>
    </font>
    <font>
      <sz val="8"/>
      <name val="Times New Roman"/>
      <family val="2"/>
    </font>
    <font>
      <sz val="13"/>
      <name val="Times New Roman"/>
      <family val="1"/>
    </font>
    <font>
      <sz val="10"/>
      <name val="Times New Roman"/>
      <family val="1"/>
      <charset val="163"/>
    </font>
    <font>
      <b/>
      <sz val="14"/>
      <name val="Times New Roman"/>
      <family val="1"/>
      <charset val="163"/>
    </font>
    <font>
      <sz val="12"/>
      <name val="Times New Roman"/>
      <family val="2"/>
      <charset val="163"/>
    </font>
    <font>
      <sz val="9"/>
      <name val="Arial"/>
      <family val="2"/>
      <charset val="163"/>
    </font>
    <font>
      <i/>
      <sz val="11"/>
      <name val="Arial"/>
      <family val="2"/>
      <charset val="163"/>
    </font>
    <font>
      <b/>
      <i/>
      <sz val="10"/>
      <name val="Times New Roman"/>
      <family val="1"/>
    </font>
    <font>
      <sz val="12"/>
      <name val="Times New Roman"/>
      <family val="1"/>
    </font>
    <font>
      <b/>
      <i/>
      <sz val="14"/>
      <name val="Times New Roman"/>
      <family val="1"/>
    </font>
    <font>
      <b/>
      <sz val="25"/>
      <name val="Times New Roman"/>
      <family val="1"/>
    </font>
    <font>
      <sz val="12"/>
      <color theme="1"/>
      <name val="Times New Roman"/>
      <family val="2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2"/>
      <charset val="163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4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2"/>
      <color rgb="FFFF0000"/>
      <name val="Times New Roman"/>
      <family val="1"/>
    </font>
    <font>
      <sz val="11"/>
      <color theme="1"/>
      <name val="Times New Roman"/>
      <family val="2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i/>
      <sz val="10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0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36"/>
      <name val="Times New Roman"/>
      <family val="1"/>
    </font>
    <font>
      <b/>
      <sz val="22"/>
      <name val="Times New Roman"/>
      <family val="1"/>
      <charset val="163"/>
    </font>
    <font>
      <b/>
      <sz val="15"/>
      <color rgb="FF000000"/>
      <name val="Times New Roman"/>
      <family val="1"/>
    </font>
    <font>
      <b/>
      <sz val="15"/>
      <name val="Times New Roman"/>
      <family val="1"/>
    </font>
    <font>
      <b/>
      <i/>
      <sz val="13"/>
      <color theme="1"/>
      <name val="Times New Roman"/>
      <family val="1"/>
    </font>
    <font>
      <sz val="13"/>
      <color rgb="FFC00000"/>
      <name val="Times New Roman"/>
      <family val="1"/>
    </font>
    <font>
      <i/>
      <sz val="13"/>
      <color theme="1"/>
      <name val="Times New Roman"/>
      <family val="1"/>
    </font>
    <font>
      <i/>
      <sz val="13"/>
      <color rgb="FFC00000"/>
      <name val="Times New Roman"/>
      <family val="1"/>
    </font>
    <font>
      <i/>
      <u val="singleAccounting"/>
      <sz val="13"/>
      <color theme="1"/>
      <name val="Times New Roman"/>
      <family val="1"/>
    </font>
    <font>
      <i/>
      <u/>
      <sz val="13"/>
      <color theme="1"/>
      <name val="Times New Roman"/>
      <family val="1"/>
    </font>
    <font>
      <sz val="14"/>
      <name val="Times New Roman"/>
      <family val="1"/>
    </font>
    <font>
      <sz val="13"/>
      <color rgb="FFC00000"/>
      <name val="Times New Roman"/>
      <family val="1"/>
      <charset val="163"/>
    </font>
    <font>
      <sz val="18"/>
      <name val="Arial"/>
      <family val="2"/>
      <scheme val="minor"/>
    </font>
    <font>
      <sz val="12"/>
      <name val="Arial"/>
      <family val="2"/>
      <scheme val="minor"/>
    </font>
    <font>
      <b/>
      <sz val="12"/>
      <name val="Arial"/>
      <family val="2"/>
      <charset val="163"/>
      <scheme val="minor"/>
    </font>
    <font>
      <sz val="12"/>
      <name val="Times New Roman"/>
      <family val="2"/>
    </font>
    <font>
      <sz val="11"/>
      <name val="Arial"/>
      <family val="2"/>
      <scheme val="minor"/>
    </font>
    <font>
      <b/>
      <sz val="12"/>
      <color theme="1"/>
      <name val="Times New Roman"/>
      <family val="1"/>
      <charset val="163"/>
    </font>
    <font>
      <sz val="1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3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i/>
      <sz val="11"/>
      <color rgb="FF002060"/>
      <name val="Times New Roman"/>
      <family val="1"/>
    </font>
    <font>
      <i/>
      <sz val="12"/>
      <color rgb="FF002060"/>
      <name val="Times New Roman"/>
      <family val="1"/>
    </font>
    <font>
      <b/>
      <i/>
      <sz val="12"/>
      <color rgb="FF002060"/>
      <name val="Times New Roman"/>
      <family val="1"/>
    </font>
    <font>
      <sz val="12"/>
      <color rgb="FF002060"/>
      <name val="Times New Roman"/>
      <family val="1"/>
    </font>
    <font>
      <i/>
      <sz val="11"/>
      <color rgb="FF002060"/>
      <name val="Times New Roman"/>
      <family val="1"/>
      <charset val="163"/>
    </font>
    <font>
      <i/>
      <sz val="12"/>
      <color rgb="FF002060"/>
      <name val="Times New Roman"/>
      <family val="1"/>
      <charset val="163"/>
    </font>
    <font>
      <sz val="12"/>
      <color rgb="FFFF0000"/>
      <name val="Arial"/>
      <family val="2"/>
      <scheme val="minor"/>
    </font>
    <font>
      <sz val="12"/>
      <color rgb="FFFF0000"/>
      <name val="Times New Roman"/>
      <family val="1"/>
      <charset val="163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darkGray">
        <fgColor indexed="15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13"/>
      </left>
      <right style="hair">
        <color indexed="13"/>
      </right>
      <top style="hair">
        <color indexed="13"/>
      </top>
      <bottom style="hair">
        <color indexed="13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081">
    <xf numFmtId="0" fontId="0" fillId="0" borderId="0"/>
    <xf numFmtId="179" fontId="9" fillId="0" borderId="0"/>
    <xf numFmtId="0" fontId="38" fillId="0" borderId="0" applyNumberFormat="0" applyFill="0" applyBorder="0" applyAlignment="0" applyProtection="0"/>
    <xf numFmtId="176" fontId="39" fillId="0" borderId="1" applyFont="0" applyBorder="0"/>
    <xf numFmtId="179" fontId="40" fillId="0" borderId="0"/>
    <xf numFmtId="179" fontId="41" fillId="0" borderId="0" applyFont="0" applyFill="0" applyBorder="0" applyAlignment="0" applyProtection="0"/>
    <xf numFmtId="180" fontId="9" fillId="0" borderId="0" applyFont="0" applyFill="0" applyBorder="0" applyAlignment="0" applyProtection="0"/>
    <xf numFmtId="233" fontId="143" fillId="0" borderId="0" applyFont="0" applyFill="0" applyBorder="0" applyAlignment="0" applyProtection="0"/>
    <xf numFmtId="0" fontId="144" fillId="0" borderId="0"/>
    <xf numFmtId="0" fontId="144" fillId="0" borderId="0"/>
    <xf numFmtId="240" fontId="9" fillId="0" borderId="0" applyFont="0" applyFill="0" applyBorder="0" applyAlignment="0" applyProtection="0"/>
    <xf numFmtId="0" fontId="42" fillId="0" borderId="0"/>
    <xf numFmtId="0" fontId="9" fillId="0" borderId="0" applyNumberFormat="0" applyFill="0" applyBorder="0" applyAlignment="0" applyProtection="0"/>
    <xf numFmtId="181" fontId="40" fillId="0" borderId="0" applyFont="0" applyFill="0" applyBorder="0" applyAlignment="0" applyProtection="0"/>
    <xf numFmtId="182" fontId="9" fillId="0" borderId="0" applyFont="0" applyFill="0" applyBorder="0" applyAlignment="0" applyProtection="0"/>
    <xf numFmtId="167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73" fontId="44" fillId="0" borderId="0" applyFont="0" applyFill="0" applyBorder="0" applyAlignment="0" applyProtection="0"/>
    <xf numFmtId="179" fontId="45" fillId="0" borderId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6" fillId="0" borderId="0"/>
    <xf numFmtId="0" fontId="9" fillId="0" borderId="0" applyNumberFormat="0" applyFill="0" applyBorder="0" applyAlignment="0" applyProtection="0"/>
    <xf numFmtId="0" fontId="45" fillId="0" borderId="0"/>
    <xf numFmtId="0" fontId="45" fillId="0" borderId="0"/>
    <xf numFmtId="0" fontId="47" fillId="0" borderId="0"/>
    <xf numFmtId="183" fontId="38" fillId="0" borderId="0" applyFont="0" applyFill="0" applyBorder="0" applyAlignment="0" applyProtection="0"/>
    <xf numFmtId="0" fontId="47" fillId="0" borderId="0"/>
    <xf numFmtId="0" fontId="48" fillId="0" borderId="0" applyNumberFormat="0" applyFill="0" applyBorder="0" applyAlignment="0" applyProtection="0"/>
    <xf numFmtId="0" fontId="49" fillId="0" borderId="0"/>
    <xf numFmtId="0" fontId="45" fillId="0" borderId="0"/>
    <xf numFmtId="0" fontId="45" fillId="0" borderId="0"/>
    <xf numFmtId="0" fontId="47" fillId="0" borderId="0"/>
    <xf numFmtId="0" fontId="50" fillId="0" borderId="0"/>
    <xf numFmtId="0" fontId="48" fillId="0" borderId="0" applyNumberFormat="0" applyFill="0" applyBorder="0" applyAlignment="0" applyProtection="0"/>
    <xf numFmtId="184" fontId="51" fillId="0" borderId="0" applyFont="0" applyFill="0" applyBorder="0" applyAlignment="0" applyProtection="0"/>
    <xf numFmtId="185" fontId="52" fillId="0" borderId="0" applyFont="0" applyFill="0" applyBorder="0" applyAlignment="0" applyProtection="0"/>
    <xf numFmtId="186" fontId="52" fillId="0" borderId="0" applyFont="0" applyFill="0" applyBorder="0" applyAlignment="0" applyProtection="0"/>
    <xf numFmtId="0" fontId="53" fillId="0" borderId="0"/>
    <xf numFmtId="0" fontId="53" fillId="0" borderId="0"/>
    <xf numFmtId="0" fontId="9" fillId="0" borderId="0"/>
    <xf numFmtId="1" fontId="54" fillId="0" borderId="2" applyBorder="0" applyAlignment="0">
      <alignment horizontal="center"/>
    </xf>
    <xf numFmtId="1" fontId="54" fillId="0" borderId="2" applyBorder="0" applyAlignment="0">
      <alignment horizontal="center"/>
    </xf>
    <xf numFmtId="1" fontId="54" fillId="0" borderId="2" applyBorder="0" applyAlignment="0">
      <alignment horizontal="center"/>
    </xf>
    <xf numFmtId="0" fontId="45" fillId="0" borderId="0"/>
    <xf numFmtId="179" fontId="55" fillId="2" borderId="0"/>
    <xf numFmtId="0" fontId="55" fillId="2" borderId="0"/>
    <xf numFmtId="0" fontId="56" fillId="2" borderId="0"/>
    <xf numFmtId="0" fontId="56" fillId="2" borderId="0"/>
    <xf numFmtId="0" fontId="56" fillId="2" borderId="0"/>
    <xf numFmtId="0" fontId="56" fillId="2" borderId="0"/>
    <xf numFmtId="0" fontId="55" fillId="2" borderId="0"/>
    <xf numFmtId="0" fontId="56" fillId="2" borderId="0"/>
    <xf numFmtId="0" fontId="55" fillId="2" borderId="0"/>
    <xf numFmtId="0" fontId="55" fillId="2" borderId="0"/>
    <xf numFmtId="9" fontId="57" fillId="0" borderId="0" applyFont="0" applyFill="0" applyBorder="0" applyAlignment="0" applyProtection="0"/>
    <xf numFmtId="179" fontId="58" fillId="2" borderId="0"/>
    <xf numFmtId="0" fontId="58" fillId="2" borderId="0"/>
    <xf numFmtId="0" fontId="56" fillId="2" borderId="0"/>
    <xf numFmtId="0" fontId="56" fillId="2" borderId="0"/>
    <xf numFmtId="0" fontId="56" fillId="2" borderId="0"/>
    <xf numFmtId="0" fontId="56" fillId="2" borderId="0"/>
    <xf numFmtId="0" fontId="58" fillId="2" borderId="0"/>
    <xf numFmtId="0" fontId="56" fillId="2" borderId="0"/>
    <xf numFmtId="0" fontId="58" fillId="2" borderId="0"/>
    <xf numFmtId="0" fontId="58" fillId="2" borderId="0"/>
    <xf numFmtId="0" fontId="12" fillId="3" borderId="0" applyNumberFormat="0" applyBorder="0" applyAlignment="0" applyProtection="0"/>
    <xf numFmtId="0" fontId="6" fillId="3" borderId="0" applyNumberFormat="0" applyBorder="0" applyAlignment="0" applyProtection="0"/>
    <xf numFmtId="0" fontId="12" fillId="4" borderId="0" applyNumberFormat="0" applyBorder="0" applyAlignment="0" applyProtection="0"/>
    <xf numFmtId="0" fontId="6" fillId="4" borderId="0" applyNumberFormat="0" applyBorder="0" applyAlignment="0" applyProtection="0"/>
    <xf numFmtId="0" fontId="12" fillId="5" borderId="0" applyNumberFormat="0" applyBorder="0" applyAlignment="0" applyProtection="0"/>
    <xf numFmtId="0" fontId="6" fillId="5" borderId="0" applyNumberFormat="0" applyBorder="0" applyAlignment="0" applyProtection="0"/>
    <xf numFmtId="0" fontId="12" fillId="6" borderId="0" applyNumberFormat="0" applyBorder="0" applyAlignment="0" applyProtection="0"/>
    <xf numFmtId="0" fontId="6" fillId="6" borderId="0" applyNumberFormat="0" applyBorder="0" applyAlignment="0" applyProtection="0"/>
    <xf numFmtId="0" fontId="12" fillId="7" borderId="0" applyNumberFormat="0" applyBorder="0" applyAlignment="0" applyProtection="0"/>
    <xf numFmtId="0" fontId="6" fillId="7" borderId="0" applyNumberFormat="0" applyBorder="0" applyAlignment="0" applyProtection="0"/>
    <xf numFmtId="0" fontId="12" fillId="8" borderId="0" applyNumberFormat="0" applyBorder="0" applyAlignment="0" applyProtection="0"/>
    <xf numFmtId="0" fontId="6" fillId="8" borderId="0" applyNumberFormat="0" applyBorder="0" applyAlignment="0" applyProtection="0"/>
    <xf numFmtId="179" fontId="59" fillId="2" borderId="0"/>
    <xf numFmtId="0" fontId="59" fillId="2" borderId="0"/>
    <xf numFmtId="0" fontId="56" fillId="2" borderId="0"/>
    <xf numFmtId="0" fontId="56" fillId="2" borderId="0"/>
    <xf numFmtId="0" fontId="56" fillId="2" borderId="0"/>
    <xf numFmtId="0" fontId="56" fillId="2" borderId="0"/>
    <xf numFmtId="0" fontId="59" fillId="2" borderId="0"/>
    <xf numFmtId="0" fontId="56" fillId="2" borderId="0"/>
    <xf numFmtId="0" fontId="59" fillId="2" borderId="0"/>
    <xf numFmtId="0" fontId="59" fillId="2" borderId="0"/>
    <xf numFmtId="179" fontId="60" fillId="0" borderId="0">
      <alignment wrapText="1"/>
    </xf>
    <xf numFmtId="0" fontId="60" fillId="0" borderId="0">
      <alignment wrapText="1"/>
    </xf>
    <xf numFmtId="0" fontId="56" fillId="0" borderId="0">
      <alignment wrapText="1"/>
    </xf>
    <xf numFmtId="0" fontId="56" fillId="0" borderId="0">
      <alignment wrapText="1"/>
    </xf>
    <xf numFmtId="0" fontId="56" fillId="0" borderId="0">
      <alignment wrapText="1"/>
    </xf>
    <xf numFmtId="0" fontId="56" fillId="0" borderId="0">
      <alignment wrapText="1"/>
    </xf>
    <xf numFmtId="0" fontId="60" fillId="0" borderId="0">
      <alignment wrapText="1"/>
    </xf>
    <xf numFmtId="0" fontId="56" fillId="0" borderId="0">
      <alignment wrapText="1"/>
    </xf>
    <xf numFmtId="0" fontId="60" fillId="0" borderId="0">
      <alignment wrapText="1"/>
    </xf>
    <xf numFmtId="0" fontId="60" fillId="0" borderId="0">
      <alignment wrapText="1"/>
    </xf>
    <xf numFmtId="0" fontId="12" fillId="9" borderId="0" applyNumberFormat="0" applyBorder="0" applyAlignment="0" applyProtection="0"/>
    <xf numFmtId="0" fontId="6" fillId="9" borderId="0" applyNumberFormat="0" applyBorder="0" applyAlignment="0" applyProtection="0"/>
    <xf numFmtId="0" fontId="12" fillId="10" borderId="0" applyNumberFormat="0" applyBorder="0" applyAlignment="0" applyProtection="0"/>
    <xf numFmtId="0" fontId="6" fillId="10" borderId="0" applyNumberFormat="0" applyBorder="0" applyAlignment="0" applyProtection="0"/>
    <xf numFmtId="0" fontId="12" fillId="11" borderId="0" applyNumberFormat="0" applyBorder="0" applyAlignment="0" applyProtection="0"/>
    <xf numFmtId="0" fontId="6" fillId="11" borderId="0" applyNumberFormat="0" applyBorder="0" applyAlignment="0" applyProtection="0"/>
    <xf numFmtId="0" fontId="12" fillId="6" borderId="0" applyNumberFormat="0" applyBorder="0" applyAlignment="0" applyProtection="0"/>
    <xf numFmtId="0" fontId="6" fillId="6" borderId="0" applyNumberFormat="0" applyBorder="0" applyAlignment="0" applyProtection="0"/>
    <xf numFmtId="0" fontId="12" fillId="9" borderId="0" applyNumberFormat="0" applyBorder="0" applyAlignment="0" applyProtection="0"/>
    <xf numFmtId="0" fontId="6" fillId="9" borderId="0" applyNumberFormat="0" applyBorder="0" applyAlignment="0" applyProtection="0"/>
    <xf numFmtId="0" fontId="12" fillId="12" borderId="0" applyNumberFormat="0" applyBorder="0" applyAlignment="0" applyProtection="0"/>
    <xf numFmtId="0" fontId="6" fillId="12" borderId="0" applyNumberFormat="0" applyBorder="0" applyAlignment="0" applyProtection="0"/>
    <xf numFmtId="0" fontId="48" fillId="0" borderId="0"/>
    <xf numFmtId="0" fontId="48" fillId="0" borderId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61" fillId="0" borderId="0"/>
    <xf numFmtId="0" fontId="62" fillId="17" borderId="0" applyNumberFormat="0" applyBorder="0" applyAlignment="0">
      <alignment horizontal="center"/>
    </xf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187" fontId="28" fillId="9" borderId="3">
      <alignment horizontal="center" vertical="center"/>
    </xf>
    <xf numFmtId="184" fontId="63" fillId="0" borderId="0" applyFont="0" applyFill="0" applyBorder="0" applyAlignment="0" applyProtection="0"/>
    <xf numFmtId="179" fontId="64" fillId="0" borderId="0" applyFont="0" applyFill="0" applyBorder="0" applyAlignment="0" applyProtection="0"/>
    <xf numFmtId="184" fontId="63" fillId="0" borderId="0" applyFont="0" applyFill="0" applyBorder="0" applyAlignment="0" applyProtection="0"/>
    <xf numFmtId="188" fontId="63" fillId="0" borderId="0" applyFont="0" applyFill="0" applyBorder="0" applyAlignment="0" applyProtection="0"/>
    <xf numFmtId="179" fontId="64" fillId="0" borderId="0" applyFont="0" applyFill="0" applyBorder="0" applyAlignment="0" applyProtection="0"/>
    <xf numFmtId="188" fontId="63" fillId="0" borderId="0" applyFont="0" applyFill="0" applyBorder="0" applyAlignment="0" applyProtection="0"/>
    <xf numFmtId="179" fontId="65" fillId="0" borderId="0">
      <alignment horizontal="center" wrapText="1"/>
      <protection locked="0"/>
    </xf>
    <xf numFmtId="0" fontId="9" fillId="0" borderId="0" applyFill="0" applyBorder="0">
      <alignment vertical="center"/>
    </xf>
    <xf numFmtId="0" fontId="66" fillId="0" borderId="0" applyNumberFormat="0" applyBorder="0" applyAlignment="0">
      <alignment horizontal="center"/>
    </xf>
    <xf numFmtId="189" fontId="63" fillId="0" borderId="0" applyFont="0" applyFill="0" applyBorder="0" applyAlignment="0" applyProtection="0"/>
    <xf numFmtId="179" fontId="64" fillId="0" borderId="0" applyFont="0" applyFill="0" applyBorder="0" applyAlignment="0" applyProtection="0"/>
    <xf numFmtId="189" fontId="57" fillId="0" borderId="0" applyFont="0" applyFill="0" applyBorder="0" applyAlignment="0" applyProtection="0"/>
    <xf numFmtId="181" fontId="63" fillId="0" borderId="0" applyFont="0" applyFill="0" applyBorder="0" applyAlignment="0" applyProtection="0"/>
    <xf numFmtId="179" fontId="64" fillId="0" borderId="0" applyFont="0" applyFill="0" applyBorder="0" applyAlignment="0" applyProtection="0"/>
    <xf numFmtId="181" fontId="57" fillId="0" borderId="0" applyFont="0" applyFill="0" applyBorder="0" applyAlignment="0" applyProtection="0"/>
    <xf numFmtId="0" fontId="18" fillId="4" borderId="0" applyNumberFormat="0" applyBorder="0" applyAlignment="0" applyProtection="0"/>
    <xf numFmtId="179" fontId="67" fillId="0" borderId="0"/>
    <xf numFmtId="0" fontId="145" fillId="0" borderId="0"/>
    <xf numFmtId="0" fontId="68" fillId="0" borderId="0"/>
    <xf numFmtId="179" fontId="69" fillId="0" borderId="0" applyNumberFormat="0" applyFill="0" applyBorder="0" applyAlignment="0" applyProtection="0"/>
    <xf numFmtId="179" fontId="64" fillId="0" borderId="0"/>
    <xf numFmtId="0" fontId="63" fillId="0" borderId="0"/>
    <xf numFmtId="179" fontId="64" fillId="0" borderId="0"/>
    <xf numFmtId="0" fontId="146" fillId="0" borderId="0"/>
    <xf numFmtId="0" fontId="70" fillId="0" borderId="0"/>
    <xf numFmtId="190" fontId="50" fillId="0" borderId="0" applyFill="0" applyBorder="0" applyAlignment="0"/>
    <xf numFmtId="191" fontId="71" fillId="0" borderId="0" applyFill="0" applyBorder="0" applyAlignment="0"/>
    <xf numFmtId="192" fontId="71" fillId="0" borderId="0" applyFill="0" applyBorder="0" applyAlignment="0"/>
    <xf numFmtId="193" fontId="71" fillId="0" borderId="0" applyFill="0" applyBorder="0" applyAlignment="0"/>
    <xf numFmtId="194" fontId="9" fillId="0" borderId="0" applyFill="0" applyBorder="0" applyAlignment="0"/>
    <xf numFmtId="195" fontId="71" fillId="0" borderId="0" applyFill="0" applyBorder="0" applyAlignment="0"/>
    <xf numFmtId="196" fontId="71" fillId="0" borderId="0" applyFill="0" applyBorder="0" applyAlignment="0"/>
    <xf numFmtId="191" fontId="71" fillId="0" borderId="0" applyFill="0" applyBorder="0" applyAlignment="0"/>
    <xf numFmtId="0" fontId="11" fillId="2" borderId="4" applyNumberFormat="0" applyAlignment="0" applyProtection="0"/>
    <xf numFmtId="0" fontId="11" fillId="2" borderId="4" applyNumberFormat="0" applyAlignment="0" applyProtection="0"/>
    <xf numFmtId="0" fontId="11" fillId="2" borderId="4" applyNumberFormat="0" applyAlignment="0" applyProtection="0"/>
    <xf numFmtId="179" fontId="72" fillId="0" borderId="0"/>
    <xf numFmtId="0" fontId="25" fillId="23" borderId="5" applyNumberFormat="0" applyAlignment="0" applyProtection="0"/>
    <xf numFmtId="176" fontId="40" fillId="0" borderId="0" applyFont="0" applyFill="0" applyBorder="0" applyAlignment="0" applyProtection="0"/>
    <xf numFmtId="1" fontId="73" fillId="0" borderId="6" applyBorder="0"/>
    <xf numFmtId="0" fontId="68" fillId="0" borderId="7" applyNumberFormat="0" applyProtection="0">
      <alignment horizontal="center" vertical="center"/>
    </xf>
    <xf numFmtId="0" fontId="68" fillId="0" borderId="7" applyNumberFormat="0" applyProtection="0">
      <alignment horizontal="center" vertical="center"/>
    </xf>
    <xf numFmtId="0" fontId="17" fillId="0" borderId="0" applyNumberFormat="0" applyFill="0" applyBorder="0" applyAlignment="0" applyProtection="0"/>
    <xf numFmtId="171" fontId="191" fillId="0" borderId="0" applyFont="0" applyFill="0" applyBorder="0" applyAlignment="0" applyProtection="0"/>
    <xf numFmtId="197" fontId="74" fillId="0" borderId="0"/>
    <xf numFmtId="197" fontId="74" fillId="0" borderId="0"/>
    <xf numFmtId="197" fontId="74" fillId="0" borderId="0"/>
    <xf numFmtId="197" fontId="74" fillId="0" borderId="0"/>
    <xf numFmtId="197" fontId="74" fillId="0" borderId="0"/>
    <xf numFmtId="197" fontId="74" fillId="0" borderId="0"/>
    <xf numFmtId="197" fontId="74" fillId="0" borderId="0"/>
    <xf numFmtId="197" fontId="74" fillId="0" borderId="0"/>
    <xf numFmtId="170" fontId="48" fillId="0" borderId="0" applyFont="0" applyFill="0" applyBorder="0" applyAlignment="0" applyProtection="0"/>
    <xf numFmtId="170" fontId="38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95" fontId="71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78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169" fontId="193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193" fillId="0" borderId="0" applyFont="0" applyFill="0" applyBorder="0" applyAlignment="0" applyProtection="0"/>
    <xf numFmtId="176" fontId="193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147" fillId="0" borderId="0" applyFont="0" applyFill="0" applyBorder="0" applyAlignment="0" applyProtection="0"/>
    <xf numFmtId="43" fontId="45" fillId="0" borderId="0" applyFont="0" applyFill="0" applyBorder="0" applyAlignment="0" applyProtection="0"/>
    <xf numFmtId="169" fontId="45" fillId="0" borderId="0" applyFont="0" applyFill="0" applyBorder="0" applyAlignment="0" applyProtection="0"/>
    <xf numFmtId="171" fontId="193" fillId="0" borderId="0" applyFont="0" applyFill="0" applyBorder="0" applyAlignment="0" applyProtection="0"/>
    <xf numFmtId="171" fontId="193" fillId="0" borderId="0" applyFont="0" applyFill="0" applyBorder="0" applyAlignment="0" applyProtection="0"/>
    <xf numFmtId="171" fontId="45" fillId="0" borderId="0" applyFont="0" applyFill="0" applyBorder="0" applyAlignment="0" applyProtection="0"/>
    <xf numFmtId="177" fontId="27" fillId="0" borderId="0" applyNumberFormat="0" applyFont="0" applyFill="0" applyBorder="0" applyAlignment="0" applyProtection="0"/>
    <xf numFmtId="177" fontId="9" fillId="0" borderId="0" applyNumberFormat="0" applyFont="0" applyFill="0" applyBorder="0" applyAlignment="0" applyProtection="0"/>
    <xf numFmtId="171" fontId="193" fillId="0" borderId="0" applyFont="0" applyFill="0" applyBorder="0" applyAlignment="0" applyProtection="0"/>
    <xf numFmtId="171" fontId="193" fillId="0" borderId="0" applyFont="0" applyFill="0" applyBorder="0" applyAlignment="0" applyProtection="0"/>
    <xf numFmtId="171" fontId="193" fillId="0" borderId="0" applyFont="0" applyFill="0" applyBorder="0" applyAlignment="0" applyProtection="0"/>
    <xf numFmtId="43" fontId="191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69" fontId="191" fillId="0" borderId="0" applyFont="0" applyFill="0" applyBorder="0" applyAlignment="0" applyProtection="0"/>
    <xf numFmtId="171" fontId="194" fillId="0" borderId="0" applyFont="0" applyFill="0" applyBorder="0" applyAlignment="0" applyProtection="0"/>
    <xf numFmtId="171" fontId="192" fillId="0" borderId="0" applyFont="0" applyFill="0" applyBorder="0" applyAlignment="0" applyProtection="0"/>
    <xf numFmtId="169" fontId="12" fillId="0" borderId="0" applyFont="0" applyFill="0" applyBorder="0" applyAlignment="0" applyProtection="0"/>
    <xf numFmtId="237" fontId="9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92" fillId="0" borderId="0" applyFont="0" applyFill="0" applyBorder="0" applyAlignment="0" applyProtection="0"/>
    <xf numFmtId="171" fontId="114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14" fillId="0" borderId="0" applyFont="0" applyFill="0" applyBorder="0" applyAlignment="0" applyProtection="0"/>
    <xf numFmtId="171" fontId="48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14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47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48" fillId="0" borderId="0" applyFont="0" applyFill="0" applyBorder="0" applyAlignment="0" applyProtection="0"/>
    <xf numFmtId="171" fontId="6" fillId="0" borderId="0" applyFont="0" applyFill="0" applyBorder="0" applyAlignment="0" applyProtection="0"/>
    <xf numFmtId="198" fontId="7" fillId="0" borderId="0"/>
    <xf numFmtId="3" fontId="9" fillId="0" borderId="0" applyFont="0" applyFill="0" applyBorder="0" applyAlignment="0" applyProtection="0"/>
    <xf numFmtId="179" fontId="75" fillId="0" borderId="0">
      <alignment horizontal="center"/>
    </xf>
    <xf numFmtId="179" fontId="76" fillId="0" borderId="0" applyNumberFormat="0" applyAlignment="0">
      <alignment horizontal="left"/>
    </xf>
    <xf numFmtId="199" fontId="77" fillId="0" borderId="0" applyFont="0" applyFill="0" applyBorder="0" applyAlignment="0" applyProtection="0"/>
    <xf numFmtId="191" fontId="71" fillId="0" borderId="0" applyFont="0" applyFill="0" applyBorder="0" applyAlignment="0" applyProtection="0"/>
    <xf numFmtId="200" fontId="78" fillId="0" borderId="0" applyFont="0" applyFill="0" applyBorder="0" applyAlignment="0" applyProtection="0"/>
    <xf numFmtId="234" fontId="40" fillId="0" borderId="0" applyFont="0" applyFill="0" applyBorder="0" applyAlignment="0" applyProtection="0"/>
    <xf numFmtId="201" fontId="9" fillId="0" borderId="0"/>
    <xf numFmtId="202" fontId="79" fillId="2" borderId="0" applyFont="0" applyBorder="0"/>
    <xf numFmtId="189" fontId="51" fillId="0" borderId="0" applyFont="0" applyFill="0" applyBorder="0" applyAlignment="0" applyProtection="0"/>
    <xf numFmtId="189" fontId="80" fillId="0" borderId="0" applyFont="0" applyFill="0" applyBorder="0" applyAlignment="0" applyProtection="0"/>
    <xf numFmtId="179" fontId="9" fillId="0" borderId="0" applyFont="0" applyFill="0" applyBorder="0" applyAlignment="0" applyProtection="0"/>
    <xf numFmtId="177" fontId="27" fillId="0" borderId="0" applyNumberFormat="0" applyFont="0" applyFill="0" applyBorder="0" applyAlignment="0" applyProtection="0"/>
    <xf numFmtId="177" fontId="9" fillId="0" borderId="0" applyNumberFormat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>
      <alignment horizontal="centerContinuous"/>
    </xf>
    <xf numFmtId="3" fontId="81" fillId="0" borderId="8">
      <alignment horizontal="left" vertical="top" wrapText="1"/>
    </xf>
    <xf numFmtId="203" fontId="82" fillId="0" borderId="0" applyFont="0" applyFill="0" applyBorder="0">
      <alignment horizontal="left" vertical="top" wrapText="1"/>
      <protection locked="0"/>
    </xf>
    <xf numFmtId="204" fontId="50" fillId="0" borderId="0" applyFont="0" applyFill="0" applyBorder="0" applyAlignment="0" applyProtection="0"/>
    <xf numFmtId="205" fontId="50" fillId="0" borderId="0" applyFont="0" applyFill="0" applyBorder="0" applyAlignment="0" applyProtection="0"/>
    <xf numFmtId="206" fontId="9" fillId="0" borderId="0"/>
    <xf numFmtId="167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171" fontId="83" fillId="0" borderId="0" applyFont="0" applyFill="0" applyBorder="0" applyAlignment="0" applyProtection="0"/>
    <xf numFmtId="3" fontId="38" fillId="0" borderId="0" applyFont="0" applyBorder="0" applyAlignment="0"/>
    <xf numFmtId="0" fontId="84" fillId="0" borderId="0">
      <alignment vertical="center"/>
    </xf>
    <xf numFmtId="195" fontId="71" fillId="0" borderId="0" applyFill="0" applyBorder="0" applyAlignment="0"/>
    <xf numFmtId="191" fontId="71" fillId="0" borderId="0" applyFill="0" applyBorder="0" applyAlignment="0"/>
    <xf numFmtId="195" fontId="71" fillId="0" borderId="0" applyFill="0" applyBorder="0" applyAlignment="0"/>
    <xf numFmtId="196" fontId="71" fillId="0" borderId="0" applyFill="0" applyBorder="0" applyAlignment="0"/>
    <xf numFmtId="191" fontId="71" fillId="0" borderId="0" applyFill="0" applyBorder="0" applyAlignment="0"/>
    <xf numFmtId="179" fontId="85" fillId="0" borderId="0" applyNumberFormat="0" applyAlignment="0">
      <alignment horizontal="left"/>
    </xf>
    <xf numFmtId="179" fontId="9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23" fillId="0" borderId="0" applyNumberFormat="0" applyFill="0" applyBorder="0" applyAlignment="0" applyProtection="0"/>
    <xf numFmtId="3" fontId="38" fillId="0" borderId="0" applyFont="0" applyBorder="0" applyAlignment="0"/>
    <xf numFmtId="0" fontId="68" fillId="0" borderId="0" applyNumberFormat="0" applyFont="0" applyFill="0" applyBorder="0" applyAlignment="0"/>
    <xf numFmtId="2" fontId="9" fillId="0" borderId="0" applyFon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Protection="0">
      <alignment vertical="center"/>
    </xf>
    <xf numFmtId="0" fontId="150" fillId="0" borderId="0" applyNumberFormat="0" applyFill="0" applyBorder="0" applyAlignment="0" applyProtection="0"/>
    <xf numFmtId="0" fontId="151" fillId="0" borderId="0" applyNumberFormat="0" applyFill="0" applyBorder="0" applyProtection="0">
      <alignment vertical="center"/>
    </xf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235" fontId="154" fillId="0" borderId="9" applyNumberFormat="0" applyFill="0" applyBorder="0" applyAlignment="0" applyProtection="0"/>
    <xf numFmtId="0" fontId="155" fillId="0" borderId="0" applyNumberFormat="0" applyFill="0" applyBorder="0" applyAlignment="0" applyProtection="0"/>
    <xf numFmtId="179" fontId="86" fillId="0" borderId="0">
      <alignment vertical="top" wrapText="1"/>
    </xf>
    <xf numFmtId="3" fontId="38" fillId="24" borderId="10">
      <alignment horizontal="right" vertical="top" wrapText="1"/>
    </xf>
    <xf numFmtId="0" fontId="24" fillId="5" borderId="0" applyNumberFormat="0" applyBorder="0" applyAlignment="0" applyProtection="0"/>
    <xf numFmtId="38" fontId="87" fillId="2" borderId="0" applyNumberFormat="0" applyBorder="0" applyAlignment="0" applyProtection="0"/>
    <xf numFmtId="207" fontId="9" fillId="0" borderId="11" applyFont="0" applyFill="0" applyBorder="0" applyAlignment="0"/>
    <xf numFmtId="0" fontId="156" fillId="0" borderId="12" applyNumberFormat="0" applyFill="0" applyBorder="0" applyAlignment="0" applyProtection="0">
      <alignment horizontal="center" vertical="center"/>
    </xf>
    <xf numFmtId="179" fontId="88" fillId="0" borderId="0" applyNumberFormat="0" applyFont="0" applyBorder="0" applyAlignment="0">
      <alignment horizontal="left" vertical="center"/>
    </xf>
    <xf numFmtId="0" fontId="89" fillId="0" borderId="0">
      <alignment vertical="justify"/>
    </xf>
    <xf numFmtId="179" fontId="90" fillId="25" borderId="0"/>
    <xf numFmtId="179" fontId="91" fillId="0" borderId="0">
      <alignment horizontal="left"/>
    </xf>
    <xf numFmtId="179" fontId="33" fillId="0" borderId="13" applyNumberFormat="0" applyAlignment="0" applyProtection="0">
      <alignment horizontal="left" vertical="center"/>
    </xf>
    <xf numFmtId="179" fontId="33" fillId="0" borderId="14">
      <alignment horizontal="left" vertical="center"/>
    </xf>
    <xf numFmtId="179" fontId="33" fillId="0" borderId="14">
      <alignment horizontal="left" vertical="center"/>
    </xf>
    <xf numFmtId="179" fontId="33" fillId="0" borderId="14">
      <alignment horizontal="left" vertical="center"/>
    </xf>
    <xf numFmtId="0" fontId="22" fillId="0" borderId="15" applyNumberFormat="0" applyFill="0" applyAlignment="0" applyProtection="0"/>
    <xf numFmtId="179" fontId="36" fillId="0" borderId="0" applyNumberFormat="0" applyFill="0" applyBorder="0" applyAlignment="0" applyProtection="0"/>
    <xf numFmtId="0" fontId="21" fillId="0" borderId="16" applyNumberFormat="0" applyFill="0" applyAlignment="0" applyProtection="0"/>
    <xf numFmtId="179" fontId="33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6" fillId="0" borderId="0" applyNumberFormat="0" applyFill="0" applyBorder="0" applyAlignment="0" applyProtection="0"/>
    <xf numFmtId="0" fontId="36" fillId="0" borderId="0" applyProtection="0"/>
    <xf numFmtId="0" fontId="33" fillId="0" borderId="0" applyProtection="0"/>
    <xf numFmtId="179" fontId="92" fillId="0" borderId="18">
      <alignment horizontal="center"/>
    </xf>
    <xf numFmtId="179" fontId="92" fillId="0" borderId="0">
      <alignment horizontal="center"/>
    </xf>
    <xf numFmtId="164" fontId="93" fillId="26" borderId="2" applyNumberFormat="0" applyAlignment="0">
      <alignment horizontal="left" vertical="top"/>
    </xf>
    <xf numFmtId="164" fontId="93" fillId="26" borderId="2" applyNumberFormat="0" applyAlignment="0">
      <alignment horizontal="left" vertical="top"/>
    </xf>
    <xf numFmtId="164" fontId="93" fillId="26" borderId="2" applyNumberFormat="0" applyAlignment="0">
      <alignment horizontal="left" vertical="top"/>
    </xf>
    <xf numFmtId="164" fontId="93" fillId="26" borderId="2" applyNumberFormat="0" applyAlignment="0">
      <alignment horizontal="left" vertical="top"/>
    </xf>
    <xf numFmtId="0" fontId="94" fillId="0" borderId="19" applyNumberFormat="0" applyFill="0" applyAlignment="0" applyProtection="0"/>
    <xf numFmtId="49" fontId="95" fillId="0" borderId="2">
      <alignment vertical="center"/>
    </xf>
    <xf numFmtId="49" fontId="95" fillId="0" borderId="2">
      <alignment vertical="center"/>
    </xf>
    <xf numFmtId="49" fontId="95" fillId="0" borderId="2">
      <alignment vertical="center"/>
    </xf>
    <xf numFmtId="0" fontId="7" fillId="0" borderId="0"/>
    <xf numFmtId="10" fontId="87" fillId="27" borderId="2" applyNumberFormat="0" applyBorder="0" applyAlignment="0" applyProtection="0"/>
    <xf numFmtId="10" fontId="87" fillId="27" borderId="2" applyNumberFormat="0" applyBorder="0" applyAlignment="0" applyProtection="0"/>
    <xf numFmtId="10" fontId="87" fillId="27" borderId="2" applyNumberFormat="0" applyBorder="0" applyAlignment="0" applyProtection="0"/>
    <xf numFmtId="0" fontId="19" fillId="8" borderId="4" applyNumberFormat="0" applyAlignment="0" applyProtection="0"/>
    <xf numFmtId="0" fontId="19" fillId="8" borderId="4" applyNumberFormat="0" applyAlignment="0" applyProtection="0"/>
    <xf numFmtId="0" fontId="19" fillId="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157" fillId="28" borderId="4" applyNumberFormat="0" applyAlignment="0" applyProtection="0"/>
    <xf numFmtId="0" fontId="96" fillId="0" borderId="2" applyNumberFormat="0" applyAlignment="0">
      <alignment horizontal="center"/>
    </xf>
    <xf numFmtId="0" fontId="96" fillId="0" borderId="2" applyNumberFormat="0" applyAlignment="0">
      <alignment horizontal="center"/>
    </xf>
    <xf numFmtId="0" fontId="96" fillId="0" borderId="2" applyNumberFormat="0" applyAlignment="0">
      <alignment horizontal="center"/>
    </xf>
    <xf numFmtId="0" fontId="97" fillId="0" borderId="20" applyNumberFormat="0" applyFont="0" applyFill="0" applyAlignment="0" applyProtection="0">
      <alignment horizontal="center"/>
    </xf>
    <xf numFmtId="0" fontId="97" fillId="0" borderId="20" applyNumberFormat="0" applyFont="0" applyFill="0" applyAlignment="0" applyProtection="0">
      <alignment horizontal="center"/>
    </xf>
    <xf numFmtId="0" fontId="38" fillId="0" borderId="0"/>
    <xf numFmtId="2" fontId="31" fillId="0" borderId="21" applyBorder="0"/>
    <xf numFmtId="2" fontId="31" fillId="0" borderId="21" applyBorder="0"/>
    <xf numFmtId="2" fontId="31" fillId="0" borderId="21" applyBorder="0"/>
    <xf numFmtId="49" fontId="98" fillId="0" borderId="2" applyNumberFormat="0" applyFont="0" applyFill="0" applyAlignment="0" applyProtection="0">
      <alignment horizontal="center" vertical="center" wrapText="1"/>
    </xf>
    <xf numFmtId="49" fontId="98" fillId="0" borderId="2" applyNumberFormat="0" applyFont="0" applyFill="0" applyAlignment="0" applyProtection="0">
      <alignment horizontal="center" vertical="center" wrapText="1"/>
    </xf>
    <xf numFmtId="49" fontId="98" fillId="0" borderId="2" applyNumberFormat="0" applyFont="0" applyFill="0" applyAlignment="0" applyProtection="0">
      <alignment horizontal="center" vertical="center" wrapText="1"/>
    </xf>
    <xf numFmtId="178" fontId="38" fillId="29" borderId="10">
      <alignment vertical="top" wrapText="1"/>
    </xf>
    <xf numFmtId="0" fontId="30" fillId="0" borderId="0"/>
    <xf numFmtId="0" fontId="9" fillId="0" borderId="0"/>
    <xf numFmtId="189" fontId="9" fillId="0" borderId="0" applyNumberFormat="0" applyFont="0" applyFill="0" applyBorder="0" applyAlignment="0" applyProtection="0"/>
    <xf numFmtId="195" fontId="71" fillId="0" borderId="0" applyFill="0" applyBorder="0" applyAlignment="0"/>
    <xf numFmtId="191" fontId="71" fillId="0" borderId="0" applyFill="0" applyBorder="0" applyAlignment="0"/>
    <xf numFmtId="195" fontId="71" fillId="0" borderId="0" applyFill="0" applyBorder="0" applyAlignment="0"/>
    <xf numFmtId="196" fontId="71" fillId="0" borderId="0" applyFill="0" applyBorder="0" applyAlignment="0"/>
    <xf numFmtId="191" fontId="71" fillId="0" borderId="0" applyFill="0" applyBorder="0" applyAlignment="0"/>
    <xf numFmtId="0" fontId="20" fillId="0" borderId="22" applyNumberFormat="0" applyFill="0" applyAlignment="0" applyProtection="0"/>
    <xf numFmtId="0" fontId="32" fillId="0" borderId="11">
      <alignment horizontal="center"/>
    </xf>
    <xf numFmtId="0" fontId="32" fillId="0" borderId="11">
      <alignment horizontal="center"/>
    </xf>
    <xf numFmtId="38" fontId="50" fillId="0" borderId="0" applyFont="0" applyFill="0" applyBorder="0" applyAlignment="0" applyProtection="0"/>
    <xf numFmtId="40" fontId="50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9" fontId="99" fillId="0" borderId="18"/>
    <xf numFmtId="208" fontId="100" fillId="0" borderId="23"/>
    <xf numFmtId="209" fontId="50" fillId="0" borderId="0" applyFont="0" applyFill="0" applyBorder="0" applyAlignment="0" applyProtection="0"/>
    <xf numFmtId="210" fontId="50" fillId="0" borderId="0" applyFont="0" applyFill="0" applyBorder="0" applyAlignment="0" applyProtection="0"/>
    <xf numFmtId="211" fontId="9" fillId="0" borderId="0" applyFont="0" applyFill="0" applyBorder="0" applyAlignment="0" applyProtection="0"/>
    <xf numFmtId="212" fontId="9" fillId="0" borderId="0" applyFont="0" applyFill="0" applyBorder="0" applyAlignment="0" applyProtection="0"/>
    <xf numFmtId="179" fontId="37" fillId="0" borderId="0" applyNumberFormat="0" applyFont="0" applyFill="0" applyAlignment="0"/>
    <xf numFmtId="0" fontId="101" fillId="0" borderId="0" applyNumberFormat="0" applyFill="0" applyAlignment="0"/>
    <xf numFmtId="168" fontId="102" fillId="20" borderId="0">
      <alignment vertical="top"/>
    </xf>
    <xf numFmtId="168" fontId="102" fillId="20" borderId="0">
      <alignment vertical="top"/>
    </xf>
    <xf numFmtId="168" fontId="102" fillId="20" borderId="0">
      <alignment vertical="top"/>
    </xf>
    <xf numFmtId="0" fontId="15" fillId="30" borderId="0" applyNumberFormat="0" applyBorder="0" applyAlignment="0" applyProtection="0"/>
    <xf numFmtId="0" fontId="7" fillId="0" borderId="0"/>
    <xf numFmtId="37" fontId="103" fillId="0" borderId="0"/>
    <xf numFmtId="0" fontId="104" fillId="0" borderId="2" applyNumberFormat="0" applyFont="0" applyFill="0" applyBorder="0" applyAlignment="0">
      <alignment horizontal="center"/>
    </xf>
    <xf numFmtId="0" fontId="104" fillId="0" borderId="2" applyNumberFormat="0" applyFont="0" applyFill="0" applyBorder="0" applyAlignment="0">
      <alignment horizontal="center"/>
    </xf>
    <xf numFmtId="0" fontId="104" fillId="0" borderId="2" applyNumberFormat="0" applyFont="0" applyFill="0" applyBorder="0" applyAlignment="0">
      <alignment horizontal="center"/>
    </xf>
    <xf numFmtId="213" fontId="105" fillId="0" borderId="0"/>
    <xf numFmtId="212" fontId="158" fillId="0" borderId="0"/>
    <xf numFmtId="179" fontId="80" fillId="0" borderId="0"/>
    <xf numFmtId="0" fontId="193" fillId="0" borderId="0"/>
    <xf numFmtId="0" fontId="9" fillId="0" borderId="0"/>
    <xf numFmtId="0" fontId="68" fillId="0" borderId="0"/>
    <xf numFmtId="0" fontId="9" fillId="0" borderId="0"/>
    <xf numFmtId="0" fontId="195" fillId="0" borderId="0"/>
    <xf numFmtId="0" fontId="195" fillId="0" borderId="0"/>
    <xf numFmtId="0" fontId="196" fillId="0" borderId="0"/>
    <xf numFmtId="0" fontId="196" fillId="0" borderId="0"/>
    <xf numFmtId="0" fontId="193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197" fillId="0" borderId="0"/>
    <xf numFmtId="0" fontId="9" fillId="0" borderId="0"/>
    <xf numFmtId="0" fontId="9" fillId="0" borderId="0"/>
    <xf numFmtId="0" fontId="9" fillId="0" borderId="0"/>
    <xf numFmtId="0" fontId="198" fillId="0" borderId="0"/>
    <xf numFmtId="0" fontId="173" fillId="0" borderId="0"/>
    <xf numFmtId="0" fontId="8" fillId="0" borderId="0">
      <protection locked="0"/>
    </xf>
    <xf numFmtId="0" fontId="193" fillId="0" borderId="0"/>
    <xf numFmtId="0" fontId="192" fillId="0" borderId="0"/>
    <xf numFmtId="0" fontId="45" fillId="0" borderId="0"/>
    <xf numFmtId="214" fontId="9" fillId="0" borderId="0"/>
    <xf numFmtId="0" fontId="27" fillId="0" borderId="0"/>
    <xf numFmtId="0" fontId="114" fillId="0" borderId="0"/>
    <xf numFmtId="0" fontId="12" fillId="0" borderId="0"/>
    <xf numFmtId="0" fontId="6" fillId="0" borderId="0"/>
    <xf numFmtId="0" fontId="9" fillId="0" borderId="0"/>
    <xf numFmtId="179" fontId="9" fillId="0" borderId="0"/>
    <xf numFmtId="0" fontId="9" fillId="0" borderId="0"/>
    <xf numFmtId="179" fontId="9" fillId="0" borderId="0"/>
    <xf numFmtId="179" fontId="9" fillId="0" borderId="0"/>
    <xf numFmtId="215" fontId="9" fillId="0" borderId="0"/>
    <xf numFmtId="0" fontId="198" fillId="0" borderId="0"/>
    <xf numFmtId="215" fontId="9" fillId="0" borderId="0"/>
    <xf numFmtId="214" fontId="9" fillId="0" borderId="0"/>
    <xf numFmtId="214" fontId="9" fillId="0" borderId="0"/>
    <xf numFmtId="0" fontId="101" fillId="0" borderId="0"/>
    <xf numFmtId="0" fontId="191" fillId="0" borderId="0"/>
    <xf numFmtId="0" fontId="193" fillId="0" borderId="0"/>
    <xf numFmtId="0" fontId="12" fillId="0" borderId="0"/>
    <xf numFmtId="0" fontId="9" fillId="0" borderId="0"/>
    <xf numFmtId="0" fontId="198" fillId="0" borderId="0"/>
    <xf numFmtId="0" fontId="193" fillId="0" borderId="0"/>
    <xf numFmtId="0" fontId="193" fillId="0" borderId="0"/>
    <xf numFmtId="0" fontId="193" fillId="0" borderId="0"/>
    <xf numFmtId="0" fontId="199" fillId="0" borderId="0"/>
    <xf numFmtId="0" fontId="194" fillId="0" borderId="0"/>
    <xf numFmtId="0" fontId="9" fillId="0" borderId="0"/>
    <xf numFmtId="0" fontId="194" fillId="0" borderId="0"/>
    <xf numFmtId="0" fontId="192" fillId="0" borderId="0"/>
    <xf numFmtId="193" fontId="9" fillId="0" borderId="0"/>
    <xf numFmtId="0" fontId="9" fillId="0" borderId="0"/>
    <xf numFmtId="0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216" fontId="9" fillId="0" borderId="0"/>
    <xf numFmtId="216" fontId="9" fillId="0" borderId="0"/>
    <xf numFmtId="0" fontId="193" fillId="0" borderId="0"/>
    <xf numFmtId="0" fontId="6" fillId="0" borderId="0"/>
    <xf numFmtId="0" fontId="12" fillId="0" borderId="0"/>
    <xf numFmtId="0" fontId="200" fillId="0" borderId="0"/>
    <xf numFmtId="0" fontId="192" fillId="0" borderId="0"/>
    <xf numFmtId="0" fontId="38" fillId="0" borderId="0"/>
    <xf numFmtId="0" fontId="193" fillId="0" borderId="0"/>
    <xf numFmtId="0" fontId="38" fillId="0" borderId="0"/>
    <xf numFmtId="0" fontId="196" fillId="0" borderId="0"/>
    <xf numFmtId="0" fontId="196" fillId="0" borderId="0"/>
    <xf numFmtId="0" fontId="196" fillId="0" borderId="0"/>
    <xf numFmtId="0" fontId="193" fillId="0" borderId="0"/>
    <xf numFmtId="0" fontId="9" fillId="0" borderId="0"/>
    <xf numFmtId="0" fontId="9" fillId="0" borderId="0"/>
    <xf numFmtId="0" fontId="9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88" fillId="0" borderId="0"/>
    <xf numFmtId="0" fontId="45" fillId="0" borderId="0"/>
    <xf numFmtId="0" fontId="9" fillId="0" borderId="0"/>
    <xf numFmtId="179" fontId="9" fillId="0" borderId="0"/>
    <xf numFmtId="179" fontId="9" fillId="0" borderId="0"/>
    <xf numFmtId="0" fontId="195" fillId="0" borderId="0"/>
    <xf numFmtId="179" fontId="9" fillId="0" borderId="0"/>
    <xf numFmtId="0" fontId="193" fillId="0" borderId="0"/>
    <xf numFmtId="0" fontId="12" fillId="0" borderId="0"/>
    <xf numFmtId="0" fontId="6" fillId="0" borderId="0"/>
    <xf numFmtId="0" fontId="147" fillId="0" borderId="0"/>
    <xf numFmtId="0" fontId="9" fillId="0" borderId="0"/>
    <xf numFmtId="0" fontId="9" fillId="0" borderId="0"/>
    <xf numFmtId="0" fontId="193" fillId="0" borderId="0"/>
    <xf numFmtId="217" fontId="9" fillId="0" borderId="0"/>
    <xf numFmtId="0" fontId="48" fillId="0" borderId="0"/>
    <xf numFmtId="0" fontId="38" fillId="0" borderId="0"/>
    <xf numFmtId="0" fontId="38" fillId="0" borderId="0"/>
    <xf numFmtId="0" fontId="45" fillId="0" borderId="0"/>
    <xf numFmtId="0" fontId="48" fillId="0" borderId="0"/>
    <xf numFmtId="0" fontId="35" fillId="0" borderId="0"/>
    <xf numFmtId="0" fontId="195" fillId="0" borderId="0"/>
    <xf numFmtId="0" fontId="178" fillId="0" borderId="0"/>
    <xf numFmtId="0" fontId="38" fillId="0" borderId="0"/>
    <xf numFmtId="0" fontId="83" fillId="0" borderId="0"/>
    <xf numFmtId="0" fontId="27" fillId="27" borderId="24" applyNumberFormat="0" applyFont="0" applyAlignment="0" applyProtection="0"/>
    <xf numFmtId="0" fontId="9" fillId="27" borderId="24" applyNumberFormat="0" applyFont="0" applyAlignment="0" applyProtection="0"/>
    <xf numFmtId="0" fontId="9" fillId="27" borderId="24" applyNumberFormat="0" applyFont="0" applyAlignment="0" applyProtection="0"/>
    <xf numFmtId="0" fontId="9" fillId="27" borderId="24" applyNumberFormat="0" applyFont="0" applyAlignment="0" applyProtection="0"/>
    <xf numFmtId="169" fontId="53" fillId="0" borderId="0" applyFont="0" applyFill="0" applyBorder="0" applyAlignment="0" applyProtection="0"/>
    <xf numFmtId="167" fontId="53" fillId="0" borderId="0" applyFont="0" applyFill="0" applyBorder="0" applyAlignment="0" applyProtection="0"/>
    <xf numFmtId="17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7" fillId="0" borderId="0"/>
    <xf numFmtId="0" fontId="26" fillId="2" borderId="25" applyNumberFormat="0" applyAlignment="0" applyProtection="0"/>
    <xf numFmtId="0" fontId="26" fillId="2" borderId="25" applyNumberFormat="0" applyAlignment="0" applyProtection="0"/>
    <xf numFmtId="0" fontId="26" fillId="2" borderId="25" applyNumberFormat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4" fontId="65" fillId="0" borderId="0">
      <alignment horizontal="center" wrapText="1"/>
      <protection locked="0"/>
    </xf>
    <xf numFmtId="9" fontId="191" fillId="0" borderId="0" applyFont="0" applyFill="0" applyBorder="0" applyAlignment="0" applyProtection="0"/>
    <xf numFmtId="194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177" fontId="27" fillId="0" borderId="0" applyNumberFormat="0" applyFont="0" applyFill="0" applyBorder="0" applyAlignment="0" applyProtection="0"/>
    <xf numFmtId="177" fontId="9" fillId="0" borderId="0" applyNumberFormat="0" applyFont="0" applyFill="0" applyBorder="0" applyAlignment="0" applyProtection="0"/>
    <xf numFmtId="9" fontId="193" fillId="0" borderId="0" applyFont="0" applyFill="0" applyBorder="0" applyAlignment="0" applyProtection="0"/>
    <xf numFmtId="9" fontId="14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6" fillId="0" borderId="0" applyFont="0" applyFill="0" applyBorder="0" applyAlignment="0" applyProtection="0">
      <alignment vertical="center"/>
    </xf>
    <xf numFmtId="9" fontId="50" fillId="0" borderId="26" applyNumberFormat="0" applyBorder="0"/>
    <xf numFmtId="195" fontId="71" fillId="0" borderId="0" applyFill="0" applyBorder="0" applyAlignment="0"/>
    <xf numFmtId="191" fontId="71" fillId="0" borderId="0" applyFill="0" applyBorder="0" applyAlignment="0"/>
    <xf numFmtId="195" fontId="71" fillId="0" borderId="0" applyFill="0" applyBorder="0" applyAlignment="0"/>
    <xf numFmtId="196" fontId="71" fillId="0" borderId="0" applyFill="0" applyBorder="0" applyAlignment="0"/>
    <xf numFmtId="191" fontId="71" fillId="0" borderId="0" applyFill="0" applyBorder="0" applyAlignment="0"/>
    <xf numFmtId="4" fontId="9" fillId="0" borderId="2">
      <alignment wrapText="1"/>
    </xf>
    <xf numFmtId="4" fontId="9" fillId="0" borderId="2">
      <alignment wrapText="1"/>
    </xf>
    <xf numFmtId="4" fontId="9" fillId="0" borderId="2">
      <alignment wrapText="1"/>
    </xf>
    <xf numFmtId="179" fontId="107" fillId="0" borderId="0"/>
    <xf numFmtId="2" fontId="34" fillId="0" borderId="2"/>
    <xf numFmtId="2" fontId="34" fillId="0" borderId="2"/>
    <xf numFmtId="2" fontId="34" fillId="0" borderId="2"/>
    <xf numFmtId="179" fontId="50" fillId="0" borderId="0" applyNumberFormat="0" applyFont="0" applyFill="0" applyBorder="0" applyAlignment="0" applyProtection="0">
      <alignment horizontal="left"/>
    </xf>
    <xf numFmtId="15" fontId="50" fillId="0" borderId="0" applyFont="0" applyFill="0" applyBorder="0" applyAlignment="0" applyProtection="0"/>
    <xf numFmtId="4" fontId="50" fillId="0" borderId="0" applyFont="0" applyFill="0" applyBorder="0" applyAlignment="0" applyProtection="0"/>
    <xf numFmtId="179" fontId="108" fillId="0" borderId="18">
      <alignment horizontal="center"/>
    </xf>
    <xf numFmtId="3" fontId="50" fillId="0" borderId="0" applyFont="0" applyFill="0" applyBorder="0" applyAlignment="0" applyProtection="0"/>
    <xf numFmtId="0" fontId="50" fillId="31" borderId="0" applyNumberFormat="0" applyFont="0" applyBorder="0" applyAlignment="0" applyProtection="0"/>
    <xf numFmtId="179" fontId="109" fillId="32" borderId="0" applyNumberFormat="0" applyFont="0" applyBorder="0" applyAlignment="0">
      <alignment horizontal="center"/>
    </xf>
    <xf numFmtId="14" fontId="110" fillId="0" borderId="0" applyNumberFormat="0" applyFill="0" applyBorder="0" applyAlignment="0" applyProtection="0">
      <alignment horizontal="left"/>
    </xf>
    <xf numFmtId="0" fontId="38" fillId="0" borderId="0" applyNumberFormat="0" applyFill="0" applyBorder="0" applyAlignment="0" applyProtection="0"/>
    <xf numFmtId="3" fontId="101" fillId="0" borderId="27">
      <alignment horizontal="right" wrapText="1"/>
    </xf>
    <xf numFmtId="4" fontId="111" fillId="30" borderId="28" applyNumberFormat="0" applyProtection="0">
      <alignment vertical="center"/>
    </xf>
    <xf numFmtId="4" fontId="111" fillId="30" borderId="28" applyNumberFormat="0" applyProtection="0">
      <alignment vertical="center"/>
    </xf>
    <xf numFmtId="4" fontId="111" fillId="30" borderId="28" applyNumberFormat="0" applyProtection="0">
      <alignment vertical="center"/>
    </xf>
    <xf numFmtId="4" fontId="112" fillId="30" borderId="28" applyNumberFormat="0" applyProtection="0">
      <alignment vertical="center"/>
    </xf>
    <xf numFmtId="4" fontId="112" fillId="30" borderId="28" applyNumberFormat="0" applyProtection="0">
      <alignment vertical="center"/>
    </xf>
    <xf numFmtId="4" fontId="112" fillId="30" borderId="28" applyNumberFormat="0" applyProtection="0">
      <alignment vertical="center"/>
    </xf>
    <xf numFmtId="4" fontId="113" fillId="30" borderId="28" applyNumberFormat="0" applyProtection="0">
      <alignment horizontal="left" vertical="center" indent="1"/>
    </xf>
    <xf numFmtId="4" fontId="113" fillId="30" borderId="28" applyNumberFormat="0" applyProtection="0">
      <alignment horizontal="left" vertical="center" indent="1"/>
    </xf>
    <xf numFmtId="4" fontId="113" fillId="30" borderId="28" applyNumberFormat="0" applyProtection="0">
      <alignment horizontal="left" vertical="center" indent="1"/>
    </xf>
    <xf numFmtId="4" fontId="113" fillId="33" borderId="0" applyNumberFormat="0" applyProtection="0">
      <alignment horizontal="left" vertical="center" indent="1"/>
    </xf>
    <xf numFmtId="4" fontId="113" fillId="20" borderId="28" applyNumberFormat="0" applyProtection="0">
      <alignment horizontal="right" vertical="center"/>
    </xf>
    <xf numFmtId="4" fontId="113" fillId="20" borderId="28" applyNumberFormat="0" applyProtection="0">
      <alignment horizontal="right" vertical="center"/>
    </xf>
    <xf numFmtId="4" fontId="113" fillId="20" borderId="28" applyNumberFormat="0" applyProtection="0">
      <alignment horizontal="right" vertical="center"/>
    </xf>
    <xf numFmtId="4" fontId="113" fillId="4" borderId="28" applyNumberFormat="0" applyProtection="0">
      <alignment horizontal="right" vertical="center"/>
    </xf>
    <xf numFmtId="4" fontId="113" fillId="4" borderId="28" applyNumberFormat="0" applyProtection="0">
      <alignment horizontal="right" vertical="center"/>
    </xf>
    <xf numFmtId="4" fontId="113" fillId="4" borderId="28" applyNumberFormat="0" applyProtection="0">
      <alignment horizontal="right" vertical="center"/>
    </xf>
    <xf numFmtId="4" fontId="113" fillId="10" borderId="28" applyNumberFormat="0" applyProtection="0">
      <alignment horizontal="right" vertical="center"/>
    </xf>
    <xf numFmtId="4" fontId="113" fillId="10" borderId="28" applyNumberFormat="0" applyProtection="0">
      <alignment horizontal="right" vertical="center"/>
    </xf>
    <xf numFmtId="4" fontId="113" fillId="10" borderId="28" applyNumberFormat="0" applyProtection="0">
      <alignment horizontal="right" vertical="center"/>
    </xf>
    <xf numFmtId="4" fontId="113" fillId="5" borderId="28" applyNumberFormat="0" applyProtection="0">
      <alignment horizontal="right" vertical="center"/>
    </xf>
    <xf numFmtId="4" fontId="113" fillId="5" borderId="28" applyNumberFormat="0" applyProtection="0">
      <alignment horizontal="right" vertical="center"/>
    </xf>
    <xf numFmtId="4" fontId="113" fillId="5" borderId="28" applyNumberFormat="0" applyProtection="0">
      <alignment horizontal="right" vertical="center"/>
    </xf>
    <xf numFmtId="4" fontId="113" fillId="12" borderId="28" applyNumberFormat="0" applyProtection="0">
      <alignment horizontal="right" vertical="center"/>
    </xf>
    <xf numFmtId="4" fontId="113" fillId="12" borderId="28" applyNumberFormat="0" applyProtection="0">
      <alignment horizontal="right" vertical="center"/>
    </xf>
    <xf numFmtId="4" fontId="113" fillId="12" borderId="28" applyNumberFormat="0" applyProtection="0">
      <alignment horizontal="right" vertical="center"/>
    </xf>
    <xf numFmtId="4" fontId="113" fillId="8" borderId="28" applyNumberFormat="0" applyProtection="0">
      <alignment horizontal="right" vertical="center"/>
    </xf>
    <xf numFmtId="4" fontId="113" fillId="8" borderId="28" applyNumberFormat="0" applyProtection="0">
      <alignment horizontal="right" vertical="center"/>
    </xf>
    <xf numFmtId="4" fontId="113" fillId="8" borderId="28" applyNumberFormat="0" applyProtection="0">
      <alignment horizontal="right" vertical="center"/>
    </xf>
    <xf numFmtId="4" fontId="113" fillId="34" borderId="28" applyNumberFormat="0" applyProtection="0">
      <alignment horizontal="right" vertical="center"/>
    </xf>
    <xf numFmtId="4" fontId="113" fillId="34" borderId="28" applyNumberFormat="0" applyProtection="0">
      <alignment horizontal="right" vertical="center"/>
    </xf>
    <xf numFmtId="4" fontId="113" fillId="34" borderId="28" applyNumberFormat="0" applyProtection="0">
      <alignment horizontal="right" vertical="center"/>
    </xf>
    <xf numFmtId="4" fontId="113" fillId="21" borderId="28" applyNumberFormat="0" applyProtection="0">
      <alignment horizontal="right" vertical="center"/>
    </xf>
    <xf numFmtId="4" fontId="113" fillId="21" borderId="28" applyNumberFormat="0" applyProtection="0">
      <alignment horizontal="right" vertical="center"/>
    </xf>
    <xf numFmtId="4" fontId="113" fillId="21" borderId="28" applyNumberFormat="0" applyProtection="0">
      <alignment horizontal="right" vertical="center"/>
    </xf>
    <xf numFmtId="4" fontId="113" fillId="35" borderId="28" applyNumberFormat="0" applyProtection="0">
      <alignment horizontal="right" vertical="center"/>
    </xf>
    <xf numFmtId="4" fontId="113" fillId="35" borderId="28" applyNumberFormat="0" applyProtection="0">
      <alignment horizontal="right" vertical="center"/>
    </xf>
    <xf numFmtId="4" fontId="113" fillId="35" borderId="28" applyNumberFormat="0" applyProtection="0">
      <alignment horizontal="right" vertical="center"/>
    </xf>
    <xf numFmtId="4" fontId="111" fillId="36" borderId="29" applyNumberFormat="0" applyProtection="0">
      <alignment horizontal="left" vertical="center" indent="1"/>
    </xf>
    <xf numFmtId="4" fontId="111" fillId="9" borderId="0" applyNumberFormat="0" applyProtection="0">
      <alignment horizontal="left" vertical="center" indent="1"/>
    </xf>
    <xf numFmtId="4" fontId="111" fillId="33" borderId="0" applyNumberFormat="0" applyProtection="0">
      <alignment horizontal="left" vertical="center" indent="1"/>
    </xf>
    <xf numFmtId="4" fontId="113" fillId="9" borderId="28" applyNumberFormat="0" applyProtection="0">
      <alignment horizontal="right" vertical="center"/>
    </xf>
    <xf numFmtId="4" fontId="113" fillId="9" borderId="28" applyNumberFormat="0" applyProtection="0">
      <alignment horizontal="right" vertical="center"/>
    </xf>
    <xf numFmtId="4" fontId="113" fillId="9" borderId="28" applyNumberFormat="0" applyProtection="0">
      <alignment horizontal="right" vertical="center"/>
    </xf>
    <xf numFmtId="4" fontId="114" fillId="9" borderId="0" applyNumberFormat="0" applyProtection="0">
      <alignment horizontal="left" vertical="center" indent="1"/>
    </xf>
    <xf numFmtId="4" fontId="114" fillId="33" borderId="0" applyNumberFormat="0" applyProtection="0">
      <alignment horizontal="left" vertical="center" indent="1"/>
    </xf>
    <xf numFmtId="4" fontId="113" fillId="37" borderId="28" applyNumberFormat="0" applyProtection="0">
      <alignment vertical="center"/>
    </xf>
    <xf numFmtId="4" fontId="113" fillId="37" borderId="28" applyNumberFormat="0" applyProtection="0">
      <alignment vertical="center"/>
    </xf>
    <xf numFmtId="4" fontId="113" fillId="37" borderId="28" applyNumberFormat="0" applyProtection="0">
      <alignment vertical="center"/>
    </xf>
    <xf numFmtId="4" fontId="115" fillId="37" borderId="28" applyNumberFormat="0" applyProtection="0">
      <alignment vertical="center"/>
    </xf>
    <xf numFmtId="4" fontId="115" fillId="37" borderId="28" applyNumberFormat="0" applyProtection="0">
      <alignment vertical="center"/>
    </xf>
    <xf numFmtId="4" fontId="115" fillId="37" borderId="28" applyNumberFormat="0" applyProtection="0">
      <alignment vertical="center"/>
    </xf>
    <xf numFmtId="4" fontId="111" fillId="9" borderId="30" applyNumberFormat="0" applyProtection="0">
      <alignment horizontal="left" vertical="center" indent="1"/>
    </xf>
    <xf numFmtId="4" fontId="111" fillId="9" borderId="30" applyNumberFormat="0" applyProtection="0">
      <alignment horizontal="left" vertical="center" indent="1"/>
    </xf>
    <xf numFmtId="4" fontId="111" fillId="9" borderId="30" applyNumberFormat="0" applyProtection="0">
      <alignment horizontal="left" vertical="center" indent="1"/>
    </xf>
    <xf numFmtId="4" fontId="113" fillId="37" borderId="28" applyNumberFormat="0" applyProtection="0">
      <alignment horizontal="right" vertical="center"/>
    </xf>
    <xf numFmtId="4" fontId="113" fillId="37" borderId="28" applyNumberFormat="0" applyProtection="0">
      <alignment horizontal="right" vertical="center"/>
    </xf>
    <xf numFmtId="4" fontId="113" fillId="37" borderId="28" applyNumberFormat="0" applyProtection="0">
      <alignment horizontal="right" vertical="center"/>
    </xf>
    <xf numFmtId="4" fontId="115" fillId="37" borderId="28" applyNumberFormat="0" applyProtection="0">
      <alignment horizontal="right" vertical="center"/>
    </xf>
    <xf numFmtId="4" fontId="115" fillId="37" borderId="28" applyNumberFormat="0" applyProtection="0">
      <alignment horizontal="right" vertical="center"/>
    </xf>
    <xf numFmtId="4" fontId="115" fillId="37" borderId="28" applyNumberFormat="0" applyProtection="0">
      <alignment horizontal="right" vertical="center"/>
    </xf>
    <xf numFmtId="4" fontId="111" fillId="9" borderId="28" applyNumberFormat="0" applyProtection="0">
      <alignment horizontal="left" vertical="center" indent="1"/>
    </xf>
    <xf numFmtId="4" fontId="111" fillId="9" borderId="28" applyNumberFormat="0" applyProtection="0">
      <alignment horizontal="left" vertical="center" indent="1"/>
    </xf>
    <xf numFmtId="4" fontId="111" fillId="9" borderId="28" applyNumberFormat="0" applyProtection="0">
      <alignment horizontal="left" vertical="center" indent="1"/>
    </xf>
    <xf numFmtId="4" fontId="116" fillId="26" borderId="30" applyNumberFormat="0" applyProtection="0">
      <alignment horizontal="left" vertical="center" indent="1"/>
    </xf>
    <xf numFmtId="4" fontId="116" fillId="26" borderId="30" applyNumberFormat="0" applyProtection="0">
      <alignment horizontal="left" vertical="center" indent="1"/>
    </xf>
    <xf numFmtId="4" fontId="116" fillId="26" borderId="30" applyNumberFormat="0" applyProtection="0">
      <alignment horizontal="left" vertical="center" indent="1"/>
    </xf>
    <xf numFmtId="4" fontId="117" fillId="37" borderId="28" applyNumberFormat="0" applyProtection="0">
      <alignment horizontal="right" vertical="center"/>
    </xf>
    <xf numFmtId="4" fontId="117" fillId="37" borderId="28" applyNumberFormat="0" applyProtection="0">
      <alignment horizontal="right" vertical="center"/>
    </xf>
    <xf numFmtId="4" fontId="117" fillId="37" borderId="28" applyNumberFormat="0" applyProtection="0">
      <alignment horizontal="right" vertical="center"/>
    </xf>
    <xf numFmtId="219" fontId="118" fillId="0" borderId="0" applyFont="0" applyFill="0" applyBorder="0" applyAlignment="0" applyProtection="0"/>
    <xf numFmtId="0" fontId="119" fillId="38" borderId="31"/>
    <xf numFmtId="179" fontId="109" fillId="1" borderId="14" applyNumberFormat="0" applyFont="0" applyAlignment="0">
      <alignment horizontal="center"/>
    </xf>
    <xf numFmtId="179" fontId="109" fillId="1" borderId="14" applyNumberFormat="0" applyFont="0" applyAlignment="0">
      <alignment horizontal="center"/>
    </xf>
    <xf numFmtId="179" fontId="109" fillId="1" borderId="14" applyNumberFormat="0" applyFont="0" applyAlignment="0">
      <alignment horizontal="center"/>
    </xf>
    <xf numFmtId="220" fontId="9" fillId="0" borderId="0">
      <alignment horizontal="right" vertical="center"/>
    </xf>
    <xf numFmtId="3" fontId="30" fillId="0" borderId="0"/>
    <xf numFmtId="179" fontId="120" fillId="0" borderId="0" applyNumberFormat="0" applyFill="0" applyBorder="0" applyAlignment="0">
      <alignment horizontal="center"/>
    </xf>
    <xf numFmtId="221" fontId="50" fillId="0" borderId="0">
      <alignment horizontal="center"/>
    </xf>
    <xf numFmtId="176" fontId="159" fillId="0" borderId="0" applyNumberFormat="0" applyBorder="0" applyAlignment="0">
      <alignment horizontal="centerContinuous"/>
    </xf>
    <xf numFmtId="179" fontId="49" fillId="0" borderId="0"/>
    <xf numFmtId="0" fontId="45" fillId="0" borderId="0"/>
    <xf numFmtId="0" fontId="48" fillId="0" borderId="0" applyNumberForma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76" fontId="40" fillId="0" borderId="0" applyFont="0" applyFill="0" applyBorder="0" applyAlignment="0" applyProtection="0"/>
    <xf numFmtId="222" fontId="77" fillId="0" borderId="0" applyFont="0" applyFill="0" applyBorder="0" applyAlignment="0" applyProtection="0"/>
    <xf numFmtId="179" fontId="99" fillId="0" borderId="0"/>
    <xf numFmtId="40" fontId="121" fillId="0" borderId="0" applyBorder="0">
      <alignment horizontal="right"/>
    </xf>
    <xf numFmtId="203" fontId="82" fillId="0" borderId="0" applyFont="0">
      <protection locked="0"/>
    </xf>
    <xf numFmtId="173" fontId="89" fillId="0" borderId="7">
      <alignment horizontal="right" vertical="center"/>
    </xf>
    <xf numFmtId="173" fontId="89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173" fontId="89" fillId="0" borderId="7">
      <alignment horizontal="right" vertical="center"/>
    </xf>
    <xf numFmtId="173" fontId="8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174" fontId="158" fillId="0" borderId="7">
      <alignment horizontal="right" vertical="center"/>
    </xf>
    <xf numFmtId="174" fontId="158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3" fontId="9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5" fontId="122" fillId="2" borderId="32" applyFont="0" applyFill="0" applyBorder="0"/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6" fontId="101" fillId="0" borderId="7">
      <alignment horizontal="right" vertical="center"/>
    </xf>
    <xf numFmtId="226" fontId="101" fillId="0" borderId="7">
      <alignment horizontal="right" vertical="center"/>
    </xf>
    <xf numFmtId="173" fontId="89" fillId="0" borderId="7">
      <alignment horizontal="right" vertical="center"/>
    </xf>
    <xf numFmtId="173" fontId="89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4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221" fontId="77" fillId="0" borderId="7">
      <alignment horizontal="right" vertical="center"/>
    </xf>
    <xf numFmtId="174" fontId="158" fillId="0" borderId="7">
      <alignment horizontal="right" vertical="center"/>
    </xf>
    <xf numFmtId="174" fontId="158" fillId="0" borderId="7">
      <alignment horizontal="right" vertical="center"/>
    </xf>
    <xf numFmtId="3" fontId="123" fillId="23" borderId="2" applyFill="0" applyAlignment="0" applyProtection="0">
      <alignment horizontal="justify" vertical="center"/>
    </xf>
    <xf numFmtId="3" fontId="123" fillId="23" borderId="2" applyFill="0" applyAlignment="0" applyProtection="0">
      <alignment horizontal="justify" vertical="center"/>
    </xf>
    <xf numFmtId="3" fontId="123" fillId="23" borderId="2" applyFill="0" applyAlignment="0" applyProtection="0">
      <alignment horizontal="justify" vertical="center"/>
    </xf>
    <xf numFmtId="49" fontId="114" fillId="0" borderId="0" applyFill="0" applyBorder="0" applyAlignment="0"/>
    <xf numFmtId="227" fontId="9" fillId="0" borderId="0" applyFill="0" applyBorder="0" applyAlignment="0"/>
    <xf numFmtId="228" fontId="9" fillId="0" borderId="0" applyFill="0" applyBorder="0" applyAlignment="0"/>
    <xf numFmtId="229" fontId="89" fillId="0" borderId="7">
      <alignment horizontal="center"/>
    </xf>
    <xf numFmtId="229" fontId="89" fillId="0" borderId="7">
      <alignment horizontal="center"/>
    </xf>
    <xf numFmtId="179" fontId="78" fillId="0" borderId="33"/>
    <xf numFmtId="0" fontId="7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9" fontId="34" fillId="0" borderId="0" applyNumberFormat="0" applyFill="0" applyBorder="0" applyAlignment="0" applyProtection="0"/>
    <xf numFmtId="0" fontId="40" fillId="0" borderId="20" applyNumberFormat="0" applyBorder="0" applyAlignment="0"/>
    <xf numFmtId="0" fontId="40" fillId="0" borderId="20" applyNumberFormat="0" applyBorder="0" applyAlignment="0"/>
    <xf numFmtId="0" fontId="160" fillId="0" borderId="23" applyNumberFormat="0" applyBorder="0" applyAlignment="0">
      <alignment horizontal="center"/>
    </xf>
    <xf numFmtId="3" fontId="124" fillId="0" borderId="12" applyNumberFormat="0" applyBorder="0" applyAlignment="0"/>
    <xf numFmtId="3" fontId="161" fillId="0" borderId="0" applyNumberFormat="0" applyFill="0" applyBorder="0" applyAlignment="0" applyProtection="0">
      <alignment horizontal="center" wrapText="1"/>
    </xf>
    <xf numFmtId="0" fontId="162" fillId="0" borderId="21" applyBorder="0" applyAlignment="0">
      <alignment horizontal="center" vertical="center"/>
    </xf>
    <xf numFmtId="0" fontId="162" fillId="0" borderId="21" applyBorder="0" applyAlignment="0">
      <alignment horizontal="center" vertical="center"/>
    </xf>
    <xf numFmtId="0" fontId="162" fillId="0" borderId="21" applyBorder="0" applyAlignment="0">
      <alignment horizontal="center" vertical="center"/>
    </xf>
    <xf numFmtId="0" fontId="163" fillId="0" borderId="0" applyNumberFormat="0" applyFill="0" applyBorder="0" applyAlignment="0" applyProtection="0">
      <alignment horizontal="centerContinuous"/>
    </xf>
    <xf numFmtId="0" fontId="156" fillId="0" borderId="34" applyNumberFormat="0" applyFill="0" applyBorder="0" applyAlignment="0" applyProtection="0">
      <alignment horizontal="center" vertical="center" wrapText="1"/>
    </xf>
    <xf numFmtId="0" fontId="10" fillId="0" borderId="0" applyNumberFormat="0" applyFill="0" applyBorder="0" applyAlignment="0" applyProtection="0"/>
    <xf numFmtId="0" fontId="164" fillId="0" borderId="35" applyNumberFormat="0" applyBorder="0" applyAlignment="0">
      <alignment vertical="center"/>
    </xf>
    <xf numFmtId="0" fontId="17" fillId="0" borderId="36" applyNumberFormat="0" applyFill="0" applyAlignment="0" applyProtection="0"/>
    <xf numFmtId="0" fontId="17" fillId="0" borderId="36" applyNumberFormat="0" applyFill="0" applyAlignment="0" applyProtection="0"/>
    <xf numFmtId="0" fontId="17" fillId="0" borderId="36" applyNumberFormat="0" applyFill="0" applyAlignment="0" applyProtection="0"/>
    <xf numFmtId="179" fontId="9" fillId="0" borderId="37" applyNumberFormat="0" applyFont="0" applyFill="0" applyAlignment="0" applyProtection="0"/>
    <xf numFmtId="0" fontId="165" fillId="0" borderId="38">
      <alignment horizontal="center"/>
    </xf>
    <xf numFmtId="203" fontId="82" fillId="0" borderId="0" applyFont="0">
      <alignment horizontal="center"/>
      <protection locked="0"/>
    </xf>
    <xf numFmtId="37" fontId="87" fillId="30" borderId="0" applyNumberFormat="0" applyBorder="0" applyAlignment="0" applyProtection="0"/>
    <xf numFmtId="37" fontId="87" fillId="0" borderId="0"/>
    <xf numFmtId="37" fontId="87" fillId="2" borderId="0" applyNumberFormat="0" applyBorder="0" applyAlignment="0" applyProtection="0"/>
    <xf numFmtId="3" fontId="125" fillId="0" borderId="19" applyProtection="0"/>
    <xf numFmtId="0" fontId="126" fillId="0" borderId="0"/>
    <xf numFmtId="0" fontId="33" fillId="0" borderId="39">
      <alignment horizontal="center"/>
    </xf>
    <xf numFmtId="230" fontId="89" fillId="0" borderId="0"/>
    <xf numFmtId="172" fontId="89" fillId="0" borderId="2"/>
    <xf numFmtId="172" fontId="89" fillId="0" borderId="2"/>
    <xf numFmtId="172" fontId="89" fillId="0" borderId="2"/>
    <xf numFmtId="3" fontId="38" fillId="20" borderId="10">
      <alignment horizontal="right" vertical="top" wrapText="1"/>
    </xf>
    <xf numFmtId="179" fontId="127" fillId="0" borderId="0"/>
    <xf numFmtId="3" fontId="77" fillId="0" borderId="0" applyNumberFormat="0" applyBorder="0" applyAlignment="0" applyProtection="0">
      <alignment horizontal="centerContinuous"/>
      <protection locked="0"/>
    </xf>
    <xf numFmtId="3" fontId="128" fillId="0" borderId="0">
      <protection locked="0"/>
    </xf>
    <xf numFmtId="179" fontId="127" fillId="0" borderId="0"/>
    <xf numFmtId="164" fontId="129" fillId="39" borderId="21">
      <alignment vertical="top"/>
    </xf>
    <xf numFmtId="164" fontId="129" fillId="39" borderId="21">
      <alignment vertical="top"/>
    </xf>
    <xf numFmtId="164" fontId="129" fillId="39" borderId="21">
      <alignment vertical="top"/>
    </xf>
    <xf numFmtId="164" fontId="129" fillId="39" borderId="21">
      <alignment vertical="top"/>
    </xf>
    <xf numFmtId="179" fontId="130" fillId="40" borderId="2">
      <alignment horizontal="left" vertical="center"/>
    </xf>
    <xf numFmtId="179" fontId="130" fillId="40" borderId="2">
      <alignment horizontal="left" vertical="center"/>
    </xf>
    <xf numFmtId="179" fontId="130" fillId="40" borderId="2">
      <alignment horizontal="left" vertical="center"/>
    </xf>
    <xf numFmtId="165" fontId="131" fillId="41" borderId="21"/>
    <xf numFmtId="165" fontId="131" fillId="41" borderId="21"/>
    <xf numFmtId="165" fontId="131" fillId="41" borderId="21"/>
    <xf numFmtId="165" fontId="131" fillId="41" borderId="21"/>
    <xf numFmtId="164" fontId="93" fillId="0" borderId="21">
      <alignment horizontal="left" vertical="top"/>
    </xf>
    <xf numFmtId="164" fontId="93" fillId="0" borderId="21">
      <alignment horizontal="left" vertical="top"/>
    </xf>
    <xf numFmtId="164" fontId="93" fillId="0" borderId="21">
      <alignment horizontal="left" vertical="top"/>
    </xf>
    <xf numFmtId="164" fontId="93" fillId="0" borderId="21">
      <alignment horizontal="left" vertical="top"/>
    </xf>
    <xf numFmtId="179" fontId="132" fillId="42" borderId="0">
      <alignment horizontal="left" vertical="center"/>
    </xf>
    <xf numFmtId="164" fontId="48" fillId="0" borderId="8">
      <alignment horizontal="left" vertical="top"/>
    </xf>
    <xf numFmtId="164" fontId="48" fillId="0" borderId="8">
      <alignment horizontal="left" vertical="top"/>
    </xf>
    <xf numFmtId="164" fontId="48" fillId="0" borderId="8">
      <alignment horizontal="left" vertical="top"/>
    </xf>
    <xf numFmtId="179" fontId="133" fillId="0" borderId="8">
      <alignment horizontal="left" vertical="center"/>
    </xf>
    <xf numFmtId="214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66" fillId="0" borderId="40" applyNumberFormat="0" applyFont="0" applyAlignment="0">
      <alignment horizontal="center"/>
    </xf>
    <xf numFmtId="179" fontId="134" fillId="0" borderId="0" applyNumberFormat="0" applyFill="0" applyBorder="0" applyAlignment="0" applyProtection="0"/>
    <xf numFmtId="166" fontId="135" fillId="0" borderId="0" applyFont="0" applyFill="0" applyBorder="0" applyAlignment="0" applyProtection="0"/>
    <xf numFmtId="168" fontId="135" fillId="0" borderId="0" applyFont="0" applyFill="0" applyBorder="0" applyAlignment="0" applyProtection="0"/>
    <xf numFmtId="0" fontId="135" fillId="0" borderId="0"/>
    <xf numFmtId="179" fontId="136" fillId="0" borderId="0" applyFont="0" applyFill="0" applyBorder="0" applyAlignment="0" applyProtection="0"/>
    <xf numFmtId="179" fontId="136" fillId="0" borderId="0" applyFont="0" applyFill="0" applyBorder="0" applyAlignment="0" applyProtection="0"/>
    <xf numFmtId="179" fontId="45" fillId="0" borderId="0">
      <alignment vertical="center"/>
    </xf>
    <xf numFmtId="40" fontId="137" fillId="0" borderId="0" applyFont="0" applyFill="0" applyBorder="0" applyAlignment="0" applyProtection="0"/>
    <xf numFmtId="38" fontId="137" fillId="0" borderId="0" applyFont="0" applyFill="0" applyBorder="0" applyAlignment="0" applyProtection="0"/>
    <xf numFmtId="179" fontId="137" fillId="0" borderId="0" applyFont="0" applyFill="0" applyBorder="0" applyAlignment="0" applyProtection="0"/>
    <xf numFmtId="179" fontId="137" fillId="0" borderId="0" applyFont="0" applyFill="0" applyBorder="0" applyAlignment="0" applyProtection="0"/>
    <xf numFmtId="9" fontId="138" fillId="0" borderId="0" applyFont="0" applyFill="0" applyBorder="0" applyAlignment="0" applyProtection="0"/>
    <xf numFmtId="179" fontId="139" fillId="0" borderId="0"/>
    <xf numFmtId="231" fontId="29" fillId="0" borderId="0" applyFont="0" applyFill="0" applyBorder="0" applyAlignment="0" applyProtection="0"/>
    <xf numFmtId="232" fontId="9" fillId="0" borderId="0" applyFont="0" applyFill="0" applyBorder="0" applyAlignment="0" applyProtection="0"/>
    <xf numFmtId="181" fontId="167" fillId="0" borderId="0" applyFont="0" applyFill="0" applyBorder="0" applyAlignment="0" applyProtection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184" fontId="80" fillId="0" borderId="0" applyFont="0" applyFill="0" applyBorder="0" applyAlignment="0" applyProtection="0"/>
    <xf numFmtId="188" fontId="80" fillId="0" borderId="0" applyFont="0" applyFill="0" applyBorder="0" applyAlignment="0" applyProtection="0"/>
    <xf numFmtId="0" fontId="80" fillId="0" borderId="0"/>
    <xf numFmtId="0" fontId="140" fillId="0" borderId="0"/>
    <xf numFmtId="0" fontId="80" fillId="0" borderId="0"/>
    <xf numFmtId="0" fontId="168" fillId="0" borderId="0"/>
    <xf numFmtId="179" fontId="37" fillId="0" borderId="0"/>
    <xf numFmtId="167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141" fillId="0" borderId="0"/>
    <xf numFmtId="181" fontId="142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69" fillId="0" borderId="0"/>
    <xf numFmtId="174" fontId="32" fillId="0" borderId="0" applyFont="0" applyFill="0" applyBorder="0" applyAlignment="0" applyProtection="0"/>
    <xf numFmtId="173" fontId="44" fillId="0" borderId="0" applyFont="0" applyFill="0" applyBorder="0" applyAlignment="0" applyProtection="0"/>
    <xf numFmtId="175" fontId="32" fillId="0" borderId="0" applyFont="0" applyFill="0" applyBorder="0" applyAlignment="0" applyProtection="0"/>
    <xf numFmtId="168" fontId="142" fillId="0" borderId="0" applyFont="0" applyFill="0" applyBorder="0" applyAlignment="0" applyProtection="0"/>
    <xf numFmtId="166" fontId="142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171" fontId="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0">
    <xf numFmtId="0" fontId="0" fillId="0" borderId="0" xfId="0"/>
    <xf numFmtId="0" fontId="0" fillId="0" borderId="0" xfId="0" applyAlignment="1">
      <alignment vertical="center"/>
    </xf>
    <xf numFmtId="0" fontId="173" fillId="43" borderId="0" xfId="549" applyFont="1" applyFill="1" applyAlignment="1">
      <alignment vertical="center"/>
    </xf>
    <xf numFmtId="0" fontId="173" fillId="43" borderId="0" xfId="549" applyFont="1" applyFill="1" applyAlignment="1">
      <alignment vertical="center" wrapText="1"/>
    </xf>
    <xf numFmtId="2" fontId="173" fillId="43" borderId="0" xfId="549" applyNumberFormat="1" applyFont="1" applyFill="1" applyAlignment="1">
      <alignment vertical="center"/>
    </xf>
    <xf numFmtId="2" fontId="173" fillId="43" borderId="0" xfId="549" applyNumberFormat="1" applyFont="1" applyFill="1" applyAlignment="1">
      <alignment horizontal="right" vertical="center"/>
    </xf>
    <xf numFmtId="0" fontId="173" fillId="43" borderId="0" xfId="549" applyFont="1" applyFill="1" applyAlignment="1">
      <alignment horizontal="left" vertical="center" wrapText="1"/>
    </xf>
    <xf numFmtId="2" fontId="173" fillId="43" borderId="41" xfId="549" applyNumberFormat="1" applyFont="1" applyFill="1" applyBorder="1" applyAlignment="1">
      <alignment horizontal="left" vertical="center"/>
    </xf>
    <xf numFmtId="170" fontId="173" fillId="43" borderId="41" xfId="549" applyNumberFormat="1" applyFont="1" applyFill="1" applyBorder="1" applyAlignment="1">
      <alignment horizontal="left" vertical="center"/>
    </xf>
    <xf numFmtId="2" fontId="173" fillId="43" borderId="27" xfId="549" applyNumberFormat="1" applyFont="1" applyFill="1" applyBorder="1" applyAlignment="1">
      <alignment horizontal="left" vertical="center"/>
    </xf>
    <xf numFmtId="170" fontId="173" fillId="43" borderId="27" xfId="549" applyNumberFormat="1" applyFont="1" applyFill="1" applyBorder="1" applyAlignment="1">
      <alignment horizontal="left" vertical="center"/>
    </xf>
    <xf numFmtId="2" fontId="173" fillId="43" borderId="42" xfId="549" applyNumberFormat="1" applyFont="1" applyFill="1" applyBorder="1" applyAlignment="1">
      <alignment horizontal="left" vertical="center"/>
    </xf>
    <xf numFmtId="3" fontId="173" fillId="43" borderId="0" xfId="549" applyNumberFormat="1" applyFont="1" applyFill="1" applyAlignment="1">
      <alignment horizontal="left" vertical="center"/>
    </xf>
    <xf numFmtId="0" fontId="173" fillId="43" borderId="0" xfId="549" applyFont="1" applyFill="1" applyAlignment="1">
      <alignment horizontal="right"/>
    </xf>
    <xf numFmtId="0" fontId="173" fillId="43" borderId="0" xfId="549" applyFont="1" applyFill="1" applyAlignment="1">
      <alignment horizontal="right" vertical="center"/>
    </xf>
    <xf numFmtId="0" fontId="173" fillId="43" borderId="0" xfId="549" applyFont="1" applyFill="1"/>
    <xf numFmtId="3" fontId="172" fillId="43" borderId="0" xfId="0" applyNumberFormat="1" applyFont="1" applyFill="1" applyAlignment="1">
      <alignment horizontal="left"/>
    </xf>
    <xf numFmtId="170" fontId="7" fillId="43" borderId="41" xfId="0" applyNumberFormat="1" applyFont="1" applyFill="1" applyBorder="1" applyAlignment="1">
      <alignment horizontal="left"/>
    </xf>
    <xf numFmtId="170" fontId="7" fillId="43" borderId="0" xfId="0" applyNumberFormat="1" applyFont="1" applyFill="1" applyAlignment="1">
      <alignment horizontal="left"/>
    </xf>
    <xf numFmtId="0" fontId="173" fillId="44" borderId="0" xfId="549" applyFont="1" applyFill="1"/>
    <xf numFmtId="0" fontId="173" fillId="45" borderId="14" xfId="549" applyFont="1" applyFill="1" applyBorder="1"/>
    <xf numFmtId="170" fontId="7" fillId="43" borderId="42" xfId="0" applyNumberFormat="1" applyFont="1" applyFill="1" applyBorder="1" applyAlignment="1">
      <alignment horizontal="left"/>
    </xf>
    <xf numFmtId="14" fontId="7" fillId="43" borderId="0" xfId="0" applyNumberFormat="1" applyFont="1" applyFill="1" applyAlignment="1">
      <alignment horizontal="left"/>
    </xf>
    <xf numFmtId="2" fontId="173" fillId="43" borderId="43" xfId="549" applyNumberFormat="1" applyFont="1" applyFill="1" applyBorder="1" applyAlignment="1">
      <alignment horizontal="left" vertical="center"/>
    </xf>
    <xf numFmtId="0" fontId="173" fillId="43" borderId="43" xfId="549" applyFont="1" applyFill="1" applyBorder="1" applyAlignment="1">
      <alignment vertical="center"/>
    </xf>
    <xf numFmtId="0" fontId="173" fillId="43" borderId="0" xfId="549" applyFont="1" applyFill="1" applyAlignment="1">
      <alignment horizontal="center" vertical="center"/>
    </xf>
    <xf numFmtId="0" fontId="173" fillId="0" borderId="0" xfId="549" applyFont="1"/>
    <xf numFmtId="0" fontId="173" fillId="0" borderId="6" xfId="549" quotePrefix="1" applyFont="1" applyBorder="1" applyAlignment="1">
      <alignment horizontal="center" vertical="center"/>
    </xf>
    <xf numFmtId="0" fontId="173" fillId="0" borderId="44" xfId="549" quotePrefix="1" applyFont="1" applyBorder="1" applyAlignment="1">
      <alignment horizontal="center" vertical="center" wrapText="1"/>
    </xf>
    <xf numFmtId="0" fontId="173" fillId="0" borderId="9" xfId="489" applyBorder="1"/>
    <xf numFmtId="0" fontId="173" fillId="0" borderId="0" xfId="489"/>
    <xf numFmtId="0" fontId="173" fillId="0" borderId="45" xfId="489" applyBorder="1"/>
    <xf numFmtId="0" fontId="173" fillId="0" borderId="46" xfId="489" applyBorder="1"/>
    <xf numFmtId="236" fontId="174" fillId="0" borderId="0" xfId="224" applyNumberFormat="1" applyFont="1" applyFill="1" applyBorder="1" applyAlignment="1">
      <alignment horizontal="left" vertical="center" wrapText="1"/>
    </xf>
    <xf numFmtId="236" fontId="174" fillId="0" borderId="46" xfId="224" applyNumberFormat="1" applyFont="1" applyFill="1" applyBorder="1" applyAlignment="1">
      <alignment horizontal="left" vertical="center" wrapText="1"/>
    </xf>
    <xf numFmtId="0" fontId="173" fillId="0" borderId="47" xfId="489" applyBorder="1"/>
    <xf numFmtId="0" fontId="173" fillId="0" borderId="48" xfId="489" applyBorder="1"/>
    <xf numFmtId="0" fontId="173" fillId="0" borderId="49" xfId="489" applyBorder="1"/>
    <xf numFmtId="0" fontId="173" fillId="46" borderId="0" xfId="549" applyFont="1" applyFill="1"/>
    <xf numFmtId="3" fontId="175" fillId="0" borderId="2" xfId="188" applyNumberFormat="1" applyFont="1" applyFill="1" applyBorder="1" applyAlignment="1">
      <alignment horizontal="center" vertical="center" wrapText="1"/>
    </xf>
    <xf numFmtId="0" fontId="173" fillId="45" borderId="0" xfId="549" applyFont="1" applyFill="1"/>
    <xf numFmtId="0" fontId="175" fillId="46" borderId="0" xfId="549" applyFont="1" applyFill="1"/>
    <xf numFmtId="0" fontId="203" fillId="0" borderId="0" xfId="0" applyFont="1" applyAlignment="1">
      <alignment vertical="center"/>
    </xf>
    <xf numFmtId="0" fontId="194" fillId="0" borderId="0" xfId="0" applyFont="1" applyAlignment="1">
      <alignment vertical="center"/>
    </xf>
    <xf numFmtId="176" fontId="202" fillId="0" borderId="2" xfId="171" applyNumberFormat="1" applyFont="1" applyFill="1" applyBorder="1" applyAlignment="1">
      <alignment vertical="center"/>
    </xf>
    <xf numFmtId="239" fontId="204" fillId="0" borderId="0" xfId="171" applyNumberFormat="1" applyFont="1" applyFill="1" applyAlignment="1">
      <alignment vertical="center"/>
    </xf>
    <xf numFmtId="239" fontId="203" fillId="0" borderId="0" xfId="246" applyNumberFormat="1" applyFont="1" applyFill="1" applyAlignment="1">
      <alignment vertical="center"/>
    </xf>
    <xf numFmtId="9" fontId="203" fillId="0" borderId="0" xfId="597" applyFont="1" applyFill="1" applyAlignment="1">
      <alignment vertical="center"/>
    </xf>
    <xf numFmtId="176" fontId="206" fillId="0" borderId="0" xfId="246" applyNumberFormat="1" applyFont="1" applyFill="1" applyAlignment="1">
      <alignment vertical="center"/>
    </xf>
    <xf numFmtId="0" fontId="205" fillId="0" borderId="2" xfId="0" applyFont="1" applyBorder="1" applyAlignment="1">
      <alignment horizontal="center" vertical="center"/>
    </xf>
    <xf numFmtId="0" fontId="173" fillId="45" borderId="0" xfId="549" applyFont="1" applyFill="1" applyAlignment="1">
      <alignment horizontal="center"/>
    </xf>
    <xf numFmtId="0" fontId="175" fillId="45" borderId="0" xfId="549" applyFont="1" applyFill="1"/>
    <xf numFmtId="0" fontId="173" fillId="0" borderId="0" xfId="0" applyFont="1" applyAlignment="1">
      <alignment horizontal="center" vertical="center"/>
    </xf>
    <xf numFmtId="2" fontId="173" fillId="0" borderId="0" xfId="549" applyNumberFormat="1" applyFont="1" applyAlignment="1">
      <alignment horizontal="left" vertical="center" wrapText="1"/>
    </xf>
    <xf numFmtId="2" fontId="173" fillId="0" borderId="0" xfId="549" applyNumberFormat="1" applyFont="1" applyAlignment="1">
      <alignment horizontal="center" vertical="center"/>
    </xf>
    <xf numFmtId="241" fontId="173" fillId="43" borderId="0" xfId="171" applyNumberFormat="1" applyFont="1" applyFill="1" applyBorder="1" applyAlignment="1">
      <alignment vertical="center"/>
    </xf>
    <xf numFmtId="9" fontId="173" fillId="0" borderId="0" xfId="549" quotePrefix="1" applyNumberFormat="1" applyFont="1" applyAlignment="1">
      <alignment horizontal="center" vertical="center"/>
    </xf>
    <xf numFmtId="241" fontId="173" fillId="0" borderId="0" xfId="549" applyNumberFormat="1" applyFont="1" applyAlignment="1">
      <alignment vertical="center"/>
    </xf>
    <xf numFmtId="2" fontId="84" fillId="0" borderId="0" xfId="549" quotePrefix="1" applyNumberFormat="1" applyFont="1" applyAlignment="1">
      <alignment horizontal="center" vertical="center"/>
    </xf>
    <xf numFmtId="0" fontId="204" fillId="0" borderId="0" xfId="515" applyFont="1" applyAlignment="1">
      <alignment vertical="center"/>
    </xf>
    <xf numFmtId="0" fontId="201" fillId="0" borderId="0" xfId="515" applyFont="1" applyAlignment="1">
      <alignment vertical="center"/>
    </xf>
    <xf numFmtId="0" fontId="207" fillId="0" borderId="0" xfId="515" applyFont="1" applyAlignment="1">
      <alignment vertical="center"/>
    </xf>
    <xf numFmtId="0" fontId="203" fillId="0" borderId="0" xfId="515" applyFont="1" applyAlignment="1">
      <alignment vertical="center"/>
    </xf>
    <xf numFmtId="0" fontId="208" fillId="0" borderId="0" xfId="0" applyFont="1" applyAlignment="1">
      <alignment vertical="center"/>
    </xf>
    <xf numFmtId="0" fontId="206" fillId="0" borderId="0" xfId="515" applyFont="1" applyAlignment="1">
      <alignment vertical="center"/>
    </xf>
    <xf numFmtId="239" fontId="204" fillId="0" borderId="0" xfId="515" applyNumberFormat="1" applyFont="1" applyAlignment="1">
      <alignment vertical="center"/>
    </xf>
    <xf numFmtId="0" fontId="205" fillId="0" borderId="0" xfId="0" applyFont="1" applyAlignment="1">
      <alignment vertical="center"/>
    </xf>
    <xf numFmtId="242" fontId="203" fillId="0" borderId="0" xfId="0" applyNumberFormat="1" applyFont="1" applyAlignment="1">
      <alignment vertical="center"/>
    </xf>
    <xf numFmtId="0" fontId="203" fillId="0" borderId="0" xfId="0" applyFont="1" applyAlignment="1">
      <alignment horizontal="left" vertical="center"/>
    </xf>
    <xf numFmtId="43" fontId="173" fillId="46" borderId="0" xfId="549" applyNumberFormat="1" applyFont="1" applyFill="1"/>
    <xf numFmtId="241" fontId="209" fillId="0" borderId="2" xfId="171" applyNumberFormat="1" applyFont="1" applyFill="1" applyBorder="1" applyAlignment="1">
      <alignment vertical="center"/>
    </xf>
    <xf numFmtId="241" fontId="209" fillId="0" borderId="0" xfId="171" applyNumberFormat="1" applyFont="1" applyFill="1" applyBorder="1" applyAlignment="1">
      <alignment vertical="center"/>
    </xf>
    <xf numFmtId="0" fontId="190" fillId="0" borderId="0" xfId="489" applyFont="1"/>
    <xf numFmtId="0" fontId="202" fillId="0" borderId="2" xfId="515" applyFont="1" applyBorder="1" applyAlignment="1">
      <alignment horizontal="center" vertical="center"/>
    </xf>
    <xf numFmtId="0" fontId="202" fillId="0" borderId="0" xfId="515" applyFont="1" applyAlignment="1">
      <alignment vertical="center"/>
    </xf>
    <xf numFmtId="0" fontId="201" fillId="0" borderId="0" xfId="515" applyFont="1" applyAlignment="1">
      <alignment horizontal="center" vertical="center"/>
    </xf>
    <xf numFmtId="0" fontId="204" fillId="0" borderId="0" xfId="515" applyFont="1" applyAlignment="1">
      <alignment horizontal="center" vertical="center"/>
    </xf>
    <xf numFmtId="176" fontId="204" fillId="0" borderId="0" xfId="515" applyNumberFormat="1" applyFont="1" applyAlignment="1">
      <alignment vertical="center"/>
    </xf>
    <xf numFmtId="9" fontId="202" fillId="0" borderId="2" xfId="0" applyNumberFormat="1" applyFont="1" applyBorder="1" applyAlignment="1">
      <alignment horizontal="center" vertical="center"/>
    </xf>
    <xf numFmtId="0" fontId="201" fillId="0" borderId="0" xfId="0" applyFont="1"/>
    <xf numFmtId="0" fontId="207" fillId="0" borderId="0" xfId="515" applyFont="1" applyAlignment="1">
      <alignment vertical="top" wrapText="1"/>
    </xf>
    <xf numFmtId="0" fontId="181" fillId="0" borderId="0" xfId="515" applyFont="1" applyAlignment="1">
      <alignment horizontal="center" vertical="center"/>
    </xf>
    <xf numFmtId="0" fontId="181" fillId="0" borderId="0" xfId="515" applyFont="1" applyAlignment="1">
      <alignment vertical="center"/>
    </xf>
    <xf numFmtId="0" fontId="203" fillId="0" borderId="0" xfId="515" applyFont="1" applyAlignment="1">
      <alignment vertical="center" wrapText="1"/>
    </xf>
    <xf numFmtId="0" fontId="206" fillId="0" borderId="0" xfId="0" applyFont="1" applyAlignment="1">
      <alignment vertical="center"/>
    </xf>
    <xf numFmtId="176" fontId="203" fillId="0" borderId="0" xfId="0" applyNumberFormat="1" applyFont="1" applyAlignment="1">
      <alignment vertical="center"/>
    </xf>
    <xf numFmtId="239" fontId="203" fillId="0" borderId="0" xfId="0" applyNumberFormat="1" applyFont="1" applyAlignment="1">
      <alignment vertical="center"/>
    </xf>
    <xf numFmtId="0" fontId="203" fillId="0" borderId="0" xfId="0" quotePrefix="1" applyFont="1" applyAlignment="1">
      <alignment vertical="center"/>
    </xf>
    <xf numFmtId="239" fontId="204" fillId="0" borderId="0" xfId="515" applyNumberFormat="1" applyFont="1" applyAlignment="1">
      <alignment horizontal="center" vertical="center"/>
    </xf>
    <xf numFmtId="0" fontId="206" fillId="0" borderId="0" xfId="0" applyFont="1" applyAlignment="1">
      <alignment horizontal="left" vertical="center"/>
    </xf>
    <xf numFmtId="176" fontId="206" fillId="0" borderId="0" xfId="0" quotePrefix="1" applyNumberFormat="1" applyFont="1" applyAlignment="1">
      <alignment horizontal="right" vertical="center"/>
    </xf>
    <xf numFmtId="0" fontId="203" fillId="0" borderId="0" xfId="0" quotePrefix="1" applyFont="1" applyAlignment="1">
      <alignment horizontal="left" vertical="center"/>
    </xf>
    <xf numFmtId="176" fontId="206" fillId="0" borderId="0" xfId="0" applyNumberFormat="1" applyFont="1" applyAlignment="1">
      <alignment vertical="center"/>
    </xf>
    <xf numFmtId="0" fontId="210" fillId="0" borderId="0" xfId="0" quotePrefix="1" applyFont="1" applyAlignment="1">
      <alignment vertical="center"/>
    </xf>
    <xf numFmtId="241" fontId="204" fillId="0" borderId="0" xfId="515" applyNumberFormat="1" applyFont="1" applyAlignment="1">
      <alignment vertical="center"/>
    </xf>
    <xf numFmtId="0" fontId="210" fillId="0" borderId="0" xfId="0" applyFont="1" applyAlignment="1">
      <alignment vertical="center"/>
    </xf>
    <xf numFmtId="43" fontId="204" fillId="0" borderId="0" xfId="515" applyNumberFormat="1" applyFont="1" applyAlignment="1">
      <alignment vertical="center"/>
    </xf>
    <xf numFmtId="0" fontId="203" fillId="0" borderId="0" xfId="0" applyFont="1" applyAlignment="1">
      <alignment horizontal="center" vertical="center"/>
    </xf>
    <xf numFmtId="0" fontId="189" fillId="0" borderId="0" xfId="0" applyFont="1" applyAlignment="1">
      <alignment vertical="center"/>
    </xf>
    <xf numFmtId="43" fontId="206" fillId="0" borderId="0" xfId="515" applyNumberFormat="1" applyFont="1" applyAlignment="1">
      <alignment vertical="center" wrapText="1"/>
    </xf>
    <xf numFmtId="41" fontId="206" fillId="0" borderId="0" xfId="515" applyNumberFormat="1" applyFont="1" applyAlignment="1">
      <alignment vertical="center"/>
    </xf>
    <xf numFmtId="241" fontId="191" fillId="0" borderId="0" xfId="171" applyNumberFormat="1" applyFont="1" applyFill="1" applyAlignment="1">
      <alignment vertical="center"/>
    </xf>
    <xf numFmtId="241" fontId="205" fillId="0" borderId="2" xfId="171" applyNumberFormat="1" applyFont="1" applyFill="1" applyBorder="1" applyAlignment="1">
      <alignment horizontal="center" vertical="center"/>
    </xf>
    <xf numFmtId="0" fontId="202" fillId="0" borderId="2" xfId="515" applyFont="1" applyBorder="1" applyAlignment="1">
      <alignment horizontal="center" vertical="center" wrapText="1"/>
    </xf>
    <xf numFmtId="241" fontId="202" fillId="0" borderId="2" xfId="171" applyNumberFormat="1" applyFont="1" applyFill="1" applyBorder="1" applyAlignment="1">
      <alignment horizontal="center" vertical="center"/>
    </xf>
    <xf numFmtId="239" fontId="202" fillId="0" borderId="2" xfId="171" applyNumberFormat="1" applyFont="1" applyFill="1" applyBorder="1" applyAlignment="1">
      <alignment horizontal="center" vertical="center"/>
    </xf>
    <xf numFmtId="171" fontId="205" fillId="0" borderId="54" xfId="182" applyFont="1" applyFill="1" applyBorder="1" applyAlignment="1" applyProtection="1">
      <alignment horizontal="center" vertical="center" wrapText="1"/>
      <protection locked="0"/>
    </xf>
    <xf numFmtId="241" fontId="205" fillId="0" borderId="54" xfId="171" applyNumberFormat="1" applyFont="1" applyFill="1" applyBorder="1" applyAlignment="1" applyProtection="1">
      <alignment horizontal="center" vertical="center" wrapText="1"/>
      <protection locked="0"/>
    </xf>
    <xf numFmtId="176" fontId="205" fillId="0" borderId="54" xfId="182" applyNumberFormat="1" applyFont="1" applyFill="1" applyBorder="1" applyAlignment="1" applyProtection="1">
      <alignment horizontal="center" vertical="center" wrapText="1"/>
      <protection locked="0"/>
    </xf>
    <xf numFmtId="0" fontId="194" fillId="0" borderId="2" xfId="0" applyFont="1" applyBorder="1" applyAlignment="1">
      <alignment horizontal="center" vertical="center" wrapText="1"/>
    </xf>
    <xf numFmtId="3" fontId="175" fillId="0" borderId="23" xfId="188" applyNumberFormat="1" applyFont="1" applyFill="1" applyBorder="1" applyAlignment="1">
      <alignment horizontal="center" vertical="center" wrapText="1"/>
    </xf>
    <xf numFmtId="176" fontId="209" fillId="0" borderId="2" xfId="205" applyNumberFormat="1" applyFont="1" applyFill="1" applyBorder="1" applyAlignment="1">
      <alignment vertical="center"/>
    </xf>
    <xf numFmtId="0" fontId="211" fillId="0" borderId="0" xfId="0" applyFont="1"/>
    <xf numFmtId="0" fontId="211" fillId="0" borderId="2" xfId="0" applyFont="1" applyBorder="1" applyAlignment="1">
      <alignment horizontal="center" vertical="center"/>
    </xf>
    <xf numFmtId="0" fontId="211" fillId="0" borderId="2" xfId="0" applyFont="1" applyBorder="1" applyAlignment="1">
      <alignment vertical="center"/>
    </xf>
    <xf numFmtId="176" fontId="193" fillId="0" borderId="2" xfId="205" applyNumberFormat="1" applyFont="1" applyFill="1" applyBorder="1" applyAlignment="1">
      <alignment vertical="center"/>
    </xf>
    <xf numFmtId="0" fontId="211" fillId="0" borderId="0" xfId="0" applyFont="1" applyAlignment="1">
      <alignment horizontal="center" vertical="center"/>
    </xf>
    <xf numFmtId="179" fontId="170" fillId="0" borderId="0" xfId="556" applyFont="1" applyAlignment="1">
      <alignment horizontal="center" vertical="center"/>
    </xf>
    <xf numFmtId="9" fontId="202" fillId="0" borderId="0" xfId="0" applyNumberFormat="1" applyFont="1" applyAlignment="1">
      <alignment horizontal="center" vertical="center"/>
    </xf>
    <xf numFmtId="176" fontId="193" fillId="0" borderId="0" xfId="205" applyNumberFormat="1" applyFont="1" applyFill="1" applyBorder="1" applyAlignment="1">
      <alignment vertical="center"/>
    </xf>
    <xf numFmtId="176" fontId="209" fillId="0" borderId="0" xfId="205" applyNumberFormat="1" applyFont="1" applyFill="1" applyBorder="1" applyAlignment="1">
      <alignment vertical="center"/>
    </xf>
    <xf numFmtId="241" fontId="205" fillId="0" borderId="0" xfId="171" applyNumberFormat="1" applyFont="1" applyFill="1" applyAlignment="1">
      <alignment vertical="center"/>
    </xf>
    <xf numFmtId="176" fontId="211" fillId="0" borderId="0" xfId="0" applyNumberFormat="1" applyFont="1"/>
    <xf numFmtId="0" fontId="208" fillId="0" borderId="0" xfId="0" applyFont="1" applyAlignment="1">
      <alignment horizontal="center" vertical="center"/>
    </xf>
    <xf numFmtId="176" fontId="206" fillId="0" borderId="27" xfId="246" applyNumberFormat="1" applyFont="1" applyFill="1" applyBorder="1" applyAlignment="1">
      <alignment horizontal="center" vertical="center"/>
    </xf>
    <xf numFmtId="0" fontId="194" fillId="0" borderId="0" xfId="515" applyFont="1" applyAlignment="1">
      <alignment vertical="center"/>
    </xf>
    <xf numFmtId="3" fontId="173" fillId="0" borderId="60" xfId="188" applyNumberFormat="1" applyFont="1" applyFill="1" applyBorder="1" applyAlignment="1">
      <alignment horizontal="center" vertical="center" wrapText="1"/>
    </xf>
    <xf numFmtId="0" fontId="194" fillId="0" borderId="60" xfId="0" applyFont="1" applyBorder="1" applyAlignment="1">
      <alignment horizontal="center" vertical="center" wrapText="1"/>
    </xf>
    <xf numFmtId="0" fontId="205" fillId="0" borderId="0" xfId="0" applyFont="1" applyAlignment="1">
      <alignment horizontal="center" vertical="center"/>
    </xf>
    <xf numFmtId="171" fontId="194" fillId="0" borderId="23" xfId="182" applyFont="1" applyFill="1" applyBorder="1" applyAlignment="1" applyProtection="1">
      <alignment horizontal="center" vertical="center" wrapText="1"/>
      <protection locked="0"/>
    </xf>
    <xf numFmtId="176" fontId="194" fillId="0" borderId="23" xfId="182" applyNumberFormat="1" applyFont="1" applyFill="1" applyBorder="1" applyAlignment="1" applyProtection="1">
      <alignment horizontal="center" vertical="center" wrapText="1"/>
      <protection locked="0"/>
    </xf>
    <xf numFmtId="0" fontId="203" fillId="0" borderId="62" xfId="0" applyFont="1" applyBorder="1" applyAlignment="1">
      <alignment vertical="center"/>
    </xf>
    <xf numFmtId="0" fontId="206" fillId="0" borderId="62" xfId="0" applyFont="1" applyBorder="1" applyAlignment="1">
      <alignment vertical="center"/>
    </xf>
    <xf numFmtId="1" fontId="206" fillId="0" borderId="0" xfId="515" applyNumberFormat="1" applyFont="1" applyAlignment="1">
      <alignment vertical="center"/>
    </xf>
    <xf numFmtId="43" fontId="206" fillId="0" borderId="0" xfId="515" applyNumberFormat="1" applyFont="1" applyAlignment="1">
      <alignment vertical="center"/>
    </xf>
    <xf numFmtId="41" fontId="206" fillId="0" borderId="0" xfId="515" applyNumberFormat="1" applyFont="1" applyAlignment="1">
      <alignment vertical="center" wrapText="1"/>
    </xf>
    <xf numFmtId="0" fontId="203" fillId="0" borderId="61" xfId="0" applyFont="1" applyBorder="1" applyAlignment="1">
      <alignment vertical="center"/>
    </xf>
    <xf numFmtId="3" fontId="175" fillId="0" borderId="23" xfId="188" applyNumberFormat="1" applyFont="1" applyFill="1" applyBorder="1" applyAlignment="1">
      <alignment horizontal="left" vertical="center" wrapText="1"/>
    </xf>
    <xf numFmtId="3" fontId="173" fillId="0" borderId="23" xfId="188" applyNumberFormat="1" applyFont="1" applyFill="1" applyBorder="1" applyAlignment="1">
      <alignment horizontal="center" vertical="center" wrapText="1"/>
    </xf>
    <xf numFmtId="176" fontId="201" fillId="0" borderId="23" xfId="171" applyNumberFormat="1" applyFont="1" applyFill="1" applyBorder="1" applyAlignment="1">
      <alignment vertical="center"/>
    </xf>
    <xf numFmtId="241" fontId="194" fillId="0" borderId="23" xfId="171" applyNumberFormat="1" applyFont="1" applyFill="1" applyBorder="1" applyAlignment="1" applyProtection="1">
      <alignment horizontal="center" vertical="center" wrapText="1"/>
      <protection locked="0"/>
    </xf>
    <xf numFmtId="0" fontId="194" fillId="0" borderId="23" xfId="0" applyFont="1" applyBorder="1" applyAlignment="1">
      <alignment horizontal="center" vertical="center" wrapText="1"/>
    </xf>
    <xf numFmtId="3" fontId="175" fillId="0" borderId="60" xfId="188" applyNumberFormat="1" applyFont="1" applyFill="1" applyBorder="1" applyAlignment="1">
      <alignment horizontal="center" vertical="center" wrapText="1"/>
    </xf>
    <xf numFmtId="3" fontId="175" fillId="0" borderId="60" xfId="188" applyNumberFormat="1" applyFont="1" applyFill="1" applyBorder="1" applyAlignment="1">
      <alignment horizontal="left" vertical="center" wrapText="1"/>
    </xf>
    <xf numFmtId="0" fontId="182" fillId="43" borderId="0" xfId="516" applyFont="1" applyFill="1" applyAlignment="1">
      <alignment horizontal="center" vertical="center"/>
    </xf>
    <xf numFmtId="0" fontId="182" fillId="43" borderId="0" xfId="516" applyFont="1" applyFill="1" applyAlignment="1">
      <alignment horizontal="left" vertical="center"/>
    </xf>
    <xf numFmtId="0" fontId="182" fillId="43" borderId="0" xfId="516" applyFont="1" applyFill="1" applyAlignment="1">
      <alignment horizontal="right" vertical="center"/>
    </xf>
    <xf numFmtId="2" fontId="182" fillId="43" borderId="0" xfId="516" applyNumberFormat="1" applyFont="1" applyFill="1" applyAlignment="1">
      <alignment horizontal="right" vertical="center"/>
    </xf>
    <xf numFmtId="0" fontId="182" fillId="43" borderId="0" xfId="516" applyFont="1" applyFill="1" applyAlignment="1">
      <alignment vertical="center"/>
    </xf>
    <xf numFmtId="0" fontId="182" fillId="43" borderId="0" xfId="516" applyFont="1" applyFill="1" applyAlignment="1">
      <alignment horizontal="left" vertical="center" wrapText="1"/>
    </xf>
    <xf numFmtId="2" fontId="182" fillId="43" borderId="0" xfId="516" applyNumberFormat="1" applyFont="1" applyFill="1" applyAlignment="1">
      <alignment horizontal="center" vertical="center"/>
    </xf>
    <xf numFmtId="1" fontId="182" fillId="43" borderId="0" xfId="516" applyNumberFormat="1" applyFont="1" applyFill="1" applyAlignment="1">
      <alignment horizontal="right" vertical="center"/>
    </xf>
    <xf numFmtId="0" fontId="45" fillId="43" borderId="0" xfId="516" applyFont="1" applyFill="1" applyAlignment="1">
      <alignment horizontal="center" vertical="center"/>
    </xf>
    <xf numFmtId="0" fontId="7" fillId="43" borderId="0" xfId="516" applyFont="1" applyFill="1" applyAlignment="1">
      <alignment vertical="center"/>
    </xf>
    <xf numFmtId="0" fontId="45" fillId="43" borderId="0" xfId="516" applyFont="1" applyFill="1" applyAlignment="1">
      <alignment vertical="center"/>
    </xf>
    <xf numFmtId="237" fontId="45" fillId="43" borderId="60" xfId="218" applyNumberFormat="1" applyFont="1" applyFill="1" applyBorder="1" applyAlignment="1">
      <alignment horizontal="right" vertical="center" wrapText="1"/>
    </xf>
    <xf numFmtId="237" fontId="45" fillId="43" borderId="60" xfId="516" applyNumberFormat="1" applyFont="1" applyFill="1" applyBorder="1" applyAlignment="1">
      <alignment horizontal="right" vertical="center" wrapText="1"/>
    </xf>
    <xf numFmtId="0" fontId="7" fillId="43" borderId="50" xfId="516" applyFont="1" applyFill="1" applyBorder="1" applyAlignment="1">
      <alignment horizontal="center" vertical="center"/>
    </xf>
    <xf numFmtId="3" fontId="173" fillId="43" borderId="50" xfId="0" applyNumberFormat="1" applyFont="1" applyFill="1" applyBorder="1" applyAlignment="1">
      <alignment horizontal="left" vertical="center" wrapText="1"/>
    </xf>
    <xf numFmtId="3" fontId="7" fillId="43" borderId="50" xfId="545" applyNumberFormat="1" applyFont="1" applyFill="1" applyBorder="1" applyAlignment="1">
      <alignment horizontal="center" vertical="center" wrapText="1"/>
    </xf>
    <xf numFmtId="0" fontId="7" fillId="43" borderId="50" xfId="545" applyFont="1" applyFill="1" applyBorder="1" applyAlignment="1">
      <alignment horizontal="center" vertical="center" wrapText="1"/>
    </xf>
    <xf numFmtId="237" fontId="7" fillId="43" borderId="50" xfId="218" applyNumberFormat="1" applyFont="1" applyFill="1" applyBorder="1" applyAlignment="1">
      <alignment horizontal="right" vertical="center" wrapText="1"/>
    </xf>
    <xf numFmtId="237" fontId="7" fillId="43" borderId="50" xfId="516" applyNumberFormat="1" applyFont="1" applyFill="1" applyBorder="1" applyAlignment="1">
      <alignment horizontal="right" vertical="center" wrapText="1"/>
    </xf>
    <xf numFmtId="237" fontId="7" fillId="43" borderId="50" xfId="218" applyNumberFormat="1" applyFont="1" applyFill="1" applyBorder="1" applyAlignment="1">
      <alignment horizontal="right" vertical="center"/>
    </xf>
    <xf numFmtId="236" fontId="7" fillId="43" borderId="50" xfId="218" applyNumberFormat="1" applyFont="1" applyFill="1" applyBorder="1" applyAlignment="1">
      <alignment horizontal="right" vertical="center"/>
    </xf>
    <xf numFmtId="0" fontId="176" fillId="43" borderId="0" xfId="0" applyFont="1" applyFill="1" applyAlignment="1">
      <alignment horizontal="center"/>
    </xf>
    <xf numFmtId="0" fontId="184" fillId="43" borderId="0" xfId="0" applyFont="1" applyFill="1"/>
    <xf numFmtId="0" fontId="45" fillId="43" borderId="0" xfId="0" applyFont="1" applyFill="1" applyAlignment="1">
      <alignment horizontal="center"/>
    </xf>
    <xf numFmtId="0" fontId="45" fillId="43" borderId="0" xfId="0" applyFont="1" applyFill="1" applyAlignment="1">
      <alignment horizontal="left"/>
    </xf>
    <xf numFmtId="2" fontId="45" fillId="43" borderId="0" xfId="0" applyNumberFormat="1" applyFont="1" applyFill="1" applyAlignment="1">
      <alignment horizontal="right"/>
    </xf>
    <xf numFmtId="1" fontId="45" fillId="43" borderId="0" xfId="0" applyNumberFormat="1" applyFont="1" applyFill="1" applyAlignment="1">
      <alignment horizontal="right"/>
    </xf>
    <xf numFmtId="0" fontId="184" fillId="43" borderId="0" xfId="0" applyFont="1" applyFill="1" applyAlignment="1">
      <alignment horizontal="center"/>
    </xf>
    <xf numFmtId="0" fontId="184" fillId="43" borderId="0" xfId="0" applyFont="1" applyFill="1" applyAlignment="1">
      <alignment horizontal="left"/>
    </xf>
    <xf numFmtId="0" fontId="185" fillId="43" borderId="0" xfId="0" applyFont="1" applyFill="1" applyAlignment="1">
      <alignment horizontal="center"/>
    </xf>
    <xf numFmtId="2" fontId="184" fillId="43" borderId="0" xfId="0" applyNumberFormat="1" applyFont="1" applyFill="1" applyAlignment="1">
      <alignment horizontal="right"/>
    </xf>
    <xf numFmtId="1" fontId="184" fillId="43" borderId="0" xfId="0" applyNumberFormat="1" applyFont="1" applyFill="1" applyAlignment="1">
      <alignment horizontal="right"/>
    </xf>
    <xf numFmtId="0" fontId="186" fillId="43" borderId="0" xfId="0" applyFont="1" applyFill="1" applyAlignment="1">
      <alignment horizontal="center"/>
    </xf>
    <xf numFmtId="0" fontId="182" fillId="43" borderId="51" xfId="516" applyFont="1" applyFill="1" applyBorder="1" applyAlignment="1">
      <alignment horizontal="center" vertical="center"/>
    </xf>
    <xf numFmtId="0" fontId="182" fillId="43" borderId="51" xfId="516" applyFont="1" applyFill="1" applyBorder="1" applyAlignment="1">
      <alignment horizontal="left" vertical="center"/>
    </xf>
    <xf numFmtId="0" fontId="182" fillId="43" borderId="51" xfId="516" applyFont="1" applyFill="1" applyBorder="1" applyAlignment="1">
      <alignment horizontal="right" vertical="center"/>
    </xf>
    <xf numFmtId="0" fontId="182" fillId="43" borderId="52" xfId="516" applyFont="1" applyFill="1" applyBorder="1" applyAlignment="1">
      <alignment horizontal="center" vertical="center"/>
    </xf>
    <xf numFmtId="0" fontId="182" fillId="43" borderId="52" xfId="516" applyFont="1" applyFill="1" applyBorder="1" applyAlignment="1">
      <alignment horizontal="left" vertical="center"/>
    </xf>
    <xf numFmtId="0" fontId="182" fillId="43" borderId="52" xfId="516" applyFont="1" applyFill="1" applyBorder="1" applyAlignment="1">
      <alignment horizontal="right" vertical="center"/>
    </xf>
    <xf numFmtId="0" fontId="182" fillId="43" borderId="53" xfId="516" applyFont="1" applyFill="1" applyBorder="1" applyAlignment="1">
      <alignment horizontal="center" vertical="center"/>
    </xf>
    <xf numFmtId="0" fontId="182" fillId="43" borderId="53" xfId="516" applyFont="1" applyFill="1" applyBorder="1" applyAlignment="1">
      <alignment horizontal="left" vertical="center"/>
    </xf>
    <xf numFmtId="0" fontId="182" fillId="43" borderId="53" xfId="516" applyFont="1" applyFill="1" applyBorder="1" applyAlignment="1">
      <alignment horizontal="right" vertical="center"/>
    </xf>
    <xf numFmtId="2" fontId="170" fillId="43" borderId="23" xfId="516" applyNumberFormat="1" applyFont="1" applyFill="1" applyBorder="1" applyAlignment="1">
      <alignment horizontal="left" vertical="center" wrapText="1"/>
    </xf>
    <xf numFmtId="2" fontId="182" fillId="43" borderId="23" xfId="516" applyNumberFormat="1" applyFont="1" applyFill="1" applyBorder="1" applyAlignment="1">
      <alignment horizontal="center" vertical="center"/>
    </xf>
    <xf numFmtId="1" fontId="182" fillId="43" borderId="23" xfId="516" applyNumberFormat="1" applyFont="1" applyFill="1" applyBorder="1" applyAlignment="1">
      <alignment horizontal="right" vertical="center"/>
    </xf>
    <xf numFmtId="2" fontId="182" fillId="43" borderId="23" xfId="516" applyNumberFormat="1" applyFont="1" applyFill="1" applyBorder="1" applyAlignment="1">
      <alignment horizontal="right" vertical="center"/>
    </xf>
    <xf numFmtId="2" fontId="182" fillId="43" borderId="23" xfId="516" quotePrefix="1" applyNumberFormat="1" applyFont="1" applyFill="1" applyBorder="1" applyAlignment="1">
      <alignment horizontal="right" vertical="center"/>
    </xf>
    <xf numFmtId="2" fontId="182" fillId="43" borderId="23" xfId="516" quotePrefix="1" applyNumberFormat="1" applyFont="1" applyFill="1" applyBorder="1" applyAlignment="1">
      <alignment horizontal="center" vertical="center"/>
    </xf>
    <xf numFmtId="237" fontId="45" fillId="43" borderId="60" xfId="218" applyNumberFormat="1" applyFont="1" applyFill="1" applyBorder="1" applyAlignment="1">
      <alignment horizontal="right" vertical="center"/>
    </xf>
    <xf numFmtId="3" fontId="45" fillId="43" borderId="63" xfId="0" applyNumberFormat="1" applyFont="1" applyFill="1" applyBorder="1" applyAlignment="1">
      <alignment horizontal="left" vertical="center" wrapText="1"/>
    </xf>
    <xf numFmtId="0" fontId="194" fillId="43" borderId="63" xfId="0" applyFont="1" applyFill="1" applyBorder="1" applyAlignment="1">
      <alignment horizontal="center" vertical="center" wrapText="1"/>
    </xf>
    <xf numFmtId="237" fontId="45" fillId="43" borderId="63" xfId="218" applyNumberFormat="1" applyFont="1" applyFill="1" applyBorder="1" applyAlignment="1">
      <alignment horizontal="right" vertical="center" wrapText="1"/>
    </xf>
    <xf numFmtId="237" fontId="45" fillId="43" borderId="63" xfId="516" applyNumberFormat="1" applyFont="1" applyFill="1" applyBorder="1" applyAlignment="1">
      <alignment horizontal="right" vertical="center" wrapText="1"/>
    </xf>
    <xf numFmtId="237" fontId="45" fillId="43" borderId="63" xfId="218" applyNumberFormat="1" applyFont="1" applyFill="1" applyBorder="1" applyAlignment="1">
      <alignment horizontal="right" vertical="center"/>
    </xf>
    <xf numFmtId="2" fontId="45" fillId="43" borderId="63" xfId="171" applyNumberFormat="1" applyFont="1" applyFill="1" applyBorder="1" applyAlignment="1">
      <alignment horizontal="right" vertical="center" wrapText="1"/>
    </xf>
    <xf numFmtId="43" fontId="206" fillId="0" borderId="0" xfId="515" applyNumberFormat="1" applyFont="1" applyAlignment="1">
      <alignment horizontal="center" vertical="center"/>
    </xf>
    <xf numFmtId="0" fontId="206" fillId="0" borderId="0" xfId="515" applyFont="1" applyAlignment="1">
      <alignment horizontal="left" vertical="center"/>
    </xf>
    <xf numFmtId="1" fontId="206" fillId="0" borderId="0" xfId="515" applyNumberFormat="1" applyFont="1" applyAlignment="1">
      <alignment horizontal="center" vertical="center"/>
    </xf>
    <xf numFmtId="0" fontId="202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2" fontId="170" fillId="43" borderId="60" xfId="0" applyNumberFormat="1" applyFont="1" applyFill="1" applyBorder="1" applyAlignment="1">
      <alignment horizontal="left" vertical="center" wrapText="1"/>
    </xf>
    <xf numFmtId="0" fontId="170" fillId="43" borderId="60" xfId="545" applyFont="1" applyFill="1" applyBorder="1" applyAlignment="1">
      <alignment horizontal="center" vertical="center" wrapText="1"/>
    </xf>
    <xf numFmtId="236" fontId="45" fillId="43" borderId="60" xfId="218" applyNumberFormat="1" applyFont="1" applyFill="1" applyBorder="1" applyAlignment="1">
      <alignment horizontal="right" vertical="center"/>
    </xf>
    <xf numFmtId="3" fontId="45" fillId="43" borderId="63" xfId="0" applyNumberFormat="1" applyFont="1" applyFill="1" applyBorder="1" applyAlignment="1">
      <alignment horizontal="center" vertical="center" wrapText="1"/>
    </xf>
    <xf numFmtId="0" fontId="175" fillId="43" borderId="8" xfId="549" applyFont="1" applyFill="1" applyBorder="1" applyAlignment="1">
      <alignment horizontal="center" vertical="center"/>
    </xf>
    <xf numFmtId="2" fontId="175" fillId="43" borderId="21" xfId="549" applyNumberFormat="1" applyFont="1" applyFill="1" applyBorder="1" applyAlignment="1">
      <alignment horizontal="center" vertical="center" wrapText="1"/>
    </xf>
    <xf numFmtId="2" fontId="173" fillId="43" borderId="65" xfId="549" applyNumberFormat="1" applyFont="1" applyFill="1" applyBorder="1" applyAlignment="1">
      <alignment horizontal="center" vertical="center"/>
    </xf>
    <xf numFmtId="2" fontId="173" fillId="43" borderId="65" xfId="549" quotePrefix="1" applyNumberFormat="1" applyFont="1" applyFill="1" applyBorder="1" applyAlignment="1">
      <alignment horizontal="center" vertical="center"/>
    </xf>
    <xf numFmtId="2" fontId="84" fillId="43" borderId="65" xfId="549" quotePrefix="1" applyNumberFormat="1" applyFont="1" applyFill="1" applyBorder="1" applyAlignment="1">
      <alignment horizontal="center" vertical="center"/>
    </xf>
    <xf numFmtId="2" fontId="187" fillId="43" borderId="65" xfId="549" quotePrefix="1" applyNumberFormat="1" applyFont="1" applyFill="1" applyBorder="1" applyAlignment="1">
      <alignment horizontal="center" vertical="center"/>
    </xf>
    <xf numFmtId="241" fontId="173" fillId="43" borderId="65" xfId="171" applyNumberFormat="1" applyFont="1" applyFill="1" applyBorder="1" applyAlignment="1">
      <alignment vertical="center"/>
    </xf>
    <xf numFmtId="2" fontId="84" fillId="43" borderId="65" xfId="549" quotePrefix="1" applyNumberFormat="1" applyFont="1" applyFill="1" applyBorder="1" applyAlignment="1">
      <alignment horizontal="center" vertical="center" wrapText="1"/>
    </xf>
    <xf numFmtId="2" fontId="187" fillId="43" borderId="65" xfId="549" quotePrefix="1" applyNumberFormat="1" applyFont="1" applyFill="1" applyBorder="1" applyAlignment="1">
      <alignment horizontal="center" vertical="center" wrapText="1"/>
    </xf>
    <xf numFmtId="0" fontId="215" fillId="43" borderId="2" xfId="515" applyFont="1" applyFill="1" applyBorder="1" applyAlignment="1">
      <alignment horizontal="center" vertical="center"/>
    </xf>
    <xf numFmtId="3" fontId="174" fillId="43" borderId="2" xfId="188" applyNumberFormat="1" applyFont="1" applyFill="1" applyBorder="1" applyAlignment="1">
      <alignment horizontal="center" vertical="center" wrapText="1"/>
    </xf>
    <xf numFmtId="3" fontId="174" fillId="43" borderId="2" xfId="0" applyNumberFormat="1" applyFont="1" applyFill="1" applyBorder="1" applyAlignment="1">
      <alignment vertical="center" wrapText="1"/>
    </xf>
    <xf numFmtId="171" fontId="174" fillId="43" borderId="2" xfId="188" applyFont="1" applyFill="1" applyBorder="1" applyAlignment="1">
      <alignment horizontal="center" vertical="center" wrapText="1"/>
    </xf>
    <xf numFmtId="176" fontId="215" fillId="43" borderId="2" xfId="171" applyNumberFormat="1" applyFont="1" applyFill="1" applyBorder="1" applyAlignment="1">
      <alignment vertical="center"/>
    </xf>
    <xf numFmtId="171" fontId="215" fillId="43" borderId="2" xfId="182" applyFont="1" applyFill="1" applyBorder="1" applyAlignment="1" applyProtection="1">
      <alignment horizontal="center" vertical="center" wrapText="1"/>
      <protection locked="0"/>
    </xf>
    <xf numFmtId="171" fontId="215" fillId="43" borderId="2" xfId="515" applyNumberFormat="1" applyFont="1" applyFill="1" applyBorder="1" applyAlignment="1">
      <alignment vertical="center"/>
    </xf>
    <xf numFmtId="176" fontId="215" fillId="43" borderId="2" xfId="182" applyNumberFormat="1" applyFont="1" applyFill="1" applyBorder="1" applyAlignment="1" applyProtection="1">
      <alignment horizontal="center" vertical="center" wrapText="1"/>
      <protection locked="0"/>
    </xf>
    <xf numFmtId="3" fontId="174" fillId="43" borderId="23" xfId="188" applyNumberFormat="1" applyFont="1" applyFill="1" applyBorder="1" applyAlignment="1">
      <alignment horizontal="center" vertical="center" wrapText="1"/>
    </xf>
    <xf numFmtId="3" fontId="174" fillId="43" borderId="23" xfId="0" applyNumberFormat="1" applyFont="1" applyFill="1" applyBorder="1" applyAlignment="1">
      <alignment vertical="center" wrapText="1"/>
    </xf>
    <xf numFmtId="171" fontId="174" fillId="43" borderId="23" xfId="188" applyFont="1" applyFill="1" applyBorder="1" applyAlignment="1">
      <alignment horizontal="center" vertical="center" wrapText="1"/>
    </xf>
    <xf numFmtId="176" fontId="207" fillId="43" borderId="23" xfId="171" applyNumberFormat="1" applyFont="1" applyFill="1" applyBorder="1" applyAlignment="1">
      <alignment vertical="center"/>
    </xf>
    <xf numFmtId="171" fontId="207" fillId="43" borderId="23" xfId="182" applyFont="1" applyFill="1" applyBorder="1" applyAlignment="1" applyProtection="1">
      <alignment horizontal="center" vertical="center" wrapText="1"/>
      <protection locked="0"/>
    </xf>
    <xf numFmtId="171" fontId="207" fillId="43" borderId="23" xfId="515" applyNumberFormat="1" applyFont="1" applyFill="1" applyBorder="1" applyAlignment="1">
      <alignment vertical="center"/>
    </xf>
    <xf numFmtId="239" fontId="207" fillId="43" borderId="23" xfId="171" applyNumberFormat="1" applyFont="1" applyFill="1" applyBorder="1" applyAlignment="1">
      <alignment vertical="center"/>
    </xf>
    <xf numFmtId="3" fontId="174" fillId="43" borderId="12" xfId="188" applyNumberFormat="1" applyFont="1" applyFill="1" applyBorder="1" applyAlignment="1">
      <alignment horizontal="center" vertical="center" wrapText="1"/>
    </xf>
    <xf numFmtId="3" fontId="174" fillId="43" borderId="12" xfId="0" applyNumberFormat="1" applyFont="1" applyFill="1" applyBorder="1" applyAlignment="1">
      <alignment vertical="center" wrapText="1"/>
    </xf>
    <xf numFmtId="171" fontId="174" fillId="43" borderId="12" xfId="188" applyFont="1" applyFill="1" applyBorder="1" applyAlignment="1">
      <alignment horizontal="center" vertical="center" wrapText="1"/>
    </xf>
    <xf numFmtId="176" fontId="207" fillId="43" borderId="12" xfId="171" applyNumberFormat="1" applyFont="1" applyFill="1" applyBorder="1" applyAlignment="1">
      <alignment vertical="center"/>
    </xf>
    <xf numFmtId="171" fontId="207" fillId="43" borderId="12" xfId="182" applyFont="1" applyFill="1" applyBorder="1" applyAlignment="1" applyProtection="1">
      <alignment horizontal="center" vertical="center" wrapText="1"/>
      <protection locked="0"/>
    </xf>
    <xf numFmtId="176" fontId="216" fillId="43" borderId="12" xfId="171" applyNumberFormat="1" applyFont="1" applyFill="1" applyBorder="1" applyAlignment="1">
      <alignment vertical="center"/>
    </xf>
    <xf numFmtId="176" fontId="207" fillId="43" borderId="12" xfId="171" applyNumberFormat="1" applyFont="1" applyFill="1" applyBorder="1" applyAlignment="1">
      <alignment vertical="center" wrapText="1"/>
    </xf>
    <xf numFmtId="176" fontId="216" fillId="43" borderId="60" xfId="171" applyNumberFormat="1" applyFont="1" applyFill="1" applyBorder="1" applyAlignment="1">
      <alignment vertical="center"/>
    </xf>
    <xf numFmtId="171" fontId="207" fillId="43" borderId="80" xfId="182" applyFont="1" applyFill="1" applyBorder="1" applyAlignment="1" applyProtection="1">
      <alignment horizontal="center" vertical="center" wrapText="1"/>
      <protection locked="0"/>
    </xf>
    <xf numFmtId="176" fontId="207" fillId="43" borderId="2" xfId="215" applyNumberFormat="1" applyFont="1" applyFill="1" applyBorder="1" applyAlignment="1">
      <alignment vertical="center"/>
    </xf>
    <xf numFmtId="176" fontId="215" fillId="43" borderId="2" xfId="215" applyNumberFormat="1" applyFont="1" applyFill="1" applyBorder="1" applyAlignment="1">
      <alignment vertical="center"/>
    </xf>
    <xf numFmtId="176" fontId="215" fillId="43" borderId="6" xfId="215" applyNumberFormat="1" applyFont="1" applyFill="1" applyBorder="1" applyAlignment="1">
      <alignment vertical="center"/>
    </xf>
    <xf numFmtId="171" fontId="207" fillId="43" borderId="2" xfId="182" applyFont="1" applyFill="1" applyBorder="1" applyAlignment="1" applyProtection="1">
      <alignment horizontal="center" vertical="center" wrapText="1"/>
      <protection locked="0"/>
    </xf>
    <xf numFmtId="171" fontId="207" fillId="43" borderId="2" xfId="515" applyNumberFormat="1" applyFont="1" applyFill="1" applyBorder="1" applyAlignment="1">
      <alignment vertical="center"/>
    </xf>
    <xf numFmtId="0" fontId="207" fillId="43" borderId="2" xfId="0" applyFont="1" applyFill="1" applyBorder="1" applyAlignment="1">
      <alignment vertical="center"/>
    </xf>
    <xf numFmtId="9" fontId="215" fillId="43" borderId="2" xfId="0" applyNumberFormat="1" applyFont="1" applyFill="1" applyBorder="1" applyAlignment="1">
      <alignment horizontal="center" vertical="center"/>
    </xf>
    <xf numFmtId="9" fontId="215" fillId="43" borderId="2" xfId="597" applyFont="1" applyFill="1" applyBorder="1" applyAlignment="1">
      <alignment vertical="center"/>
    </xf>
    <xf numFmtId="0" fontId="215" fillId="43" borderId="2" xfId="0" applyFont="1" applyFill="1" applyBorder="1" applyAlignment="1">
      <alignment vertical="center"/>
    </xf>
    <xf numFmtId="0" fontId="215" fillId="43" borderId="2" xfId="0" applyFont="1" applyFill="1" applyBorder="1" applyAlignment="1">
      <alignment horizontal="center" vertical="center"/>
    </xf>
    <xf numFmtId="171" fontId="215" fillId="43" borderId="2" xfId="171" applyFont="1" applyFill="1" applyBorder="1" applyAlignment="1">
      <alignment vertical="center"/>
    </xf>
    <xf numFmtId="0" fontId="174" fillId="43" borderId="21" xfId="515" applyFont="1" applyFill="1" applyBorder="1" applyAlignment="1">
      <alignment horizontal="center" vertical="center"/>
    </xf>
    <xf numFmtId="0" fontId="174" fillId="43" borderId="6" xfId="549" applyFont="1" applyFill="1" applyBorder="1" applyAlignment="1">
      <alignment horizontal="left" vertical="center" wrapText="1"/>
    </xf>
    <xf numFmtId="0" fontId="174" fillId="43" borderId="2" xfId="515" applyFont="1" applyFill="1" applyBorder="1" applyAlignment="1">
      <alignment horizontal="center" vertical="center"/>
    </xf>
    <xf numFmtId="0" fontId="174" fillId="43" borderId="21" xfId="515" applyFont="1" applyFill="1" applyBorder="1" applyAlignment="1">
      <alignment horizontal="center" vertical="center" wrapText="1"/>
    </xf>
    <xf numFmtId="239" fontId="174" fillId="43" borderId="21" xfId="171" applyNumberFormat="1" applyFont="1" applyFill="1" applyBorder="1" applyAlignment="1">
      <alignment horizontal="center" vertical="center"/>
    </xf>
    <xf numFmtId="176" fontId="207" fillId="0" borderId="0" xfId="515" applyNumberFormat="1" applyFont="1" applyAlignment="1">
      <alignment vertical="center"/>
    </xf>
    <xf numFmtId="0" fontId="215" fillId="0" borderId="0" xfId="515" applyFont="1" applyAlignment="1">
      <alignment vertical="center"/>
    </xf>
    <xf numFmtId="176" fontId="174" fillId="43" borderId="12" xfId="171" applyNumberFormat="1" applyFont="1" applyFill="1" applyBorder="1" applyAlignment="1">
      <alignment vertical="center"/>
    </xf>
    <xf numFmtId="176" fontId="174" fillId="43" borderId="60" xfId="171" applyNumberFormat="1" applyFont="1" applyFill="1" applyBorder="1" applyAlignment="1">
      <alignment vertical="center"/>
    </xf>
    <xf numFmtId="4" fontId="215" fillId="43" borderId="12" xfId="0" applyNumberFormat="1" applyFont="1" applyFill="1" applyBorder="1" applyAlignment="1">
      <alignment horizontal="right" vertical="center" wrapText="1"/>
    </xf>
    <xf numFmtId="176" fontId="207" fillId="43" borderId="60" xfId="171" applyNumberFormat="1" applyFont="1" applyFill="1" applyBorder="1" applyAlignment="1">
      <alignment horizontal="right" vertical="center" wrapText="1"/>
    </xf>
    <xf numFmtId="3" fontId="217" fillId="43" borderId="12" xfId="188" applyNumberFormat="1" applyFont="1" applyFill="1" applyBorder="1" applyAlignment="1">
      <alignment horizontal="center" vertical="center" wrapText="1"/>
    </xf>
    <xf numFmtId="3" fontId="217" fillId="43" borderId="12" xfId="0" applyNumberFormat="1" applyFont="1" applyFill="1" applyBorder="1" applyAlignment="1">
      <alignment vertical="center" wrapText="1"/>
    </xf>
    <xf numFmtId="171" fontId="217" fillId="43" borderId="12" xfId="188" applyFont="1" applyFill="1" applyBorder="1" applyAlignment="1">
      <alignment horizontal="center" vertical="center" wrapText="1"/>
    </xf>
    <xf numFmtId="176" fontId="218" fillId="43" borderId="12" xfId="171" applyNumberFormat="1" applyFont="1" applyFill="1" applyBorder="1" applyAlignment="1">
      <alignment vertical="center"/>
    </xf>
    <xf numFmtId="171" fontId="218" fillId="43" borderId="12" xfId="182" applyFont="1" applyFill="1" applyBorder="1" applyAlignment="1" applyProtection="1">
      <alignment horizontal="center" vertical="center" wrapText="1"/>
      <protection locked="0"/>
    </xf>
    <xf numFmtId="176" fontId="217" fillId="43" borderId="60" xfId="171" applyNumberFormat="1" applyFont="1" applyFill="1" applyBorder="1" applyAlignment="1">
      <alignment vertical="center"/>
    </xf>
    <xf numFmtId="171" fontId="218" fillId="43" borderId="12" xfId="515" applyNumberFormat="1" applyFont="1" applyFill="1" applyBorder="1" applyAlignment="1">
      <alignment vertical="center"/>
    </xf>
    <xf numFmtId="239" fontId="218" fillId="43" borderId="12" xfId="171" applyNumberFormat="1" applyFont="1" applyFill="1" applyBorder="1" applyAlignment="1">
      <alignment vertical="center"/>
    </xf>
    <xf numFmtId="176" fontId="218" fillId="0" borderId="0" xfId="515" applyNumberFormat="1" applyFont="1" applyAlignment="1">
      <alignment vertical="center"/>
    </xf>
    <xf numFmtId="0" fontId="218" fillId="0" borderId="0" xfId="515" applyFont="1" applyAlignment="1">
      <alignment vertical="center"/>
    </xf>
    <xf numFmtId="176" fontId="218" fillId="43" borderId="12" xfId="171" applyNumberFormat="1" applyFont="1" applyFill="1" applyBorder="1" applyAlignment="1">
      <alignment vertical="center" wrapText="1"/>
    </xf>
    <xf numFmtId="171" fontId="218" fillId="43" borderId="80" xfId="182" applyFont="1" applyFill="1" applyBorder="1" applyAlignment="1" applyProtection="1">
      <alignment horizontal="center" vertical="center" wrapText="1"/>
      <protection locked="0"/>
    </xf>
    <xf numFmtId="176" fontId="218" fillId="43" borderId="60" xfId="171" applyNumberFormat="1" applyFont="1" applyFill="1" applyBorder="1" applyAlignment="1">
      <alignment horizontal="right" vertical="center" wrapText="1"/>
    </xf>
    <xf numFmtId="176" fontId="218" fillId="43" borderId="60" xfId="171" applyNumberFormat="1" applyFont="1" applyFill="1" applyBorder="1" applyAlignment="1">
      <alignment horizontal="left" vertical="center" wrapText="1"/>
    </xf>
    <xf numFmtId="176" fontId="218" fillId="43" borderId="63" xfId="171" applyNumberFormat="1" applyFont="1" applyFill="1" applyBorder="1" applyAlignment="1">
      <alignment horizontal="right" vertical="center" wrapText="1"/>
    </xf>
    <xf numFmtId="0" fontId="202" fillId="0" borderId="2" xfId="515" applyFont="1" applyBorder="1" applyAlignment="1">
      <alignment horizontal="left" vertical="center"/>
    </xf>
    <xf numFmtId="0" fontId="202" fillId="0" borderId="2" xfId="515" applyFont="1" applyBorder="1" applyAlignment="1">
      <alignment horizontal="left" vertical="center" wrapText="1"/>
    </xf>
    <xf numFmtId="176" fontId="201" fillId="0" borderId="60" xfId="171" applyNumberFormat="1" applyFont="1" applyFill="1" applyBorder="1" applyAlignment="1">
      <alignment vertical="center" wrapText="1"/>
    </xf>
    <xf numFmtId="3" fontId="219" fillId="0" borderId="60" xfId="188" applyNumberFormat="1" applyFont="1" applyFill="1" applyBorder="1" applyAlignment="1">
      <alignment horizontal="center" vertical="center" wrapText="1"/>
    </xf>
    <xf numFmtId="3" fontId="219" fillId="0" borderId="60" xfId="188" applyNumberFormat="1" applyFont="1" applyFill="1" applyBorder="1" applyAlignment="1">
      <alignment horizontal="left" vertical="center" wrapText="1"/>
    </xf>
    <xf numFmtId="176" fontId="220" fillId="0" borderId="60" xfId="171" applyNumberFormat="1" applyFont="1" applyFill="1" applyBorder="1" applyAlignment="1">
      <alignment vertical="center" wrapText="1"/>
    </xf>
    <xf numFmtId="171" fontId="221" fillId="0" borderId="60" xfId="182" applyFont="1" applyFill="1" applyBorder="1" applyAlignment="1" applyProtection="1">
      <alignment horizontal="center" vertical="center" wrapText="1"/>
      <protection locked="0"/>
    </xf>
    <xf numFmtId="241" fontId="221" fillId="0" borderId="60" xfId="171" applyNumberFormat="1" applyFont="1" applyFill="1" applyBorder="1" applyAlignment="1" applyProtection="1">
      <alignment horizontal="center" vertical="center" wrapText="1"/>
      <protection locked="0"/>
    </xf>
    <xf numFmtId="176" fontId="221" fillId="0" borderId="60" xfId="182" applyNumberFormat="1" applyFont="1" applyFill="1" applyBorder="1" applyAlignment="1" applyProtection="1">
      <alignment horizontal="center" vertical="center" wrapText="1"/>
      <protection locked="0"/>
    </xf>
    <xf numFmtId="0" fontId="221" fillId="0" borderId="60" xfId="0" applyFont="1" applyBorder="1" applyAlignment="1">
      <alignment horizontal="center" vertical="center" wrapText="1"/>
    </xf>
    <xf numFmtId="0" fontId="221" fillId="0" borderId="0" xfId="0" applyFont="1" applyAlignment="1">
      <alignment vertical="center"/>
    </xf>
    <xf numFmtId="43" fontId="221" fillId="0" borderId="0" xfId="0" applyNumberFormat="1" applyFont="1" applyAlignment="1">
      <alignment vertical="center"/>
    </xf>
    <xf numFmtId="0" fontId="175" fillId="43" borderId="6" xfId="549" applyFont="1" applyFill="1" applyBorder="1" applyAlignment="1">
      <alignment horizontal="center" vertical="center"/>
    </xf>
    <xf numFmtId="0" fontId="175" fillId="43" borderId="44" xfId="549" applyFont="1" applyFill="1" applyBorder="1" applyAlignment="1">
      <alignment horizontal="left" vertical="center" wrapText="1"/>
    </xf>
    <xf numFmtId="0" fontId="175" fillId="43" borderId="6" xfId="549" applyFont="1" applyFill="1" applyBorder="1" applyAlignment="1">
      <alignment horizontal="center" vertical="center" wrapText="1"/>
    </xf>
    <xf numFmtId="2" fontId="175" fillId="43" borderId="2" xfId="549" applyNumberFormat="1" applyFont="1" applyFill="1" applyBorder="1" applyAlignment="1">
      <alignment horizontal="center" vertical="center" wrapText="1"/>
    </xf>
    <xf numFmtId="0" fontId="219" fillId="43" borderId="6" xfId="549" applyFont="1" applyFill="1" applyBorder="1" applyAlignment="1">
      <alignment horizontal="center" vertical="center"/>
    </xf>
    <xf numFmtId="0" fontId="219" fillId="43" borderId="44" xfId="549" applyFont="1" applyFill="1" applyBorder="1" applyAlignment="1">
      <alignment horizontal="left" vertical="center" wrapText="1"/>
    </xf>
    <xf numFmtId="0" fontId="219" fillId="43" borderId="6" xfId="549" applyFont="1" applyFill="1" applyBorder="1" applyAlignment="1">
      <alignment horizontal="center" vertical="center" wrapText="1"/>
    </xf>
    <xf numFmtId="241" fontId="219" fillId="43" borderId="65" xfId="171" applyNumberFormat="1" applyFont="1" applyFill="1" applyBorder="1" applyAlignment="1">
      <alignment vertical="center"/>
    </xf>
    <xf numFmtId="9" fontId="219" fillId="43" borderId="65" xfId="549" quotePrefix="1" applyNumberFormat="1" applyFont="1" applyFill="1" applyBorder="1" applyAlignment="1">
      <alignment horizontal="center" vertical="center"/>
    </xf>
    <xf numFmtId="2" fontId="222" fillId="43" borderId="65" xfId="549" quotePrefix="1" applyNumberFormat="1" applyFont="1" applyFill="1" applyBorder="1" applyAlignment="1">
      <alignment horizontal="center" vertical="center"/>
    </xf>
    <xf numFmtId="0" fontId="219" fillId="45" borderId="0" xfId="549" applyFont="1" applyFill="1"/>
    <xf numFmtId="238" fontId="219" fillId="43" borderId="65" xfId="549" applyNumberFormat="1" applyFont="1" applyFill="1" applyBorder="1" applyAlignment="1">
      <alignment vertical="center"/>
    </xf>
    <xf numFmtId="241" fontId="219" fillId="43" borderId="65" xfId="549" applyNumberFormat="1" applyFont="1" applyFill="1" applyBorder="1" applyAlignment="1">
      <alignment vertical="center"/>
    </xf>
    <xf numFmtId="0" fontId="219" fillId="43" borderId="0" xfId="549" applyFont="1" applyFill="1"/>
    <xf numFmtId="2" fontId="222" fillId="43" borderId="65" xfId="549" quotePrefix="1" applyNumberFormat="1" applyFont="1" applyFill="1" applyBorder="1" applyAlignment="1">
      <alignment horizontal="center" vertical="center" wrapText="1"/>
    </xf>
    <xf numFmtId="0" fontId="219" fillId="46" borderId="0" xfId="549" applyFont="1" applyFill="1"/>
    <xf numFmtId="43" fontId="219" fillId="46" borderId="0" xfId="549" applyNumberFormat="1" applyFont="1" applyFill="1"/>
    <xf numFmtId="241" fontId="219" fillId="46" borderId="0" xfId="549" applyNumberFormat="1" applyFont="1" applyFill="1"/>
    <xf numFmtId="0" fontId="219" fillId="45" borderId="0" xfId="549" applyFont="1" applyFill="1" applyAlignment="1">
      <alignment horizontal="center"/>
    </xf>
    <xf numFmtId="0" fontId="223" fillId="43" borderId="6" xfId="549" applyFont="1" applyFill="1" applyBorder="1" applyAlignment="1">
      <alignment horizontal="center" vertical="center"/>
    </xf>
    <xf numFmtId="0" fontId="223" fillId="43" borderId="44" xfId="549" applyFont="1" applyFill="1" applyBorder="1" applyAlignment="1">
      <alignment horizontal="left" vertical="center" wrapText="1"/>
    </xf>
    <xf numFmtId="0" fontId="223" fillId="43" borderId="6" xfId="549" applyFont="1" applyFill="1" applyBorder="1" applyAlignment="1">
      <alignment horizontal="center" vertical="center" wrapText="1"/>
    </xf>
    <xf numFmtId="2" fontId="224" fillId="43" borderId="65" xfId="549" quotePrefix="1" applyNumberFormat="1" applyFont="1" applyFill="1" applyBorder="1" applyAlignment="1">
      <alignment horizontal="center" vertical="center" wrapText="1"/>
    </xf>
    <xf numFmtId="0" fontId="223" fillId="46" borderId="0" xfId="549" applyFont="1" applyFill="1"/>
    <xf numFmtId="3" fontId="175" fillId="0" borderId="12" xfId="188" applyNumberFormat="1" applyFont="1" applyFill="1" applyBorder="1" applyAlignment="1">
      <alignment horizontal="center" vertical="center" wrapText="1"/>
    </xf>
    <xf numFmtId="3" fontId="219" fillId="0" borderId="12" xfId="188" applyNumberFormat="1" applyFont="1" applyFill="1" applyBorder="1" applyAlignment="1">
      <alignment horizontal="center" vertical="center" wrapText="1"/>
    </xf>
    <xf numFmtId="2" fontId="179" fillId="43" borderId="60" xfId="0" applyNumberFormat="1" applyFont="1" applyFill="1" applyBorder="1" applyAlignment="1">
      <alignment horizontal="left" vertical="center" wrapText="1"/>
    </xf>
    <xf numFmtId="0" fontId="179" fillId="43" borderId="60" xfId="545" applyFont="1" applyFill="1" applyBorder="1" applyAlignment="1">
      <alignment horizontal="center" vertical="center" wrapText="1"/>
    </xf>
    <xf numFmtId="237" fontId="179" fillId="43" borderId="60" xfId="218" applyNumberFormat="1" applyFont="1" applyFill="1" applyBorder="1" applyAlignment="1">
      <alignment horizontal="right" vertical="center" wrapText="1"/>
    </xf>
    <xf numFmtId="237" fontId="179" fillId="43" borderId="60" xfId="516" applyNumberFormat="1" applyFont="1" applyFill="1" applyBorder="1" applyAlignment="1">
      <alignment horizontal="right" vertical="center" wrapText="1"/>
    </xf>
    <xf numFmtId="237" fontId="179" fillId="43" borderId="60" xfId="218" applyNumberFormat="1" applyFont="1" applyFill="1" applyBorder="1" applyAlignment="1">
      <alignment horizontal="right" vertical="center"/>
    </xf>
    <xf numFmtId="236" fontId="179" fillId="43" borderId="60" xfId="218" applyNumberFormat="1" applyFont="1" applyFill="1" applyBorder="1" applyAlignment="1">
      <alignment horizontal="right" vertical="center"/>
    </xf>
    <xf numFmtId="0" fontId="179" fillId="43" borderId="0" xfId="516" applyFont="1" applyFill="1" applyAlignment="1">
      <alignment vertical="center"/>
    </xf>
    <xf numFmtId="3" fontId="225" fillId="0" borderId="12" xfId="188" applyNumberFormat="1" applyFont="1" applyFill="1" applyBorder="1" applyAlignment="1">
      <alignment horizontal="center" vertical="center" wrapText="1"/>
    </xf>
    <xf numFmtId="0" fontId="226" fillId="43" borderId="60" xfId="545" applyFont="1" applyFill="1" applyBorder="1" applyAlignment="1">
      <alignment horizontal="center" vertical="center" wrapText="1"/>
    </xf>
    <xf numFmtId="237" fontId="226" fillId="43" borderId="60" xfId="218" applyNumberFormat="1" applyFont="1" applyFill="1" applyBorder="1" applyAlignment="1">
      <alignment horizontal="right" vertical="center" wrapText="1"/>
    </xf>
    <xf numFmtId="237" fontId="226" fillId="43" borderId="60" xfId="516" applyNumberFormat="1" applyFont="1" applyFill="1" applyBorder="1" applyAlignment="1">
      <alignment horizontal="right" vertical="center" wrapText="1"/>
    </xf>
    <xf numFmtId="237" fontId="226" fillId="43" borderId="60" xfId="218" applyNumberFormat="1" applyFont="1" applyFill="1" applyBorder="1" applyAlignment="1">
      <alignment horizontal="right" vertical="center"/>
    </xf>
    <xf numFmtId="236" fontId="226" fillId="43" borderId="60" xfId="218" applyNumberFormat="1" applyFont="1" applyFill="1" applyBorder="1" applyAlignment="1">
      <alignment horizontal="right" vertical="center"/>
    </xf>
    <xf numFmtId="0" fontId="226" fillId="43" borderId="0" xfId="516" applyFont="1" applyFill="1" applyAlignment="1">
      <alignment vertical="center"/>
    </xf>
    <xf numFmtId="3" fontId="225" fillId="0" borderId="12" xfId="188" applyNumberFormat="1" applyFont="1" applyFill="1" applyBorder="1" applyAlignment="1">
      <alignment horizontal="left" vertical="center" wrapText="1" indent="1"/>
    </xf>
    <xf numFmtId="0" fontId="226" fillId="43" borderId="60" xfId="545" applyFont="1" applyFill="1" applyBorder="1" applyAlignment="1">
      <alignment horizontal="left" vertical="center" wrapText="1" indent="1"/>
    </xf>
    <xf numFmtId="0" fontId="226" fillId="43" borderId="0" xfId="516" applyFont="1" applyFill="1" applyAlignment="1">
      <alignment horizontal="left" vertical="center" indent="1"/>
    </xf>
    <xf numFmtId="0" fontId="228" fillId="43" borderId="0" xfId="516" applyFont="1" applyFill="1" applyAlignment="1">
      <alignment horizontal="left" vertical="center"/>
    </xf>
    <xf numFmtId="0" fontId="227" fillId="43" borderId="60" xfId="516" quotePrefix="1" applyFont="1" applyFill="1" applyBorder="1" applyAlignment="1">
      <alignment horizontal="left" vertical="center"/>
    </xf>
    <xf numFmtId="0" fontId="179" fillId="43" borderId="60" xfId="516" quotePrefix="1" applyFont="1" applyFill="1" applyBorder="1" applyAlignment="1">
      <alignment horizontal="left" vertical="center"/>
    </xf>
    <xf numFmtId="0" fontId="226" fillId="43" borderId="60" xfId="516" quotePrefix="1" applyFont="1" applyFill="1" applyBorder="1" applyAlignment="1">
      <alignment horizontal="left" vertical="center"/>
    </xf>
    <xf numFmtId="0" fontId="226" fillId="43" borderId="60" xfId="516" quotePrefix="1" applyFont="1" applyFill="1" applyBorder="1" applyAlignment="1">
      <alignment horizontal="left" vertical="center" indent="1"/>
    </xf>
    <xf numFmtId="237" fontId="179" fillId="43" borderId="63" xfId="516" applyNumberFormat="1" applyFont="1" applyFill="1" applyBorder="1" applyAlignment="1">
      <alignment horizontal="right" vertical="center" wrapText="1"/>
    </xf>
    <xf numFmtId="0" fontId="228" fillId="43" borderId="50" xfId="516" quotePrefix="1" applyFont="1" applyFill="1" applyBorder="1" applyAlignment="1">
      <alignment horizontal="left" vertical="center"/>
    </xf>
    <xf numFmtId="0" fontId="227" fillId="0" borderId="0" xfId="0" applyFont="1" applyAlignment="1">
      <alignment vertical="center"/>
    </xf>
    <xf numFmtId="0" fontId="227" fillId="43" borderId="0" xfId="0" applyFont="1" applyFill="1" applyAlignment="1">
      <alignment horizontal="left"/>
    </xf>
    <xf numFmtId="0" fontId="228" fillId="43" borderId="51" xfId="516" applyFont="1" applyFill="1" applyBorder="1" applyAlignment="1">
      <alignment horizontal="left" vertical="center"/>
    </xf>
    <xf numFmtId="0" fontId="228" fillId="43" borderId="56" xfId="516" applyFont="1" applyFill="1" applyBorder="1" applyAlignment="1">
      <alignment horizontal="left" vertical="center"/>
    </xf>
    <xf numFmtId="0" fontId="228" fillId="43" borderId="57" xfId="516" applyFont="1" applyFill="1" applyBorder="1" applyAlignment="1">
      <alignment horizontal="left" vertical="center"/>
    </xf>
    <xf numFmtId="0" fontId="173" fillId="0" borderId="0" xfId="489" applyAlignment="1">
      <alignment vertical="center"/>
    </xf>
    <xf numFmtId="0" fontId="173" fillId="0" borderId="46" xfId="489" applyBorder="1" applyAlignment="1">
      <alignment vertical="center"/>
    </xf>
    <xf numFmtId="236" fontId="232" fillId="0" borderId="46" xfId="224" applyNumberFormat="1" applyFont="1" applyFill="1" applyBorder="1" applyAlignment="1">
      <alignment horizontal="left" vertical="center" wrapText="1"/>
    </xf>
    <xf numFmtId="0" fontId="215" fillId="0" borderId="0" xfId="510" applyFont="1" applyAlignment="1">
      <alignment vertical="center" wrapText="1"/>
    </xf>
    <xf numFmtId="0" fontId="207" fillId="0" borderId="0" xfId="510" applyFont="1" applyAlignment="1">
      <alignment vertical="center"/>
    </xf>
    <xf numFmtId="0" fontId="207" fillId="43" borderId="0" xfId="510" quotePrefix="1" applyFont="1" applyFill="1" applyAlignment="1">
      <alignment horizontal="center" vertical="center"/>
    </xf>
    <xf numFmtId="0" fontId="207" fillId="0" borderId="0" xfId="510" applyFont="1"/>
    <xf numFmtId="0" fontId="207" fillId="43" borderId="0" xfId="510" applyFont="1" applyFill="1"/>
    <xf numFmtId="0" fontId="215" fillId="0" borderId="0" xfId="510" applyFont="1"/>
    <xf numFmtId="0" fontId="207" fillId="0" borderId="0" xfId="510" quotePrefix="1" applyFont="1" applyAlignment="1">
      <alignment vertical="center"/>
    </xf>
    <xf numFmtId="0" fontId="235" fillId="0" borderId="0" xfId="510" quotePrefix="1" applyFont="1" applyAlignment="1">
      <alignment horizontal="left" vertical="center" wrapText="1"/>
    </xf>
    <xf numFmtId="171" fontId="235" fillId="0" borderId="0" xfId="171" quotePrefix="1" applyFont="1" applyAlignment="1">
      <alignment horizontal="left" vertical="center" wrapText="1"/>
    </xf>
    <xf numFmtId="43" fontId="207" fillId="0" borderId="0" xfId="510" applyNumberFormat="1" applyFont="1" applyAlignment="1">
      <alignment vertical="center"/>
    </xf>
    <xf numFmtId="1" fontId="207" fillId="0" borderId="65" xfId="1079" applyNumberFormat="1" applyFont="1" applyBorder="1" applyAlignment="1">
      <alignment horizontal="center" vertical="center"/>
    </xf>
    <xf numFmtId="2" fontId="215" fillId="0" borderId="65" xfId="510" applyNumberFormat="1" applyFont="1" applyBorder="1" applyAlignment="1">
      <alignment horizontal="left" vertical="center"/>
    </xf>
    <xf numFmtId="2" fontId="207" fillId="0" borderId="0" xfId="510" applyNumberFormat="1" applyFont="1" applyAlignment="1">
      <alignment horizontal="left" vertical="center"/>
    </xf>
    <xf numFmtId="171" fontId="215" fillId="0" borderId="0" xfId="171" applyFont="1" applyAlignment="1">
      <alignment vertical="center"/>
    </xf>
    <xf numFmtId="1" fontId="207" fillId="43" borderId="65" xfId="1079" applyNumberFormat="1" applyFont="1" applyFill="1" applyBorder="1" applyAlignment="1">
      <alignment horizontal="center" vertical="center"/>
    </xf>
    <xf numFmtId="2" fontId="215" fillId="43" borderId="65" xfId="510" applyNumberFormat="1" applyFont="1" applyFill="1" applyBorder="1" applyAlignment="1">
      <alignment horizontal="left" vertical="center"/>
    </xf>
    <xf numFmtId="2" fontId="207" fillId="43" borderId="0" xfId="510" applyNumberFormat="1" applyFont="1" applyFill="1" applyAlignment="1">
      <alignment horizontal="left" vertical="center"/>
    </xf>
    <xf numFmtId="176" fontId="207" fillId="0" borderId="0" xfId="510" applyNumberFormat="1" applyFont="1" applyAlignment="1">
      <alignment vertical="center"/>
    </xf>
    <xf numFmtId="239" fontId="215" fillId="0" borderId="0" xfId="171" applyNumberFormat="1" applyFont="1" applyAlignment="1">
      <alignment vertical="center"/>
    </xf>
    <xf numFmtId="1" fontId="207" fillId="43" borderId="0" xfId="1079" applyNumberFormat="1" applyFont="1" applyFill="1" applyBorder="1" applyAlignment="1">
      <alignment horizontal="center" vertical="center"/>
    </xf>
    <xf numFmtId="0" fontId="215" fillId="43" borderId="0" xfId="510" applyFont="1" applyFill="1" applyAlignment="1">
      <alignment horizontal="left" vertical="center"/>
    </xf>
    <xf numFmtId="176" fontId="215" fillId="43" borderId="0" xfId="1079" applyNumberFormat="1" applyFont="1" applyFill="1" applyBorder="1" applyAlignment="1">
      <alignment horizontal="center" vertical="center"/>
    </xf>
    <xf numFmtId="239" fontId="207" fillId="0" borderId="0" xfId="510" applyNumberFormat="1" applyFont="1" applyAlignment="1">
      <alignment vertical="center"/>
    </xf>
    <xf numFmtId="2" fontId="215" fillId="0" borderId="0" xfId="510" applyNumberFormat="1" applyFont="1"/>
    <xf numFmtId="171" fontId="207" fillId="0" borderId="0" xfId="171" applyFont="1" applyAlignment="1">
      <alignment vertical="center"/>
    </xf>
    <xf numFmtId="0" fontId="207" fillId="43" borderId="0" xfId="510" applyFont="1" applyFill="1" applyAlignment="1">
      <alignment vertical="center"/>
    </xf>
    <xf numFmtId="0" fontId="235" fillId="43" borderId="0" xfId="510" applyFont="1" applyFill="1" applyAlignment="1">
      <alignment vertical="center" wrapText="1"/>
    </xf>
    <xf numFmtId="0" fontId="215" fillId="0" borderId="0" xfId="510" quotePrefix="1" applyFont="1" applyAlignment="1">
      <alignment horizontal="left"/>
    </xf>
    <xf numFmtId="0" fontId="215" fillId="0" borderId="0" xfId="510" applyFont="1" applyAlignment="1">
      <alignment horizontal="left"/>
    </xf>
    <xf numFmtId="0" fontId="215" fillId="0" borderId="0" xfId="510" quotePrefix="1" applyFont="1"/>
    <xf numFmtId="1" fontId="215" fillId="0" borderId="0" xfId="510" applyNumberFormat="1" applyFont="1"/>
    <xf numFmtId="0" fontId="207" fillId="0" borderId="0" xfId="510" applyFont="1" applyAlignment="1">
      <alignment vertical="top"/>
    </xf>
    <xf numFmtId="0" fontId="237" fillId="0" borderId="0" xfId="510" applyFont="1"/>
    <xf numFmtId="0" fontId="235" fillId="0" borderId="0" xfId="510" applyFont="1"/>
    <xf numFmtId="0" fontId="238" fillId="0" borderId="0" xfId="510" applyFont="1" applyAlignment="1">
      <alignment vertical="center"/>
    </xf>
    <xf numFmtId="0" fontId="215" fillId="0" borderId="0" xfId="510" applyFont="1" applyAlignment="1">
      <alignment vertical="center"/>
    </xf>
    <xf numFmtId="0" fontId="235" fillId="0" borderId="0" xfId="510" quotePrefix="1" applyFont="1" applyAlignment="1">
      <alignment vertical="center"/>
    </xf>
    <xf numFmtId="0" fontId="239" fillId="0" borderId="0" xfId="515" applyFont="1" applyAlignment="1">
      <alignment vertical="center"/>
    </xf>
    <xf numFmtId="49" fontId="217" fillId="0" borderId="0" xfId="515" applyNumberFormat="1" applyFont="1" applyAlignment="1">
      <alignment horizontal="left" vertical="center"/>
    </xf>
    <xf numFmtId="49" fontId="181" fillId="0" borderId="0" xfId="515" applyNumberFormat="1" applyFont="1" applyAlignment="1">
      <alignment horizontal="left" vertical="center"/>
    </xf>
    <xf numFmtId="0" fontId="189" fillId="46" borderId="0" xfId="0" applyFont="1" applyFill="1" applyAlignment="1">
      <alignment vertical="center"/>
    </xf>
    <xf numFmtId="239" fontId="215" fillId="43" borderId="2" xfId="182" applyNumberFormat="1" applyFont="1" applyFill="1" applyBorder="1" applyAlignment="1" applyProtection="1">
      <alignment horizontal="center" vertical="center" wrapText="1"/>
      <protection locked="0"/>
    </xf>
    <xf numFmtId="239" fontId="207" fillId="43" borderId="23" xfId="182" applyNumberFormat="1" applyFont="1" applyFill="1" applyBorder="1" applyAlignment="1" applyProtection="1">
      <alignment horizontal="center" vertical="center" wrapText="1"/>
      <protection locked="0"/>
    </xf>
    <xf numFmtId="239" fontId="218" fillId="43" borderId="12" xfId="182" applyNumberFormat="1" applyFont="1" applyFill="1" applyBorder="1" applyAlignment="1" applyProtection="1">
      <alignment horizontal="center" vertical="center" wrapText="1"/>
      <protection locked="0"/>
    </xf>
    <xf numFmtId="239" fontId="201" fillId="0" borderId="0" xfId="515" applyNumberFormat="1" applyFont="1" applyAlignment="1">
      <alignment vertical="center"/>
    </xf>
    <xf numFmtId="0" fontId="227" fillId="43" borderId="12" xfId="516" quotePrefix="1" applyFont="1" applyFill="1" applyBorder="1" applyAlignment="1">
      <alignment horizontal="left" vertical="center"/>
    </xf>
    <xf numFmtId="0" fontId="228" fillId="43" borderId="65" xfId="516" quotePrefix="1" applyFont="1" applyFill="1" applyBorder="1" applyAlignment="1">
      <alignment horizontal="center" vertical="center"/>
    </xf>
    <xf numFmtId="2" fontId="170" fillId="43" borderId="82" xfId="0" applyNumberFormat="1" applyFont="1" applyFill="1" applyBorder="1" applyAlignment="1">
      <alignment horizontal="left" vertical="center" wrapText="1"/>
    </xf>
    <xf numFmtId="2" fontId="179" fillId="43" borderId="82" xfId="0" applyNumberFormat="1" applyFont="1" applyFill="1" applyBorder="1" applyAlignment="1">
      <alignment horizontal="left" vertical="center" wrapText="1"/>
    </xf>
    <xf numFmtId="3" fontId="175" fillId="0" borderId="81" xfId="188" applyNumberFormat="1" applyFont="1" applyFill="1" applyBorder="1" applyAlignment="1">
      <alignment horizontal="center" vertical="center" wrapText="1"/>
    </xf>
    <xf numFmtId="3" fontId="219" fillId="0" borderId="81" xfId="188" applyNumberFormat="1" applyFont="1" applyFill="1" applyBorder="1" applyAlignment="1">
      <alignment horizontal="center" vertical="center" wrapText="1"/>
    </xf>
    <xf numFmtId="3" fontId="175" fillId="0" borderId="20" xfId="188" applyNumberFormat="1" applyFont="1" applyFill="1" applyBorder="1" applyAlignment="1">
      <alignment horizontal="center" vertical="center" wrapText="1"/>
    </xf>
    <xf numFmtId="243" fontId="170" fillId="47" borderId="0" xfId="1078" applyNumberFormat="1" applyFont="1" applyFill="1" applyAlignment="1">
      <alignment horizontal="center" vertical="center" wrapText="1"/>
    </xf>
    <xf numFmtId="3" fontId="45" fillId="43" borderId="72" xfId="1078" applyNumberFormat="1" applyFont="1" applyFill="1" applyBorder="1" applyAlignment="1">
      <alignment horizontal="center" vertical="center"/>
    </xf>
    <xf numFmtId="3" fontId="170" fillId="43" borderId="70" xfId="1078" applyNumberFormat="1" applyFont="1" applyFill="1" applyBorder="1" applyAlignment="1">
      <alignment horizontal="right" vertical="center"/>
    </xf>
    <xf numFmtId="3" fontId="170" fillId="43" borderId="71" xfId="1078" applyNumberFormat="1" applyFont="1" applyFill="1" applyBorder="1" applyAlignment="1">
      <alignment horizontal="center" vertical="center"/>
    </xf>
    <xf numFmtId="3" fontId="170" fillId="43" borderId="72" xfId="1078" applyNumberFormat="1" applyFont="1" applyFill="1" applyBorder="1" applyAlignment="1">
      <alignment horizontal="left" vertical="center"/>
    </xf>
    <xf numFmtId="3" fontId="45" fillId="43" borderId="70" xfId="1078" applyNumberFormat="1" applyFont="1" applyFill="1" applyBorder="1" applyAlignment="1">
      <alignment horizontal="center" vertical="center"/>
    </xf>
    <xf numFmtId="0" fontId="45" fillId="43" borderId="71" xfId="1078" applyFont="1" applyFill="1" applyBorder="1" applyAlignment="1">
      <alignment horizontal="center" vertical="center"/>
    </xf>
    <xf numFmtId="4" fontId="45" fillId="43" borderId="77" xfId="1078" applyNumberFormat="1" applyFont="1" applyFill="1" applyBorder="1" applyAlignment="1">
      <alignment horizontal="left" vertical="center" wrapText="1"/>
    </xf>
    <xf numFmtId="4" fontId="227" fillId="43" borderId="77" xfId="1078" applyNumberFormat="1" applyFont="1" applyFill="1" applyBorder="1" applyAlignment="1">
      <alignment horizontal="left" vertical="center" wrapText="1"/>
    </xf>
    <xf numFmtId="3" fontId="227" fillId="43" borderId="72" xfId="1078" applyNumberFormat="1" applyFont="1" applyFill="1" applyBorder="1" applyAlignment="1">
      <alignment horizontal="center" vertical="center"/>
    </xf>
    <xf numFmtId="3" fontId="227" fillId="43" borderId="70" xfId="1078" applyNumberFormat="1" applyFont="1" applyFill="1" applyBorder="1" applyAlignment="1">
      <alignment horizontal="center" vertical="center"/>
    </xf>
    <xf numFmtId="3" fontId="45" fillId="43" borderId="72" xfId="1078" quotePrefix="1" applyNumberFormat="1" applyFont="1" applyFill="1" applyBorder="1" applyAlignment="1">
      <alignment horizontal="center" vertical="center"/>
    </xf>
    <xf numFmtId="4" fontId="45" fillId="43" borderId="66" xfId="1078" applyNumberFormat="1" applyFont="1" applyFill="1" applyBorder="1" applyAlignment="1">
      <alignment horizontal="left" vertical="center" wrapText="1"/>
    </xf>
    <xf numFmtId="3" fontId="45" fillId="0" borderId="0" xfId="1078" applyNumberFormat="1" applyFont="1" applyAlignment="1">
      <alignment vertical="center"/>
    </xf>
    <xf numFmtId="0" fontId="45" fillId="0" borderId="0" xfId="1078" applyFont="1" applyAlignment="1">
      <alignment vertical="center"/>
    </xf>
    <xf numFmtId="3" fontId="45" fillId="0" borderId="0" xfId="1078" applyNumberFormat="1" applyFont="1" applyAlignment="1">
      <alignment horizontal="center" vertical="center"/>
    </xf>
    <xf numFmtId="178" fontId="45" fillId="0" borderId="0" xfId="1078" applyNumberFormat="1" applyFont="1" applyAlignment="1">
      <alignment horizontal="center" vertical="center"/>
    </xf>
    <xf numFmtId="4" fontId="45" fillId="0" borderId="0" xfId="1078" applyNumberFormat="1" applyFont="1" applyAlignment="1">
      <alignment horizontal="center" vertical="center"/>
    </xf>
    <xf numFmtId="178" fontId="45" fillId="0" borderId="0" xfId="1078" applyNumberFormat="1" applyFont="1" applyAlignment="1">
      <alignment vertical="center"/>
    </xf>
    <xf numFmtId="4" fontId="45" fillId="0" borderId="0" xfId="1078" applyNumberFormat="1" applyFont="1" applyAlignment="1">
      <alignment horizontal="left" vertical="center" wrapText="1"/>
    </xf>
    <xf numFmtId="0" fontId="45" fillId="43" borderId="65" xfId="1078" applyFont="1" applyFill="1" applyBorder="1" applyAlignment="1">
      <alignment horizontal="center" vertical="center"/>
    </xf>
    <xf numFmtId="3" fontId="45" fillId="43" borderId="65" xfId="1078" applyNumberFormat="1" applyFont="1" applyFill="1" applyBorder="1" applyAlignment="1">
      <alignment horizontal="center" vertical="center"/>
    </xf>
    <xf numFmtId="2" fontId="170" fillId="43" borderId="65" xfId="516" applyNumberFormat="1" applyFont="1" applyFill="1" applyBorder="1" applyAlignment="1">
      <alignment horizontal="center" vertical="center"/>
    </xf>
    <xf numFmtId="49" fontId="182" fillId="43" borderId="65" xfId="516" applyNumberFormat="1" applyFont="1" applyFill="1" applyBorder="1" applyAlignment="1">
      <alignment horizontal="center" vertical="center"/>
    </xf>
    <xf numFmtId="2" fontId="182" fillId="43" borderId="65" xfId="516" applyNumberFormat="1" applyFont="1" applyFill="1" applyBorder="1" applyAlignment="1">
      <alignment horizontal="center" vertical="center" wrapText="1"/>
    </xf>
    <xf numFmtId="2" fontId="182" fillId="43" borderId="65" xfId="516" applyNumberFormat="1" applyFont="1" applyFill="1" applyBorder="1" applyAlignment="1">
      <alignment horizontal="center" vertical="center"/>
    </xf>
    <xf numFmtId="2" fontId="182" fillId="43" borderId="65" xfId="516" quotePrefix="1" applyNumberFormat="1" applyFont="1" applyFill="1" applyBorder="1" applyAlignment="1">
      <alignment horizontal="center" vertical="center"/>
    </xf>
    <xf numFmtId="2" fontId="186" fillId="43" borderId="0" xfId="0" applyNumberFormat="1" applyFont="1" applyFill="1" applyAlignment="1">
      <alignment horizontal="center"/>
    </xf>
    <xf numFmtId="3" fontId="170" fillId="0" borderId="23" xfId="188" applyNumberFormat="1" applyFont="1" applyFill="1" applyBorder="1" applyAlignment="1">
      <alignment horizontal="left" vertical="center" wrapText="1"/>
    </xf>
    <xf numFmtId="0" fontId="241" fillId="0" borderId="0" xfId="1078" applyFont="1"/>
    <xf numFmtId="0" fontId="242" fillId="0" borderId="0" xfId="1078" applyFont="1"/>
    <xf numFmtId="0" fontId="45" fillId="43" borderId="77" xfId="1078" applyFont="1" applyFill="1" applyBorder="1" applyAlignment="1">
      <alignment horizontal="center" vertical="center"/>
    </xf>
    <xf numFmtId="3" fontId="45" fillId="43" borderId="77" xfId="1078" applyNumberFormat="1" applyFont="1" applyFill="1" applyBorder="1" applyAlignment="1">
      <alignment vertical="center"/>
    </xf>
    <xf numFmtId="3" fontId="45" fillId="43" borderId="77" xfId="1078" applyNumberFormat="1" applyFont="1" applyFill="1" applyBorder="1" applyAlignment="1">
      <alignment horizontal="center" vertical="center"/>
    </xf>
    <xf numFmtId="178" fontId="45" fillId="43" borderId="77" xfId="1078" applyNumberFormat="1" applyFont="1" applyFill="1" applyBorder="1" applyAlignment="1">
      <alignment horizontal="right" vertical="center"/>
    </xf>
    <xf numFmtId="238" fontId="45" fillId="43" borderId="77" xfId="1078" applyNumberFormat="1" applyFont="1" applyFill="1" applyBorder="1" applyAlignment="1">
      <alignment horizontal="right" vertical="center"/>
    </xf>
    <xf numFmtId="178" fontId="227" fillId="43" borderId="77" xfId="1078" applyNumberFormat="1" applyFont="1" applyFill="1" applyBorder="1" applyAlignment="1">
      <alignment horizontal="right" vertical="center"/>
    </xf>
    <xf numFmtId="0" fontId="243" fillId="0" borderId="0" xfId="1078" applyFont="1"/>
    <xf numFmtId="0" fontId="227" fillId="43" borderId="77" xfId="1078" applyFont="1" applyFill="1" applyBorder="1" applyAlignment="1">
      <alignment horizontal="center" vertical="center"/>
    </xf>
    <xf numFmtId="3" fontId="227" fillId="43" borderId="77" xfId="1078" applyNumberFormat="1" applyFont="1" applyFill="1" applyBorder="1" applyAlignment="1">
      <alignment vertical="center"/>
    </xf>
    <xf numFmtId="3" fontId="227" fillId="43" borderId="77" xfId="1078" applyNumberFormat="1" applyFont="1" applyFill="1" applyBorder="1" applyAlignment="1">
      <alignment horizontal="center" vertical="center"/>
    </xf>
    <xf numFmtId="238" fontId="227" fillId="43" borderId="77" xfId="1078" applyNumberFormat="1" applyFont="1" applyFill="1" applyBorder="1" applyAlignment="1">
      <alignment horizontal="right" vertical="center"/>
    </xf>
    <xf numFmtId="0" fontId="243" fillId="43" borderId="0" xfId="1078" applyFont="1" applyFill="1"/>
    <xf numFmtId="0" fontId="242" fillId="43" borderId="0" xfId="1078" applyFont="1" applyFill="1"/>
    <xf numFmtId="0" fontId="242" fillId="46" borderId="0" xfId="1078" applyFont="1" applyFill="1"/>
    <xf numFmtId="178" fontId="227" fillId="43" borderId="65" xfId="1078" applyNumberFormat="1" applyFont="1" applyFill="1" applyBorder="1" applyAlignment="1">
      <alignment horizontal="right" vertical="center"/>
    </xf>
    <xf numFmtId="0" fontId="244" fillId="0" borderId="0" xfId="0" applyFont="1" applyAlignment="1">
      <alignment horizontal="center" vertical="center"/>
    </xf>
    <xf numFmtId="241" fontId="170" fillId="0" borderId="0" xfId="171" applyNumberFormat="1" applyFont="1" applyFill="1" applyAlignment="1">
      <alignment vertical="center"/>
    </xf>
    <xf numFmtId="0" fontId="244" fillId="0" borderId="0" xfId="0" applyFont="1" applyAlignment="1">
      <alignment vertical="center"/>
    </xf>
    <xf numFmtId="0" fontId="170" fillId="0" borderId="0" xfId="0" applyFont="1" applyAlignment="1">
      <alignment vertical="center"/>
    </xf>
    <xf numFmtId="0" fontId="45" fillId="0" borderId="0" xfId="1078" applyFont="1"/>
    <xf numFmtId="3" fontId="245" fillId="0" borderId="0" xfId="1078" applyNumberFormat="1" applyFont="1" applyAlignment="1">
      <alignment vertical="center"/>
    </xf>
    <xf numFmtId="0" fontId="245" fillId="0" borderId="0" xfId="1078" applyFont="1" applyAlignment="1">
      <alignment vertical="center"/>
    </xf>
    <xf numFmtId="3" fontId="245" fillId="0" borderId="0" xfId="1078" applyNumberFormat="1" applyFont="1" applyAlignment="1">
      <alignment horizontal="center" vertical="center"/>
    </xf>
    <xf numFmtId="178" fontId="245" fillId="0" borderId="0" xfId="1078" applyNumberFormat="1" applyFont="1" applyAlignment="1">
      <alignment horizontal="center" vertical="center"/>
    </xf>
    <xf numFmtId="4" fontId="245" fillId="0" borderId="0" xfId="1078" applyNumberFormat="1" applyFont="1" applyAlignment="1">
      <alignment horizontal="center" vertical="center"/>
    </xf>
    <xf numFmtId="178" fontId="245" fillId="0" borderId="0" xfId="1078" applyNumberFormat="1" applyFont="1" applyAlignment="1">
      <alignment vertical="center"/>
    </xf>
    <xf numFmtId="4" fontId="245" fillId="0" borderId="0" xfId="1078" applyNumberFormat="1" applyFont="1" applyAlignment="1">
      <alignment horizontal="left" vertical="center" wrapText="1"/>
    </xf>
    <xf numFmtId="0" fontId="245" fillId="0" borderId="0" xfId="1078" applyFont="1"/>
    <xf numFmtId="3" fontId="45" fillId="43" borderId="71" xfId="1078" applyNumberFormat="1" applyFont="1" applyFill="1" applyBorder="1" applyAlignment="1">
      <alignment horizontal="center" vertical="center"/>
    </xf>
    <xf numFmtId="238" fontId="45" fillId="43" borderId="65" xfId="1078" applyNumberFormat="1" applyFont="1" applyFill="1" applyBorder="1" applyAlignment="1">
      <alignment horizontal="right" vertical="center"/>
    </xf>
    <xf numFmtId="178" fontId="227" fillId="43" borderId="66" xfId="1078" applyNumberFormat="1" applyFont="1" applyFill="1" applyBorder="1" applyAlignment="1">
      <alignment horizontal="right" vertical="center"/>
    </xf>
    <xf numFmtId="0" fontId="170" fillId="0" borderId="0" xfId="0" applyFont="1" applyAlignment="1">
      <alignment horizontal="center" vertical="center"/>
    </xf>
    <xf numFmtId="1" fontId="182" fillId="43" borderId="65" xfId="516" applyNumberFormat="1" applyFont="1" applyFill="1" applyBorder="1" applyAlignment="1">
      <alignment horizontal="center" vertical="center"/>
    </xf>
    <xf numFmtId="4" fontId="227" fillId="43" borderId="66" xfId="1078" applyNumberFormat="1" applyFont="1" applyFill="1" applyBorder="1" applyAlignment="1">
      <alignment horizontal="left" vertical="center" wrapText="1"/>
    </xf>
    <xf numFmtId="4" fontId="227" fillId="43" borderId="65" xfId="1078" applyNumberFormat="1" applyFont="1" applyFill="1" applyBorder="1" applyAlignment="1">
      <alignment horizontal="left" vertical="center" wrapText="1"/>
    </xf>
    <xf numFmtId="238" fontId="182" fillId="43" borderId="0" xfId="516" applyNumberFormat="1" applyFont="1" applyFill="1" applyAlignment="1">
      <alignment horizontal="right" vertical="center"/>
    </xf>
    <xf numFmtId="238" fontId="182" fillId="43" borderId="65" xfId="516" quotePrefix="1" applyNumberFormat="1" applyFont="1" applyFill="1" applyBorder="1" applyAlignment="1">
      <alignment horizontal="center" vertical="center"/>
    </xf>
    <xf numFmtId="238" fontId="182" fillId="43" borderId="23" xfId="516" quotePrefix="1" applyNumberFormat="1" applyFont="1" applyFill="1" applyBorder="1" applyAlignment="1">
      <alignment horizontal="center" vertical="center"/>
    </xf>
    <xf numFmtId="238" fontId="194" fillId="0" borderId="23" xfId="182" applyNumberFormat="1" applyFont="1" applyFill="1" applyBorder="1" applyAlignment="1" applyProtection="1">
      <alignment horizontal="center" vertical="center" wrapText="1"/>
      <protection locked="0"/>
    </xf>
    <xf numFmtId="238" fontId="45" fillId="43" borderId="60" xfId="218" applyNumberFormat="1" applyFont="1" applyFill="1" applyBorder="1" applyAlignment="1">
      <alignment horizontal="right" vertical="center"/>
    </xf>
    <xf numFmtId="238" fontId="179" fillId="43" borderId="60" xfId="218" applyNumberFormat="1" applyFont="1" applyFill="1" applyBorder="1" applyAlignment="1">
      <alignment horizontal="right" vertical="center"/>
    </xf>
    <xf numFmtId="238" fontId="226" fillId="43" borderId="60" xfId="218" applyNumberFormat="1" applyFont="1" applyFill="1" applyBorder="1" applyAlignment="1">
      <alignment horizontal="right" vertical="center"/>
    </xf>
    <xf numFmtId="238" fontId="179" fillId="43" borderId="60" xfId="191" applyNumberFormat="1" applyFont="1" applyFill="1" applyBorder="1" applyAlignment="1">
      <alignment horizontal="right" vertical="center" wrapText="1"/>
    </xf>
    <xf numFmtId="238" fontId="170" fillId="43" borderId="60" xfId="191" applyNumberFormat="1" applyFont="1" applyFill="1" applyBorder="1" applyAlignment="1">
      <alignment horizontal="right" vertical="center" wrapText="1"/>
    </xf>
    <xf numFmtId="238" fontId="45" fillId="43" borderId="63" xfId="516" applyNumberFormat="1" applyFont="1" applyFill="1" applyBorder="1" applyAlignment="1">
      <alignment horizontal="right" vertical="center" wrapText="1"/>
    </xf>
    <xf numFmtId="238" fontId="7" fillId="43" borderId="50" xfId="191" applyNumberFormat="1" applyFont="1" applyFill="1" applyBorder="1" applyAlignment="1">
      <alignment horizontal="right" vertical="center" wrapText="1"/>
    </xf>
    <xf numFmtId="238" fontId="205" fillId="0" borderId="0" xfId="0" applyNumberFormat="1" applyFont="1" applyAlignment="1">
      <alignment vertical="center"/>
    </xf>
    <xf numFmtId="238" fontId="170" fillId="43" borderId="0" xfId="0" applyNumberFormat="1" applyFont="1" applyFill="1" applyAlignment="1">
      <alignment horizontal="right"/>
    </xf>
    <xf numFmtId="238" fontId="45" fillId="43" borderId="0" xfId="0" applyNumberFormat="1" applyFont="1" applyFill="1" applyAlignment="1">
      <alignment horizontal="right"/>
    </xf>
    <xf numFmtId="238" fontId="184" fillId="43" borderId="0" xfId="0" applyNumberFormat="1" applyFont="1" applyFill="1" applyAlignment="1">
      <alignment horizontal="right"/>
    </xf>
    <xf numFmtId="238" fontId="182" fillId="43" borderId="51" xfId="516" applyNumberFormat="1" applyFont="1" applyFill="1" applyBorder="1" applyAlignment="1">
      <alignment horizontal="right" vertical="center"/>
    </xf>
    <xf numFmtId="238" fontId="182" fillId="43" borderId="52" xfId="516" applyNumberFormat="1" applyFont="1" applyFill="1" applyBorder="1" applyAlignment="1">
      <alignment horizontal="right" vertical="center"/>
    </xf>
    <xf numFmtId="238" fontId="182" fillId="43" borderId="53" xfId="516" applyNumberFormat="1" applyFont="1" applyFill="1" applyBorder="1" applyAlignment="1">
      <alignment horizontal="right" vertical="center"/>
    </xf>
    <xf numFmtId="238" fontId="182" fillId="43" borderId="23" xfId="516" quotePrefix="1" applyNumberFormat="1" applyFont="1" applyFill="1" applyBorder="1" applyAlignment="1">
      <alignment horizontal="center" vertical="center" wrapText="1"/>
    </xf>
    <xf numFmtId="238" fontId="194" fillId="0" borderId="23" xfId="0" applyNumberFormat="1" applyFont="1" applyBorder="1" applyAlignment="1">
      <alignment horizontal="center" vertical="center" wrapText="1"/>
    </xf>
    <xf numFmtId="238" fontId="170" fillId="43" borderId="60" xfId="516" quotePrefix="1" applyNumberFormat="1" applyFont="1" applyFill="1" applyBorder="1" applyAlignment="1">
      <alignment horizontal="right" vertical="center"/>
    </xf>
    <xf numFmtId="238" fontId="179" fillId="43" borderId="60" xfId="516" quotePrefix="1" applyNumberFormat="1" applyFont="1" applyFill="1" applyBorder="1" applyAlignment="1">
      <alignment horizontal="right" vertical="center"/>
    </xf>
    <xf numFmtId="238" fontId="227" fillId="43" borderId="60" xfId="516" quotePrefix="1" applyNumberFormat="1" applyFont="1" applyFill="1" applyBorder="1" applyAlignment="1">
      <alignment horizontal="right" vertical="center"/>
    </xf>
    <xf numFmtId="238" fontId="226" fillId="43" borderId="60" xfId="516" quotePrefix="1" applyNumberFormat="1" applyFont="1" applyFill="1" applyBorder="1" applyAlignment="1">
      <alignment horizontal="right" vertical="center"/>
    </xf>
    <xf numFmtId="238" fontId="227" fillId="43" borderId="60" xfId="191" applyNumberFormat="1" applyFont="1" applyFill="1" applyBorder="1" applyAlignment="1">
      <alignment horizontal="right" vertical="center" wrapText="1"/>
    </xf>
    <xf numFmtId="3" fontId="170" fillId="47" borderId="0" xfId="1078" applyNumberFormat="1" applyFont="1" applyFill="1" applyAlignment="1">
      <alignment horizontal="center" vertical="center" wrapText="1"/>
    </xf>
    <xf numFmtId="3" fontId="244" fillId="0" borderId="0" xfId="0" applyNumberFormat="1" applyFont="1" applyAlignment="1">
      <alignment vertical="center"/>
    </xf>
    <xf numFmtId="3" fontId="227" fillId="0" borderId="0" xfId="0" applyNumberFormat="1" applyFont="1" applyAlignment="1">
      <alignment vertical="center"/>
    </xf>
    <xf numFmtId="0" fontId="246" fillId="0" borderId="65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55" xfId="0" applyBorder="1" applyAlignment="1">
      <alignment horizontal="left" vertical="center"/>
    </xf>
    <xf numFmtId="4" fontId="0" fillId="0" borderId="65" xfId="0" applyNumberFormat="1" applyBorder="1" applyAlignment="1">
      <alignment horizontal="right" vertical="center"/>
    </xf>
    <xf numFmtId="4" fontId="246" fillId="0" borderId="65" xfId="0" applyNumberFormat="1" applyFont="1" applyBorder="1" applyAlignment="1">
      <alignment horizontal="right" vertical="center"/>
    </xf>
    <xf numFmtId="1" fontId="179" fillId="43" borderId="60" xfId="545" applyNumberFormat="1" applyFont="1" applyFill="1" applyBorder="1" applyAlignment="1">
      <alignment horizontal="center" vertical="center" wrapText="1"/>
    </xf>
    <xf numFmtId="238" fontId="0" fillId="0" borderId="65" xfId="0" applyNumberFormat="1" applyBorder="1" applyAlignment="1">
      <alignment horizontal="center" vertical="center"/>
    </xf>
    <xf numFmtId="4" fontId="45" fillId="43" borderId="77" xfId="1078" applyNumberFormat="1" applyFont="1" applyFill="1" applyBorder="1" applyAlignment="1">
      <alignment horizontal="right" vertical="center"/>
    </xf>
    <xf numFmtId="49" fontId="45" fillId="0" borderId="77" xfId="1078" applyNumberFormat="1" applyFont="1" applyBorder="1" applyAlignment="1">
      <alignment horizontal="center" vertical="center"/>
    </xf>
    <xf numFmtId="49" fontId="45" fillId="43" borderId="77" xfId="1078" applyNumberFormat="1" applyFont="1" applyFill="1" applyBorder="1" applyAlignment="1">
      <alignment horizontal="center" vertical="center"/>
    </xf>
    <xf numFmtId="49" fontId="45" fillId="43" borderId="77" xfId="1078" applyNumberFormat="1" applyFont="1" applyFill="1" applyBorder="1" applyAlignment="1">
      <alignment horizontal="center" vertical="center" wrapText="1"/>
    </xf>
    <xf numFmtId="0" fontId="246" fillId="0" borderId="79" xfId="0" applyFont="1" applyBorder="1" applyAlignment="1">
      <alignment horizontal="center" vertical="center"/>
    </xf>
    <xf numFmtId="49" fontId="45" fillId="43" borderId="73" xfId="1078" applyNumberFormat="1" applyFont="1" applyFill="1" applyBorder="1" applyAlignment="1">
      <alignment horizontal="center" vertical="center"/>
    </xf>
    <xf numFmtId="243" fontId="227" fillId="47" borderId="0" xfId="1078" applyNumberFormat="1" applyFont="1" applyFill="1" applyAlignment="1">
      <alignment horizontal="center" vertical="center" wrapText="1"/>
    </xf>
    <xf numFmtId="4" fontId="179" fillId="43" borderId="77" xfId="1078" applyNumberFormat="1" applyFont="1" applyFill="1" applyBorder="1" applyAlignment="1">
      <alignment horizontal="left" vertical="center" wrapText="1"/>
    </xf>
    <xf numFmtId="178" fontId="179" fillId="0" borderId="0" xfId="1078" applyNumberFormat="1" applyFont="1" applyAlignment="1">
      <alignment horizontal="center" vertical="center"/>
    </xf>
    <xf numFmtId="4" fontId="179" fillId="0" borderId="0" xfId="1078" applyNumberFormat="1" applyFont="1" applyAlignment="1">
      <alignment horizontal="left" vertical="center" wrapText="1"/>
    </xf>
    <xf numFmtId="4" fontId="247" fillId="0" borderId="0" xfId="1078" applyNumberFormat="1" applyFont="1" applyAlignment="1">
      <alignment horizontal="left" vertical="center" wrapText="1"/>
    </xf>
    <xf numFmtId="3" fontId="170" fillId="0" borderId="0" xfId="171" applyNumberFormat="1" applyFont="1" applyFill="1" applyAlignment="1">
      <alignment vertical="center"/>
    </xf>
    <xf numFmtId="243" fontId="170" fillId="47" borderId="0" xfId="1078" applyNumberFormat="1" applyFont="1" applyFill="1" applyAlignment="1">
      <alignment horizontal="left" vertical="center" wrapText="1"/>
    </xf>
    <xf numFmtId="178" fontId="45" fillId="0" borderId="0" xfId="1078" applyNumberFormat="1" applyFont="1" applyAlignment="1">
      <alignment horizontal="left" vertical="center" wrapText="1"/>
    </xf>
    <xf numFmtId="0" fontId="170" fillId="0" borderId="0" xfId="0" applyFont="1" applyAlignment="1">
      <alignment horizontal="left" vertical="center" wrapText="1"/>
    </xf>
    <xf numFmtId="0" fontId="179" fillId="43" borderId="65" xfId="516" quotePrefix="1" applyFont="1" applyFill="1" applyBorder="1" applyAlignment="1">
      <alignment horizontal="left" vertical="center" wrapText="1"/>
    </xf>
    <xf numFmtId="0" fontId="243" fillId="0" borderId="0" xfId="1078" applyFont="1" applyAlignment="1">
      <alignment horizontal="left"/>
    </xf>
    <xf numFmtId="4" fontId="0" fillId="0" borderId="79" xfId="0" applyNumberFormat="1" applyBorder="1" applyAlignment="1">
      <alignment horizontal="center" vertical="center"/>
    </xf>
    <xf numFmtId="3" fontId="0" fillId="0" borderId="79" xfId="0" applyNumberFormat="1" applyBorder="1" applyAlignment="1">
      <alignment horizontal="center" vertical="center"/>
    </xf>
    <xf numFmtId="0" fontId="0" fillId="0" borderId="65" xfId="0" applyBorder="1"/>
    <xf numFmtId="10" fontId="246" fillId="0" borderId="65" xfId="597" applyNumberFormat="1" applyFont="1" applyBorder="1"/>
    <xf numFmtId="238" fontId="170" fillId="47" borderId="0" xfId="1078" applyNumberFormat="1" applyFont="1" applyFill="1" applyAlignment="1">
      <alignment horizontal="center" vertical="center" wrapText="1"/>
    </xf>
    <xf numFmtId="238" fontId="45" fillId="43" borderId="77" xfId="1078" applyNumberFormat="1" applyFont="1" applyFill="1" applyBorder="1" applyAlignment="1">
      <alignment horizontal="center" vertical="center"/>
    </xf>
    <xf numFmtId="238" fontId="227" fillId="43" borderId="73" xfId="1078" applyNumberFormat="1" applyFont="1" applyFill="1" applyBorder="1" applyAlignment="1">
      <alignment horizontal="right" vertical="center"/>
    </xf>
    <xf numFmtId="238" fontId="45" fillId="0" borderId="0" xfId="1078" applyNumberFormat="1" applyFont="1" applyAlignment="1">
      <alignment horizontal="center" vertical="center"/>
    </xf>
    <xf numFmtId="238" fontId="170" fillId="0" borderId="0" xfId="0" applyNumberFormat="1" applyFont="1" applyAlignment="1">
      <alignment horizontal="center" vertical="center"/>
    </xf>
    <xf numFmtId="238" fontId="45" fillId="0" borderId="0" xfId="1078" applyNumberFormat="1" applyFont="1" applyAlignment="1">
      <alignment vertical="center"/>
    </xf>
    <xf numFmtId="238" fontId="245" fillId="0" borderId="0" xfId="1078" applyNumberFormat="1" applyFont="1" applyAlignment="1">
      <alignment vertical="center"/>
    </xf>
    <xf numFmtId="238" fontId="244" fillId="0" borderId="0" xfId="0" applyNumberFormat="1" applyFont="1" applyAlignment="1">
      <alignment vertical="center"/>
    </xf>
    <xf numFmtId="238" fontId="245" fillId="0" borderId="0" xfId="1078" applyNumberFormat="1" applyFont="1" applyAlignment="1">
      <alignment horizontal="center" vertical="center"/>
    </xf>
    <xf numFmtId="0" fontId="248" fillId="0" borderId="0" xfId="0" applyFont="1" applyAlignment="1">
      <alignment vertical="center"/>
    </xf>
    <xf numFmtId="0" fontId="248" fillId="0" borderId="0" xfId="0" applyFont="1"/>
    <xf numFmtId="49" fontId="248" fillId="0" borderId="0" xfId="0" quotePrefix="1" applyNumberFormat="1" applyFont="1" applyAlignment="1">
      <alignment horizontal="left"/>
    </xf>
    <xf numFmtId="0" fontId="251" fillId="0" borderId="65" xfId="0" applyFont="1" applyBorder="1" applyAlignment="1">
      <alignment horizontal="center" vertical="center"/>
    </xf>
    <xf numFmtId="0" fontId="251" fillId="0" borderId="0" xfId="0" applyFont="1"/>
    <xf numFmtId="176" fontId="251" fillId="0" borderId="65" xfId="189" applyNumberFormat="1" applyFont="1" applyFill="1" applyBorder="1" applyAlignment="1">
      <alignment horizontal="center" vertical="center"/>
    </xf>
    <xf numFmtId="0" fontId="248" fillId="0" borderId="65" xfId="0" applyFont="1" applyBorder="1" applyAlignment="1">
      <alignment horizontal="center" vertical="center"/>
    </xf>
    <xf numFmtId="176" fontId="248" fillId="0" borderId="65" xfId="189" applyNumberFormat="1" applyFont="1" applyFill="1" applyBorder="1" applyAlignment="1">
      <alignment horizontal="center" vertical="center"/>
    </xf>
    <xf numFmtId="0" fontId="248" fillId="0" borderId="65" xfId="0" applyFont="1" applyBorder="1" applyAlignment="1">
      <alignment horizontal="left" vertical="center" wrapText="1"/>
    </xf>
    <xf numFmtId="237" fontId="248" fillId="0" borderId="65" xfId="189" applyNumberFormat="1" applyFont="1" applyFill="1" applyBorder="1" applyAlignment="1">
      <alignment horizontal="center" vertical="center"/>
    </xf>
    <xf numFmtId="0" fontId="248" fillId="0" borderId="65" xfId="0" applyFont="1" applyBorder="1" applyAlignment="1">
      <alignment horizontal="center" vertical="center" wrapText="1"/>
    </xf>
    <xf numFmtId="43" fontId="248" fillId="0" borderId="65" xfId="189" applyFont="1" applyFill="1" applyBorder="1" applyAlignment="1">
      <alignment horizontal="center" vertical="center"/>
    </xf>
    <xf numFmtId="176" fontId="248" fillId="43" borderId="65" xfId="189" applyNumberFormat="1" applyFont="1" applyFill="1" applyBorder="1" applyAlignment="1">
      <alignment horizontal="center" vertical="center"/>
    </xf>
    <xf numFmtId="0" fontId="248" fillId="0" borderId="0" xfId="0" applyFont="1" applyAlignment="1">
      <alignment wrapText="1"/>
    </xf>
    <xf numFmtId="0" fontId="251" fillId="0" borderId="65" xfId="0" applyFont="1" applyBorder="1" applyAlignment="1">
      <alignment horizontal="center" vertical="center" wrapText="1"/>
    </xf>
    <xf numFmtId="0" fontId="251" fillId="0" borderId="65" xfId="0" applyFont="1" applyBorder="1" applyAlignment="1">
      <alignment horizontal="left" vertical="center" wrapText="1"/>
    </xf>
    <xf numFmtId="3" fontId="252" fillId="0" borderId="12" xfId="188" applyNumberFormat="1" applyFont="1" applyFill="1" applyBorder="1" applyAlignment="1">
      <alignment horizontal="center" vertical="center" wrapText="1"/>
    </xf>
    <xf numFmtId="2" fontId="253" fillId="43" borderId="60" xfId="0" applyNumberFormat="1" applyFont="1" applyFill="1" applyBorder="1" applyAlignment="1">
      <alignment horizontal="left" vertical="center" wrapText="1" indent="1"/>
    </xf>
    <xf numFmtId="0" fontId="253" fillId="43" borderId="60" xfId="545" applyFont="1" applyFill="1" applyBorder="1" applyAlignment="1">
      <alignment horizontal="center" vertical="center" wrapText="1"/>
    </xf>
    <xf numFmtId="237" fontId="253" fillId="43" borderId="60" xfId="218" applyNumberFormat="1" applyFont="1" applyFill="1" applyBorder="1" applyAlignment="1">
      <alignment horizontal="right" vertical="center" wrapText="1"/>
    </xf>
    <xf numFmtId="237" fontId="253" fillId="43" borderId="60" xfId="516" applyNumberFormat="1" applyFont="1" applyFill="1" applyBorder="1" applyAlignment="1">
      <alignment horizontal="right" vertical="center" wrapText="1"/>
    </xf>
    <xf numFmtId="237" fontId="253" fillId="43" borderId="60" xfId="218" applyNumberFormat="1" applyFont="1" applyFill="1" applyBorder="1" applyAlignment="1">
      <alignment horizontal="right" vertical="center"/>
    </xf>
    <xf numFmtId="238" fontId="253" fillId="43" borderId="60" xfId="218" applyNumberFormat="1" applyFont="1" applyFill="1" applyBorder="1" applyAlignment="1">
      <alignment horizontal="right" vertical="center"/>
    </xf>
    <xf numFmtId="236" fontId="253" fillId="43" borderId="60" xfId="218" applyNumberFormat="1" applyFont="1" applyFill="1" applyBorder="1" applyAlignment="1">
      <alignment horizontal="right" vertical="center"/>
    </xf>
    <xf numFmtId="238" fontId="254" fillId="43" borderId="60" xfId="516" quotePrefix="1" applyNumberFormat="1" applyFont="1" applyFill="1" applyBorder="1" applyAlignment="1">
      <alignment horizontal="right" vertical="center"/>
    </xf>
    <xf numFmtId="0" fontId="253" fillId="43" borderId="60" xfId="516" quotePrefix="1" applyFont="1" applyFill="1" applyBorder="1" applyAlignment="1">
      <alignment horizontal="left" vertical="center"/>
    </xf>
    <xf numFmtId="0" fontId="253" fillId="43" borderId="0" xfId="516" applyFont="1" applyFill="1" applyAlignment="1">
      <alignment vertical="center"/>
    </xf>
    <xf numFmtId="3" fontId="252" fillId="0" borderId="12" xfId="188" applyNumberFormat="1" applyFont="1" applyFill="1" applyBorder="1" applyAlignment="1">
      <alignment horizontal="left" vertical="center" wrapText="1" indent="1"/>
    </xf>
    <xf numFmtId="2" fontId="253" fillId="43" borderId="60" xfId="0" quotePrefix="1" applyNumberFormat="1" applyFont="1" applyFill="1" applyBorder="1" applyAlignment="1">
      <alignment horizontal="left" vertical="center" wrapText="1" indent="2"/>
    </xf>
    <xf numFmtId="0" fontId="253" fillId="43" borderId="60" xfId="545" applyFont="1" applyFill="1" applyBorder="1" applyAlignment="1">
      <alignment horizontal="left" vertical="center" wrapText="1" indent="1"/>
    </xf>
    <xf numFmtId="237" fontId="253" fillId="43" borderId="60" xfId="218" applyNumberFormat="1" applyFont="1" applyFill="1" applyBorder="1" applyAlignment="1">
      <alignment horizontal="left" vertical="center" wrapText="1" indent="1"/>
    </xf>
    <xf numFmtId="237" fontId="255" fillId="43" borderId="60" xfId="516" applyNumberFormat="1" applyFont="1" applyFill="1" applyBorder="1" applyAlignment="1">
      <alignment horizontal="right" vertical="center" wrapText="1"/>
    </xf>
    <xf numFmtId="237" fontId="255" fillId="43" borderId="60" xfId="218" applyNumberFormat="1" applyFont="1" applyFill="1" applyBorder="1" applyAlignment="1">
      <alignment horizontal="right" vertical="center"/>
    </xf>
    <xf numFmtId="238" fontId="253" fillId="43" borderId="60" xfId="218" applyNumberFormat="1" applyFont="1" applyFill="1" applyBorder="1" applyAlignment="1">
      <alignment horizontal="left" vertical="center" indent="1"/>
    </xf>
    <xf numFmtId="236" fontId="253" fillId="43" borderId="60" xfId="218" applyNumberFormat="1" applyFont="1" applyFill="1" applyBorder="1" applyAlignment="1">
      <alignment horizontal="left" vertical="center" indent="1"/>
    </xf>
    <xf numFmtId="238" fontId="253" fillId="43" borderId="60" xfId="516" quotePrefix="1" applyNumberFormat="1" applyFont="1" applyFill="1" applyBorder="1" applyAlignment="1">
      <alignment horizontal="left" vertical="center" indent="1"/>
    </xf>
    <xf numFmtId="0" fontId="253" fillId="43" borderId="60" xfId="516" quotePrefix="1" applyFont="1" applyFill="1" applyBorder="1" applyAlignment="1">
      <alignment horizontal="left" vertical="center" indent="1"/>
    </xf>
    <xf numFmtId="0" fontId="253" fillId="43" borderId="0" xfId="516" applyFont="1" applyFill="1" applyAlignment="1">
      <alignment horizontal="left" vertical="center" indent="1"/>
    </xf>
    <xf numFmtId="2" fontId="253" fillId="43" borderId="60" xfId="0" quotePrefix="1" applyNumberFormat="1" applyFont="1" applyFill="1" applyBorder="1" applyAlignment="1">
      <alignment horizontal="left" vertical="center" wrapText="1" indent="3"/>
    </xf>
    <xf numFmtId="238" fontId="253" fillId="43" borderId="60" xfId="516" quotePrefix="1" applyNumberFormat="1" applyFont="1" applyFill="1" applyBorder="1" applyAlignment="1">
      <alignment horizontal="right" vertical="center"/>
    </xf>
    <xf numFmtId="237" fontId="253" fillId="43" borderId="60" xfId="218" applyNumberFormat="1" applyFont="1" applyFill="1" applyBorder="1" applyAlignment="1">
      <alignment horizontal="left" vertical="center" indent="1"/>
    </xf>
    <xf numFmtId="3" fontId="256" fillId="0" borderId="12" xfId="188" applyNumberFormat="1" applyFont="1" applyFill="1" applyBorder="1" applyAlignment="1">
      <alignment horizontal="center" vertical="center" wrapText="1"/>
    </xf>
    <xf numFmtId="2" fontId="257" fillId="43" borderId="60" xfId="0" applyNumberFormat="1" applyFont="1" applyFill="1" applyBorder="1" applyAlignment="1">
      <alignment horizontal="left" vertical="center" wrapText="1" indent="1"/>
    </xf>
    <xf numFmtId="0" fontId="257" fillId="43" borderId="60" xfId="545" applyFont="1" applyFill="1" applyBorder="1" applyAlignment="1">
      <alignment horizontal="center" vertical="center" wrapText="1"/>
    </xf>
    <xf numFmtId="237" fontId="257" fillId="43" borderId="60" xfId="218" applyNumberFormat="1" applyFont="1" applyFill="1" applyBorder="1" applyAlignment="1">
      <alignment horizontal="right" vertical="center" wrapText="1"/>
    </xf>
    <xf numFmtId="237" fontId="257" fillId="43" borderId="60" xfId="516" applyNumberFormat="1" applyFont="1" applyFill="1" applyBorder="1" applyAlignment="1">
      <alignment horizontal="right" vertical="center" wrapText="1"/>
    </xf>
    <xf numFmtId="237" fontId="257" fillId="43" borderId="60" xfId="218" applyNumberFormat="1" applyFont="1" applyFill="1" applyBorder="1" applyAlignment="1">
      <alignment horizontal="right" vertical="center"/>
    </xf>
    <xf numFmtId="238" fontId="257" fillId="43" borderId="60" xfId="218" applyNumberFormat="1" applyFont="1" applyFill="1" applyBorder="1" applyAlignment="1">
      <alignment horizontal="right" vertical="center"/>
    </xf>
    <xf numFmtId="236" fontId="257" fillId="43" borderId="60" xfId="218" applyNumberFormat="1" applyFont="1" applyFill="1" applyBorder="1" applyAlignment="1">
      <alignment horizontal="right" vertical="center"/>
    </xf>
    <xf numFmtId="238" fontId="257" fillId="43" borderId="60" xfId="516" quotePrefix="1" applyNumberFormat="1" applyFont="1" applyFill="1" applyBorder="1" applyAlignment="1">
      <alignment horizontal="right" vertical="center"/>
    </xf>
    <xf numFmtId="0" fontId="257" fillId="43" borderId="60" xfId="516" quotePrefix="1" applyFont="1" applyFill="1" applyBorder="1" applyAlignment="1">
      <alignment horizontal="left" vertical="center" indent="1"/>
    </xf>
    <xf numFmtId="0" fontId="257" fillId="43" borderId="0" xfId="516" applyFont="1" applyFill="1" applyAlignment="1">
      <alignment vertical="center"/>
    </xf>
    <xf numFmtId="214" fontId="253" fillId="43" borderId="60" xfId="545" applyNumberFormat="1" applyFont="1" applyFill="1" applyBorder="1" applyAlignment="1">
      <alignment horizontal="right" vertical="center" wrapText="1"/>
    </xf>
    <xf numFmtId="4" fontId="253" fillId="43" borderId="60" xfId="218" applyNumberFormat="1" applyFont="1" applyFill="1" applyBorder="1" applyAlignment="1">
      <alignment horizontal="right" vertical="center"/>
    </xf>
    <xf numFmtId="2" fontId="257" fillId="43" borderId="60" xfId="0" quotePrefix="1" applyNumberFormat="1" applyFont="1" applyFill="1" applyBorder="1" applyAlignment="1">
      <alignment horizontal="left" vertical="center" wrapText="1" indent="1"/>
    </xf>
    <xf numFmtId="3" fontId="170" fillId="43" borderId="78" xfId="1078" applyNumberFormat="1" applyFont="1" applyFill="1" applyBorder="1" applyAlignment="1">
      <alignment horizontal="centerContinuous" vertical="center" wrapText="1"/>
    </xf>
    <xf numFmtId="3" fontId="45" fillId="43" borderId="72" xfId="1078" applyNumberFormat="1" applyFont="1" applyFill="1" applyBorder="1" applyAlignment="1">
      <alignment horizontal="centerContinuous" vertical="center"/>
    </xf>
    <xf numFmtId="3" fontId="45" fillId="43" borderId="70" xfId="1078" applyNumberFormat="1" applyFont="1" applyFill="1" applyBorder="1" applyAlignment="1">
      <alignment horizontal="centerContinuous" vertical="center"/>
    </xf>
    <xf numFmtId="0" fontId="45" fillId="43" borderId="71" xfId="1078" applyFont="1" applyFill="1" applyBorder="1" applyAlignment="1">
      <alignment horizontal="centerContinuous" vertical="center"/>
    </xf>
    <xf numFmtId="0" fontId="45" fillId="43" borderId="77" xfId="1078" applyFont="1" applyFill="1" applyBorder="1" applyAlignment="1">
      <alignment horizontal="centerContinuous" vertical="center"/>
    </xf>
    <xf numFmtId="3" fontId="45" fillId="43" borderId="77" xfId="1078" applyNumberFormat="1" applyFont="1" applyFill="1" applyBorder="1" applyAlignment="1">
      <alignment horizontal="centerContinuous" vertical="center"/>
    </xf>
    <xf numFmtId="4" fontId="45" fillId="43" borderId="77" xfId="1078" applyNumberFormat="1" applyFont="1" applyFill="1" applyBorder="1" applyAlignment="1">
      <alignment horizontal="centerContinuous" vertical="center"/>
    </xf>
    <xf numFmtId="238" fontId="45" fillId="43" borderId="77" xfId="1078" applyNumberFormat="1" applyFont="1" applyFill="1" applyBorder="1" applyAlignment="1">
      <alignment horizontal="centerContinuous" vertical="center"/>
    </xf>
    <xf numFmtId="4" fontId="45" fillId="43" borderId="77" xfId="1078" applyNumberFormat="1" applyFont="1" applyFill="1" applyBorder="1" applyAlignment="1">
      <alignment horizontal="centerContinuous" vertical="center" wrapText="1"/>
    </xf>
    <xf numFmtId="3" fontId="45" fillId="46" borderId="77" xfId="1078" applyNumberFormat="1" applyFont="1" applyFill="1" applyBorder="1" applyAlignment="1">
      <alignment horizontal="center" vertical="center"/>
    </xf>
    <xf numFmtId="0" fontId="45" fillId="46" borderId="71" xfId="1078" applyFont="1" applyFill="1" applyBorder="1" applyAlignment="1">
      <alignment horizontal="center" vertical="center"/>
    </xf>
    <xf numFmtId="3" fontId="45" fillId="43" borderId="90" xfId="1078" applyNumberFormat="1" applyFont="1" applyFill="1" applyBorder="1" applyAlignment="1">
      <alignment horizontal="center" vertical="center"/>
    </xf>
    <xf numFmtId="3" fontId="45" fillId="43" borderId="90" xfId="1078" quotePrefix="1" applyNumberFormat="1" applyFont="1" applyFill="1" applyBorder="1" applyAlignment="1">
      <alignment horizontal="center" vertical="center"/>
    </xf>
    <xf numFmtId="0" fontId="45" fillId="46" borderId="77" xfId="1078" applyFont="1" applyFill="1" applyBorder="1" applyAlignment="1">
      <alignment horizontal="center" vertical="center"/>
    </xf>
    <xf numFmtId="0" fontId="253" fillId="43" borderId="60" xfId="545" applyFont="1" applyFill="1" applyBorder="1" applyAlignment="1">
      <alignment horizontal="right" vertical="center" wrapText="1"/>
    </xf>
    <xf numFmtId="241" fontId="253" fillId="43" borderId="60" xfId="171" applyNumberFormat="1" applyFont="1" applyFill="1" applyBorder="1" applyAlignment="1">
      <alignment horizontal="right" vertical="center" wrapText="1"/>
    </xf>
    <xf numFmtId="3" fontId="226" fillId="43" borderId="0" xfId="516" applyNumberFormat="1" applyFont="1" applyFill="1" applyAlignment="1">
      <alignment horizontal="left" vertical="center" indent="1"/>
    </xf>
    <xf numFmtId="241" fontId="226" fillId="43" borderId="0" xfId="171" applyNumberFormat="1" applyFont="1" applyFill="1" applyAlignment="1">
      <alignment horizontal="left" vertical="center" indent="1"/>
    </xf>
    <xf numFmtId="0" fontId="226" fillId="43" borderId="60" xfId="516" quotePrefix="1" applyFont="1" applyFill="1" applyBorder="1" applyAlignment="1">
      <alignment vertical="center"/>
    </xf>
    <xf numFmtId="1" fontId="170" fillId="47" borderId="0" xfId="171" applyNumberFormat="1" applyFont="1" applyFill="1" applyAlignment="1">
      <alignment horizontal="center" vertical="center" wrapText="1"/>
    </xf>
    <xf numFmtId="1" fontId="45" fillId="43" borderId="71" xfId="171" applyNumberFormat="1" applyFont="1" applyFill="1" applyBorder="1" applyAlignment="1">
      <alignment horizontal="center" vertical="center"/>
    </xf>
    <xf numFmtId="1" fontId="45" fillId="0" borderId="0" xfId="171" applyNumberFormat="1" applyFont="1" applyAlignment="1">
      <alignment vertical="center"/>
    </xf>
    <xf numFmtId="1" fontId="245" fillId="0" borderId="0" xfId="171" applyNumberFormat="1" applyFont="1" applyAlignment="1">
      <alignment vertical="center"/>
    </xf>
    <xf numFmtId="171" fontId="45" fillId="43" borderId="77" xfId="171" applyFont="1" applyFill="1" applyBorder="1" applyAlignment="1">
      <alignment horizontal="center" vertical="center"/>
    </xf>
    <xf numFmtId="3" fontId="45" fillId="43" borderId="76" xfId="1078" applyNumberFormat="1" applyFont="1" applyFill="1" applyBorder="1" applyAlignment="1">
      <alignment horizontal="center" vertical="center"/>
    </xf>
    <xf numFmtId="3" fontId="45" fillId="43" borderId="74" xfId="1078" applyNumberFormat="1" applyFont="1" applyFill="1" applyBorder="1" applyAlignment="1">
      <alignment horizontal="center" vertical="center"/>
    </xf>
    <xf numFmtId="1" fontId="45" fillId="43" borderId="75" xfId="171" applyNumberFormat="1" applyFont="1" applyFill="1" applyBorder="1" applyAlignment="1">
      <alignment horizontal="center" vertical="center"/>
    </xf>
    <xf numFmtId="3" fontId="45" fillId="43" borderId="75" xfId="1078" applyNumberFormat="1" applyFont="1" applyFill="1" applyBorder="1" applyAlignment="1">
      <alignment horizontal="center" vertical="center"/>
    </xf>
    <xf numFmtId="0" fontId="45" fillId="43" borderId="6" xfId="1078" applyFont="1" applyFill="1" applyBorder="1" applyAlignment="1">
      <alignment horizontal="center" vertical="center"/>
    </xf>
    <xf numFmtId="3" fontId="45" fillId="43" borderId="73" xfId="1078" applyNumberFormat="1" applyFont="1" applyFill="1" applyBorder="1" applyAlignment="1">
      <alignment vertical="center"/>
    </xf>
    <xf numFmtId="171" fontId="45" fillId="43" borderId="73" xfId="171" applyFont="1" applyFill="1" applyBorder="1" applyAlignment="1">
      <alignment horizontal="center" vertical="center"/>
    </xf>
    <xf numFmtId="3" fontId="45" fillId="43" borderId="73" xfId="1078" applyNumberFormat="1" applyFont="1" applyFill="1" applyBorder="1" applyAlignment="1">
      <alignment horizontal="center" vertical="center"/>
    </xf>
    <xf numFmtId="238" fontId="45" fillId="43" borderId="73" xfId="1078" applyNumberFormat="1" applyFont="1" applyFill="1" applyBorder="1" applyAlignment="1">
      <alignment horizontal="right" vertical="center"/>
    </xf>
    <xf numFmtId="238" fontId="45" fillId="43" borderId="6" xfId="1078" applyNumberFormat="1" applyFont="1" applyFill="1" applyBorder="1" applyAlignment="1">
      <alignment horizontal="right" vertical="center"/>
    </xf>
    <xf numFmtId="4" fontId="45" fillId="43" borderId="78" xfId="1078" applyNumberFormat="1" applyFont="1" applyFill="1" applyBorder="1" applyAlignment="1">
      <alignment horizontal="left" vertical="center" wrapText="1"/>
    </xf>
    <xf numFmtId="3" fontId="45" fillId="43" borderId="94" xfId="1078" applyNumberFormat="1" applyFont="1" applyFill="1" applyBorder="1" applyAlignment="1">
      <alignment horizontal="center" vertical="center"/>
    </xf>
    <xf numFmtId="1" fontId="45" fillId="43" borderId="95" xfId="171" applyNumberFormat="1" applyFont="1" applyFill="1" applyBorder="1" applyAlignment="1">
      <alignment horizontal="center" vertical="center"/>
    </xf>
    <xf numFmtId="3" fontId="45" fillId="43" borderId="96" xfId="1078" applyNumberFormat="1" applyFont="1" applyFill="1" applyBorder="1" applyAlignment="1">
      <alignment vertical="center"/>
    </xf>
    <xf numFmtId="171" fontId="45" fillId="43" borderId="96" xfId="171" applyFont="1" applyFill="1" applyBorder="1" applyAlignment="1">
      <alignment horizontal="center" vertical="center"/>
    </xf>
    <xf numFmtId="3" fontId="45" fillId="43" borderId="96" xfId="1078" applyNumberFormat="1" applyFont="1" applyFill="1" applyBorder="1" applyAlignment="1">
      <alignment horizontal="center" vertical="center"/>
    </xf>
    <xf numFmtId="238" fontId="45" fillId="43" borderId="96" xfId="1078" applyNumberFormat="1" applyFont="1" applyFill="1" applyBorder="1" applyAlignment="1">
      <alignment horizontal="right" vertical="center"/>
    </xf>
    <xf numFmtId="3" fontId="170" fillId="43" borderId="97" xfId="1078" applyNumberFormat="1" applyFont="1" applyFill="1" applyBorder="1" applyAlignment="1">
      <alignment horizontal="center" vertical="center" wrapText="1"/>
    </xf>
    <xf numFmtId="49" fontId="227" fillId="48" borderId="67" xfId="1078" applyNumberFormat="1" applyFont="1" applyFill="1" applyBorder="1" applyAlignment="1">
      <alignment horizontal="left" vertical="center"/>
    </xf>
    <xf numFmtId="49" fontId="227" fillId="48" borderId="72" xfId="1078" applyNumberFormat="1" applyFont="1" applyFill="1" applyBorder="1" applyAlignment="1">
      <alignment horizontal="left" vertical="center"/>
    </xf>
    <xf numFmtId="49" fontId="227" fillId="48" borderId="70" xfId="1078" applyNumberFormat="1" applyFont="1" applyFill="1" applyBorder="1" applyAlignment="1">
      <alignment horizontal="left" vertical="center"/>
    </xf>
    <xf numFmtId="1" fontId="227" fillId="48" borderId="71" xfId="171" applyNumberFormat="1" applyFont="1" applyFill="1" applyBorder="1" applyAlignment="1">
      <alignment horizontal="left" vertical="center"/>
    </xf>
    <xf numFmtId="49" fontId="227" fillId="48" borderId="71" xfId="1078" applyNumberFormat="1" applyFont="1" applyFill="1" applyBorder="1" applyAlignment="1">
      <alignment horizontal="left" vertical="center"/>
    </xf>
    <xf numFmtId="49" fontId="227" fillId="48" borderId="66" xfId="1078" applyNumberFormat="1" applyFont="1" applyFill="1" applyBorder="1" applyAlignment="1">
      <alignment horizontal="left" vertical="center" wrapText="1"/>
    </xf>
    <xf numFmtId="49" fontId="227" fillId="48" borderId="66" xfId="1078" applyNumberFormat="1" applyFont="1" applyFill="1" applyBorder="1" applyAlignment="1">
      <alignment horizontal="left" vertical="center"/>
    </xf>
    <xf numFmtId="49" fontId="227" fillId="48" borderId="95" xfId="1078" applyNumberFormat="1" applyFont="1" applyFill="1" applyBorder="1" applyAlignment="1">
      <alignment horizontal="left" vertical="center"/>
    </xf>
    <xf numFmtId="238" fontId="227" fillId="48" borderId="95" xfId="1078" applyNumberFormat="1" applyFont="1" applyFill="1" applyBorder="1" applyAlignment="1">
      <alignment horizontal="left" vertical="center"/>
    </xf>
    <xf numFmtId="238" fontId="227" fillId="48" borderId="94" xfId="1078" applyNumberFormat="1" applyFont="1" applyFill="1" applyBorder="1" applyAlignment="1">
      <alignment horizontal="left" vertical="center"/>
    </xf>
    <xf numFmtId="0" fontId="242" fillId="0" borderId="0" xfId="1078" applyFont="1" applyAlignment="1">
      <alignment vertical="center"/>
    </xf>
    <xf numFmtId="171" fontId="45" fillId="0" borderId="0" xfId="171" applyFont="1" applyAlignment="1">
      <alignment vertical="center"/>
    </xf>
    <xf numFmtId="171" fontId="45" fillId="0" borderId="0" xfId="171" applyFont="1" applyAlignment="1">
      <alignment horizontal="center" vertical="center"/>
    </xf>
    <xf numFmtId="1" fontId="242" fillId="43" borderId="0" xfId="1078" applyNumberFormat="1" applyFont="1" applyFill="1"/>
    <xf numFmtId="3" fontId="242" fillId="43" borderId="0" xfId="1078" applyNumberFormat="1" applyFont="1" applyFill="1"/>
    <xf numFmtId="1" fontId="45" fillId="0" borderId="0" xfId="171" applyNumberFormat="1" applyFont="1" applyAlignment="1">
      <alignment horizontal="center" vertical="center"/>
    </xf>
    <xf numFmtId="171" fontId="245" fillId="0" borderId="0" xfId="171" applyFont="1" applyAlignment="1">
      <alignment vertical="center"/>
    </xf>
    <xf numFmtId="171" fontId="245" fillId="0" borderId="0" xfId="171" applyFont="1" applyAlignment="1">
      <alignment horizontal="center" vertical="center"/>
    </xf>
    <xf numFmtId="214" fontId="242" fillId="43" borderId="0" xfId="1078" applyNumberFormat="1" applyFont="1" applyFill="1"/>
    <xf numFmtId="49" fontId="227" fillId="49" borderId="67" xfId="1078" applyNumberFormat="1" applyFont="1" applyFill="1" applyBorder="1" applyAlignment="1">
      <alignment horizontal="left" vertical="center"/>
    </xf>
    <xf numFmtId="49" fontId="227" fillId="49" borderId="72" xfId="1078" applyNumberFormat="1" applyFont="1" applyFill="1" applyBorder="1" applyAlignment="1">
      <alignment horizontal="left" vertical="center"/>
    </xf>
    <xf numFmtId="49" fontId="227" fillId="49" borderId="70" xfId="1078" applyNumberFormat="1" applyFont="1" applyFill="1" applyBorder="1" applyAlignment="1">
      <alignment horizontal="left" vertical="center"/>
    </xf>
    <xf numFmtId="1" fontId="227" fillId="49" borderId="71" xfId="171" applyNumberFormat="1" applyFont="1" applyFill="1" applyBorder="1" applyAlignment="1">
      <alignment horizontal="left" vertical="center"/>
    </xf>
    <xf numFmtId="49" fontId="227" fillId="49" borderId="71" xfId="1078" applyNumberFormat="1" applyFont="1" applyFill="1" applyBorder="1" applyAlignment="1">
      <alignment horizontal="left" vertical="center"/>
    </xf>
    <xf numFmtId="49" fontId="227" fillId="49" borderId="0" xfId="1078" applyNumberFormat="1" applyFont="1" applyFill="1" applyAlignment="1">
      <alignment horizontal="left" vertical="center"/>
    </xf>
    <xf numFmtId="238" fontId="227" fillId="49" borderId="0" xfId="1078" applyNumberFormat="1" applyFont="1" applyFill="1" applyAlignment="1">
      <alignment horizontal="left" vertical="center"/>
    </xf>
    <xf numFmtId="49" fontId="227" fillId="49" borderId="66" xfId="1078" applyNumberFormat="1" applyFont="1" applyFill="1" applyBorder="1" applyAlignment="1">
      <alignment horizontal="left" vertical="center" wrapText="1"/>
    </xf>
    <xf numFmtId="0" fontId="45" fillId="0" borderId="0" xfId="1078" applyFont="1" applyAlignment="1">
      <alignment horizontal="center" vertical="center"/>
    </xf>
    <xf numFmtId="0" fontId="245" fillId="0" borderId="0" xfId="1078" applyFont="1" applyAlignment="1">
      <alignment horizontal="center" vertical="center"/>
    </xf>
    <xf numFmtId="241" fontId="242" fillId="43" borderId="0" xfId="171" applyNumberFormat="1" applyFont="1" applyFill="1"/>
    <xf numFmtId="214" fontId="243" fillId="0" borderId="0" xfId="1078" applyNumberFormat="1" applyFont="1" applyAlignment="1">
      <alignment horizontal="left"/>
    </xf>
    <xf numFmtId="239" fontId="170" fillId="47" borderId="0" xfId="171" applyNumberFormat="1" applyFont="1" applyFill="1" applyAlignment="1">
      <alignment horizontal="center" vertical="center" wrapText="1"/>
    </xf>
    <xf numFmtId="239" fontId="227" fillId="49" borderId="71" xfId="171" applyNumberFormat="1" applyFont="1" applyFill="1" applyBorder="1" applyAlignment="1">
      <alignment horizontal="left" vertical="center"/>
    </xf>
    <xf numFmtId="239" fontId="45" fillId="43" borderId="71" xfId="171" applyNumberFormat="1" applyFont="1" applyFill="1" applyBorder="1" applyAlignment="1">
      <alignment horizontal="center" vertical="center"/>
    </xf>
    <xf numFmtId="239" fontId="45" fillId="43" borderId="75" xfId="171" applyNumberFormat="1" applyFont="1" applyFill="1" applyBorder="1" applyAlignment="1">
      <alignment horizontal="center" vertical="center"/>
    </xf>
    <xf numFmtId="239" fontId="45" fillId="0" borderId="0" xfId="171" applyNumberFormat="1" applyFont="1" applyAlignment="1">
      <alignment vertical="center"/>
    </xf>
    <xf numFmtId="239" fontId="45" fillId="0" borderId="0" xfId="171" applyNumberFormat="1" applyFont="1" applyAlignment="1">
      <alignment horizontal="center" vertical="center"/>
    </xf>
    <xf numFmtId="239" fontId="245" fillId="0" borderId="0" xfId="171" applyNumberFormat="1" applyFont="1" applyAlignment="1">
      <alignment vertical="center"/>
    </xf>
    <xf numFmtId="3" fontId="170" fillId="43" borderId="66" xfId="1078" applyNumberFormat="1" applyFont="1" applyFill="1" applyBorder="1" applyAlignment="1">
      <alignment vertical="center" wrapText="1"/>
    </xf>
    <xf numFmtId="3" fontId="170" fillId="43" borderId="78" xfId="1078" applyNumberFormat="1" applyFont="1" applyFill="1" applyBorder="1" applyAlignment="1">
      <alignment horizontal="center" vertical="center" wrapText="1"/>
    </xf>
    <xf numFmtId="0" fontId="243" fillId="0" borderId="0" xfId="1078" applyFont="1" applyAlignment="1">
      <alignment horizontal="left" vertical="center"/>
    </xf>
    <xf numFmtId="176" fontId="215" fillId="0" borderId="0" xfId="510" applyNumberFormat="1" applyFont="1" applyAlignment="1">
      <alignment vertical="center"/>
    </xf>
    <xf numFmtId="176" fontId="248" fillId="0" borderId="65" xfId="189" applyNumberFormat="1" applyFont="1" applyFill="1" applyBorder="1" applyAlignment="1">
      <alignment horizontal="right" vertical="center"/>
    </xf>
    <xf numFmtId="241" fontId="248" fillId="0" borderId="65" xfId="171" applyNumberFormat="1" applyFont="1" applyFill="1" applyBorder="1" applyAlignment="1">
      <alignment horizontal="right" vertical="center"/>
    </xf>
    <xf numFmtId="3" fontId="45" fillId="50" borderId="72" xfId="1078" applyNumberFormat="1" applyFont="1" applyFill="1" applyBorder="1" applyAlignment="1">
      <alignment horizontal="center" vertical="center"/>
    </xf>
    <xf numFmtId="3" fontId="170" fillId="50" borderId="70" xfId="1078" applyNumberFormat="1" applyFont="1" applyFill="1" applyBorder="1" applyAlignment="1">
      <alignment horizontal="right" vertical="center"/>
    </xf>
    <xf numFmtId="3" fontId="170" fillId="50" borderId="71" xfId="1078" applyNumberFormat="1" applyFont="1" applyFill="1" applyBorder="1" applyAlignment="1">
      <alignment horizontal="center" vertical="center"/>
    </xf>
    <xf numFmtId="3" fontId="170" fillId="50" borderId="72" xfId="1078" applyNumberFormat="1" applyFont="1" applyFill="1" applyBorder="1" applyAlignment="1">
      <alignment horizontal="left" vertical="center"/>
    </xf>
    <xf numFmtId="0" fontId="45" fillId="50" borderId="77" xfId="1078" applyFont="1" applyFill="1" applyBorder="1" applyAlignment="1">
      <alignment horizontal="center" vertical="center"/>
    </xf>
    <xf numFmtId="3" fontId="45" fillId="50" borderId="77" xfId="1078" applyNumberFormat="1" applyFont="1" applyFill="1" applyBorder="1" applyAlignment="1">
      <alignment vertical="center"/>
    </xf>
    <xf numFmtId="3" fontId="45" fillId="50" borderId="77" xfId="1078" applyNumberFormat="1" applyFont="1" applyFill="1" applyBorder="1" applyAlignment="1">
      <alignment horizontal="center" vertical="center"/>
    </xf>
    <xf numFmtId="4" fontId="45" fillId="50" borderId="77" xfId="1078" applyNumberFormat="1" applyFont="1" applyFill="1" applyBorder="1" applyAlignment="1">
      <alignment horizontal="right" vertical="center"/>
    </xf>
    <xf numFmtId="238" fontId="45" fillId="50" borderId="77" xfId="1078" applyNumberFormat="1" applyFont="1" applyFill="1" applyBorder="1" applyAlignment="1">
      <alignment horizontal="right" vertical="center"/>
    </xf>
    <xf numFmtId="4" fontId="45" fillId="50" borderId="77" xfId="1078" applyNumberFormat="1" applyFont="1" applyFill="1" applyBorder="1" applyAlignment="1">
      <alignment horizontal="left" vertical="center" wrapText="1"/>
    </xf>
    <xf numFmtId="3" fontId="45" fillId="50" borderId="70" xfId="1078" applyNumberFormat="1" applyFont="1" applyFill="1" applyBorder="1" applyAlignment="1">
      <alignment horizontal="center" vertical="center"/>
    </xf>
    <xf numFmtId="3" fontId="45" fillId="50" borderId="71" xfId="1078" applyNumberFormat="1" applyFont="1" applyFill="1" applyBorder="1" applyAlignment="1">
      <alignment horizontal="center" vertical="center"/>
    </xf>
    <xf numFmtId="0" fontId="45" fillId="50" borderId="71" xfId="1078" applyFont="1" applyFill="1" applyBorder="1" applyAlignment="1">
      <alignment horizontal="center" vertical="center"/>
    </xf>
    <xf numFmtId="3" fontId="170" fillId="46" borderId="78" xfId="1078" applyNumberFormat="1" applyFont="1" applyFill="1" applyBorder="1" applyAlignment="1">
      <alignment horizontal="centerContinuous" vertical="center" wrapText="1"/>
    </xf>
    <xf numFmtId="3" fontId="45" fillId="46" borderId="72" xfId="1078" applyNumberFormat="1" applyFont="1" applyFill="1" applyBorder="1" applyAlignment="1">
      <alignment horizontal="centerContinuous" vertical="center"/>
    </xf>
    <xf numFmtId="3" fontId="45" fillId="46" borderId="70" xfId="1078" applyNumberFormat="1" applyFont="1" applyFill="1" applyBorder="1" applyAlignment="1">
      <alignment horizontal="centerContinuous" vertical="center"/>
    </xf>
    <xf numFmtId="0" fontId="45" fillId="46" borderId="71" xfId="1078" applyFont="1" applyFill="1" applyBorder="1" applyAlignment="1">
      <alignment horizontal="centerContinuous" vertical="center"/>
    </xf>
    <xf numFmtId="0" fontId="45" fillId="46" borderId="77" xfId="1078" applyFont="1" applyFill="1" applyBorder="1" applyAlignment="1">
      <alignment horizontal="centerContinuous" vertical="center"/>
    </xf>
    <xf numFmtId="3" fontId="45" fillId="46" borderId="77" xfId="1078" applyNumberFormat="1" applyFont="1" applyFill="1" applyBorder="1" applyAlignment="1">
      <alignment horizontal="centerContinuous" vertical="center"/>
    </xf>
    <xf numFmtId="4" fontId="45" fillId="46" borderId="77" xfId="1078" applyNumberFormat="1" applyFont="1" applyFill="1" applyBorder="1" applyAlignment="1">
      <alignment horizontal="centerContinuous" vertical="center"/>
    </xf>
    <xf numFmtId="238" fontId="45" fillId="46" borderId="77" xfId="1078" applyNumberFormat="1" applyFont="1" applyFill="1" applyBorder="1" applyAlignment="1">
      <alignment horizontal="centerContinuous" vertical="center"/>
    </xf>
    <xf numFmtId="4" fontId="45" fillId="46" borderId="77" xfId="1078" applyNumberFormat="1" applyFont="1" applyFill="1" applyBorder="1" applyAlignment="1">
      <alignment horizontal="centerContinuous" vertical="center" wrapText="1"/>
    </xf>
    <xf numFmtId="3" fontId="45" fillId="46" borderId="72" xfId="1078" applyNumberFormat="1" applyFont="1" applyFill="1" applyBorder="1" applyAlignment="1">
      <alignment horizontal="center" vertical="center"/>
    </xf>
    <xf numFmtId="3" fontId="170" fillId="46" borderId="70" xfId="1078" applyNumberFormat="1" applyFont="1" applyFill="1" applyBorder="1" applyAlignment="1">
      <alignment horizontal="right" vertical="center"/>
    </xf>
    <xf numFmtId="3" fontId="170" fillId="46" borderId="71" xfId="1078" applyNumberFormat="1" applyFont="1" applyFill="1" applyBorder="1" applyAlignment="1">
      <alignment horizontal="center" vertical="center"/>
    </xf>
    <xf numFmtId="3" fontId="170" fillId="46" borderId="72" xfId="1078" applyNumberFormat="1" applyFont="1" applyFill="1" applyBorder="1" applyAlignment="1">
      <alignment horizontal="left" vertical="center"/>
    </xf>
    <xf numFmtId="3" fontId="45" fillId="46" borderId="77" xfId="1078" applyNumberFormat="1" applyFont="1" applyFill="1" applyBorder="1" applyAlignment="1">
      <alignment vertical="center"/>
    </xf>
    <xf numFmtId="4" fontId="45" fillId="46" borderId="77" xfId="1078" applyNumberFormat="1" applyFont="1" applyFill="1" applyBorder="1" applyAlignment="1">
      <alignment horizontal="right" vertical="center"/>
    </xf>
    <xf numFmtId="238" fontId="45" fillId="46" borderId="77" xfId="1078" applyNumberFormat="1" applyFont="1" applyFill="1" applyBorder="1" applyAlignment="1">
      <alignment horizontal="right" vertical="center"/>
    </xf>
    <xf numFmtId="4" fontId="45" fillId="46" borderId="77" xfId="1078" applyNumberFormat="1" applyFont="1" applyFill="1" applyBorder="1" applyAlignment="1">
      <alignment horizontal="left" vertical="center" wrapText="1"/>
    </xf>
    <xf numFmtId="3" fontId="45" fillId="46" borderId="70" xfId="1078" applyNumberFormat="1" applyFont="1" applyFill="1" applyBorder="1" applyAlignment="1">
      <alignment horizontal="center" vertical="center"/>
    </xf>
    <xf numFmtId="3" fontId="45" fillId="46" borderId="71" xfId="1078" applyNumberFormat="1" applyFont="1" applyFill="1" applyBorder="1" applyAlignment="1">
      <alignment horizontal="center" vertical="center"/>
    </xf>
    <xf numFmtId="0" fontId="45" fillId="46" borderId="0" xfId="1078" applyFont="1" applyFill="1" applyAlignment="1">
      <alignment vertical="center"/>
    </xf>
    <xf numFmtId="0" fontId="258" fillId="46" borderId="0" xfId="1078" applyFont="1" applyFill="1"/>
    <xf numFmtId="178" fontId="45" fillId="46" borderId="77" xfId="1078" applyNumberFormat="1" applyFont="1" applyFill="1" applyBorder="1" applyAlignment="1">
      <alignment horizontal="right" vertical="center"/>
    </xf>
    <xf numFmtId="4" fontId="259" fillId="43" borderId="77" xfId="1078" applyNumberFormat="1" applyFont="1" applyFill="1" applyBorder="1" applyAlignment="1">
      <alignment horizontal="left" vertical="center" wrapText="1"/>
    </xf>
    <xf numFmtId="0" fontId="45" fillId="43" borderId="0" xfId="1078" applyFont="1" applyFill="1" applyAlignment="1">
      <alignment vertical="center"/>
    </xf>
    <xf numFmtId="0" fontId="244" fillId="43" borderId="0" xfId="0" applyFont="1" applyFill="1" applyAlignment="1">
      <alignment vertical="center"/>
    </xf>
    <xf numFmtId="0" fontId="45" fillId="43" borderId="0" xfId="1078" applyFont="1" applyFill="1" applyAlignment="1">
      <alignment horizontal="center" vertical="center"/>
    </xf>
    <xf numFmtId="0" fontId="245" fillId="43" borderId="0" xfId="1078" applyFont="1" applyFill="1" applyAlignment="1">
      <alignment horizontal="center" vertical="center"/>
    </xf>
    <xf numFmtId="0" fontId="245" fillId="43" borderId="0" xfId="1078" applyFont="1" applyFill="1" applyAlignment="1">
      <alignment vertical="center"/>
    </xf>
    <xf numFmtId="3" fontId="259" fillId="43" borderId="77" xfId="1078" quotePrefix="1" applyNumberFormat="1" applyFont="1" applyFill="1" applyBorder="1" applyAlignment="1">
      <alignment horizontal="left" vertical="center" wrapText="1"/>
    </xf>
    <xf numFmtId="236" fontId="232" fillId="0" borderId="0" xfId="224" applyNumberFormat="1" applyFont="1" applyFill="1" applyBorder="1" applyAlignment="1">
      <alignment horizontal="left" vertical="center" wrapText="1"/>
    </xf>
    <xf numFmtId="0" fontId="170" fillId="0" borderId="0" xfId="489" applyFont="1" applyAlignment="1">
      <alignment horizontal="center"/>
    </xf>
    <xf numFmtId="0" fontId="175" fillId="0" borderId="0" xfId="489" applyFont="1" applyAlignment="1">
      <alignment horizontal="center"/>
    </xf>
    <xf numFmtId="0" fontId="175" fillId="0" borderId="46" xfId="489" applyFont="1" applyBorder="1" applyAlignment="1">
      <alignment horizontal="center"/>
    </xf>
    <xf numFmtId="236" fontId="232" fillId="0" borderId="46" xfId="224" applyNumberFormat="1" applyFont="1" applyFill="1" applyBorder="1" applyAlignment="1">
      <alignment horizontal="left" vertical="center" wrapText="1"/>
    </xf>
    <xf numFmtId="0" fontId="170" fillId="0" borderId="58" xfId="489" applyFont="1" applyBorder="1" applyAlignment="1">
      <alignment horizontal="center"/>
    </xf>
    <xf numFmtId="0" fontId="170" fillId="0" borderId="59" xfId="489" applyFont="1" applyBorder="1" applyAlignment="1">
      <alignment horizontal="center"/>
    </xf>
    <xf numFmtId="0" fontId="174" fillId="0" borderId="0" xfId="489" applyFont="1" applyAlignment="1">
      <alignment horizontal="center"/>
    </xf>
    <xf numFmtId="0" fontId="174" fillId="0" borderId="46" xfId="489" applyFont="1" applyBorder="1" applyAlignment="1">
      <alignment horizontal="center"/>
    </xf>
    <xf numFmtId="0" fontId="229" fillId="0" borderId="0" xfId="489" applyFont="1" applyAlignment="1">
      <alignment horizontal="center" vertical="center" wrapText="1"/>
    </xf>
    <xf numFmtId="0" fontId="229" fillId="0" borderId="0" xfId="489" applyFont="1" applyAlignment="1">
      <alignment horizontal="center" vertical="center"/>
    </xf>
    <xf numFmtId="0" fontId="229" fillId="0" borderId="46" xfId="489" applyFont="1" applyBorder="1" applyAlignment="1">
      <alignment horizontal="center" vertical="center"/>
    </xf>
    <xf numFmtId="0" fontId="230" fillId="0" borderId="0" xfId="489" applyFont="1" applyAlignment="1">
      <alignment horizontal="center" vertical="center"/>
    </xf>
    <xf numFmtId="0" fontId="230" fillId="0" borderId="46" xfId="489" applyFont="1" applyBorder="1" applyAlignment="1">
      <alignment horizontal="center" vertical="center"/>
    </xf>
    <xf numFmtId="0" fontId="231" fillId="0" borderId="0" xfId="518" applyFont="1" applyAlignment="1">
      <alignment horizontal="left" vertical="center" wrapText="1"/>
    </xf>
    <xf numFmtId="0" fontId="231" fillId="0" borderId="46" xfId="518" applyFont="1" applyBorder="1" applyAlignment="1">
      <alignment horizontal="left" vertical="center" wrapText="1"/>
    </xf>
    <xf numFmtId="0" fontId="215" fillId="0" borderId="0" xfId="510" applyFont="1" applyAlignment="1">
      <alignment horizontal="center" vertical="center" wrapText="1"/>
    </xf>
    <xf numFmtId="0" fontId="215" fillId="0" borderId="0" xfId="510" applyFont="1" applyAlignment="1">
      <alignment horizontal="center" vertical="center"/>
    </xf>
    <xf numFmtId="0" fontId="207" fillId="0" borderId="0" xfId="510" quotePrefix="1" applyFont="1" applyAlignment="1">
      <alignment horizontal="center"/>
    </xf>
    <xf numFmtId="0" fontId="207" fillId="0" borderId="0" xfId="510" applyFont="1" applyAlignment="1">
      <alignment horizontal="center"/>
    </xf>
    <xf numFmtId="0" fontId="215" fillId="0" borderId="0" xfId="510" applyFont="1" applyAlignment="1">
      <alignment horizontal="center"/>
    </xf>
    <xf numFmtId="0" fontId="207" fillId="0" borderId="0" xfId="510" applyFont="1" applyAlignment="1">
      <alignment horizontal="left" vertical="center" wrapText="1"/>
    </xf>
    <xf numFmtId="0" fontId="207" fillId="0" borderId="0" xfId="510" quotePrefix="1" applyFont="1" applyAlignment="1">
      <alignment horizontal="left" vertical="center" wrapText="1"/>
    </xf>
    <xf numFmtId="0" fontId="233" fillId="0" borderId="0" xfId="510" applyFont="1" applyAlignment="1">
      <alignment horizontal="center"/>
    </xf>
    <xf numFmtId="0" fontId="215" fillId="0" borderId="0" xfId="510" applyFont="1" applyAlignment="1">
      <alignment horizontal="right"/>
    </xf>
    <xf numFmtId="0" fontId="207" fillId="0" borderId="65" xfId="510" applyFont="1" applyBorder="1" applyAlignment="1">
      <alignment horizontal="left" vertical="center"/>
    </xf>
    <xf numFmtId="176" fontId="215" fillId="43" borderId="79" xfId="1079" applyNumberFormat="1" applyFont="1" applyFill="1" applyBorder="1" applyAlignment="1">
      <alignment horizontal="center" vertical="center"/>
    </xf>
    <xf numFmtId="176" fontId="215" fillId="43" borderId="55" xfId="1079" applyNumberFormat="1" applyFont="1" applyFill="1" applyBorder="1" applyAlignment="1">
      <alignment horizontal="center" vertical="center"/>
    </xf>
    <xf numFmtId="0" fontId="207" fillId="43" borderId="65" xfId="510" applyFont="1" applyFill="1" applyBorder="1" applyAlignment="1">
      <alignment horizontal="left" vertical="center"/>
    </xf>
    <xf numFmtId="2" fontId="207" fillId="0" borderId="0" xfId="510" applyNumberFormat="1" applyFont="1" applyAlignment="1">
      <alignment horizontal="left" vertical="center" wrapText="1"/>
    </xf>
    <xf numFmtId="176" fontId="215" fillId="0" borderId="0" xfId="1079" applyNumberFormat="1" applyFont="1" applyAlignment="1">
      <alignment horizontal="left"/>
    </xf>
    <xf numFmtId="0" fontId="236" fillId="43" borderId="0" xfId="510" applyFont="1" applyFill="1" applyAlignment="1">
      <alignment horizontal="left" vertical="center" wrapText="1"/>
    </xf>
    <xf numFmtId="0" fontId="215" fillId="43" borderId="2" xfId="515" applyFont="1" applyFill="1" applyBorder="1" applyAlignment="1">
      <alignment horizontal="center" vertical="center"/>
    </xf>
    <xf numFmtId="0" fontId="215" fillId="43" borderId="2" xfId="515" applyFont="1" applyFill="1" applyBorder="1" applyAlignment="1">
      <alignment horizontal="center" vertical="center" wrapText="1"/>
    </xf>
    <xf numFmtId="0" fontId="239" fillId="0" borderId="0" xfId="515" applyFont="1" applyAlignment="1">
      <alignment horizontal="left" vertical="center"/>
    </xf>
    <xf numFmtId="0" fontId="205" fillId="0" borderId="0" xfId="515" applyFont="1" applyAlignment="1">
      <alignment horizontal="center" vertical="center"/>
    </xf>
    <xf numFmtId="0" fontId="213" fillId="0" borderId="0" xfId="515" applyFont="1" applyAlignment="1">
      <alignment horizontal="center" vertical="center"/>
    </xf>
    <xf numFmtId="0" fontId="194" fillId="0" borderId="0" xfId="515" applyFont="1" applyAlignment="1">
      <alignment horizontal="center" vertical="center"/>
    </xf>
    <xf numFmtId="0" fontId="207" fillId="0" borderId="0" xfId="515" applyFont="1" applyAlignment="1">
      <alignment horizontal="left" vertical="top" wrapText="1"/>
    </xf>
    <xf numFmtId="0" fontId="239" fillId="0" borderId="0" xfId="515" applyFont="1" applyAlignment="1">
      <alignment horizontal="left" vertical="center" wrapText="1"/>
    </xf>
    <xf numFmtId="176" fontId="206" fillId="0" borderId="61" xfId="0" applyNumberFormat="1" applyFont="1" applyBorder="1" applyAlignment="1">
      <alignment horizontal="center" vertical="center" wrapText="1"/>
    </xf>
    <xf numFmtId="41" fontId="206" fillId="0" borderId="0" xfId="515" applyNumberFormat="1" applyFont="1" applyAlignment="1">
      <alignment horizontal="center" vertical="center" wrapText="1"/>
    </xf>
    <xf numFmtId="239" fontId="203" fillId="0" borderId="62" xfId="0" applyNumberFormat="1" applyFont="1" applyBorder="1" applyAlignment="1">
      <alignment horizontal="center" vertical="center" wrapText="1"/>
    </xf>
    <xf numFmtId="0" fontId="203" fillId="0" borderId="62" xfId="0" applyFont="1" applyBorder="1" applyAlignment="1">
      <alignment horizontal="center" vertical="center" wrapText="1"/>
    </xf>
    <xf numFmtId="176" fontId="206" fillId="0" borderId="27" xfId="246" applyNumberFormat="1" applyFont="1" applyFill="1" applyBorder="1" applyAlignment="1">
      <alignment horizontal="center" vertical="center"/>
    </xf>
    <xf numFmtId="239" fontId="206" fillId="0" borderId="62" xfId="0" applyNumberFormat="1" applyFont="1" applyBorder="1" applyAlignment="1">
      <alignment horizontal="center" vertical="center" wrapText="1"/>
    </xf>
    <xf numFmtId="0" fontId="206" fillId="0" borderId="0" xfId="0" applyFont="1" applyAlignment="1">
      <alignment horizontal="center" vertical="center" wrapText="1"/>
    </xf>
    <xf numFmtId="239" fontId="203" fillId="0" borderId="62" xfId="246" applyNumberFormat="1" applyFont="1" applyFill="1" applyBorder="1" applyAlignment="1">
      <alignment horizontal="center" vertical="center" wrapText="1"/>
    </xf>
    <xf numFmtId="176" fontId="206" fillId="0" borderId="62" xfId="246" applyNumberFormat="1" applyFont="1" applyFill="1" applyBorder="1" applyAlignment="1">
      <alignment horizontal="center" vertical="center" wrapText="1"/>
    </xf>
    <xf numFmtId="176" fontId="206" fillId="0" borderId="41" xfId="246" applyNumberFormat="1" applyFont="1" applyFill="1" applyBorder="1" applyAlignment="1">
      <alignment horizontal="center" vertical="center"/>
    </xf>
    <xf numFmtId="239" fontId="206" fillId="0" borderId="62" xfId="246" applyNumberFormat="1" applyFont="1" applyFill="1" applyBorder="1" applyAlignment="1">
      <alignment horizontal="center" vertical="center" wrapText="1"/>
    </xf>
    <xf numFmtId="0" fontId="203" fillId="0" borderId="0" xfId="0" applyFont="1" applyAlignment="1">
      <alignment horizontal="left" vertical="center"/>
    </xf>
    <xf numFmtId="239" fontId="203" fillId="0" borderId="62" xfId="171" applyNumberFormat="1" applyFont="1" applyFill="1" applyBorder="1" applyAlignment="1">
      <alignment horizontal="center" vertical="center" wrapText="1"/>
    </xf>
    <xf numFmtId="0" fontId="206" fillId="0" borderId="0" xfId="0" applyFont="1" applyAlignment="1">
      <alignment horizontal="left" vertical="center"/>
    </xf>
    <xf numFmtId="171" fontId="203" fillId="0" borderId="62" xfId="171" applyFont="1" applyFill="1" applyBorder="1" applyAlignment="1">
      <alignment horizontal="right" vertical="center"/>
    </xf>
    <xf numFmtId="239" fontId="206" fillId="0" borderId="62" xfId="171" applyNumberFormat="1" applyFont="1" applyFill="1" applyBorder="1" applyAlignment="1">
      <alignment horizontal="center" vertical="center" wrapText="1"/>
    </xf>
    <xf numFmtId="43" fontId="206" fillId="0" borderId="27" xfId="246" applyNumberFormat="1" applyFont="1" applyFill="1" applyBorder="1" applyAlignment="1">
      <alignment horizontal="center" vertical="center"/>
    </xf>
    <xf numFmtId="0" fontId="212" fillId="0" borderId="0" xfId="515" applyFont="1" applyAlignment="1">
      <alignment horizontal="center" vertical="center"/>
    </xf>
    <xf numFmtId="0" fontId="203" fillId="0" borderId="0" xfId="515" applyFont="1" applyAlignment="1">
      <alignment horizontal="center" vertical="center"/>
    </xf>
    <xf numFmtId="0" fontId="206" fillId="0" borderId="0" xfId="515" applyFont="1" applyAlignment="1">
      <alignment horizontal="center" vertical="center"/>
    </xf>
    <xf numFmtId="0" fontId="207" fillId="0" borderId="0" xfId="515" applyFont="1" applyAlignment="1">
      <alignment horizontal="left" vertical="center" wrapText="1"/>
    </xf>
    <xf numFmtId="0" fontId="208" fillId="0" borderId="0" xfId="515" applyFont="1" applyAlignment="1">
      <alignment horizontal="center" vertical="center"/>
    </xf>
    <xf numFmtId="176" fontId="206" fillId="0" borderId="0" xfId="0" applyNumberFormat="1" applyFont="1" applyAlignment="1">
      <alignment horizontal="center" vertical="center"/>
    </xf>
    <xf numFmtId="167" fontId="171" fillId="0" borderId="0" xfId="521" applyNumberFormat="1" applyFont="1" applyAlignment="1">
      <alignment horizontal="center" vertical="center" wrapText="1"/>
    </xf>
    <xf numFmtId="176" fontId="206" fillId="0" borderId="62" xfId="0" applyNumberFormat="1" applyFont="1" applyBorder="1" applyAlignment="1">
      <alignment horizontal="center" vertical="center"/>
    </xf>
    <xf numFmtId="0" fontId="208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1" fillId="0" borderId="0" xfId="0" applyFont="1" applyAlignment="1">
      <alignment horizontal="center" vertical="center" wrapText="1"/>
    </xf>
    <xf numFmtId="0" fontId="179" fillId="0" borderId="43" xfId="0" applyFont="1" applyBorder="1" applyAlignment="1">
      <alignment horizontal="center" vertical="center"/>
    </xf>
    <xf numFmtId="0" fontId="205" fillId="0" borderId="21" xfId="0" applyFont="1" applyBorder="1" applyAlignment="1">
      <alignment horizontal="center" vertical="center"/>
    </xf>
    <xf numFmtId="0" fontId="205" fillId="0" borderId="6" xfId="0" applyFont="1" applyBorder="1" applyAlignment="1">
      <alignment horizontal="center" vertical="center"/>
    </xf>
    <xf numFmtId="0" fontId="205" fillId="0" borderId="21" xfId="0" applyFont="1" applyBorder="1" applyAlignment="1">
      <alignment horizontal="center" vertical="center" wrapText="1"/>
    </xf>
    <xf numFmtId="0" fontId="205" fillId="0" borderId="6" xfId="0" applyFont="1" applyBorder="1" applyAlignment="1">
      <alignment horizontal="center" vertical="center" wrapText="1"/>
    </xf>
    <xf numFmtId="0" fontId="205" fillId="0" borderId="7" xfId="0" applyFont="1" applyBorder="1" applyAlignment="1">
      <alignment horizontal="center" vertical="center"/>
    </xf>
    <xf numFmtId="0" fontId="205" fillId="0" borderId="14" xfId="0" applyFont="1" applyBorder="1" applyAlignment="1">
      <alignment horizontal="center" vertical="center"/>
    </xf>
    <xf numFmtId="0" fontId="205" fillId="0" borderId="55" xfId="0" applyFont="1" applyBorder="1" applyAlignment="1">
      <alignment horizontal="center" vertical="center"/>
    </xf>
    <xf numFmtId="0" fontId="205" fillId="0" borderId="2" xfId="0" applyFont="1" applyBorder="1" applyAlignment="1">
      <alignment horizontal="center" vertical="center"/>
    </xf>
    <xf numFmtId="0" fontId="175" fillId="44" borderId="21" xfId="549" applyFont="1" applyFill="1" applyBorder="1" applyAlignment="1">
      <alignment horizontal="center" vertical="center"/>
    </xf>
    <xf numFmtId="0" fontId="175" fillId="44" borderId="6" xfId="549" applyFont="1" applyFill="1" applyBorder="1" applyAlignment="1">
      <alignment horizontal="center" vertical="center"/>
    </xf>
    <xf numFmtId="0" fontId="173" fillId="43" borderId="0" xfId="549" applyFont="1" applyFill="1" applyAlignment="1">
      <alignment horizontal="center" vertical="center"/>
    </xf>
    <xf numFmtId="0" fontId="173" fillId="43" borderId="0" xfId="549" applyFont="1" applyFill="1" applyAlignment="1">
      <alignment horizontal="right" vertical="center"/>
    </xf>
    <xf numFmtId="0" fontId="171" fillId="43" borderId="0" xfId="549" applyFont="1" applyFill="1" applyAlignment="1">
      <alignment horizontal="center" vertical="center" wrapText="1"/>
    </xf>
    <xf numFmtId="0" fontId="175" fillId="44" borderId="21" xfId="549" applyFont="1" applyFill="1" applyBorder="1" applyAlignment="1">
      <alignment horizontal="center" vertical="center" wrapText="1"/>
    </xf>
    <xf numFmtId="0" fontId="175" fillId="44" borderId="6" xfId="549" applyFont="1" applyFill="1" applyBorder="1" applyAlignment="1">
      <alignment horizontal="center" vertical="center" wrapText="1"/>
    </xf>
    <xf numFmtId="2" fontId="175" fillId="44" borderId="2" xfId="549" applyNumberFormat="1" applyFont="1" applyFill="1" applyBorder="1" applyAlignment="1">
      <alignment horizontal="center" vertical="center" wrapText="1"/>
    </xf>
    <xf numFmtId="2" fontId="173" fillId="43" borderId="62" xfId="549" applyNumberFormat="1" applyFont="1" applyFill="1" applyBorder="1" applyAlignment="1">
      <alignment horizontal="left" vertical="center" wrapText="1"/>
    </xf>
    <xf numFmtId="0" fontId="182" fillId="43" borderId="0" xfId="516" applyFont="1" applyFill="1" applyAlignment="1">
      <alignment horizontal="center" vertical="center"/>
    </xf>
    <xf numFmtId="0" fontId="182" fillId="43" borderId="0" xfId="516" applyFont="1" applyFill="1" applyAlignment="1">
      <alignment horizontal="right" vertical="center"/>
    </xf>
    <xf numFmtId="0" fontId="183" fillId="43" borderId="0" xfId="516" applyFont="1" applyFill="1" applyAlignment="1">
      <alignment horizontal="center" vertical="center" wrapText="1"/>
    </xf>
    <xf numFmtId="0" fontId="183" fillId="43" borderId="0" xfId="516" applyFont="1" applyFill="1" applyAlignment="1">
      <alignment horizontal="center" vertical="center"/>
    </xf>
    <xf numFmtId="0" fontId="182" fillId="43" borderId="64" xfId="516" applyFont="1" applyFill="1" applyBorder="1" applyAlignment="1">
      <alignment horizontal="center" vertical="center"/>
    </xf>
    <xf numFmtId="0" fontId="182" fillId="43" borderId="6" xfId="516" applyFont="1" applyFill="1" applyBorder="1" applyAlignment="1">
      <alignment horizontal="center" vertical="center"/>
    </xf>
    <xf numFmtId="0" fontId="182" fillId="43" borderId="44" xfId="516" applyFont="1" applyFill="1" applyBorder="1" applyAlignment="1">
      <alignment horizontal="center" vertical="center"/>
    </xf>
    <xf numFmtId="0" fontId="170" fillId="43" borderId="65" xfId="516" applyFont="1" applyFill="1" applyBorder="1" applyAlignment="1">
      <alignment horizontal="center" vertical="center" wrapText="1"/>
    </xf>
    <xf numFmtId="2" fontId="170" fillId="43" borderId="65" xfId="516" applyNumberFormat="1" applyFont="1" applyFill="1" applyBorder="1" applyAlignment="1">
      <alignment horizontal="center" vertical="center"/>
    </xf>
    <xf numFmtId="238" fontId="170" fillId="43" borderId="65" xfId="516" applyNumberFormat="1" applyFont="1" applyFill="1" applyBorder="1" applyAlignment="1">
      <alignment horizontal="center" vertical="center" wrapText="1"/>
    </xf>
    <xf numFmtId="0" fontId="227" fillId="43" borderId="65" xfId="516" applyFont="1" applyFill="1" applyBorder="1" applyAlignment="1">
      <alignment horizontal="center" vertical="center"/>
    </xf>
    <xf numFmtId="2" fontId="170" fillId="43" borderId="21" xfId="516" applyNumberFormat="1" applyFont="1" applyFill="1" applyBorder="1" applyAlignment="1">
      <alignment horizontal="center" vertical="center" wrapText="1"/>
    </xf>
    <xf numFmtId="2" fontId="170" fillId="43" borderId="6" xfId="516" applyNumberFormat="1" applyFont="1" applyFill="1" applyBorder="1" applyAlignment="1">
      <alignment horizontal="center" vertical="center" wrapText="1"/>
    </xf>
    <xf numFmtId="0" fontId="186" fillId="43" borderId="0" xfId="0" applyFont="1" applyFill="1" applyAlignment="1">
      <alignment horizontal="center"/>
    </xf>
    <xf numFmtId="2" fontId="186" fillId="43" borderId="0" xfId="0" applyNumberFormat="1" applyFont="1" applyFill="1" applyAlignment="1">
      <alignment horizontal="center"/>
    </xf>
    <xf numFmtId="3" fontId="186" fillId="43" borderId="0" xfId="0" applyNumberFormat="1" applyFont="1" applyFill="1" applyAlignment="1">
      <alignment horizontal="center"/>
    </xf>
    <xf numFmtId="2" fontId="170" fillId="43" borderId="65" xfId="516" applyNumberFormat="1" applyFont="1" applyFill="1" applyBorder="1" applyAlignment="1">
      <alignment horizontal="center" vertical="center" wrapText="1"/>
    </xf>
    <xf numFmtId="0" fontId="176" fillId="43" borderId="0" xfId="0" applyFont="1" applyFill="1" applyAlignment="1">
      <alignment horizontal="center" vertical="center"/>
    </xf>
    <xf numFmtId="0" fontId="176" fillId="43" borderId="0" xfId="0" applyFont="1" applyFill="1" applyAlignment="1">
      <alignment horizontal="center"/>
    </xf>
    <xf numFmtId="0" fontId="251" fillId="0" borderId="0" xfId="0" applyFont="1" applyAlignment="1">
      <alignment horizontal="center"/>
    </xf>
    <xf numFmtId="236" fontId="249" fillId="0" borderId="0" xfId="224" applyNumberFormat="1" applyFont="1" applyFill="1" applyBorder="1" applyAlignment="1">
      <alignment horizontal="left" vertical="center" wrapText="1"/>
    </xf>
    <xf numFmtId="236" fontId="249" fillId="0" borderId="46" xfId="224" applyNumberFormat="1" applyFont="1" applyFill="1" applyBorder="1" applyAlignment="1">
      <alignment horizontal="left" vertical="center" wrapText="1"/>
    </xf>
    <xf numFmtId="0" fontId="250" fillId="0" borderId="0" xfId="0" applyFont="1" applyAlignment="1">
      <alignment horizontal="center"/>
    </xf>
    <xf numFmtId="0" fontId="248" fillId="0" borderId="0" xfId="0" applyFont="1" applyAlignment="1">
      <alignment horizontal="center"/>
    </xf>
    <xf numFmtId="0" fontId="251" fillId="0" borderId="84" xfId="0" applyFont="1" applyBorder="1" applyAlignment="1">
      <alignment horizontal="center" vertical="center"/>
    </xf>
    <xf numFmtId="0" fontId="251" fillId="0" borderId="6" xfId="0" applyFont="1" applyBorder="1" applyAlignment="1">
      <alignment horizontal="center" vertical="center"/>
    </xf>
    <xf numFmtId="0" fontId="251" fillId="0" borderId="84" xfId="0" applyFont="1" applyBorder="1" applyAlignment="1">
      <alignment horizontal="center" vertical="center" wrapText="1"/>
    </xf>
    <xf numFmtId="0" fontId="251" fillId="0" borderId="6" xfId="0" applyFont="1" applyBorder="1" applyAlignment="1">
      <alignment horizontal="center" vertical="center" wrapText="1"/>
    </xf>
    <xf numFmtId="0" fontId="251" fillId="0" borderId="79" xfId="0" applyFont="1" applyBorder="1" applyAlignment="1">
      <alignment horizontal="center" vertical="center"/>
    </xf>
    <xf numFmtId="0" fontId="251" fillId="0" borderId="14" xfId="0" applyFont="1" applyBorder="1" applyAlignment="1">
      <alignment horizontal="center" vertical="center"/>
    </xf>
    <xf numFmtId="0" fontId="251" fillId="0" borderId="55" xfId="0" applyFont="1" applyBorder="1" applyAlignment="1">
      <alignment horizontal="center" vertical="center"/>
    </xf>
    <xf numFmtId="3" fontId="170" fillId="43" borderId="66" xfId="1078" applyNumberFormat="1" applyFont="1" applyFill="1" applyBorder="1" applyAlignment="1">
      <alignment horizontal="center" vertical="center" wrapText="1"/>
    </xf>
    <xf numFmtId="3" fontId="170" fillId="43" borderId="78" xfId="1078" applyNumberFormat="1" applyFont="1" applyFill="1" applyBorder="1" applyAlignment="1">
      <alignment horizontal="center" vertical="center" wrapText="1"/>
    </xf>
    <xf numFmtId="3" fontId="170" fillId="43" borderId="73" xfId="1078" applyNumberFormat="1" applyFont="1" applyFill="1" applyBorder="1" applyAlignment="1">
      <alignment horizontal="center" vertical="center" wrapText="1"/>
    </xf>
    <xf numFmtId="3" fontId="170" fillId="46" borderId="66" xfId="1078" applyNumberFormat="1" applyFont="1" applyFill="1" applyBorder="1" applyAlignment="1">
      <alignment horizontal="center" vertical="center" wrapText="1"/>
    </xf>
    <xf numFmtId="3" fontId="170" fillId="46" borderId="78" xfId="1078" applyNumberFormat="1" applyFont="1" applyFill="1" applyBorder="1" applyAlignment="1">
      <alignment horizontal="center" vertical="center" wrapText="1"/>
    </xf>
    <xf numFmtId="3" fontId="170" fillId="46" borderId="73" xfId="1078" applyNumberFormat="1" applyFont="1" applyFill="1" applyBorder="1" applyAlignment="1">
      <alignment horizontal="center" vertical="center" wrapText="1"/>
    </xf>
    <xf numFmtId="3" fontId="227" fillId="43" borderId="70" xfId="1078" applyNumberFormat="1" applyFont="1" applyFill="1" applyBorder="1" applyAlignment="1">
      <alignment horizontal="center" vertical="center" wrapText="1"/>
    </xf>
    <xf numFmtId="3" fontId="227" fillId="43" borderId="71" xfId="1078" applyNumberFormat="1" applyFont="1" applyFill="1" applyBorder="1" applyAlignment="1">
      <alignment horizontal="center" vertical="center" wrapText="1"/>
    </xf>
    <xf numFmtId="3" fontId="227" fillId="43" borderId="72" xfId="1078" applyNumberFormat="1" applyFont="1" applyFill="1" applyBorder="1" applyAlignment="1">
      <alignment horizontal="center" vertical="center" wrapText="1"/>
    </xf>
    <xf numFmtId="0" fontId="170" fillId="0" borderId="0" xfId="0" applyFont="1" applyAlignment="1">
      <alignment horizontal="center" vertical="center"/>
    </xf>
    <xf numFmtId="243" fontId="177" fillId="47" borderId="0" xfId="1078" applyNumberFormat="1" applyFont="1" applyFill="1" applyAlignment="1">
      <alignment horizontal="center" vertical="center" wrapText="1"/>
    </xf>
    <xf numFmtId="243" fontId="170" fillId="47" borderId="0" xfId="1078" applyNumberFormat="1" applyFont="1" applyFill="1" applyAlignment="1">
      <alignment horizontal="center" vertical="center" wrapText="1"/>
    </xf>
    <xf numFmtId="0" fontId="170" fillId="0" borderId="0" xfId="1078" applyFont="1" applyAlignment="1">
      <alignment horizontal="center" vertical="center"/>
    </xf>
    <xf numFmtId="3" fontId="227" fillId="43" borderId="66" xfId="1078" applyNumberFormat="1" applyFont="1" applyFill="1" applyBorder="1" applyAlignment="1">
      <alignment horizontal="center" vertical="center" wrapText="1"/>
    </xf>
    <xf numFmtId="3" fontId="227" fillId="43" borderId="73" xfId="1078" applyNumberFormat="1" applyFont="1" applyFill="1" applyBorder="1" applyAlignment="1">
      <alignment horizontal="center" vertical="center" wrapText="1"/>
    </xf>
    <xf numFmtId="1" fontId="170" fillId="47" borderId="67" xfId="1078" applyNumberFormat="1" applyFont="1" applyFill="1" applyBorder="1" applyAlignment="1">
      <alignment horizontal="center" vertical="center" wrapText="1"/>
    </xf>
    <xf numFmtId="1" fontId="170" fillId="47" borderId="68" xfId="1078" applyNumberFormat="1" applyFont="1" applyFill="1" applyBorder="1" applyAlignment="1">
      <alignment horizontal="center" vertical="center" wrapText="1"/>
    </xf>
    <xf numFmtId="1" fontId="170" fillId="47" borderId="69" xfId="1078" applyNumberFormat="1" applyFont="1" applyFill="1" applyBorder="1" applyAlignment="1">
      <alignment horizontal="center" vertical="center" wrapText="1"/>
    </xf>
    <xf numFmtId="1" fontId="170" fillId="47" borderId="74" xfId="1078" applyNumberFormat="1" applyFont="1" applyFill="1" applyBorder="1" applyAlignment="1">
      <alignment horizontal="center" vertical="center" wrapText="1"/>
    </xf>
    <xf numFmtId="1" fontId="170" fillId="47" borderId="75" xfId="1078" applyNumberFormat="1" applyFont="1" applyFill="1" applyBorder="1" applyAlignment="1">
      <alignment horizontal="center" vertical="center" wrapText="1"/>
    </xf>
    <xf numFmtId="1" fontId="170" fillId="47" borderId="76" xfId="1078" applyNumberFormat="1" applyFont="1" applyFill="1" applyBorder="1" applyAlignment="1">
      <alignment horizontal="center" vertical="center" wrapText="1"/>
    </xf>
    <xf numFmtId="243" fontId="170" fillId="47" borderId="66" xfId="1078" applyNumberFormat="1" applyFont="1" applyFill="1" applyBorder="1" applyAlignment="1">
      <alignment horizontal="center" vertical="center" wrapText="1"/>
    </xf>
    <xf numFmtId="243" fontId="170" fillId="47" borderId="73" xfId="1078" applyNumberFormat="1" applyFont="1" applyFill="1" applyBorder="1" applyAlignment="1">
      <alignment horizontal="center" vertical="center" wrapText="1"/>
    </xf>
    <xf numFmtId="3" fontId="170" fillId="47" borderId="67" xfId="1078" applyNumberFormat="1" applyFont="1" applyFill="1" applyBorder="1" applyAlignment="1">
      <alignment horizontal="center" vertical="center" wrapText="1"/>
    </xf>
    <xf numFmtId="3" fontId="170" fillId="47" borderId="74" xfId="1078" applyNumberFormat="1" applyFont="1" applyFill="1" applyBorder="1" applyAlignment="1">
      <alignment horizontal="center" vertical="center" wrapText="1"/>
    </xf>
    <xf numFmtId="3" fontId="227" fillId="47" borderId="65" xfId="1078" applyNumberFormat="1" applyFont="1" applyFill="1" applyBorder="1" applyAlignment="1">
      <alignment horizontal="center" vertical="center" wrapText="1"/>
    </xf>
    <xf numFmtId="3" fontId="170" fillId="47" borderId="65" xfId="1078" applyNumberFormat="1" applyFont="1" applyFill="1" applyBorder="1" applyAlignment="1">
      <alignment horizontal="center" vertical="center" wrapText="1"/>
    </xf>
    <xf numFmtId="4" fontId="170" fillId="47" borderId="66" xfId="1078" applyNumberFormat="1" applyFont="1" applyFill="1" applyBorder="1" applyAlignment="1">
      <alignment horizontal="center" vertical="center" wrapText="1"/>
    </xf>
    <xf numFmtId="4" fontId="170" fillId="47" borderId="73" xfId="1078" applyNumberFormat="1" applyFont="1" applyFill="1" applyBorder="1" applyAlignment="1">
      <alignment horizontal="center" vertical="center" wrapText="1"/>
    </xf>
    <xf numFmtId="178" fontId="170" fillId="47" borderId="69" xfId="1078" applyNumberFormat="1" applyFont="1" applyFill="1" applyBorder="1" applyAlignment="1">
      <alignment horizontal="center" vertical="center" wrapText="1"/>
    </xf>
    <xf numFmtId="178" fontId="170" fillId="47" borderId="76" xfId="1078" applyNumberFormat="1" applyFont="1" applyFill="1" applyBorder="1" applyAlignment="1">
      <alignment horizontal="center" vertical="center" wrapText="1"/>
    </xf>
    <xf numFmtId="238" fontId="170" fillId="47" borderId="66" xfId="1078" applyNumberFormat="1" applyFont="1" applyFill="1" applyBorder="1" applyAlignment="1">
      <alignment horizontal="center" vertical="center" wrapText="1"/>
    </xf>
    <xf numFmtId="238" fontId="170" fillId="47" borderId="73" xfId="1078" applyNumberFormat="1" applyFont="1" applyFill="1" applyBorder="1" applyAlignment="1">
      <alignment horizontal="center" vertical="center" wrapText="1"/>
    </xf>
    <xf numFmtId="49" fontId="45" fillId="43" borderId="70" xfId="1078" applyNumberFormat="1" applyFont="1" applyFill="1" applyBorder="1" applyAlignment="1">
      <alignment horizontal="center" vertical="center"/>
    </xf>
    <xf numFmtId="49" fontId="45" fillId="43" borderId="71" xfId="1078" applyNumberFormat="1" applyFont="1" applyFill="1" applyBorder="1" applyAlignment="1">
      <alignment horizontal="center" vertical="center"/>
    </xf>
    <xf numFmtId="49" fontId="45" fillId="43" borderId="72" xfId="1078" applyNumberFormat="1" applyFont="1" applyFill="1" applyBorder="1" applyAlignment="1">
      <alignment horizontal="center" vertical="center"/>
    </xf>
    <xf numFmtId="3" fontId="170" fillId="50" borderId="66" xfId="1078" applyNumberFormat="1" applyFont="1" applyFill="1" applyBorder="1" applyAlignment="1">
      <alignment horizontal="center" vertical="center" wrapText="1"/>
    </xf>
    <xf numFmtId="3" fontId="170" fillId="50" borderId="78" xfId="1078" applyNumberFormat="1" applyFont="1" applyFill="1" applyBorder="1" applyAlignment="1">
      <alignment horizontal="center" vertical="center" wrapText="1"/>
    </xf>
    <xf numFmtId="3" fontId="170" fillId="50" borderId="73" xfId="1078" applyNumberFormat="1" applyFont="1" applyFill="1" applyBorder="1" applyAlignment="1">
      <alignment horizontal="center" vertical="center" wrapText="1"/>
    </xf>
    <xf numFmtId="3" fontId="227" fillId="43" borderId="67" xfId="1078" applyNumberFormat="1" applyFont="1" applyFill="1" applyBorder="1" applyAlignment="1">
      <alignment horizontal="center" vertical="center" wrapText="1"/>
    </xf>
    <xf numFmtId="3" fontId="227" fillId="43" borderId="68" xfId="1078" applyNumberFormat="1" applyFont="1" applyFill="1" applyBorder="1" applyAlignment="1">
      <alignment horizontal="center" vertical="center" wrapText="1"/>
    </xf>
    <xf numFmtId="3" fontId="227" fillId="43" borderId="69" xfId="1078" applyNumberFormat="1" applyFont="1" applyFill="1" applyBorder="1" applyAlignment="1">
      <alignment horizontal="center" vertical="center" wrapText="1"/>
    </xf>
    <xf numFmtId="3" fontId="227" fillId="43" borderId="65" xfId="1078" applyNumberFormat="1" applyFont="1" applyFill="1" applyBorder="1" applyAlignment="1">
      <alignment horizontal="center" vertical="center" wrapText="1"/>
    </xf>
    <xf numFmtId="3" fontId="170" fillId="43" borderId="77" xfId="1078" applyNumberFormat="1" applyFont="1" applyFill="1" applyBorder="1" applyAlignment="1">
      <alignment horizontal="center" vertical="center" wrapText="1"/>
    </xf>
    <xf numFmtId="3" fontId="170" fillId="47" borderId="66" xfId="1078" applyNumberFormat="1" applyFont="1" applyFill="1" applyBorder="1" applyAlignment="1">
      <alignment horizontal="center" vertical="center" wrapText="1"/>
    </xf>
    <xf numFmtId="3" fontId="170" fillId="47" borderId="73" xfId="1078" applyNumberFormat="1" applyFont="1" applyFill="1" applyBorder="1" applyAlignment="1">
      <alignment horizontal="center" vertical="center" wrapText="1"/>
    </xf>
    <xf numFmtId="4" fontId="227" fillId="47" borderId="66" xfId="1078" applyNumberFormat="1" applyFont="1" applyFill="1" applyBorder="1" applyAlignment="1">
      <alignment horizontal="center" vertical="center" wrapText="1"/>
    </xf>
    <xf numFmtId="4" fontId="227" fillId="47" borderId="73" xfId="1078" applyNumberFormat="1" applyFont="1" applyFill="1" applyBorder="1" applyAlignment="1">
      <alignment horizontal="center" vertical="center" wrapText="1"/>
    </xf>
    <xf numFmtId="178" fontId="170" fillId="47" borderId="66" xfId="1078" applyNumberFormat="1" applyFont="1" applyFill="1" applyBorder="1" applyAlignment="1">
      <alignment horizontal="center" vertical="center" wrapText="1"/>
    </xf>
    <xf numFmtId="178" fontId="170" fillId="47" borderId="73" xfId="1078" applyNumberFormat="1" applyFont="1" applyFill="1" applyBorder="1" applyAlignment="1">
      <alignment horizontal="center" vertical="center" wrapText="1"/>
    </xf>
    <xf numFmtId="3" fontId="170" fillId="43" borderId="91" xfId="1078" applyNumberFormat="1" applyFont="1" applyFill="1" applyBorder="1" applyAlignment="1">
      <alignment horizontal="center" vertical="center" wrapText="1"/>
    </xf>
    <xf numFmtId="3" fontId="170" fillId="43" borderId="83" xfId="1078" applyNumberFormat="1" applyFont="1" applyFill="1" applyBorder="1" applyAlignment="1">
      <alignment horizontal="center" vertical="center" wrapText="1"/>
    </xf>
    <xf numFmtId="3" fontId="170" fillId="43" borderId="92" xfId="1078" applyNumberFormat="1" applyFont="1" applyFill="1" applyBorder="1" applyAlignment="1">
      <alignment horizontal="center" vertical="center" wrapText="1"/>
    </xf>
    <xf numFmtId="3" fontId="170" fillId="43" borderId="93" xfId="1078" applyNumberFormat="1" applyFont="1" applyFill="1" applyBorder="1" applyAlignment="1">
      <alignment horizontal="center" vertical="center" wrapText="1"/>
    </xf>
    <xf numFmtId="3" fontId="170" fillId="43" borderId="97" xfId="1078" applyNumberFormat="1" applyFont="1" applyFill="1" applyBorder="1" applyAlignment="1">
      <alignment horizontal="center" vertical="center" wrapText="1"/>
    </xf>
    <xf numFmtId="3" fontId="170" fillId="43" borderId="85" xfId="1078" applyNumberFormat="1" applyFont="1" applyFill="1" applyBorder="1" applyAlignment="1">
      <alignment horizontal="center" vertical="center" wrapText="1"/>
    </xf>
    <xf numFmtId="3" fontId="170" fillId="43" borderId="86" xfId="1078" applyNumberFormat="1" applyFont="1" applyFill="1" applyBorder="1" applyAlignment="1">
      <alignment horizontal="center" vertical="center" wrapText="1"/>
    </xf>
    <xf numFmtId="3" fontId="170" fillId="43" borderId="87" xfId="1078" applyNumberFormat="1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84" xfId="0" applyBorder="1" applyAlignment="1">
      <alignment horizontal="center"/>
    </xf>
    <xf numFmtId="0" fontId="0" fillId="0" borderId="6" xfId="0" applyBorder="1" applyAlignment="1">
      <alignment horizontal="center"/>
    </xf>
    <xf numFmtId="0" fontId="246" fillId="0" borderId="65" xfId="0" applyFont="1" applyBorder="1" applyAlignment="1">
      <alignment horizontal="center" vertical="center" wrapText="1"/>
    </xf>
    <xf numFmtId="0" fontId="246" fillId="0" borderId="79" xfId="0" applyFont="1" applyBorder="1" applyAlignment="1">
      <alignment horizontal="center" vertical="center"/>
    </xf>
    <xf numFmtId="0" fontId="246" fillId="0" borderId="14" xfId="0" applyFont="1" applyBorder="1" applyAlignment="1">
      <alignment horizontal="center" vertical="center"/>
    </xf>
    <xf numFmtId="0" fontId="246" fillId="0" borderId="55" xfId="0" applyFont="1" applyBorder="1" applyAlignment="1">
      <alignment horizontal="center" vertical="center"/>
    </xf>
    <xf numFmtId="0" fontId="246" fillId="0" borderId="84" xfId="0" applyFont="1" applyBorder="1" applyAlignment="1">
      <alignment horizontal="center" vertical="center"/>
    </xf>
    <xf numFmtId="0" fontId="246" fillId="0" borderId="6" xfId="0" applyFont="1" applyBorder="1" applyAlignment="1">
      <alignment horizontal="center" vertical="center"/>
    </xf>
    <xf numFmtId="0" fontId="246" fillId="0" borderId="89" xfId="0" applyFont="1" applyBorder="1" applyAlignment="1">
      <alignment horizontal="center" vertical="center"/>
    </xf>
    <xf numFmtId="0" fontId="246" fillId="0" borderId="50" xfId="0" applyFont="1" applyBorder="1" applyAlignment="1">
      <alignment horizontal="center" vertical="center"/>
    </xf>
    <xf numFmtId="0" fontId="246" fillId="0" borderId="88" xfId="0" applyFont="1" applyBorder="1" applyAlignment="1">
      <alignment horizontal="center" vertical="center"/>
    </xf>
    <xf numFmtId="0" fontId="246" fillId="0" borderId="44" xfId="0" applyFont="1" applyBorder="1" applyAlignment="1">
      <alignment horizontal="center" vertical="center"/>
    </xf>
    <xf numFmtId="0" fontId="246" fillId="0" borderId="43" xfId="0" applyFont="1" applyBorder="1" applyAlignment="1">
      <alignment horizontal="center" vertical="center"/>
    </xf>
    <xf numFmtId="0" fontId="246" fillId="0" borderId="64" xfId="0" applyFont="1" applyBorder="1" applyAlignment="1">
      <alignment horizontal="center" vertical="center"/>
    </xf>
    <xf numFmtId="0" fontId="246" fillId="0" borderId="65" xfId="0" applyFont="1" applyBorder="1" applyAlignment="1">
      <alignment horizontal="center" vertical="center"/>
    </xf>
    <xf numFmtId="0" fontId="253" fillId="43" borderId="98" xfId="516" applyFont="1" applyFill="1" applyBorder="1" applyAlignment="1">
      <alignment horizontal="center" vertical="center" wrapText="1"/>
    </xf>
    <xf numFmtId="3" fontId="253" fillId="43" borderId="0" xfId="516" applyNumberFormat="1" applyFont="1" applyFill="1" applyAlignment="1">
      <alignment horizontal="left" vertical="center" indent="1"/>
    </xf>
  </cellXfs>
  <cellStyles count="1081">
    <cellStyle name="_x0007_" xfId="1" xr:uid="{FEAEC919-B08F-4A2E-9EA8-F367D03ED6E9}"/>
    <cellStyle name="          _x000d__x000a_shell=progman.exe_x000d__x000a_m" xfId="2" xr:uid="{EBF4FE7F-530F-4047-8535-85F39EAB3B1E}"/>
    <cellStyle name="." xfId="3" xr:uid="{37646569-6EB3-4FA5-834E-1DFC1FD4F25C}"/>
    <cellStyle name="??" xfId="4" xr:uid="{58814CD3-0BA4-4960-9609-A402082255D5}"/>
    <cellStyle name="?? [0.00]_ Att. 1- Cover" xfId="5" xr:uid="{BA605FC5-9F5A-4A6D-A943-F766C5BEDE7A}"/>
    <cellStyle name="?? [0]" xfId="6" xr:uid="{1B7E5CED-CC58-4A1E-8FD0-3A55B53FC535}"/>
    <cellStyle name="?? [0] 2" xfId="7" xr:uid="{8DE9C8E6-7189-4E1B-BFE8-C59EAF5B0810}"/>
    <cellStyle name="?? 2" xfId="8" xr:uid="{DD47EC64-A581-42AE-9684-E84D678FB2CC}"/>
    <cellStyle name="?? 3" xfId="9" xr:uid="{D71EF003-1A49-44AD-868E-4C29D2BCDE93}"/>
    <cellStyle name="?? 416" xfId="10" xr:uid="{CC64663A-38E4-4399-86B8-88EE4DD1CF96}"/>
    <cellStyle name="??&amp;O?&amp;H?_x0008_??_x0007__x0001__x0001_" xfId="11" xr:uid="{264869AC-4F33-41C7-9EDA-E24EB9B1950D}"/>
    <cellStyle name="?_x001d_??%U©÷u&amp;H©÷9_x0008_? s_x000a__x0007__x0001__x0001_" xfId="12" xr:uid="{752F0115-6233-481D-84D0-C08FE8F83A7D}"/>
    <cellStyle name="???? [0.00]_List-dwg" xfId="13" xr:uid="{1B59679B-619B-4EAA-8EA0-B143FBCA1F49}"/>
    <cellStyle name="????_??" xfId="14" xr:uid="{8A884B02-E31D-45A3-8D79-FE2FE5DB8A98}"/>
    <cellStyle name="???[0]_?? DI" xfId="15" xr:uid="{E9B4F3D4-58AA-442B-A5FB-09065B3004CF}"/>
    <cellStyle name="???_?? DI" xfId="16" xr:uid="{06E028A1-09ED-41EA-8C93-44CBDC231DDD}"/>
    <cellStyle name="??[0]_BRE" xfId="17" xr:uid="{995837A2-BAD0-43E4-A43E-E1CC151BAEBA}"/>
    <cellStyle name="??_ Att. 1- Cover" xfId="18" xr:uid="{8C15D3EE-9DC0-4C4F-BD49-4BDF7212884E}"/>
    <cellStyle name="??A? [0]_ÿÿÿÿÿÿ_1_¢¬???¢â? " xfId="19" xr:uid="{ECFE9D82-1369-4E39-82D7-A963E1625E6D}"/>
    <cellStyle name="??A?_ÿÿÿÿÿÿ_1_¢¬???¢â? " xfId="20" xr:uid="{6C7213CA-C06C-48C8-B00F-24F3857B8401}"/>
    <cellStyle name="?¡±¢¥?_?¨ù??¢´¢¥_¢¬???¢â? " xfId="21" xr:uid="{35E7F30D-D07F-41EF-8433-55C7F91513D2}"/>
    <cellStyle name="?ðÇ%U?&amp;H?_x0008_?s_x000a__x0007__x0001__x0001_" xfId="22" xr:uid="{2B81B6FE-0EDC-4036-BF24-DA155927F943}"/>
    <cellStyle name="_05_Artemis_95% Estimate_Rev 00_Issued 12_08_05" xfId="23" xr:uid="{40C97AD0-B5FB-488E-85D6-9E2A2213163F}"/>
    <cellStyle name="_05_Artemis_95% Estimate_Rev 00_Issued 12_08_05_FM" xfId="24" xr:uid="{62842EE0-D321-4C0A-A866-B18CA3DEEB73}"/>
    <cellStyle name="_60% Programming Estimate_SS1_Rev 3" xfId="25" xr:uid="{032335B7-2300-4082-8D1B-E0FDEC509F85}"/>
    <cellStyle name="_Bang Chi tieu (2)" xfId="26" xr:uid="{2DC761B7-41C5-4AD8-9903-CC2CA0607064}"/>
    <cellStyle name="_Book2" xfId="27" xr:uid="{A3412FEB-8314-44EB-98D4-96663F243B4F}"/>
    <cellStyle name="_Breakdown GR" xfId="28" xr:uid="{56FD5BA1-12A5-4255-80BF-F0A98CA7D1F2}"/>
    <cellStyle name="_danh ba" xfId="29" xr:uid="{B937F7A1-F478-4D2F-A0B6-AEEFC0D873E9}"/>
    <cellStyle name="_Deisgn Gap Vaulations_FM_Rev 0" xfId="30" xr:uid="{7A3BED29-01A3-42DC-883B-CD9A9E540EB7}"/>
    <cellStyle name="_GC BoQ_GPB(SS3)&amp;IW(SS7)_Rev 0" xfId="31" xr:uid="{39708882-4241-4C46-A8B8-E6B45C1DD245}"/>
    <cellStyle name="_Intel BQ" xfId="32" xr:uid="{B708AC95-D382-4D7D-B7C5-7A43A91D4A23}"/>
    <cellStyle name="_Technical Data Pumps" xfId="33" xr:uid="{12BA9C17-84AA-462B-9717-7353351657BC}"/>
    <cellStyle name="_ÿÿÿÿÿ" xfId="34" xr:uid="{AC553FA7-BB85-4A4E-B1E2-F5840F27656F}"/>
    <cellStyle name="~1" xfId="35" xr:uid="{971250AF-1920-4FB0-B2D1-1E56A531BED1}"/>
    <cellStyle name="’Ê‰Ý [0.00]_††††† " xfId="36" xr:uid="{CB3AB83B-F886-45D1-80E6-32490FC264A2}"/>
    <cellStyle name="’Ê‰Ý_††††† " xfId="37" xr:uid="{5F64C035-98FF-4D67-B474-E835B377E17E}"/>
    <cellStyle name="•W€_’·Šú‰p•¶" xfId="38" xr:uid="{F1C20B9C-CD3A-44C9-AF62-CA4F705260A5}"/>
    <cellStyle name="•W_’·Šú‰p•¶" xfId="39" xr:uid="{079C3CFD-A932-4440-AD4A-CE3BE459E6FC}"/>
    <cellStyle name="W_STDFOR" xfId="40" xr:uid="{0B26399C-D149-4731-BCF3-64311AEE4097}"/>
    <cellStyle name="0" xfId="41" xr:uid="{79A2845A-0B04-4E30-AA57-C90FF476F47C}"/>
    <cellStyle name="0 2" xfId="42" xr:uid="{EACF350D-B91E-4689-BCF1-374C18FF5230}"/>
    <cellStyle name="0 3" xfId="43" xr:uid="{C7194274-F057-4CEB-A45C-BC28548F9E27}"/>
    <cellStyle name="0,0_x000d__x000a_NA_x000d__x000a_" xfId="44" xr:uid="{52A68B72-A320-45A0-B158-AC7196F7010F}"/>
    <cellStyle name="1" xfId="45" xr:uid="{47B181C3-D599-46B4-997D-C7F19E2EBAFC}"/>
    <cellStyle name="1_Book1" xfId="46" xr:uid="{85FA09EC-EEE0-41B9-99BC-AC17F8D0C249}"/>
    <cellStyle name="1_Book1_1" xfId="47" xr:uid="{54B47599-3953-4BF2-AF93-A6CBB4E76551}"/>
    <cellStyle name="1_Cau thuy dien Ban La (Cu Anh)" xfId="48" xr:uid="{074C8A95-A72E-42B8-ABB5-F6C9BF3A9942}"/>
    <cellStyle name="1_Du toan 558 (Km17+508.12 - Km 22)" xfId="49" xr:uid="{501B0516-97DA-4A47-87B3-5568DFC7F2A4}"/>
    <cellStyle name="1_Gia_VLQL48_duyet " xfId="50" xr:uid="{A18F6EC4-0796-4735-B773-579057BE48E1}"/>
    <cellStyle name="1_KlQdinhduyet" xfId="52" xr:uid="{A8A13042-839F-47A5-BE67-199A32257724}"/>
    <cellStyle name="1_KHAU TRU THEP CHU DT CAP" xfId="51" xr:uid="{2DFD0019-D85D-4EC5-9C3C-82FCC3C6182C}"/>
    <cellStyle name="1_Tinh khau tru ham R4" xfId="53" xr:uid="{12AAE264-B6BD-471A-B89F-0B5BC229BACC}"/>
    <cellStyle name="1_ÿÿÿÿÿ" xfId="54" xr:uid="{46B7F970-51DA-4716-8C98-DF1645D3F3DB}"/>
    <cellStyle name="¹éºÐÀ²_±âÅ¸" xfId="55" xr:uid="{8DB25C5F-1904-492E-B4DF-855BC992017D}"/>
    <cellStyle name="2" xfId="56" xr:uid="{377C56A0-885F-469D-ABA3-19464F1E8FC4}"/>
    <cellStyle name="2_Book1" xfId="57" xr:uid="{B37F12A3-91E8-4E56-AE09-DABD4BBF8972}"/>
    <cellStyle name="2_Book1_1" xfId="58" xr:uid="{4F78EA7D-0AFD-4069-ABE5-7121B0E3D583}"/>
    <cellStyle name="2_Cau thuy dien Ban La (Cu Anh)" xfId="59" xr:uid="{574E367C-CF8F-4129-8177-41F6EA651280}"/>
    <cellStyle name="2_Du toan 558 (Km17+508.12 - Km 22)" xfId="60" xr:uid="{112D4AF3-4254-4903-8429-1569ACEED880}"/>
    <cellStyle name="2_Gia_VLQL48_duyet " xfId="61" xr:uid="{4C66F5E5-2688-4EC8-B9CC-7C321169B54B}"/>
    <cellStyle name="2_KlQdinhduyet" xfId="63" xr:uid="{E2AD4CB1-40E4-444F-9C95-4E2B82D4AF09}"/>
    <cellStyle name="2_KHAU TRU THEP CHU DT CAP" xfId="62" xr:uid="{244C5554-C542-42C6-B86F-D715692A29E2}"/>
    <cellStyle name="2_Tinh khau tru ham R4" xfId="64" xr:uid="{01B5D4CF-ED4D-4C3B-A727-63BD1881A080}"/>
    <cellStyle name="2_ÿÿÿÿÿ" xfId="65" xr:uid="{5B215994-B9BB-4796-839C-17B8C019650E}"/>
    <cellStyle name="20% - Accent1 2" xfId="66" xr:uid="{CD3D95E8-AC72-4D82-87A5-FFBBBBE29AD4}"/>
    <cellStyle name="20% - Accent1 2 2" xfId="67" xr:uid="{530A0AEA-570C-4114-B7C2-9DD01374E268}"/>
    <cellStyle name="20% - Accent2 2" xfId="68" xr:uid="{B63ECB8F-435A-4651-A9D4-D8F2C3303B3C}"/>
    <cellStyle name="20% - Accent2 2 2" xfId="69" xr:uid="{AE2B5D6D-47B7-47C3-8FF3-B9705E0E325C}"/>
    <cellStyle name="20% - Accent3 2" xfId="70" xr:uid="{9FA9809C-3645-48B5-9494-7D0AEDD4F1B2}"/>
    <cellStyle name="20% - Accent3 2 2" xfId="71" xr:uid="{504F25DF-54DF-4F31-8849-7CCFAABCBA98}"/>
    <cellStyle name="20% - Accent4 2" xfId="72" xr:uid="{55554141-F1FE-42DD-A58D-203500B133EF}"/>
    <cellStyle name="20% - Accent4 2 2" xfId="73" xr:uid="{E8732880-3F10-4484-8E08-3761EF3D7057}"/>
    <cellStyle name="20% - Accent5 2" xfId="74" xr:uid="{92022955-70F6-470C-BF44-F6A850530AAA}"/>
    <cellStyle name="20% - Accent5 2 2" xfId="75" xr:uid="{679FA79B-5EC2-4F68-90FF-5737FB3A85E3}"/>
    <cellStyle name="20% - Accent6 2" xfId="76" xr:uid="{86B67B46-3341-482E-B073-D52BC1105866}"/>
    <cellStyle name="20% - Accent6 2 2" xfId="77" xr:uid="{4CA8E465-F42D-4EAD-860B-52424DE2416B}"/>
    <cellStyle name="3" xfId="78" xr:uid="{A5C42EB0-7235-44B5-87BB-1D4EB8984945}"/>
    <cellStyle name="3_Book1" xfId="79" xr:uid="{EBF1AF14-FF91-414D-8EA0-442BD8F739CC}"/>
    <cellStyle name="3_Book1_1" xfId="80" xr:uid="{2684E124-1401-4626-B0B5-916F7A28907B}"/>
    <cellStyle name="3_Cau thuy dien Ban La (Cu Anh)" xfId="81" xr:uid="{B3C8D3E2-AB51-4A16-9AFF-CA18F4CF46AA}"/>
    <cellStyle name="3_Du toan 558 (Km17+508.12 - Km 22)" xfId="82" xr:uid="{F57B70BE-00FA-469C-B38B-7D104785D98A}"/>
    <cellStyle name="3_Gia_VLQL48_duyet " xfId="83" xr:uid="{249E881C-9FD4-410C-8F86-C16D62C43804}"/>
    <cellStyle name="3_KlQdinhduyet" xfId="85" xr:uid="{B9C9D397-3530-4328-8A48-87D5F47E8188}"/>
    <cellStyle name="3_KHAU TRU THEP CHU DT CAP" xfId="84" xr:uid="{6822E00D-7052-4EC0-A6CF-C06177E98787}"/>
    <cellStyle name="3_Tinh khau tru ham R4" xfId="86" xr:uid="{517B6DA4-6A61-4241-8C54-D0FFF18EFB14}"/>
    <cellStyle name="3_ÿÿÿÿÿ" xfId="87" xr:uid="{3C0664D7-9511-4EF5-8295-03F8ED39DE5F}"/>
    <cellStyle name="4" xfId="88" xr:uid="{275EB0F2-D8C7-4B80-A0EB-C870239E092A}"/>
    <cellStyle name="4_Book1" xfId="89" xr:uid="{4D39DD3A-B972-4B0C-865C-B5998AE9C7A6}"/>
    <cellStyle name="4_Book1_1" xfId="90" xr:uid="{FE3B463C-2603-4545-80F8-A9F564510F82}"/>
    <cellStyle name="4_Cau thuy dien Ban La (Cu Anh)" xfId="91" xr:uid="{6BC39010-EC11-4A8F-938A-CD050584D7A0}"/>
    <cellStyle name="4_Du toan 558 (Km17+508.12 - Km 22)" xfId="92" xr:uid="{6DEBA33F-3FDA-41CB-B475-67B40229F961}"/>
    <cellStyle name="4_Gia_VLQL48_duyet " xfId="93" xr:uid="{5D0FFC62-AFE4-4A63-A14D-D890311C88F2}"/>
    <cellStyle name="4_KlQdinhduyet" xfId="95" xr:uid="{A129DE8A-EEB1-451F-9756-7CF12E7B788B}"/>
    <cellStyle name="4_KHAU TRU THEP CHU DT CAP" xfId="94" xr:uid="{2F625510-BF24-45B8-B401-E11A3AFCC6D1}"/>
    <cellStyle name="4_Tinh khau tru ham R4" xfId="96" xr:uid="{75A7D467-D0E2-49DC-95EA-38BCD6214B26}"/>
    <cellStyle name="4_ÿÿÿÿÿ" xfId="97" xr:uid="{D1893316-DE7C-4027-9588-713BA5E6A559}"/>
    <cellStyle name="40% - Accent1 2" xfId="98" xr:uid="{695C6734-1D63-4E52-B69D-B516C36EAC16}"/>
    <cellStyle name="40% - Accent1 2 2" xfId="99" xr:uid="{A78B493A-A850-497D-AFED-71E0BEC1247E}"/>
    <cellStyle name="40% - Accent2 2" xfId="100" xr:uid="{F7F051B8-4522-44C8-A644-B090EFFA4185}"/>
    <cellStyle name="40% - Accent2 2 2" xfId="101" xr:uid="{5ED832D5-CD5C-4554-A4C2-702060735822}"/>
    <cellStyle name="40% - Accent3 2" xfId="102" xr:uid="{971D6D20-28AB-4623-B4E1-5957E5AEEE2A}"/>
    <cellStyle name="40% - Accent3 2 2" xfId="103" xr:uid="{23E77FC0-9A3E-4C85-901E-3781F1EAD248}"/>
    <cellStyle name="40% - Accent4 2" xfId="104" xr:uid="{1987BCBB-0B10-4D1F-8EA4-5AB08C1FC5C0}"/>
    <cellStyle name="40% - Accent4 2 2" xfId="105" xr:uid="{4392F5BF-1A44-4E97-B207-3EC53B8F6ED5}"/>
    <cellStyle name="40% - Accent5 2" xfId="106" xr:uid="{5DE78FAD-2CB9-43AD-876B-AC4A66B51652}"/>
    <cellStyle name="40% - Accent5 2 2" xfId="107" xr:uid="{AF041BE3-B5F0-4E1B-8D5A-B4C996921A30}"/>
    <cellStyle name="40% - Accent6 2" xfId="108" xr:uid="{7D92394A-0E93-478F-8C14-3A296FCFBF14}"/>
    <cellStyle name="40% - Accent6 2 2" xfId="109" xr:uid="{160444A0-0D34-4086-BB43-831812A70790}"/>
    <cellStyle name="6" xfId="110" xr:uid="{143E7A48-C6F5-412C-93C4-A68C757024B5}"/>
    <cellStyle name="6_phong KHKD" xfId="111" xr:uid="{745713D9-F0CE-4C16-BD70-4D564396E938}"/>
    <cellStyle name="60% - Accent1 2" xfId="112" xr:uid="{EA51AC26-B34E-475A-8150-BC0ED3B2A10C}"/>
    <cellStyle name="60% - Accent2 2" xfId="113" xr:uid="{EE8B6A09-2565-4C1B-BB0F-B8DCE23475FA}"/>
    <cellStyle name="60% - Accent3 2" xfId="114" xr:uid="{3C7CFCF2-5DA0-41A8-9410-EAE0159654DE}"/>
    <cellStyle name="60% - Accent4 2" xfId="115" xr:uid="{6667895F-C14C-4184-974D-F63CE9A16F5B}"/>
    <cellStyle name="60% - Accent5 2" xfId="116" xr:uid="{3351B721-F25A-4146-8D37-AE1A19CF9099}"/>
    <cellStyle name="60% - Accent6 2" xfId="117" xr:uid="{2F723E2C-6C2D-44A9-B8EB-7B541CF89CC6}"/>
    <cellStyle name="7-7-93 - 樣式1" xfId="118" xr:uid="{F51CE970-9FD8-4A13-944D-8E6A62915116}"/>
    <cellStyle name="a" xfId="119" xr:uid="{63051B77-CF3A-4ABC-A296-759B2F7B0FD6}"/>
    <cellStyle name="Accent1 2" xfId="120" xr:uid="{209A3191-27CA-417F-B25A-37EF7ECECE3A}"/>
    <cellStyle name="Accent1 2 2" xfId="121" xr:uid="{486376FE-E034-49FF-AAC4-1D671261526D}"/>
    <cellStyle name="Accent2 2" xfId="122" xr:uid="{08F47A80-7059-4C75-95FE-9092685EF128}"/>
    <cellStyle name="Accent3 2" xfId="123" xr:uid="{E60EB1FE-A010-4047-AB6D-F49F1995E981}"/>
    <cellStyle name="Accent4 2" xfId="124" xr:uid="{70B006D7-A26A-4B59-BA19-063E1048405F}"/>
    <cellStyle name="Accent5 2" xfId="125" xr:uid="{5C3DADA2-1BC8-4413-BC40-DE7AF0929610}"/>
    <cellStyle name="Accent6 2" xfId="126" xr:uid="{B6B9F94F-4BA3-4B5A-A8EA-38D4B4F72574}"/>
    <cellStyle name="Actual Date" xfId="127" xr:uid="{2BB4CB8D-59D7-40A1-A1F5-87A72E7F0D06}"/>
    <cellStyle name="ÅëÈ­ [0]_      " xfId="128" xr:uid="{DDDA83C9-C1DC-4B1C-BA72-F2CC71C070FC}"/>
    <cellStyle name="AeE­ [0]_INQUIRY ¿?¾÷AßAø " xfId="129" xr:uid="{4C7BB4F0-7128-4F6B-9E1B-055AEA49775B}"/>
    <cellStyle name="ÅëÈ­ [0]_laroux" xfId="130" xr:uid="{DCBAE87B-FE63-4286-8799-198965B42FE4}"/>
    <cellStyle name="ÅëÈ­_      " xfId="131" xr:uid="{AEC17725-48A6-43FF-93DC-DE68A144449C}"/>
    <cellStyle name="AeE­_INQUIRY ¿?¾÷AßAø " xfId="132" xr:uid="{3B96FCBD-DC61-4A71-9C60-3D0CC884FE2C}"/>
    <cellStyle name="ÅëÈ­_laroux" xfId="133" xr:uid="{135E1B26-9053-4385-8212-B8A80188F9D7}"/>
    <cellStyle name="args.style" xfId="134" xr:uid="{3F3AC9D3-A954-4D8C-946C-A06199E39505}"/>
    <cellStyle name="Arial10" xfId="135" xr:uid="{47AA769A-FD19-4F69-BC57-3CEA92E880EC}"/>
    <cellStyle name="at" xfId="136" xr:uid="{26F120EE-36FC-4075-81B1-EAEBE0C5D8FF}"/>
    <cellStyle name="ÄÞ¸¶ [0]_      " xfId="137" xr:uid="{210EA7FA-A492-4683-85D8-CA845D403928}"/>
    <cellStyle name="AÞ¸¶ [0]_INQUIRY ¿?¾÷AßAø " xfId="138" xr:uid="{3726EFAA-5C6F-41C4-A51B-012265B366A4}"/>
    <cellStyle name="ÄÞ¸¶ [0]_L601CPT" xfId="139" xr:uid="{935A8F4F-291D-430D-8FAE-C156B2CDDBA3}"/>
    <cellStyle name="ÄÞ¸¶_      " xfId="140" xr:uid="{5008F0FC-31E3-4C69-B611-D879F2EE1324}"/>
    <cellStyle name="AÞ¸¶_INQUIRY ¿?¾÷AßAø " xfId="141" xr:uid="{2F28CA3E-F1D4-4347-9634-D91DB5AFCDD8}"/>
    <cellStyle name="ÄÞ¸¶_L601CPT" xfId="142" xr:uid="{608FEC07-7CB5-4BB8-9947-BD0EE62DBA81}"/>
    <cellStyle name="Bad 2" xfId="143" xr:uid="{049D6F43-6843-4A99-B7F4-2EF3C947E5D8}"/>
    <cellStyle name="Bangchu" xfId="144" xr:uid="{F35CF290-98DE-47D3-AB7F-0EAA775D175D}"/>
    <cellStyle name="BILL제목" xfId="145" xr:uid="{D7073C91-0E60-4964-8A9F-D0985E8D7EA1}"/>
    <cellStyle name="Bình Thường_du toan lanh" xfId="146" xr:uid="{094A0FCA-A169-4163-9C7E-D666C59BF5CD}"/>
    <cellStyle name="Body" xfId="147" xr:uid="{88EFC704-8E76-4DC5-87E7-7BA386EC0B3A}"/>
    <cellStyle name="C?AØ_¿?¾÷CoE² " xfId="148" xr:uid="{EA7255AD-BF5D-4CCF-951E-B4254FC9BE5B}"/>
    <cellStyle name="Ç¥ÁØ_      " xfId="149" xr:uid="{5EC7CDD3-83BD-4CCE-810C-416ACD24F857}"/>
    <cellStyle name="C￥AØ_¿μ¾÷CoE² " xfId="150" xr:uid="{64039D8C-4DF6-49B0-B3ED-FA8ACD0FFCE1}"/>
    <cellStyle name="Ç¥ÁØ_±³°¢¼ö·®" xfId="151" xr:uid="{D04E88B9-4594-42BC-9308-FA2F3C61AE3A}"/>
    <cellStyle name="C￥AØ_Sheet1_¿μ¾÷CoE² " xfId="152" xr:uid="{55177BBF-3D6A-4C1C-B412-AFD67DFFCC48}"/>
    <cellStyle name="Calc Currency (0)" xfId="153" xr:uid="{73703A9F-7352-43AF-B7CA-859DC99B7574}"/>
    <cellStyle name="Calc Currency (2)" xfId="154" xr:uid="{1AF3C1F3-BE02-4BD2-8125-089BA0F2B5D9}"/>
    <cellStyle name="Calc Percent (0)" xfId="155" xr:uid="{03BFA426-053A-460C-8378-4196213F9515}"/>
    <cellStyle name="Calc Percent (1)" xfId="156" xr:uid="{AEC8DF26-C819-4ACC-9C10-EC2D598760E7}"/>
    <cellStyle name="Calc Percent (2)" xfId="157" xr:uid="{4A5A5CBB-1720-4C23-9ECD-37650BD16D66}"/>
    <cellStyle name="Calc Units (0)" xfId="158" xr:uid="{9E33935A-44A2-4329-A197-22D2DFBBD29E}"/>
    <cellStyle name="Calc Units (1)" xfId="159" xr:uid="{0FE67999-6F22-492B-8F09-B7A44425E503}"/>
    <cellStyle name="Calc Units (2)" xfId="160" xr:uid="{981DE184-7133-4C27-B4EE-A2641BFDA383}"/>
    <cellStyle name="Calculation 2" xfId="161" xr:uid="{9F2B82F4-2681-4B4A-8101-D60B17A83F90}"/>
    <cellStyle name="Calculation 2 2" xfId="162" xr:uid="{C8ADC90F-29B9-409C-B7BB-4E60EFEB84D9}"/>
    <cellStyle name="Calculation 2 3" xfId="163" xr:uid="{6A3D8CC1-BEFB-4313-A976-DB2FEFA5AFA3}"/>
    <cellStyle name="category" xfId="164" xr:uid="{8C1E561A-965C-4A06-8CD1-045586A938F8}"/>
    <cellStyle name="collection" xfId="168" xr:uid="{0082C463-3992-478A-9253-1EE7D45EE099}"/>
    <cellStyle name="collection 2" xfId="169" xr:uid="{AFF11AD7-C857-4581-8EA2-94E355421095}"/>
    <cellStyle name="ColLevel_0" xfId="170" xr:uid="{3724A20D-68ED-4470-9F46-1CE639C1DA0C}"/>
    <cellStyle name="Comma" xfId="171" builtinId="3"/>
    <cellStyle name="Comma  - Style1" xfId="172" xr:uid="{A4084D44-6525-4A35-AD62-69ED34304085}"/>
    <cellStyle name="Comma  - Style2" xfId="173" xr:uid="{A359A499-4440-4ABC-9944-B4CC32FA8588}"/>
    <cellStyle name="Comma  - Style3" xfId="174" xr:uid="{7F046D7F-9016-4AF2-91FF-5EA87AD753DC}"/>
    <cellStyle name="Comma  - Style4" xfId="175" xr:uid="{4F7A7356-D7EE-473E-9FD7-EB045CF5BAB6}"/>
    <cellStyle name="Comma  - Style5" xfId="176" xr:uid="{593556A1-5582-4A17-811C-548786B16E8F}"/>
    <cellStyle name="Comma  - Style6" xfId="177" xr:uid="{92894370-AF4B-47A3-9D3A-4840A279C197}"/>
    <cellStyle name="Comma  - Style7" xfId="178" xr:uid="{0EDE0575-817A-405C-9DB2-08FA99B91359}"/>
    <cellStyle name="Comma  - Style8" xfId="179" xr:uid="{E2930158-1268-4683-ACDA-02A4B801BC83}"/>
    <cellStyle name="Comma [0] 2" xfId="180" xr:uid="{3DED25FB-AA9E-43D6-A9F8-1156F56E7258}"/>
    <cellStyle name="Comma [0] 3" xfId="181" xr:uid="{03840E59-9045-465B-AFBE-0966069C7331}"/>
    <cellStyle name="Comma [0] 4" xfId="182" xr:uid="{0FDBCCA7-F38B-41FA-BC44-F0A7267247EC}"/>
    <cellStyle name="Comma [0] 4 2" xfId="183" xr:uid="{0E71EDF7-9F3A-43B4-AEBB-DB6F179EF504}"/>
    <cellStyle name="Comma [0] 4 2 2" xfId="184" xr:uid="{E521400E-49AD-4BAF-A908-3E065181E6D3}"/>
    <cellStyle name="Comma [00]" xfId="185" xr:uid="{7C12AC28-9EF5-45F4-9EB8-62E35EA7D796}"/>
    <cellStyle name="Comma 10" xfId="186" xr:uid="{60DF4806-D3E5-471D-9F34-65871236DE22}"/>
    <cellStyle name="Comma 10 2" xfId="187" xr:uid="{F1B426C9-E203-4AE4-8231-5D203C35C9D1}"/>
    <cellStyle name="Comma 10 2 2" xfId="188" xr:uid="{999D26C0-0E4C-4356-8EE5-348D7683395D}"/>
    <cellStyle name="Comma 10 2 2 2" xfId="189" xr:uid="{FB846826-9F4E-4CB1-9D22-B50537216188}"/>
    <cellStyle name="Comma 10 2 2 2 2" xfId="190" xr:uid="{D4B0DC9A-3924-42F4-ABCC-ACEC5772E0D9}"/>
    <cellStyle name="Comma 10 2 5" xfId="191" xr:uid="{0B4C9004-9F40-4881-A884-BFA1BF383276}"/>
    <cellStyle name="Comma 11" xfId="192" xr:uid="{AF5E6E7A-FA6B-4CDF-918E-9A55B487A595}"/>
    <cellStyle name="Comma 11 2" xfId="193" xr:uid="{BEF1DF01-1894-4DE0-B32C-82225DAB585E}"/>
    <cellStyle name="Comma 11 3" xfId="194" xr:uid="{7277C8DD-BD2D-42B5-9073-1227DEA5F90C}"/>
    <cellStyle name="Comma 11 5 2" xfId="195" xr:uid="{A99C2D1D-EA89-4808-8977-028EF2A60EA4}"/>
    <cellStyle name="Comma 12" xfId="196" xr:uid="{55F7D98A-72A7-4B0B-802B-7526CF7D5F6C}"/>
    <cellStyle name="Comma 12 2" xfId="1079" xr:uid="{BD5B7662-BC78-434C-B91B-980E0DEA80C3}"/>
    <cellStyle name="Comma 13" xfId="197" xr:uid="{1D6EBD63-E957-44C3-8E39-07159840BE91}"/>
    <cellStyle name="Comma 13 2" xfId="198" xr:uid="{B365F00D-6666-4FA8-AAF0-D21BA9358845}"/>
    <cellStyle name="Comma 14" xfId="199" xr:uid="{62353999-DC2E-4C16-8BFF-93FF1E95C4F2}"/>
    <cellStyle name="Comma 14 2" xfId="200" xr:uid="{447841C7-5637-4ABB-889E-C9B3D073B171}"/>
    <cellStyle name="Comma 14 3" xfId="201" xr:uid="{A8974C4A-96BA-4F13-AEF2-85EB18C1D90B}"/>
    <cellStyle name="Comma 15" xfId="202" xr:uid="{FA95259B-C0E8-4C50-9F4A-9C83CD95F880}"/>
    <cellStyle name="Comma 15 2" xfId="203" xr:uid="{E028410B-F98A-40E0-8C31-B29AE612C003}"/>
    <cellStyle name="Comma 16" xfId="204" xr:uid="{DDAD92B2-2771-40E9-BD84-8437EC48B116}"/>
    <cellStyle name="Comma 16 2" xfId="205" xr:uid="{5CD87919-E2B2-4AC4-89C5-04C9E68E9E30}"/>
    <cellStyle name="Comma 16 2 2" xfId="206" xr:uid="{AFB10639-5D09-4D86-8664-4925EBA86028}"/>
    <cellStyle name="Comma 16 2 2 2" xfId="207" xr:uid="{25FDB89C-6338-431A-B746-FE6DAB66820B}"/>
    <cellStyle name="Comma 16 3" xfId="208" xr:uid="{3B568422-3267-47CB-81E8-A68A949ED6A6}"/>
    <cellStyle name="Comma 17" xfId="209" xr:uid="{562D9040-B05B-4326-A1E4-36C5436B827B}"/>
    <cellStyle name="Comma 17 2" xfId="210" xr:uid="{9B9AD515-1A75-4AB6-A4CC-FFF810BC27E1}"/>
    <cellStyle name="Comma 18" xfId="211" xr:uid="{A99F45EF-B9BE-458D-B6D9-FB4B0FAFAB32}"/>
    <cellStyle name="Comma 18 2" xfId="212" xr:uid="{1635F2F5-8437-4EBB-BE30-45D4ED97C9F6}"/>
    <cellStyle name="Comma 19" xfId="213" xr:uid="{5CBE4E9F-7D18-4205-9C06-4A8D4EB052BB}"/>
    <cellStyle name="Comma 2" xfId="214" xr:uid="{42582BEF-F8C1-4A61-B8EA-8180FCBFDBFD}"/>
    <cellStyle name="Comma 2 10" xfId="215" xr:uid="{2A69E8D5-D3D0-4BD2-B3B9-1BB1A05549BD}"/>
    <cellStyle name="Comma 2 2" xfId="216" xr:uid="{2959D92B-1B8F-4B75-81CA-C0DCC193C407}"/>
    <cellStyle name="Comma 2 2 2" xfId="217" xr:uid="{BF29E60F-EA37-4C17-8C18-3C8928022DA2}"/>
    <cellStyle name="Comma 2 2 2 2" xfId="218" xr:uid="{C89026AF-A872-4932-B389-24D94358410B}"/>
    <cellStyle name="Comma 2 2 2 2 2" xfId="219" xr:uid="{10373404-5172-4AF6-B416-A6CA7DE7DCF9}"/>
    <cellStyle name="Comma 2 3" xfId="220" xr:uid="{88974F2A-8209-48B9-8F1C-DD7FF8C51321}"/>
    <cellStyle name="Comma 2 3 2" xfId="221" xr:uid="{FBC7994A-0A36-4FE6-AFE1-2209BE284D5A}"/>
    <cellStyle name="Comma 2 4" xfId="222" xr:uid="{119A2575-880D-42BA-938B-EF8129B57EE6}"/>
    <cellStyle name="Comma 2 5" xfId="223" xr:uid="{C7277E4D-23F1-45BE-8CED-9307DED660AE}"/>
    <cellStyle name="Comma 2 5 2" xfId="224" xr:uid="{1798F2EA-0853-41AF-8474-26C8CEDC7570}"/>
    <cellStyle name="Comma 2 5 2 2" xfId="225" xr:uid="{92407158-6334-430E-BB35-6BD8D1D6471E}"/>
    <cellStyle name="Comma 20" xfId="226" xr:uid="{75F97D7E-52DB-417B-8718-2987C48326ED}"/>
    <cellStyle name="Comma 21" xfId="227" xr:uid="{5C5F4471-ED37-45B7-A88F-5A3F36DA826F}"/>
    <cellStyle name="Comma 21 2" xfId="228" xr:uid="{888E688A-BDC9-42F1-A6ED-BAF837710A79}"/>
    <cellStyle name="Comma 22" xfId="229" xr:uid="{3FF0D8E1-1BD1-497F-9BC3-175D1F39220B}"/>
    <cellStyle name="Comma 22 2" xfId="230" xr:uid="{F4933F56-05A0-4EAC-A9F3-095D5B82834F}"/>
    <cellStyle name="Comma 23" xfId="231" xr:uid="{D429EE67-C819-4C76-A042-226359945735}"/>
    <cellStyle name="Comma 24" xfId="232" xr:uid="{4EAB2C5D-F4BF-446F-BEB1-A106957FAE68}"/>
    <cellStyle name="Comma 25" xfId="233" xr:uid="{79891373-64FF-4F38-A3A8-CC0909C77659}"/>
    <cellStyle name="Comma 26" xfId="234" xr:uid="{0E151A32-E3A4-4595-8A4A-C0AC44BCBDF5}"/>
    <cellStyle name="Comma 26 2" xfId="235" xr:uid="{C0DF3345-0252-4DCB-B352-B5C835005CD1}"/>
    <cellStyle name="Comma 26 2 2" xfId="236" xr:uid="{8265AF23-FE5E-4740-971D-C8B3AF80EF10}"/>
    <cellStyle name="Comma 26 3" xfId="237" xr:uid="{2090406F-2199-4130-8A9F-318E3C279B4D}"/>
    <cellStyle name="Comma 27" xfId="238" xr:uid="{D34C6A4B-CB93-400B-82EE-31E16E09D456}"/>
    <cellStyle name="Comma 3" xfId="239" xr:uid="{7391AB36-74B0-4557-BAC7-71693BCBE05A}"/>
    <cellStyle name="Comma 3 2" xfId="240" xr:uid="{851F52F7-A431-45B2-A063-B02664A05A88}"/>
    <cellStyle name="Comma 3 2 2" xfId="241" xr:uid="{95941DAC-F809-46BA-9435-C36B863CEA26}"/>
    <cellStyle name="Comma 3 2 3" xfId="242" xr:uid="{0B99E363-9605-4C7D-91B4-E717C7468C09}"/>
    <cellStyle name="Comma 3 2 4" xfId="243" xr:uid="{1D77BBAC-2713-4329-AC4B-784410B13DAA}"/>
    <cellStyle name="Comma 3 3" xfId="244" xr:uid="{F302F1A5-EF60-443D-BC0D-1E64FB0570FC}"/>
    <cellStyle name="Comma 3 3 2" xfId="245" xr:uid="{32228D44-78FD-49DA-B7B5-907963ACE768}"/>
    <cellStyle name="Comma 4" xfId="246" xr:uid="{5F7C8745-6C30-47B5-B21C-91467CA099DE}"/>
    <cellStyle name="Comma 4 2" xfId="247" xr:uid="{2D20D35F-7A91-48FC-BFF4-D52A8600BB01}"/>
    <cellStyle name="Comma 4 3" xfId="248" xr:uid="{DAFAFBDB-35DA-487E-B88B-C8F19C16CFF6}"/>
    <cellStyle name="Comma 4 3 2" xfId="249" xr:uid="{1F4A2010-CA74-48A7-A100-00A522E97C09}"/>
    <cellStyle name="Comma 4 4" xfId="250" xr:uid="{74176F57-8B48-433B-80B6-3B22AAE1ADFC}"/>
    <cellStyle name="Comma 5" xfId="251" xr:uid="{F4649AC1-4909-4821-87A7-EB088724255A}"/>
    <cellStyle name="Comma 5 2" xfId="252" xr:uid="{A7FD15BC-229F-437E-868D-E631E1B2258E}"/>
    <cellStyle name="Comma 5 2 2" xfId="253" xr:uid="{B50047CD-8004-4875-B7CB-32F9FF6FC6FA}"/>
    <cellStyle name="Comma 6" xfId="254" xr:uid="{E8F8DF16-EC01-4651-866F-A45281AF8057}"/>
    <cellStyle name="Comma 6 2" xfId="255" xr:uid="{28E69826-E223-45BD-94F4-1082165DE80D}"/>
    <cellStyle name="Comma 6 2 2" xfId="256" xr:uid="{BB24D65C-C3E2-41C4-8800-EDBFC3C75F6A}"/>
    <cellStyle name="Comma 6 2 3" xfId="257" xr:uid="{DEAE1EDB-CA58-443E-AB08-01829E720681}"/>
    <cellStyle name="Comma 6 3" xfId="258" xr:uid="{FFCF51E5-1B34-4508-85A9-74F06FE28F45}"/>
    <cellStyle name="Comma 6 3 2" xfId="259" xr:uid="{B74AAADD-5218-4D3C-A6DE-76F66F9BE0A7}"/>
    <cellStyle name="Comma 7" xfId="260" xr:uid="{6D9DC4EB-591F-4DEE-92D1-80A00A1C68EF}"/>
    <cellStyle name="Comma 7 2" xfId="261" xr:uid="{0AFA879F-9FD5-4C41-86C5-61086FDF2C47}"/>
    <cellStyle name="Comma 7 2 2" xfId="262" xr:uid="{1D193C38-1F1A-4CDD-B816-F0CB6B00A224}"/>
    <cellStyle name="Comma 7 2 3" xfId="263" xr:uid="{DCB9E564-7F83-49C3-A576-C30989B44704}"/>
    <cellStyle name="Comma 7 3" xfId="264" xr:uid="{74368763-75D4-4BEA-B204-DA6E7689CBFF}"/>
    <cellStyle name="Comma 7 3 2" xfId="265" xr:uid="{EF223DF3-FDFB-4E46-B483-81A62BCD33EA}"/>
    <cellStyle name="Comma 7 4" xfId="266" xr:uid="{0FA688AD-26B6-4DF6-B5F8-BF0CBFBD04BF}"/>
    <cellStyle name="Comma 8" xfId="267" xr:uid="{FF65ACAC-6DEF-4612-AAF9-0457953C9F10}"/>
    <cellStyle name="Comma 8 2" xfId="268" xr:uid="{27B33C10-4AA3-416C-B99D-2DC3738E84BC}"/>
    <cellStyle name="Comma 8 2 2" xfId="269" xr:uid="{06BD99A1-497B-4FFC-8027-EBDF7D7EEC71}"/>
    <cellStyle name="Comma 8 3" xfId="270" xr:uid="{913F9E62-C742-499A-9FA3-751121CD81BD}"/>
    <cellStyle name="Comma 9" xfId="271" xr:uid="{F37684FF-2EF0-4071-82CA-0C0CB14E02CB}"/>
    <cellStyle name="Comma 9 2" xfId="272" xr:uid="{BC8FE75B-8009-43B8-B97A-F315E75A7387}"/>
    <cellStyle name="Comma 9 3" xfId="273" xr:uid="{673A38F4-DF4E-4B39-AF45-EB186CE85941}"/>
    <cellStyle name="comma zerodec" xfId="274" xr:uid="{B15ACE80-9032-422E-9A4D-0940B09862B5}"/>
    <cellStyle name="Comma0" xfId="275" xr:uid="{20BAE1FE-A45D-42D4-8E19-7D9AB601ED66}"/>
    <cellStyle name="cong" xfId="276" xr:uid="{C2099426-9D83-47D1-80C2-09928BDE4C59}"/>
    <cellStyle name="Copied" xfId="277" xr:uid="{81076901-497C-4BEC-8365-BA4C068295B4}"/>
    <cellStyle name="Cࡵrrency_Sheet1_PRODUCTĠ" xfId="278" xr:uid="{AA7DAC75-04CF-421A-9F16-1930FCFA8F21}"/>
    <cellStyle name="Currency [00]" xfId="279" xr:uid="{EEA77B70-C427-4C4E-8832-1B64D525DAE6}"/>
    <cellStyle name="Currency0" xfId="280" xr:uid="{3DCD8D39-9631-480D-87F5-5ACB7010BEB4}"/>
    <cellStyle name="Currency0 2" xfId="281" xr:uid="{228479E4-F371-4CEB-AF8C-953D090803A5}"/>
    <cellStyle name="Currency1" xfId="282" xr:uid="{6B854EF6-B321-4392-81AB-C16A7D297A02}"/>
    <cellStyle name="custom" xfId="283" xr:uid="{5790C68E-2615-43E2-BAE0-DC2441462B9B}"/>
    <cellStyle name="Check Cell 2" xfId="165" xr:uid="{80B2266D-CAC3-477A-8F62-81C1BB22B5F0}"/>
    <cellStyle name="Chi phÝ kh¸c_Book1" xfId="166" xr:uid="{5E6254A0-CFFE-4B7E-B266-E9D4BFD5C50C}"/>
    <cellStyle name="CHUONG" xfId="167" xr:uid="{4A4832D9-182F-4EC7-82C4-0ED11EE0EF26}"/>
    <cellStyle name="D$_x0004_P??_x0010__x000b_?_x0015_?$_x0004_?_x000f_?" xfId="284" xr:uid="{12AEBE14-7321-4F64-A03E-21D2D078A468}"/>
    <cellStyle name="D$_x0004_P?_x0010__x000b_픲_x0015_딡$_x0004_뗈_x000f_?" xfId="285" xr:uid="{720FBD74-1A02-4030-8DF7-072ABB9BA93C}"/>
    <cellStyle name="Date" xfId="286" xr:uid="{9B78B270-ACBA-4C86-80B3-6CE90DFB114D}"/>
    <cellStyle name="Date Short" xfId="287" xr:uid="{E2F214C5-E982-4D26-AA8F-78E322811EAA}"/>
    <cellStyle name="Date Short 2" xfId="288" xr:uid="{40359E74-40BE-4324-89FA-D5C570AE92B1}"/>
    <cellStyle name="Date_KHAU TRU THEP CHU DT CAP" xfId="289" xr:uid="{CE8C0552-DED0-4C73-9311-EEEE6F22080E}"/>
    <cellStyle name="date1" xfId="290" xr:uid="{D7C9C75E-B78C-4C79-AA1A-68E306B1908F}"/>
    <cellStyle name="DAUDE" xfId="291" xr:uid="{32A6A081-3087-465D-9BB2-4721E4B4A67F}"/>
    <cellStyle name="Description" xfId="292" xr:uid="{48F0831F-5F36-4597-BDAB-B17BD6831F90}"/>
    <cellStyle name="Dezimal [0]_NEGS" xfId="293" xr:uid="{CA6670AF-7980-42FF-9728-02FF052BDCE0}"/>
    <cellStyle name="Dezimal_NEGS" xfId="294" xr:uid="{6432C596-D524-42A7-B202-2527118183A8}"/>
    <cellStyle name="Dollar (zero dec)" xfId="295" xr:uid="{A0EEBAA3-5013-471C-9BA0-EBDB748F637B}"/>
    <cellStyle name="Dziesi?tny [0]_Invoices2001Slovakia" xfId="296" xr:uid="{7553C933-623D-403F-997E-E0D02900614F}"/>
    <cellStyle name="Dziesi?tny_Invoices2001Slovakia" xfId="297" xr:uid="{3264C33E-77A6-43CB-8A53-1B17083CA5C9}"/>
    <cellStyle name="Dziesietny [0]_Invoices2001Slovakia" xfId="298" xr:uid="{5BFD9776-AA69-467B-B411-E0E83F64C3DD}"/>
    <cellStyle name="Dziesiętny [0]_Invoices2001Slovakia" xfId="299" xr:uid="{E81991CB-00B7-454F-8742-A7A880D103C8}"/>
    <cellStyle name="Dziesietny [0]_Invoices2001Slovakia 2" xfId="300" xr:uid="{CA0926A1-76C7-4D96-8CDB-36D19E646AA9}"/>
    <cellStyle name="Dziesiętny [0]_Invoices2001Slovakia_Book1" xfId="301" xr:uid="{8A5DA2B0-C591-4CA1-A7D7-340057E5E607}"/>
    <cellStyle name="Dziesietny [0]_Invoices2001Slovakia_Book1 2" xfId="302" xr:uid="{30679E09-5D87-48CB-95FC-9DCF60C0445E}"/>
    <cellStyle name="Dziesiętny [0]_Invoices2001Slovakia_Book1 2" xfId="303" xr:uid="{7754C8D7-C378-4B3E-B598-0FADF3C04CD7}"/>
    <cellStyle name="Dziesietny [0]_Invoices2001Slovakia_Book1 3" xfId="304" xr:uid="{34B1116E-E0C6-4FB5-8272-FF731486628C}"/>
    <cellStyle name="Dziesiętny [0]_Invoices2001Slovakia_Book1 3" xfId="305" xr:uid="{606CCA2E-22A2-43F1-B8EC-E723435F99D8}"/>
    <cellStyle name="Dziesietny [0]_Invoices2001Slovakia_Book1_Tong hop Cac tuyen(9-1-06)" xfId="306" xr:uid="{21BC75A0-0D22-4CAA-A040-72AD732063EE}"/>
    <cellStyle name="Dziesiętny [0]_Invoices2001Slovakia_Book1_Tong hop Cac tuyen(9-1-06)" xfId="307" xr:uid="{C0934D91-B58C-4884-982A-D20AECF89FC7}"/>
    <cellStyle name="Dziesietny [0]_Invoices2001Slovakia_KL K.C mat duong" xfId="308" xr:uid="{E3445CB7-023D-4357-A5B8-7884236E3DB2}"/>
    <cellStyle name="Dziesiętny [0]_Invoices2001Slovakia_Nhalamviec VTC(25-1-05)" xfId="309" xr:uid="{263CA42C-A86E-438D-891A-8A8B59080F6A}"/>
    <cellStyle name="Dziesietny [0]_Invoices2001Slovakia_TDT KHANH HOA" xfId="310" xr:uid="{4F883FB5-6765-4828-B450-516D13312B47}"/>
    <cellStyle name="Dziesiętny [0]_Invoices2001Slovakia_TDT KHANH HOA" xfId="311" xr:uid="{5E371FFD-4FCE-45A1-A255-DF4DF62181CA}"/>
    <cellStyle name="Dziesietny [0]_Invoices2001Slovakia_TDT KHANH HOA 2" xfId="312" xr:uid="{8CB73289-3555-438B-A075-5208DD773890}"/>
    <cellStyle name="Dziesiętny [0]_Invoices2001Slovakia_TDT KHANH HOA 2" xfId="313" xr:uid="{8F128D64-2ACB-461D-859D-6E293589961D}"/>
    <cellStyle name="Dziesietny [0]_Invoices2001Slovakia_TDT KHANH HOA 3" xfId="314" xr:uid="{6CEA2863-8758-4BD5-99E3-09CBE4FC68B8}"/>
    <cellStyle name="Dziesiętny [0]_Invoices2001Slovakia_TDT KHANH HOA 3" xfId="315" xr:uid="{4D91CDF4-9B37-4C13-A6AB-0D01DD8629B8}"/>
    <cellStyle name="Dziesietny [0]_Invoices2001Slovakia_TDT KHANH HOA 4" xfId="316" xr:uid="{641D2DF8-149A-4A67-8CFC-807A3B949736}"/>
    <cellStyle name="Dziesiętny [0]_Invoices2001Slovakia_TDT KHANH HOA 4" xfId="317" xr:uid="{4450B6D7-8675-46B8-A6E6-A3BF144D9F9C}"/>
    <cellStyle name="Dziesietny [0]_Invoices2001Slovakia_TDT KHANH HOA 5" xfId="318" xr:uid="{FD3202D0-86E8-4FCC-9F64-4A801011ADF5}"/>
    <cellStyle name="Dziesiętny [0]_Invoices2001Slovakia_TDT KHANH HOA 5" xfId="319" xr:uid="{6C82D3F6-236D-4CD9-B1D0-565A0FB9AD07}"/>
    <cellStyle name="Dziesietny [0]_Invoices2001Slovakia_TDT KHANH HOA_Tong hop Cac tuyen(9-1-06)" xfId="320" xr:uid="{154FAD8F-460B-4E73-8EEE-336856D01D5F}"/>
    <cellStyle name="Dziesiętny [0]_Invoices2001Slovakia_TDT KHANH HOA_Tong hop Cac tuyen(9-1-06)" xfId="321" xr:uid="{BB1AB68F-08C4-42F1-9DA6-98DB6B670EB6}"/>
    <cellStyle name="Dziesietny [0]_Invoices2001Slovakia_TDT quangngai" xfId="322" xr:uid="{2BB6A6A8-9EC3-4C13-96F2-EB79A7DB8530}"/>
    <cellStyle name="Dziesiętny [0]_Invoices2001Slovakia_TDT quangngai" xfId="323" xr:uid="{45284B45-E787-4237-A90F-33B6BF30837D}"/>
    <cellStyle name="Dziesietny [0]_Invoices2001Slovakia_Tong hop Cac tuyen(9-1-06)" xfId="324" xr:uid="{C3B607CF-4C68-4109-BED9-A0076AD85936}"/>
    <cellStyle name="Dziesietny_Invoices2001Slovakia" xfId="325" xr:uid="{AD9EC228-9035-4EFE-94A0-BFF79842AD7F}"/>
    <cellStyle name="Dziesiętny_Invoices2001Slovakia" xfId="326" xr:uid="{018EBFCD-EC76-44D9-ABD1-46BAA272D2BE}"/>
    <cellStyle name="Dziesietny_Invoices2001Slovakia 2" xfId="327" xr:uid="{D9EC2F47-CF8E-4BB3-B9C7-4300BBE2B6BC}"/>
    <cellStyle name="Dziesiętny_Invoices2001Slovakia_Book1" xfId="328" xr:uid="{FABA13C8-59D1-4E29-BC35-D0795F95F1B5}"/>
    <cellStyle name="Dziesietny_Invoices2001Slovakia_Book1 2" xfId="329" xr:uid="{6BE444FB-8B70-44FD-871A-A294505137CE}"/>
    <cellStyle name="Dziesiętny_Invoices2001Slovakia_Book1 2" xfId="330" xr:uid="{80F29AA0-4D00-4681-82FA-CC06C9AFD55F}"/>
    <cellStyle name="Dziesietny_Invoices2001Slovakia_Book1 3" xfId="331" xr:uid="{CD66766A-AE97-4279-ACFC-53AB86D7967A}"/>
    <cellStyle name="Dziesiętny_Invoices2001Slovakia_Book1 3" xfId="332" xr:uid="{27AEB311-35EA-4393-929C-67FC4A4DFF20}"/>
    <cellStyle name="Dziesietny_Invoices2001Slovakia_Book1_Tong hop Cac tuyen(9-1-06)" xfId="333" xr:uid="{A9E16C19-C234-453B-807E-1008779FA079}"/>
    <cellStyle name="Dziesiętny_Invoices2001Slovakia_Book1_Tong hop Cac tuyen(9-1-06)" xfId="334" xr:uid="{FEC40C65-29F7-482F-8DF7-AC57503F49A9}"/>
    <cellStyle name="Dziesietny_Invoices2001Slovakia_KL K.C mat duong" xfId="335" xr:uid="{9DDCE6D3-146E-46D4-A956-CD9D5CAB409F}"/>
    <cellStyle name="Dziesiętny_Invoices2001Slovakia_Nhalamviec VTC(25-1-05)" xfId="336" xr:uid="{FEE08E37-AAFB-4B46-A469-88FE482F4C8E}"/>
    <cellStyle name="Dziesietny_Invoices2001Slovakia_TDT KHANH HOA" xfId="337" xr:uid="{28F1AC2A-E4A1-4B9F-A0E6-E2EC689828D6}"/>
    <cellStyle name="Dziesiętny_Invoices2001Slovakia_TDT KHANH HOA" xfId="338" xr:uid="{72787F7C-2F72-4A29-BB13-83091AEA90AB}"/>
    <cellStyle name="Dziesietny_Invoices2001Slovakia_TDT KHANH HOA 2" xfId="339" xr:uid="{6612D34C-F1FF-43A7-BC5E-4EE4980B667B}"/>
    <cellStyle name="Dziesiętny_Invoices2001Slovakia_TDT KHANH HOA 2" xfId="340" xr:uid="{D4154C42-3B52-42DA-8856-D4903726F33F}"/>
    <cellStyle name="Dziesietny_Invoices2001Slovakia_TDT KHANH HOA 3" xfId="341" xr:uid="{0310DFF0-7C13-41E5-AF8E-F5C428243A29}"/>
    <cellStyle name="Dziesiętny_Invoices2001Slovakia_TDT KHANH HOA 3" xfId="342" xr:uid="{60C06BCB-45D7-4322-94AF-66FCCC4F8729}"/>
    <cellStyle name="Dziesietny_Invoices2001Slovakia_TDT KHANH HOA 4" xfId="343" xr:uid="{BDCB146B-965A-41F6-9B4E-F0B33C7773C5}"/>
    <cellStyle name="Dziesiętny_Invoices2001Slovakia_TDT KHANH HOA 4" xfId="344" xr:uid="{46DEDAF4-2E24-4AC4-9702-9C7877D599FD}"/>
    <cellStyle name="Dziesietny_Invoices2001Slovakia_TDT KHANH HOA 5" xfId="345" xr:uid="{610EEC8E-0B8D-4631-B688-9E3469FB60C2}"/>
    <cellStyle name="Dziesiętny_Invoices2001Slovakia_TDT KHANH HOA 5" xfId="346" xr:uid="{F1CBECF9-D1DD-4207-BAF5-7AB67DCE464E}"/>
    <cellStyle name="Dziesietny_Invoices2001Slovakia_TDT KHANH HOA_Tong hop Cac tuyen(9-1-06)" xfId="347" xr:uid="{4654130A-89A5-4C0D-9909-AB9BD983303A}"/>
    <cellStyle name="Dziesiętny_Invoices2001Slovakia_TDT KHANH HOA_Tong hop Cac tuyen(9-1-06)" xfId="348" xr:uid="{E10DF26A-3D13-4E08-9A36-38E1512C19BB}"/>
    <cellStyle name="Dziesietny_Invoices2001Slovakia_TDT quangngai" xfId="349" xr:uid="{F95AE167-A370-4B58-BFF1-48E77D215748}"/>
    <cellStyle name="Dziesiętny_Invoices2001Slovakia_TDT quangngai" xfId="350" xr:uid="{9D4BAC49-A256-4D97-97B6-1180404DF13A}"/>
    <cellStyle name="Dziesietny_Invoices2001Slovakia_Tong hop Cac tuyen(9-1-06)" xfId="351" xr:uid="{1669E5E1-5E71-4E01-8E0E-D9A6077FA132}"/>
    <cellStyle name="e" xfId="352" xr:uid="{A51DB1BF-36AA-4A7B-8C3B-1FDE9616D634}"/>
    <cellStyle name="eeee" xfId="353" xr:uid="{748F52B3-9534-4EE0-9A06-286E92AF9150}"/>
    <cellStyle name="Enter Currency (0)" xfId="354" xr:uid="{D2F4A35B-9005-4EA6-9F0F-407E89F592CF}"/>
    <cellStyle name="Enter Currency (2)" xfId="355" xr:uid="{4F00CBD4-26A6-40FB-A382-1377E9E111B1}"/>
    <cellStyle name="Enter Units (0)" xfId="356" xr:uid="{94032DEF-7F97-4C0A-BDD6-3B1C04A5F7EA}"/>
    <cellStyle name="Enter Units (1)" xfId="357" xr:uid="{FC03BA48-AF97-450D-9316-01C804590885}"/>
    <cellStyle name="Enter Units (2)" xfId="358" xr:uid="{ACAACC46-85A8-458E-813B-3CF63CD81C88}"/>
    <cellStyle name="Entered" xfId="359" xr:uid="{4FAD2F18-EC38-4947-A291-C86756277FE4}"/>
    <cellStyle name="Euro" xfId="360" xr:uid="{C0DA9ED3-5DCD-4D32-99F7-A94E46FAE564}"/>
    <cellStyle name="Excel.Chart" xfId="361" xr:uid="{E5E148AB-76A8-4376-833A-01F2FA425122}"/>
    <cellStyle name="Explanatory Text 2" xfId="362" xr:uid="{C1348878-606A-467E-AC8F-DC821C9DB55F}"/>
    <cellStyle name="f" xfId="363" xr:uid="{33DABAE2-B6A9-4594-9306-8A43CCDC6463}"/>
    <cellStyle name="f12 conversion" xfId="364" xr:uid="{D23C1491-8C50-485D-9226-B7E60977F0C7}"/>
    <cellStyle name="Fixed" xfId="365" xr:uid="{38412AEB-A1C7-417D-9F86-AEDC65F7A88C}"/>
    <cellStyle name="Font Britannic16" xfId="366" xr:uid="{7B5248EE-6FA0-4230-980E-BBDC18D6556A}"/>
    <cellStyle name="Font Britannic18" xfId="367" xr:uid="{FE5D1E17-5C43-4402-82A6-FB814ACE0910}"/>
    <cellStyle name="Font CenturyCond 18" xfId="368" xr:uid="{57806F99-E030-4715-BD60-CB8ED1D7D28F}"/>
    <cellStyle name="Font Cond20" xfId="369" xr:uid="{B28C9D6F-D9BA-4B1A-8183-49308AFF9A04}"/>
    <cellStyle name="Font LucidaSans16" xfId="370" xr:uid="{281D2E2F-AAE3-4329-AB10-E8D4BA10938C}"/>
    <cellStyle name="Font NewCenturyCond18" xfId="371" xr:uid="{CB776F7C-7B65-4C8A-B05E-AF5A99E30678}"/>
    <cellStyle name="Font Ottawa14" xfId="372" xr:uid="{1C75B34A-9286-4AA8-AE01-79DFD9F3829D}"/>
    <cellStyle name="Font Ottawa16" xfId="373" xr:uid="{FF4046AC-7822-42A4-9657-ED9477C5FD24}"/>
    <cellStyle name="Good 2" xfId="376" xr:uid="{589C432B-C4BC-4D81-B494-3F8C149DD3E8}"/>
    <cellStyle name="Grey" xfId="377" xr:uid="{AF51C73C-0D60-4B62-B4F4-CB7F7E7172BE}"/>
    <cellStyle name="GTT%" xfId="378" xr:uid="{23EDFBCC-5BF2-416E-AB3E-C53BCFB1B2AF}"/>
    <cellStyle name="gia" xfId="374" xr:uid="{4F121EEA-996F-4F18-B01E-2C74B5FC4F37}"/>
    <cellStyle name="GIA-MOI" xfId="375" xr:uid="{12DF9500-8307-4743-86AA-09F958C125C1}"/>
    <cellStyle name="H" xfId="379" xr:uid="{92659448-898C-4413-98A4-F0671C53F611}"/>
    <cellStyle name="ha" xfId="380" xr:uid="{10AFC9E3-AAF9-4A9D-9EE1-542ACC3D08BA}"/>
    <cellStyle name="hang" xfId="381" xr:uid="{06CA6E95-E6BB-4FF4-A6B8-2D1B76C2B3FE}"/>
    <cellStyle name="Head 1" xfId="382" xr:uid="{59022616-6862-493F-A6C0-7708806C6C3A}"/>
    <cellStyle name="HEADER" xfId="383" xr:uid="{23422BCA-A2B5-4FF1-AC7A-D2CC5A375849}"/>
    <cellStyle name="Header1" xfId="384" xr:uid="{AA92DF29-85D8-4CC2-95C5-3B540872CF58}"/>
    <cellStyle name="Header2" xfId="385" xr:uid="{073C0400-5146-4E51-B5FB-144D09B2C3ED}"/>
    <cellStyle name="Header2 2" xfId="386" xr:uid="{4B905A2B-D3F3-4AFA-87C2-574D058D63E3}"/>
    <cellStyle name="Header2 3" xfId="387" xr:uid="{32569F6B-6CFF-4E52-90DF-BBE5C47863D1}"/>
    <cellStyle name="Heading 1 2" xfId="388" xr:uid="{A2C82A18-8BFA-46DF-BBDC-965A5B93B102}"/>
    <cellStyle name="Heading 1 3" xfId="389" xr:uid="{BFD722B4-C162-4D22-A879-AAFDA93BDACF}"/>
    <cellStyle name="Heading 2 2" xfId="390" xr:uid="{D0E4E4D8-554E-4711-A42F-F4E0DE8F6B44}"/>
    <cellStyle name="Heading 2 3" xfId="391" xr:uid="{2BEF2283-A789-47B6-B807-9CFC9C308B88}"/>
    <cellStyle name="Heading 3 2" xfId="392" xr:uid="{BC3770F0-09B4-412A-A23F-8D48992F6C8D}"/>
    <cellStyle name="Heading 4 2" xfId="393" xr:uid="{689196EE-F51E-40A8-BA5F-2E1B07037609}"/>
    <cellStyle name="HEADING1" xfId="394" xr:uid="{FE44CE83-577C-4372-90C2-5016FD14C1DA}"/>
    <cellStyle name="HEADING2" xfId="395" xr:uid="{33DE5719-B0D9-4DE4-ADEB-BABAD4CF35A1}"/>
    <cellStyle name="HEADINGS" xfId="396" xr:uid="{BBAFA765-4A9B-496A-94A8-834DC35B1769}"/>
    <cellStyle name="HEADINGSTOP" xfId="397" xr:uid="{0013BB56-42E1-4C88-B732-5FB83F593EFE}"/>
    <cellStyle name="headoption" xfId="398" xr:uid="{D92213C9-9210-4BBE-AD4D-FD4A6E4CC58D}"/>
    <cellStyle name="headoption 2" xfId="399" xr:uid="{0E10BCA1-EDFC-4603-A22A-B886F5557C0B}"/>
    <cellStyle name="headoption 3" xfId="400" xr:uid="{B299C731-01AA-4663-9C2C-8C9F34539D7A}"/>
    <cellStyle name="headoption 4" xfId="401" xr:uid="{F6DD7B97-AEC3-4B9D-9F4E-20256D5F15DE}"/>
    <cellStyle name="HIGHLIGHT" xfId="402" xr:uid="{D655BEEF-B881-4990-B36A-7E0E91211F6C}"/>
    <cellStyle name="Hoa-Scholl" xfId="403" xr:uid="{F092D6CB-DCF2-4C62-BD70-8D1FB059E572}"/>
    <cellStyle name="Hoa-Scholl 2" xfId="404" xr:uid="{D0E11C0F-0098-4D59-9646-1FF090622271}"/>
    <cellStyle name="Hoa-Scholl 3" xfId="405" xr:uid="{8B2C5289-4B9E-4EA3-8E23-75C10A1E4482}"/>
    <cellStyle name="HUY" xfId="406" xr:uid="{98E89491-44D5-489B-816B-620F8C9E144A}"/>
    <cellStyle name="Input [yellow]" xfId="407" xr:uid="{DFA96488-8D08-4DF4-A1AD-1D52B70FD6E3}"/>
    <cellStyle name="Input [yellow] 2" xfId="408" xr:uid="{5A26CE03-DF9B-4B02-B665-DCB84BF46F2D}"/>
    <cellStyle name="Input [yellow] 3" xfId="409" xr:uid="{4B6EC661-CF4A-4FC4-8ED9-9C157326C42B}"/>
    <cellStyle name="Input 2" xfId="410" xr:uid="{E3AA3D99-F713-4BB4-9178-F7B4268AFD56}"/>
    <cellStyle name="Input 2 2" xfId="411" xr:uid="{5B0D6EC1-D12B-4DB2-A1DA-C73FC45C2285}"/>
    <cellStyle name="Input 2 3" xfId="412" xr:uid="{CDE781E8-4DB3-416A-890D-22F9E170F87C}"/>
    <cellStyle name="Input 3" xfId="413" xr:uid="{EC9EE7CE-8258-48F7-8C43-37276A281697}"/>
    <cellStyle name="Input 3 2" xfId="414" xr:uid="{8F2A98F0-5C3D-4257-A9EA-43F79A21E3B1}"/>
    <cellStyle name="Input 3 3" xfId="415" xr:uid="{D46858E3-5A68-4D80-9976-BEF4B550848F}"/>
    <cellStyle name="Input 4" xfId="416" xr:uid="{B1823F3A-BF1F-4F18-8272-3283A8FB21B3}"/>
    <cellStyle name="Input 4 2" xfId="417" xr:uid="{4AFC6ECC-7E56-45D2-8C1A-66A590ECA2C2}"/>
    <cellStyle name="Input 4 3" xfId="418" xr:uid="{143C57EB-68CF-4EE7-8B51-56EFB7DE0D39}"/>
    <cellStyle name="Input 5" xfId="419" xr:uid="{680D2421-A0D8-4D25-8E1C-5A37E4802BBB}"/>
    <cellStyle name="Input 5 2" xfId="420" xr:uid="{29BC1AE6-8E75-4691-B45F-78FD1B9CAD03}"/>
    <cellStyle name="Input 5 3" xfId="421" xr:uid="{78750B45-62A4-4DB0-AB11-AF7C389EAA9E}"/>
    <cellStyle name="k1" xfId="422" xr:uid="{67CF048A-6A17-4BD4-B18B-7C012F9520CB}"/>
    <cellStyle name="k1 2" xfId="423" xr:uid="{1CBAFE8E-6843-447E-B051-448F34C13E4C}"/>
    <cellStyle name="k1 3" xfId="424" xr:uid="{3AC51ABB-4E19-4DB1-A78D-FA19BE521B53}"/>
    <cellStyle name="KENGANG" xfId="425" xr:uid="{2ACDA3D5-6AA4-4542-93C0-1F40F3EBA106}"/>
    <cellStyle name="KENGANG 2" xfId="426" xr:uid="{3830430C-8F6E-4958-94F8-3E98B5AC5A23}"/>
    <cellStyle name="KLBXUNG" xfId="434" xr:uid="{A725F25E-D83B-44A6-A784-4CDE273F72DD}"/>
    <cellStyle name="khanh" xfId="427" xr:uid="{840F6433-3226-4D50-A338-E8E21997AC97}"/>
    <cellStyle name="khoa2" xfId="428" xr:uid="{F88381A7-B12E-44EF-9B4E-2A050E234392}"/>
    <cellStyle name="khoa2 2" xfId="429" xr:uid="{225CA4EC-C47E-4413-8C94-2DF8C863F0BA}"/>
    <cellStyle name="khoa2 3" xfId="430" xr:uid="{E55068A2-5E6F-4E3D-9C6C-4639061FCD52}"/>
    <cellStyle name="KHUNG" xfId="431" xr:uid="{A97A5DCC-F6BF-4E25-985B-63B8AE2D9E1C}"/>
    <cellStyle name="KHUNG 2" xfId="432" xr:uid="{A9FC59DC-F1A3-47DB-B447-31688FA4C74C}"/>
    <cellStyle name="KHUNG 3" xfId="433" xr:uid="{7E69C0F1-BD2E-4E91-9776-B8C92A09C665}"/>
    <cellStyle name="Ledger 17 x 11 in" xfId="435" xr:uid="{93240BD4-7F58-4FE1-9CF5-1768D285D5A6}"/>
    <cellStyle name="Ledger 17 x 11 in 2" xfId="436" xr:uid="{5F9689FB-3BD3-416A-A861-1A69844BF6EA}"/>
    <cellStyle name="Ledger 17 x 11 in 2 2" xfId="437" xr:uid="{82F3FD63-14C0-4E6D-872D-8BAA1574A19D}"/>
    <cellStyle name="Link Currency (0)" xfId="438" xr:uid="{8BB13E6F-AA9B-4081-A894-945CA3C3F253}"/>
    <cellStyle name="Link Currency (2)" xfId="439" xr:uid="{4BF43D8C-83C0-43E0-81E3-DD2A580446C7}"/>
    <cellStyle name="Link Units (0)" xfId="440" xr:uid="{3FE1D51C-E5E2-4795-B10F-2360020E16BD}"/>
    <cellStyle name="Link Units (1)" xfId="441" xr:uid="{A6EC1065-7FAB-4C85-A880-24020116F4C8}"/>
    <cellStyle name="Link Units (2)" xfId="442" xr:uid="{029558F8-B544-44F7-BA1D-D49C39C2ABBD}"/>
    <cellStyle name="Linked Cell 2" xfId="443" xr:uid="{B6F392F3-2621-44C8-9638-B657A851FE5C}"/>
    <cellStyle name="m" xfId="444" xr:uid="{672B8D49-9A61-4F96-AE92-EA8928B1B4BD}"/>
    <cellStyle name="m_Tinh khau tru ham R4" xfId="445" xr:uid="{326ECB6B-2398-4C9C-86E2-7AFCF6F47915}"/>
    <cellStyle name="Millares [0]_Well Timing" xfId="446" xr:uid="{74D933D9-182F-4F41-9CA6-83ECF166A39E}"/>
    <cellStyle name="Millares_Well Timing" xfId="447" xr:uid="{20CD0D1A-3AA2-4010-8073-044656E94088}"/>
    <cellStyle name="Milliers [0]_      " xfId="448" xr:uid="{0B8153B6-7AD3-4CB9-B325-12163E951133}"/>
    <cellStyle name="Milliers_      " xfId="449" xr:uid="{3A19B572-FAE2-4096-8EEC-871CB3BDE37C}"/>
    <cellStyle name="Model" xfId="450" xr:uid="{F48FD9B2-E87E-43E0-A688-8E10412AB8D6}"/>
    <cellStyle name="moi" xfId="451" xr:uid="{C2D92989-2733-4A4C-A950-A4F814FCB254}"/>
    <cellStyle name="Moneda [0]_Well Timing" xfId="452" xr:uid="{08A70F15-6EA0-40A3-94EB-19C74EA665B4}"/>
    <cellStyle name="Moneda_Well Timing" xfId="453" xr:uid="{61F33BF9-1F8C-480B-B3DB-B62DC84D21F0}"/>
    <cellStyle name="Monétaire [0]_      " xfId="454" xr:uid="{FB3630F2-B4E5-4139-8B20-0EC6A92B5BF5}"/>
    <cellStyle name="Monétaire_      " xfId="455" xr:uid="{8B786708-33F6-4580-A159-EF325BD1589C}"/>
    <cellStyle name="n" xfId="456" xr:uid="{3B477CA4-0861-4C79-857F-197E96FF6E4C}"/>
    <cellStyle name="n_KHAU TRU THEP CHU DT CAP" xfId="457" xr:uid="{50F1C757-EF8B-48F1-B934-EEDCBBAF6AA6}"/>
    <cellStyle name="Needs Work" xfId="458" xr:uid="{E16D36F9-1236-4B48-8B23-3FA661CD0A04}"/>
    <cellStyle name="Needs Work 2" xfId="459" xr:uid="{AFF2C137-4F09-4FDC-87A3-7A6E48953BB9}"/>
    <cellStyle name="Needs Work 3" xfId="460" xr:uid="{941B75DB-D097-42E4-A2E9-57FDCB945215}"/>
    <cellStyle name="Neutral 2" xfId="461" xr:uid="{5DD74D9D-F561-4725-BE97-791A5414A143}"/>
    <cellStyle name="New Times Roman" xfId="462" xr:uid="{A382E9BF-A940-490F-9EE0-7D69F3A7C8D1}"/>
    <cellStyle name="no dec" xfId="463" xr:uid="{4B31EA05-9343-4226-8F89-D99DF8009218}"/>
    <cellStyle name="ÑONVÒ" xfId="464" xr:uid="{D4DDF4DD-86BD-4A87-92AB-3A960E925F25}"/>
    <cellStyle name="ÑONVÒ 2" xfId="465" xr:uid="{A5590402-8798-4F15-90BC-0E3B1F53A36A}"/>
    <cellStyle name="ÑONVÒ 3" xfId="466" xr:uid="{E1C2B01F-01E4-4C6E-AA57-CD56C2DA20F0}"/>
    <cellStyle name="Normal" xfId="0" builtinId="0"/>
    <cellStyle name="Normal - Style1" xfId="467" xr:uid="{86BB0D13-F1A8-457A-9A5B-F2B59F635A55}"/>
    <cellStyle name="Normal - Style1 2" xfId="468" xr:uid="{C55C60D3-6F00-4AC7-8944-4B08DE9A8776}"/>
    <cellStyle name="Normal - 유형1" xfId="469" xr:uid="{58C13836-658C-4C56-843D-129E760D0D01}"/>
    <cellStyle name="Normal 10" xfId="470" xr:uid="{3DC2D2AB-9BD5-4937-A093-D0F4129DDFC7}"/>
    <cellStyle name="Normal 10 2 2" xfId="471" xr:uid="{16917F3E-AD5A-419E-9723-D7D1B1C7639E}"/>
    <cellStyle name="Normal 11" xfId="472" xr:uid="{9D130776-962E-4F04-96BA-A48DD920DAAF}"/>
    <cellStyle name="Normal 11 2 3 2" xfId="473" xr:uid="{9B7E2775-7776-4893-999E-548596B4B69F}"/>
    <cellStyle name="Normal 12" xfId="474" xr:uid="{1E6B7967-EEBE-4800-B97A-58056C4034FF}"/>
    <cellStyle name="Normal 12 3" xfId="1078" xr:uid="{B4180553-7E8A-40F6-AB9E-BD10369EDDB5}"/>
    <cellStyle name="Normal 13" xfId="475" xr:uid="{A35B8CA9-E301-419D-99EF-841718FF217C}"/>
    <cellStyle name="Normal 13 4 2" xfId="476" xr:uid="{F4FDF8DE-FCC0-4DF3-9201-58A9A0B40398}"/>
    <cellStyle name="Normal 13 4 2 2" xfId="477" xr:uid="{6A1F19E5-1448-4BDD-93C2-53709E558DA7}"/>
    <cellStyle name="Normal 13 5 7" xfId="478" xr:uid="{545EA637-E28B-4602-BF5E-AE22A19CE4B1}"/>
    <cellStyle name="Normal 13 5 7 2" xfId="1073" xr:uid="{DF6D490C-4672-42BB-93E3-9C33EEBCF069}"/>
    <cellStyle name="Normal 135" xfId="479" xr:uid="{A2982628-0978-4C58-8280-94E3BADA547E}"/>
    <cellStyle name="Normal 137 2" xfId="480" xr:uid="{8E625347-A7E8-46CE-B882-8349EFBAE831}"/>
    <cellStyle name="Normal 14" xfId="481" xr:uid="{147D1BB9-B259-4C65-94D9-ED7AEA4F96A7}"/>
    <cellStyle name="Normal 15" xfId="482" xr:uid="{B7A854D9-D1E8-4D34-A966-752FC6D7B263}"/>
    <cellStyle name="Normal 16" xfId="483" xr:uid="{8CEA3BC8-F6C1-4589-B6BE-220F139E4D20}"/>
    <cellStyle name="Normal 17" xfId="484" xr:uid="{9FBDF063-5B05-44B2-83F5-D86C92905150}"/>
    <cellStyle name="Normal 18" xfId="485" xr:uid="{AB3D8E25-3988-402F-AB48-4C6538670777}"/>
    <cellStyle name="Normal 19" xfId="486" xr:uid="{5D53D89D-0156-499B-9624-C29209CAD708}"/>
    <cellStyle name="Normal 2" xfId="487" xr:uid="{46129176-8FD7-475A-A549-C01B410509C1}"/>
    <cellStyle name="Normal 2 10" xfId="488" xr:uid="{C783E724-8484-4F3B-AAEF-64972CC89119}"/>
    <cellStyle name="Normal 2 11" xfId="489" xr:uid="{C0BF3EAD-13DB-4803-8C35-B3A6D5CA5A23}"/>
    <cellStyle name="Normal 2 2" xfId="490" xr:uid="{76B9D8C8-4EBF-4C0C-8BBA-4A3717AD3153}"/>
    <cellStyle name="Normal 2 2 2" xfId="491" xr:uid="{BA8A9460-CE9A-443C-B6E7-902DC5D31006}"/>
    <cellStyle name="Normal 2 2 2 3" xfId="492" xr:uid="{BE9EC845-C5E7-4CCC-9EEA-176128C6D3A9}"/>
    <cellStyle name="Normal 2 2 3" xfId="493" xr:uid="{04E84113-27B1-4146-B3D0-3357D29FC6A2}"/>
    <cellStyle name="Normal 2 2_KHAU TRU THEP CHU DT CAP" xfId="494" xr:uid="{046F0C66-8EB3-4BC8-9168-35B1DAF29743}"/>
    <cellStyle name="Normal 2 3" xfId="495" xr:uid="{DC2631D0-A443-47EF-96A7-9E193D7E4A10}"/>
    <cellStyle name="Normal 2 3 2" xfId="496" xr:uid="{AE6E1DEB-55E9-4553-A137-E70367983B5E}"/>
    <cellStyle name="Normal 2 3 3" xfId="497" xr:uid="{8D6BEEAD-78D8-4394-A9E3-59C812829C4C}"/>
    <cellStyle name="Normal 2 3 3 2" xfId="498" xr:uid="{50796F94-BEB3-44A0-9D70-CF2E0A3BCD52}"/>
    <cellStyle name="Normal 2 3 4" xfId="499" xr:uid="{F7CD3C17-D38F-47B6-8B92-4208A8384ACD}"/>
    <cellStyle name="Normal 2 4" xfId="500" xr:uid="{BBFF3C24-2019-4CA6-B171-3789C53C9ABA}"/>
    <cellStyle name="Normal 2 4 2" xfId="501" xr:uid="{F1425B44-08CC-4959-9F59-F845780C5ED5}"/>
    <cellStyle name="Normal 2 4 2 3" xfId="502" xr:uid="{165C7667-674F-45F6-86CB-3279AB057325}"/>
    <cellStyle name="Normal 2 4 6" xfId="503" xr:uid="{FD2C6D63-D7A8-4DF6-90F7-986AEE2913D1}"/>
    <cellStyle name="Normal 2 5" xfId="504" xr:uid="{83E512DA-EEB0-4034-A367-8C8F3878C8A7}"/>
    <cellStyle name="Normal 2 5 2" xfId="505" xr:uid="{B323D44F-6D30-46B5-98E2-D418F9A31C41}"/>
    <cellStyle name="Normal 2 6" xfId="506" xr:uid="{CD89BC2A-3204-4223-ACED-A6A540500D4F}"/>
    <cellStyle name="Normal 2 6 2" xfId="507" xr:uid="{1DF55FAD-CBC9-47D0-BC12-4FC23783E9FA}"/>
    <cellStyle name="Normal 2 6_KHAU TRU THEP CHU DT CAP" xfId="508" xr:uid="{EBB01C4E-48D0-4BE9-BC9A-56E5DC97F88D}"/>
    <cellStyle name="Normal 2 7" xfId="509" xr:uid="{BB396090-8430-4883-9A75-AF56BB323D95}"/>
    <cellStyle name="Normal 2 8" xfId="510" xr:uid="{FD296A05-6C7C-432F-BBCB-D0960E76984A}"/>
    <cellStyle name="Normal 2 9" xfId="511" xr:uid="{EDE3E600-7FF1-44AF-8641-C51EB43C7E08}"/>
    <cellStyle name="Normal 2_3. Ma tran chuc nang P Mua hang 03.09.2011" xfId="512" xr:uid="{C8C88F79-7AEE-4DCA-A26C-7E4BA53DF42B}"/>
    <cellStyle name="Normal 20" xfId="513" xr:uid="{E3A6C17E-FFF2-4427-96B2-6C23479E2CB4}"/>
    <cellStyle name="Normal 21" xfId="514" xr:uid="{E1BD83CD-5447-4505-8CDC-8BD8C9CB7CEA}"/>
    <cellStyle name="Normal 22" xfId="515" xr:uid="{220D4453-0AE0-4CE0-83BD-843A1EDF1225}"/>
    <cellStyle name="Normal 23" xfId="516" xr:uid="{0FE8AA63-CFA1-4A04-A140-3B74C6E208CC}"/>
    <cellStyle name="Normal 23 2" xfId="517" xr:uid="{4D76D99E-18F3-460F-9137-00963CD89272}"/>
    <cellStyle name="Normal 23 2 2" xfId="1071" xr:uid="{373E5756-5177-483D-AC28-AA51454F7DE0}"/>
    <cellStyle name="Normal 23 2 2 2" xfId="1077" xr:uid="{65D79B7D-FAE9-4A6B-92CF-931B23D416B8}"/>
    <cellStyle name="Normal 23 2 3" xfId="1075" xr:uid="{687269F5-0B1C-4ACA-88FB-4167FB7A4ACE}"/>
    <cellStyle name="Normal 23 2 4" xfId="1076" xr:uid="{9805072B-06B7-4020-93D5-9B90CEBA4323}"/>
    <cellStyle name="Normal 23 3" xfId="1072" xr:uid="{16D8F370-6193-41C3-BD7F-48E967F0106A}"/>
    <cellStyle name="Normal 24" xfId="518" xr:uid="{8EBD895A-5215-4EB3-B95E-BEBA5E054BB8}"/>
    <cellStyle name="Normal 25" xfId="519" xr:uid="{C6B5673E-F430-4156-BDBF-1BB5925E4E04}"/>
    <cellStyle name="Normal 27" xfId="520" xr:uid="{3EE29698-FFEF-4F94-9E4B-ED42198C7B1F}"/>
    <cellStyle name="Normal 28" xfId="521" xr:uid="{CB363A49-F33D-4676-975C-24DE471DA3EA}"/>
    <cellStyle name="Normal 3" xfId="522" xr:uid="{0292971F-3AD3-4B11-AAFB-194AB920952B}"/>
    <cellStyle name="Normal 3 2" xfId="523" xr:uid="{241814BC-A086-416D-84AE-701A6BC88923}"/>
    <cellStyle name="Normal 3 2 2" xfId="524" xr:uid="{F197B594-E119-4E95-9D99-8A8EC34904C4}"/>
    <cellStyle name="Normal 3 2_KHAU TRU THEP CHU DT CAP" xfId="525" xr:uid="{5BB69522-AB25-4749-821B-3E7BCE6A9A9C}"/>
    <cellStyle name="Normal 3 3" xfId="526" xr:uid="{24BE83CE-B4D7-4199-BAC1-807293D27EAD}"/>
    <cellStyle name="Normal 3 4" xfId="527" xr:uid="{08752ACE-E631-486F-A9BD-D3F501908F8B}"/>
    <cellStyle name="Normal 3 5" xfId="528" xr:uid="{67C4EE94-843E-4C00-A497-95D2243CC6CF}"/>
    <cellStyle name="Normal 3 6" xfId="529" xr:uid="{D8E89099-EC5B-4E7C-91B4-4ECE51B2F5C9}"/>
    <cellStyle name="Normal 3 7" xfId="530" xr:uid="{97BFD2DE-CA97-4796-AB58-C92D3956760A}"/>
    <cellStyle name="Normal 3 7 2" xfId="531" xr:uid="{708B3099-1FF0-4B20-90F6-2B1DEE10165E}"/>
    <cellStyle name="Normal 3 7_KHAU TRU THEP CHU DT CAP" xfId="532" xr:uid="{58C12463-CE26-41AB-A44D-8131F985F744}"/>
    <cellStyle name="Normal 3 8" xfId="533" xr:uid="{C13812CA-29FF-43B3-B91A-1E7F15B9E488}"/>
    <cellStyle name="Normal 3 9 2" xfId="534" xr:uid="{8031C51C-1ECF-48E7-93E3-87BA257B2043}"/>
    <cellStyle name="Normal 3_D1500-An sua" xfId="535" xr:uid="{0C956FBA-1E47-402D-AC97-A5A351CFF2A1}"/>
    <cellStyle name="Normal 36" xfId="536" xr:uid="{1EDBEF1C-E4B7-4688-98DA-7E74708EC477}"/>
    <cellStyle name="Normal 4" xfId="537" xr:uid="{90792DD2-5766-4A7C-94CE-3D688D8EC3EC}"/>
    <cellStyle name="Normal 4 2" xfId="538" xr:uid="{FA46CB2A-F91E-4474-9F30-86A614305566}"/>
    <cellStyle name="Normal 4 2 32 3" xfId="539" xr:uid="{B2AC495D-16A2-4553-9AA8-8D8ECFD03A5F}"/>
    <cellStyle name="Normal 4 2 32 3 2" xfId="1074" xr:uid="{11F41DD2-67DA-4A29-9EEF-ACC4EFE58060}"/>
    <cellStyle name="Normal 4 3" xfId="540" xr:uid="{772E5D00-76D3-458F-BB56-9B0939935DE0}"/>
    <cellStyle name="Normal 42 2" xfId="541" xr:uid="{1CC90394-BA05-4DDE-88C6-2B5BC5BCE489}"/>
    <cellStyle name="Normal 42 2 2" xfId="542" xr:uid="{23D4DD95-17E6-427F-8799-C5FC7706A25B}"/>
    <cellStyle name="Normal 42 2 2 2" xfId="543" xr:uid="{D1010713-5A8C-46C5-8A71-0C3E3439F054}"/>
    <cellStyle name="Normal 5" xfId="544" xr:uid="{FC98D073-C0C7-4729-8DB8-1FFFDBAC259F}"/>
    <cellStyle name="Normal 5 2" xfId="545" xr:uid="{45C860A9-3B01-4064-A106-58F84280FF55}"/>
    <cellStyle name="Normal 5 3" xfId="546" xr:uid="{3DF88311-1406-4F2D-9EF7-9D4698CD4209}"/>
    <cellStyle name="Normal 5 4" xfId="547" xr:uid="{EB4FF075-248E-427B-AC1A-371B7DFD3BD6}"/>
    <cellStyle name="Normal 5 5" xfId="548" xr:uid="{626339C1-8146-449C-AC4D-807E6FEDC8F7}"/>
    <cellStyle name="Normal 5 5 2" xfId="549" xr:uid="{1F1920E6-E39A-42BE-8FF6-5ACFD764AA84}"/>
    <cellStyle name="Normal 5 5 2 2" xfId="550" xr:uid="{7045B675-662D-4F2F-A652-83B7201C7959}"/>
    <cellStyle name="Normal 5 5 2 2 2" xfId="551" xr:uid="{77CC2E53-D530-4C3D-A757-CA9150965C5C}"/>
    <cellStyle name="Normal 5 5 2 3" xfId="552" xr:uid="{C12C3AEF-237B-455E-888B-84E3A7D56E2D}"/>
    <cellStyle name="Normal 5 6" xfId="553" xr:uid="{2CB785E5-3C64-487C-9257-5C91F23107D1}"/>
    <cellStyle name="Normal 5 6 2" xfId="554" xr:uid="{CB5D6131-FC0C-4FDC-9CCD-1AD1CE8B2E53}"/>
    <cellStyle name="Normal 5_D1500-An sua" xfId="555" xr:uid="{A907215B-5DCF-4F41-9E45-063F7093DABF}"/>
    <cellStyle name="Normal 6" xfId="556" xr:uid="{B500B1A7-FC87-469F-BCDC-2ED9624F4963}"/>
    <cellStyle name="Normal 6 2" xfId="557" xr:uid="{ECDE4EC8-72D9-425A-A6B9-22C57DF167A5}"/>
    <cellStyle name="Normal 6 2 2" xfId="558" xr:uid="{D2E96781-4EB3-41C2-8C6D-1DC6563C5E80}"/>
    <cellStyle name="Normal 6 3" xfId="559" xr:uid="{D608A073-78D7-4F75-9F91-FE39CC868D25}"/>
    <cellStyle name="Normal 6 3 2" xfId="560" xr:uid="{DF3D2634-4578-4C07-85B1-4F25CBEA4C0C}"/>
    <cellStyle name="Normal 6 4" xfId="561" xr:uid="{926443A1-A276-4A57-BE6F-CE1BA0F4D385}"/>
    <cellStyle name="Normal 6 4 2" xfId="562" xr:uid="{7E143745-B539-48D1-BBB1-A63C13F09B8D}"/>
    <cellStyle name="Normal 6_Bang tinh thu Licogi13_12.10.2010.V03" xfId="563" xr:uid="{8E8F2E60-0593-47CB-9D9C-22E6F229839E}"/>
    <cellStyle name="Normal 7" xfId="564" xr:uid="{4C0D51D7-E15A-48B1-BD3E-D6127FEBC481}"/>
    <cellStyle name="Normal 7 2" xfId="565" xr:uid="{5EC1EFE2-A480-46CF-A7F0-ECA14FD171DE}"/>
    <cellStyle name="Normal 7 3" xfId="566" xr:uid="{6B157A9D-4B5B-4D34-A235-0BE54ECBCFF4}"/>
    <cellStyle name="Normal 8" xfId="567" xr:uid="{059F71A1-1FBB-4E0B-BC63-25CDCD78EFA3}"/>
    <cellStyle name="Normal 8 2" xfId="568" xr:uid="{70A30EE8-2DD8-44F8-8D1B-376D0FA21C23}"/>
    <cellStyle name="Normal 8 3" xfId="569" xr:uid="{847EFD5D-2B77-44C4-8565-36D323DA9688}"/>
    <cellStyle name="Normal 8 4" xfId="570" xr:uid="{7F455054-5C31-4598-A051-CC0BA7DA0267}"/>
    <cellStyle name="Normal 8 5" xfId="571" xr:uid="{D07C09D5-DFC2-4F61-ADCF-91EFF0F2941D}"/>
    <cellStyle name="Normal 8_Bang tinh thu Licogi13_12.10.2010.V03 (THAY DOI KHUNG BAC)" xfId="572" xr:uid="{652ADFEB-0BAF-441A-9730-1306576E7ACB}"/>
    <cellStyle name="Normal 9" xfId="573" xr:uid="{B50AE17B-00E0-4496-8866-98E6F7F8B71D}"/>
    <cellStyle name="Normal 9 2" xfId="574" xr:uid="{1119F063-5F5C-45A1-9040-3BC6364AD70D}"/>
    <cellStyle name="Normal 9 3" xfId="575" xr:uid="{2686FBE4-4D7E-4E65-A1E8-9A110455AD66}"/>
    <cellStyle name="Normal1" xfId="576" xr:uid="{462BBBA4-6A05-4788-B9FB-2B986EB3CEDB}"/>
    <cellStyle name="Normalny_Cennik obowiazuje od 06-08-2001 r (1)" xfId="577" xr:uid="{2D4A526C-E52A-4071-983B-3DF66FD30765}"/>
    <cellStyle name="Note 2" xfId="578" xr:uid="{D59E8EAF-3134-48C5-89A3-F9C10A93E475}"/>
    <cellStyle name="Note 2 2" xfId="579" xr:uid="{FDA7108A-EB2E-445E-87BF-FD1CB8AEC762}"/>
    <cellStyle name="Note 2 3" xfId="580" xr:uid="{671014D0-DB3E-44EF-B9F9-489D4A1FF757}"/>
    <cellStyle name="Note 2 4" xfId="581" xr:uid="{A6954846-6845-4E44-98DF-936B6C71AB12}"/>
    <cellStyle name="Œ…‹æØ‚è [0.00]_††††† " xfId="582" xr:uid="{352243F8-C59A-4C88-AA0A-62EEFDD7CD3B}"/>
    <cellStyle name="Œ…‹æØ‚è_††††† " xfId="583" xr:uid="{C136C736-35EE-4AF5-A5CF-6345B640212A}"/>
    <cellStyle name="oft Excel]_x000d__x000a_Comment=open=/f ‚ðw’è‚·‚é‚ÆAƒ†[ƒU[’è‹`ŠÖ”‚ðŠÖ”“\‚è•t‚¯‚Ìˆê——‚É“o˜^‚·‚é‚±‚Æ‚ª‚Å‚«‚Ü‚·B_x000d__x000a_Maximized" xfId="584" xr:uid="{75889827-C7DB-49B9-A4A9-5450D1724B26}"/>
    <cellStyle name="oft Excel]_x000d__x000a_Comment=open=/f ‚ðŽw’è‚·‚é‚ÆAƒ†[ƒU[’è‹`ŠÖ”‚ðŠÖ”“\‚è•t‚¯‚Ìˆê——‚É“o˜^‚·‚é‚±‚Æ‚ª‚Å‚«‚Ü‚·B_x000d__x000a_Maximized" xfId="585" xr:uid="{33E8347F-DD48-4D2B-BBD0-819ABAEBDB84}"/>
    <cellStyle name="oft Excel]_x000d__x000a_Comment=The open=/f lines load custom functions into the Paste Function list._x000d__x000a_Maximized=2_x000d__x000a_Basics=1_x000d__x000a_A" xfId="586" xr:uid="{EE16D64E-F12E-497A-9017-CB7CB5E863AE}"/>
    <cellStyle name="oft Excel]_x000d__x000a_Comment=The open=/f lines load custom functions into the Paste Function list._x000d__x000a_Maximized=3_x000d__x000a_Basics=1_x000d__x000a_A" xfId="587" xr:uid="{5B9D3E82-E6A7-42F1-94FB-2BBC7FEC990F}"/>
    <cellStyle name="omma [0]_Mktg Prog" xfId="588" xr:uid="{F9D479F2-0B99-405E-B189-EA2631D5ECBB}"/>
    <cellStyle name="ormal_Sheet1_1" xfId="589" xr:uid="{B7F04611-37CD-4E54-9AE8-445C822675F1}"/>
    <cellStyle name="Output 2" xfId="590" xr:uid="{6BB9726B-FB3B-4B8E-9852-118BCC28AE8D}"/>
    <cellStyle name="Output 2 2" xfId="591" xr:uid="{58A7273D-B06A-4D85-81CB-36A399D88A56}"/>
    <cellStyle name="Output 2 3" xfId="592" xr:uid="{543CC058-D4AD-462D-80A1-C080C9313047}"/>
    <cellStyle name="Pattern" xfId="593" xr:uid="{A2064740-0B77-4A11-A44E-924A7EB3FFE3}"/>
    <cellStyle name="Pattern 2" xfId="594" xr:uid="{B2A44D49-F101-4350-89D7-53E0E6695B54}"/>
    <cellStyle name="Pattern 3" xfId="595" xr:uid="{28CA2089-F05F-4A7D-97A1-B95C5AB0245F}"/>
    <cellStyle name="per.style" xfId="596" xr:uid="{6F7B2055-8F04-4354-A06B-1A95005B33C0}"/>
    <cellStyle name="Percent" xfId="597" builtinId="5"/>
    <cellStyle name="Percent [0]" xfId="598" xr:uid="{405222CF-6F37-48FB-8FE1-B0C47D40EA02}"/>
    <cellStyle name="Percent [00]" xfId="599" xr:uid="{31888926-1D0C-41C0-95F9-A1FB838B5CF2}"/>
    <cellStyle name="Percent [2]" xfId="600" xr:uid="{6E75E648-7797-40A1-A4D4-EFDDEAE2022B}"/>
    <cellStyle name="Percent 10" xfId="601" xr:uid="{8E92374B-5ED7-40CC-815A-6A746D0634EF}"/>
    <cellStyle name="Percent 2" xfId="602" xr:uid="{6DA55507-E338-4C0C-BB1B-DCCC09CA89A9}"/>
    <cellStyle name="Percent 2 2" xfId="603" xr:uid="{1094D564-D5CC-4F43-AB1C-C8EA8CB04ADA}"/>
    <cellStyle name="Percent 2 2 2 2" xfId="604" xr:uid="{78EDE998-ED2D-48B9-95CB-34DF2CA23FCD}"/>
    <cellStyle name="Percent 2 2 2 2 2" xfId="605" xr:uid="{C5EC1973-73F9-4616-A3AC-25E5D65CB99A}"/>
    <cellStyle name="Percent 3" xfId="606" xr:uid="{6D2D2461-8A59-441F-A76F-1AA639A43A17}"/>
    <cellStyle name="Percent 3 2" xfId="607" xr:uid="{E5190B6C-8F87-43A7-851E-E40FB44E82E1}"/>
    <cellStyle name="Percent 4" xfId="608" xr:uid="{82F564C0-8B75-4C21-AF8C-1E368BBE038E}"/>
    <cellStyle name="Percent 5" xfId="1080" xr:uid="{EBD25459-3BBB-4E2A-9101-3C4271C79015}"/>
    <cellStyle name="Percent 8" xfId="609" xr:uid="{5FF1EEF4-9E49-4596-91AB-7E4DC5454A37}"/>
    <cellStyle name="PERCENTAGE" xfId="610" xr:uid="{7285AA5F-1F71-46CB-ACD7-43B06F65C4F7}"/>
    <cellStyle name="PrePop Currency (0)" xfId="611" xr:uid="{9E3BD34A-6600-4396-8115-1BB9EB62200E}"/>
    <cellStyle name="PrePop Currency (2)" xfId="612" xr:uid="{35F24120-7E8C-4313-9D6D-AF4ECE8848A8}"/>
    <cellStyle name="PrePop Units (0)" xfId="613" xr:uid="{18D1E8AD-1FA0-4622-88AF-10E475752549}"/>
    <cellStyle name="PrePop Units (1)" xfId="614" xr:uid="{18E75F9A-5A53-4E24-B5D2-5C449A6803CE}"/>
    <cellStyle name="PrePop Units (2)" xfId="615" xr:uid="{5EA28DE3-C88D-4AB5-B475-9B0C1227C33B}"/>
    <cellStyle name="Price Line" xfId="616" xr:uid="{F061EEEB-FBE6-4422-96C1-3F9B36809FD6}"/>
    <cellStyle name="Price Line 2" xfId="617" xr:uid="{D5C4DA63-D1E9-4290-8C1B-BBB0477BAF2D}"/>
    <cellStyle name="Price Line 3" xfId="618" xr:uid="{427D91E1-0069-464E-A70E-2D6363D0ED60}"/>
    <cellStyle name="pricing" xfId="619" xr:uid="{8BAEEE26-8D43-4781-8ED9-03BC99F4DBED}"/>
    <cellStyle name="Product Subheading" xfId="620" xr:uid="{A9CF170A-58BB-4BB8-9913-B949F38D0524}"/>
    <cellStyle name="Product Subheading 2" xfId="621" xr:uid="{4A5C6239-EBA7-447F-94B6-0EEB5D9DEC64}"/>
    <cellStyle name="Product Subheading 3" xfId="622" xr:uid="{FC04FDB1-204A-400C-ABEC-22FF7A4EAC8C}"/>
    <cellStyle name="PSChar" xfId="623" xr:uid="{3AB9F363-3D00-42AF-A0F9-A2F2475894AE}"/>
    <cellStyle name="PSDate" xfId="624" xr:uid="{E421FA9B-156D-47DC-8A9E-2B0FE5EF7AF2}"/>
    <cellStyle name="PSDec" xfId="625" xr:uid="{09C5BAF2-4240-4837-8BF4-37E8070C6DB8}"/>
    <cellStyle name="PSHeading" xfId="626" xr:uid="{417E4367-C200-4208-B99D-178637565054}"/>
    <cellStyle name="PSInt" xfId="627" xr:uid="{322FBEB7-FF70-4B46-B907-A314BBBC5F78}"/>
    <cellStyle name="PSSpacer" xfId="628" xr:uid="{16288D8E-406A-4FA8-9F99-DDAA9CCF7E4F}"/>
    <cellStyle name="regstoresfromspecstores" xfId="629" xr:uid="{2D90151D-EAB6-4830-9ECD-EDC9AD2EE817}"/>
    <cellStyle name="RevList" xfId="630" xr:uid="{6D4FBC29-F1B0-40CF-8964-B722AEB69F57}"/>
    <cellStyle name="s]_x000d__x000a_spooler=yes_x000d__x000a_load=_x000d__x000a_Beep=yes_x000d__x000a_NullPort=None_x000d__x000a_BorderWidth=3_x000d__x000a_CursorBlinkRate=1200_x000d__x000a_DoubleClickSpeed=452_x000d__x000a_Programs=co" xfId="631" xr:uid="{495D431A-AED5-4045-ADD8-74DD180D6F6D}"/>
    <cellStyle name="s1" xfId="632" xr:uid="{6CF21833-A2C1-4F1E-BA62-0595F6C0EBE8}"/>
    <cellStyle name="SAPBEXaggData" xfId="633" xr:uid="{0F62CF1E-212A-4001-87DF-6D15CDF85654}"/>
    <cellStyle name="SAPBEXaggData 2" xfId="634" xr:uid="{A6F101A9-6824-498A-A654-86410C860C1A}"/>
    <cellStyle name="SAPBEXaggData 3" xfId="635" xr:uid="{92C2A4EA-10D2-4C1D-8348-E3A108EB5233}"/>
    <cellStyle name="SAPBEXaggDataEmph" xfId="636" xr:uid="{85D71E2D-F3DD-40E0-BF15-9735149C32A8}"/>
    <cellStyle name="SAPBEXaggDataEmph 2" xfId="637" xr:uid="{52237F68-D750-447C-8327-4BEA34B35774}"/>
    <cellStyle name="SAPBEXaggDataEmph 3" xfId="638" xr:uid="{B74BB19C-AD89-4DFA-8614-D7A1AEA00DF2}"/>
    <cellStyle name="SAPBEXaggItem" xfId="639" xr:uid="{0D9A0F7E-CF0C-4DB3-AB6E-2442741A00A0}"/>
    <cellStyle name="SAPBEXaggItem 2" xfId="640" xr:uid="{024DE839-16F2-4151-830F-2E8F70575C5D}"/>
    <cellStyle name="SAPBEXaggItem 3" xfId="641" xr:uid="{551AAF56-14D9-4A60-9CD0-EF4E4F9D502E}"/>
    <cellStyle name="SAPBEXchaText" xfId="642" xr:uid="{A89346EC-51A4-4C58-BCEF-478C739AA046}"/>
    <cellStyle name="SAPBEXexcBad7" xfId="643" xr:uid="{5D51F284-F14D-4CCF-896A-8D9813D9F8A5}"/>
    <cellStyle name="SAPBEXexcBad7 2" xfId="644" xr:uid="{2EBBF84C-6613-4A80-9567-3B8209BAF289}"/>
    <cellStyle name="SAPBEXexcBad7 3" xfId="645" xr:uid="{55FDF383-879C-4DBF-8B49-43BD50ACDA11}"/>
    <cellStyle name="SAPBEXexcBad8" xfId="646" xr:uid="{AF90B28D-941F-480A-A508-1AD5985E90CD}"/>
    <cellStyle name="SAPBEXexcBad8 2" xfId="647" xr:uid="{E81C1297-44E8-47C5-9354-B97B3CBC1B67}"/>
    <cellStyle name="SAPBEXexcBad8 3" xfId="648" xr:uid="{2B8467FB-695E-418C-8DF0-53D7D720E6B0}"/>
    <cellStyle name="SAPBEXexcBad9" xfId="649" xr:uid="{51723233-4026-417E-BBF8-941F204BD72C}"/>
    <cellStyle name="SAPBEXexcBad9 2" xfId="650" xr:uid="{AB3B5B09-C7CC-4876-B165-C1939E75C550}"/>
    <cellStyle name="SAPBEXexcBad9 3" xfId="651" xr:uid="{07F61EB0-4036-424B-B4F9-D1BB561FFC0A}"/>
    <cellStyle name="SAPBEXexcCritical4" xfId="652" xr:uid="{1B1BFFE7-9DF0-48E2-A3BA-90B02C1219A3}"/>
    <cellStyle name="SAPBEXexcCritical4 2" xfId="653" xr:uid="{5549050C-7CD1-4DD8-A51C-02593035C5F9}"/>
    <cellStyle name="SAPBEXexcCritical4 3" xfId="654" xr:uid="{ED989724-ADB4-40D6-8B46-9C26E70BF2C5}"/>
    <cellStyle name="SAPBEXexcCritical5" xfId="655" xr:uid="{9D85947A-4D36-45DC-9CEC-CECF085ED3B5}"/>
    <cellStyle name="SAPBEXexcCritical5 2" xfId="656" xr:uid="{26E5A28B-222D-4241-A1EA-63C2C51C73EA}"/>
    <cellStyle name="SAPBEXexcCritical5 3" xfId="657" xr:uid="{81698030-1AD8-4B33-8E51-0FE6FBEEBED3}"/>
    <cellStyle name="SAPBEXexcCritical6" xfId="658" xr:uid="{A7E03ABE-6CEC-46D0-BC09-FBDCC36CB0F1}"/>
    <cellStyle name="SAPBEXexcCritical6 2" xfId="659" xr:uid="{1CE36B28-F743-44CF-B22D-EC8554653A29}"/>
    <cellStyle name="SAPBEXexcCritical6 3" xfId="660" xr:uid="{C86C5425-A4F7-4FAF-BB0D-750E195CA32D}"/>
    <cellStyle name="SAPBEXexcGood1" xfId="661" xr:uid="{3474CF98-2CCD-4F94-81DB-1EFDEFF9EFBB}"/>
    <cellStyle name="SAPBEXexcGood1 2" xfId="662" xr:uid="{DCD62F34-CB62-4638-B5AF-AD336DA6B49C}"/>
    <cellStyle name="SAPBEXexcGood1 3" xfId="663" xr:uid="{CE772E0E-26A6-4961-B565-CF6091B5E9E9}"/>
    <cellStyle name="SAPBEXexcGood2" xfId="664" xr:uid="{001AF9AC-1BBE-4942-B070-97F4AED8389B}"/>
    <cellStyle name="SAPBEXexcGood2 2" xfId="665" xr:uid="{33C36063-FF73-4254-9EFB-AAE29AEB4398}"/>
    <cellStyle name="SAPBEXexcGood2 3" xfId="666" xr:uid="{51CF6B39-DBDF-48A9-A639-A35063192826}"/>
    <cellStyle name="SAPBEXexcGood3" xfId="667" xr:uid="{20A1D0A0-17B3-4C29-968D-2A7CA99D96EE}"/>
    <cellStyle name="SAPBEXexcGood3 2" xfId="668" xr:uid="{EC44E0EA-42FF-4085-B8E2-93E76CE86F54}"/>
    <cellStyle name="SAPBEXexcGood3 3" xfId="669" xr:uid="{6164CF8B-4360-45D4-A87F-9F8E67D19084}"/>
    <cellStyle name="SAPBEXfilterDrill" xfId="670" xr:uid="{FE1B83BC-0935-4AC3-AFC4-DBE9ACF9EDD5}"/>
    <cellStyle name="SAPBEXfilterItem" xfId="671" xr:uid="{18C2C6F2-B5BF-4B2D-8ED1-A5E70F732C94}"/>
    <cellStyle name="SAPBEXfilterText" xfId="672" xr:uid="{D85D6207-3977-4D57-8C9B-040A92398CB9}"/>
    <cellStyle name="SAPBEXformats" xfId="673" xr:uid="{2A88129E-EDE6-4385-8F75-6DB7396F4712}"/>
    <cellStyle name="SAPBEXformats 2" xfId="674" xr:uid="{CF821225-26EF-4643-8E4A-DE1991FE871F}"/>
    <cellStyle name="SAPBEXformats 3" xfId="675" xr:uid="{1827BEDA-C60C-4D7E-8E4F-56628C397314}"/>
    <cellStyle name="SAPBEXheaderItem" xfId="676" xr:uid="{EA8504C0-DBE2-40C6-9CA5-D3DA88988A56}"/>
    <cellStyle name="SAPBEXheaderText" xfId="677" xr:uid="{BAC06758-0EC1-4F62-B81D-CE216BC2974E}"/>
    <cellStyle name="SAPBEXresData" xfId="678" xr:uid="{C4718166-37AA-4A4E-AAA8-953448ABF6AF}"/>
    <cellStyle name="SAPBEXresData 2" xfId="679" xr:uid="{24BA881E-3F5F-4B4B-9782-45FDD7FC72A8}"/>
    <cellStyle name="SAPBEXresData 3" xfId="680" xr:uid="{159D3A51-4730-45EB-ACD0-BCA3CF3E74A6}"/>
    <cellStyle name="SAPBEXresDataEmph" xfId="681" xr:uid="{D456C993-7579-45CE-9CD0-0F05F6D9F8DE}"/>
    <cellStyle name="SAPBEXresDataEmph 2" xfId="682" xr:uid="{DD2C732E-38D1-431D-A4A4-BEE986555E06}"/>
    <cellStyle name="SAPBEXresDataEmph 3" xfId="683" xr:uid="{31B28436-A6EC-49B5-9E1C-38A40E63613B}"/>
    <cellStyle name="SAPBEXresItem" xfId="684" xr:uid="{E7DA56C6-0010-4265-9126-BC12A053FFD9}"/>
    <cellStyle name="SAPBEXresItem 2" xfId="685" xr:uid="{91F8656D-9886-4B3A-BA3C-D874E5701203}"/>
    <cellStyle name="SAPBEXresItem 3" xfId="686" xr:uid="{56A7AC84-C46D-4AA4-9FAA-89ED72BC31E1}"/>
    <cellStyle name="SAPBEXstdData" xfId="687" xr:uid="{9F7E5DCA-1E89-4BE9-8A3B-E19C66A0F480}"/>
    <cellStyle name="SAPBEXstdData 2" xfId="688" xr:uid="{37DAD43B-DA85-4EAD-B16E-3E1903C15A66}"/>
    <cellStyle name="SAPBEXstdData 3" xfId="689" xr:uid="{C7687341-1D35-4ACA-B53C-D93DF706D4F4}"/>
    <cellStyle name="SAPBEXstdDataEmph" xfId="690" xr:uid="{0489BF7E-B2F0-4656-899B-3CFE41BA24CE}"/>
    <cellStyle name="SAPBEXstdDataEmph 2" xfId="691" xr:uid="{0BF07EA5-808D-4566-9F52-C7BEC0D1D1A9}"/>
    <cellStyle name="SAPBEXstdDataEmph 3" xfId="692" xr:uid="{2455589C-ED65-4844-9971-FF4C2ADC4102}"/>
    <cellStyle name="SAPBEXstdItem" xfId="693" xr:uid="{A3C74E68-1DC2-4C99-95DD-5CDAEF76B5B9}"/>
    <cellStyle name="SAPBEXstdItem 2" xfId="694" xr:uid="{CB82498B-0D5A-4B91-B3C2-A901919D86B4}"/>
    <cellStyle name="SAPBEXstdItem 3" xfId="695" xr:uid="{DBCBF292-8843-4FD1-AFD1-CC6D42AC896E}"/>
    <cellStyle name="SAPBEXtitle" xfId="696" xr:uid="{A1FCC7D2-9F87-4A67-840C-312DE9FD2A12}"/>
    <cellStyle name="SAPBEXtitle 2" xfId="697" xr:uid="{CD1F5587-CFC0-41FB-B9CD-D0E65CE746A7}"/>
    <cellStyle name="SAPBEXtitle 3" xfId="698" xr:uid="{9AF9935F-CE14-4D85-BB20-5E61CB65A87F}"/>
    <cellStyle name="SAPBEXundefined" xfId="699" xr:uid="{29417201-8506-4853-A5B2-7FBE053FD9CA}"/>
    <cellStyle name="SAPBEXundefined 2" xfId="700" xr:uid="{13420D58-7251-4BED-9F8A-1AD02F969F58}"/>
    <cellStyle name="SAPBEXundefined 3" xfId="701" xr:uid="{37977CA4-25DA-4305-B61E-B0FFA0ECE4AD}"/>
    <cellStyle name="serJet 1200 Series PCL 6" xfId="702" xr:uid="{26A838B3-B6E4-467A-9010-0F00C7192C75}"/>
    <cellStyle name="shade" xfId="703" xr:uid="{6CAF4F03-207C-4826-BDED-80974F97A23E}"/>
    <cellStyle name="SHADEDSTORES" xfId="704" xr:uid="{EDF43C7A-DA99-4F40-9BA8-5F1BDED5A915}"/>
    <cellStyle name="SHADEDSTORES 2" xfId="705" xr:uid="{7C726C7C-359F-4305-ABA0-6CA0A7C5E945}"/>
    <cellStyle name="SHADEDSTORES 3" xfId="706" xr:uid="{163DBC9F-0987-49FB-B145-85E670FBC7E9}"/>
    <cellStyle name="so" xfId="707" xr:uid="{0D16A40E-F4BC-4C73-8B00-7E73A039E199}"/>
    <cellStyle name="songuyen" xfId="708" xr:uid="{1B26DCF9-8AA4-4C98-B313-B25889CC4C4B}"/>
    <cellStyle name="specstores" xfId="709" xr:uid="{4B7316BA-A91B-486B-B521-B59727024A4B}"/>
    <cellStyle name="STANDARD" xfId="710" xr:uid="{B5D3F179-B145-4A4F-A250-73A9AAC27817}"/>
    <cellStyle name="STTDG" xfId="711" xr:uid="{A9987A86-8E4D-4AA0-A3A3-7ED798DB93FE}"/>
    <cellStyle name="Style 1" xfId="712" xr:uid="{4A9E3140-4D2D-4202-B7DC-F2EAFC136293}"/>
    <cellStyle name="Style 1 2" xfId="713" xr:uid="{EC73956A-9B43-46AD-94A6-EF6574598066}"/>
    <cellStyle name="Style 1 2 2" xfId="714" xr:uid="{EE75CFD0-A861-43CD-BA35-8D02C396AAB5}"/>
    <cellStyle name="Style 1 3" xfId="715" xr:uid="{83EE4A15-46DF-43E0-A966-806B1ED164D3}"/>
    <cellStyle name="Style 1 3 2" xfId="716" xr:uid="{A5EE66CC-4C38-4A14-8BD7-F01BC92814F9}"/>
    <cellStyle name="Style 1 3 3" xfId="717" xr:uid="{ADA3CAE0-1B32-4E0B-BE51-E6E834D09A8A}"/>
    <cellStyle name="Style 2" xfId="718" xr:uid="{8712BF82-B7D4-4CEC-9240-F1E8F5A461F3}"/>
    <cellStyle name="Style 3" xfId="719" xr:uid="{9E282586-A881-49F4-ACCF-CC86F8F5E4E8}"/>
    <cellStyle name="subhead" xfId="720" xr:uid="{791332F3-C8A3-4E7B-8487-C6C87131095E}"/>
    <cellStyle name="Subtotal" xfId="721" xr:uid="{486CE990-A0D8-4963-829D-7D211596C592}"/>
    <cellStyle name="sum" xfId="722" xr:uid="{EC09FE89-2661-4008-A405-433A5359F1E1}"/>
    <cellStyle name="T" xfId="723" xr:uid="{49ECF5EC-E044-4216-BA02-B2CF3DBA7BC6}"/>
    <cellStyle name="T 2" xfId="724" xr:uid="{462A3D6F-9435-4F7C-9BF6-EC004CBAC52C}"/>
    <cellStyle name="T_BenxuatXM2" xfId="725" xr:uid="{CDBADFDB-4B4D-4F16-9DFF-5EAD8AA2DAA9}"/>
    <cellStyle name="T_BenxuatXM2 2" xfId="726" xr:uid="{1A94DCCF-2129-462E-99A3-680E72989B2A}"/>
    <cellStyle name="T_BenxuatXM2_phong KHKD" xfId="727" xr:uid="{7FF5F70C-ED43-475B-BDDD-43BE83764ECD}"/>
    <cellStyle name="T_BenxuatXM2_phong KHKD 2" xfId="728" xr:uid="{4E18AC64-3444-403D-9D4A-F544100B20E7}"/>
    <cellStyle name="T_Book1" xfId="729" xr:uid="{229279A7-00E1-47DF-B9D2-ED0FE37A4C62}"/>
    <cellStyle name="T_Book1 2" xfId="730" xr:uid="{0102C455-371F-46EF-99AB-CC57430478A9}"/>
    <cellStyle name="T_Book1_1. bang tong hop khoi luong cho dot 1" xfId="731" xr:uid="{69C0B795-78B3-4D7E-B9CB-9239DEB7D423}"/>
    <cellStyle name="T_Book1_1. bang tong hop khoi luong cho dot 1 2" xfId="732" xr:uid="{E991AAB4-EA42-4438-9B36-7163FD5DCA6B}"/>
    <cellStyle name="T_Book1_Bored pile-Barrette Capacity Nov-09-2007" xfId="733" xr:uid="{987E818C-B9CB-4B06-AD3A-8A80C6CA5305}"/>
    <cellStyle name="T_Book1_Bored pile-Barrette Capacity Nov-09-2007 2" xfId="734" xr:uid="{247DE261-E696-4C02-BB4B-7C676D7A6D47}"/>
    <cellStyle name="T_Book1_Bored pile-Barrette Capacity Nov-09-2007_1. bang tong hop khoi luong cho dot 1" xfId="735" xr:uid="{12200BFD-E57E-4481-9454-3EED9D36B327}"/>
    <cellStyle name="T_Book1_Bored pile-Barrette Capacity Nov-09-2007_1. bang tong hop khoi luong cho dot 1 2" xfId="736" xr:uid="{DEF7181C-ACCC-4A6D-9ACD-C90DD38EA3B2}"/>
    <cellStyle name="T_Book1_Bored pile-Barrette Capacity Nov-09-2007_form mau thnah toan KL gui BSV 26.08" xfId="737" xr:uid="{9F262E69-B5C4-479A-B318-982947B4A7E0}"/>
    <cellStyle name="T_Book1_Bored pile-Barrette Capacity Nov-09-2007_form mau thnah toan KL gui BSV 26.08 2" xfId="738" xr:uid="{43A7BA2D-302E-41F0-AA36-9B7991497C8E}"/>
    <cellStyle name="T_Book1_Bored pile-Barrette Capacity Nov-09-2007_KC ham dơt 1" xfId="739" xr:uid="{FE6CA532-5AC0-4039-8E00-1F871A36A4F6}"/>
    <cellStyle name="T_Book1_Bored pile-Barrette Capacity Nov-09-2007_KC ham dơt 1 2" xfId="740" xr:uid="{45480740-3095-4DA9-8E5E-AF6D0AD4FE96}"/>
    <cellStyle name="T_Book1_Bored pile-Barrette Capacity Nov-09-2007_KC ham dơt 1_DIEU CHINH GIA THEP R4" xfId="741" xr:uid="{3CB3649B-25D0-447E-A887-DAD8514428AE}"/>
    <cellStyle name="T_Book1_Bored pile-Barrette Capacity Nov-09-2007_KC ham dơt 1_DIEU CHINH GIA THEP R4 2" xfId="742" xr:uid="{70471F7C-5CD1-48C1-986E-6B6D91390FD6}"/>
    <cellStyle name="T_Book1_Bored pile-Barrette Capacity Nov-09-2007_KC ham dơt 1_KL TT 5% gia thep R4" xfId="743" xr:uid="{63EA9D45-5730-4277-930E-7EE8583CB576}"/>
    <cellStyle name="T_Book1_Bored pile-Barrette Capacity Nov-09-2007_KC ham dơt 1_KL TT 5% gia thep R4 2" xfId="744" xr:uid="{96EE741E-086D-4370-9C08-3B07391E16BF}"/>
    <cellStyle name="T_Book1_Bored pile-Barrette Capacity Nov-09-2007_Quyet toan tam Delta So GD " xfId="745" xr:uid="{6239171E-E031-4DEF-8B47-79B15D947FCC}"/>
    <cellStyle name="T_Book1_Bored pile-Barrette Capacity Nov-09-2007_Quyet toan tam Delta So GD  2" xfId="746" xr:uid="{14B6E3F5-BB01-4642-AE0B-6BC9350ED7AE}"/>
    <cellStyle name="T_Book1_Bored pile-Barrette Capacity Nov-09-2007_Quyet toan tam Delta So GD _DIEU CHINH GIA THEP R4" xfId="747" xr:uid="{AD1BB68C-1B6B-4448-A021-F75FE91C8FA2}"/>
    <cellStyle name="T_Book1_Bored pile-Barrette Capacity Nov-09-2007_Quyet toan tam Delta So GD _DIEU CHINH GIA THEP R4 2" xfId="748" xr:uid="{A2260D2E-E3F2-46BA-A262-CD7808F8551A}"/>
    <cellStyle name="T_Book1_Bored pile-Barrette Capacity Nov-09-2007_Quyet toan tam Delta So GD _KL TT 5% gia thep R4" xfId="749" xr:uid="{A442B616-1FA1-4BAF-9DCC-FC7A5CDC1F23}"/>
    <cellStyle name="T_Book1_Bored pile-Barrette Capacity Nov-09-2007_Quyet toan tam Delta So GD _KL TT 5% gia thep R4 2" xfId="750" xr:uid="{C09684C4-6E43-4D9F-8A4B-3138D287F865}"/>
    <cellStyle name="T_Book1_Bored pile-Barrette Capacity Nov-09-2007_Thanh toan tam Delta So GD " xfId="751" xr:uid="{5FDA637C-CD90-49CD-B33A-8B50F37CE3AE}"/>
    <cellStyle name="T_Book1_Bored pile-Barrette Capacity Nov-09-2007_Thanh toan tam Delta So GD  2" xfId="752" xr:uid="{322536EE-C627-4422-9EBD-B4131D1C040E}"/>
    <cellStyle name="T_Book1_Bored pile-Barrette Capacity Nov-09-2007_Thanh toan tam Delta So GD _DIEU CHINH GIA THEP R4" xfId="753" xr:uid="{3D05555F-21A4-46D2-AB5A-793015250D26}"/>
    <cellStyle name="T_Book1_Bored pile-Barrette Capacity Nov-09-2007_Thanh toan tam Delta So GD _DIEU CHINH GIA THEP R4 2" xfId="754" xr:uid="{707FEF4D-195E-4312-ACA3-882CD87239E7}"/>
    <cellStyle name="T_Book1_Bored pile-Barrette Capacity Nov-09-2007_Thanh toan tam Delta So GD _KL TT 5% gia thep R4" xfId="755" xr:uid="{9CB7441F-C09D-4125-956C-FFFC7270860B}"/>
    <cellStyle name="T_Book1_Bored pile-Barrette Capacity Nov-09-2007_Thanh toan tam Delta So GD _KL TT 5% gia thep R4 2" xfId="756" xr:uid="{8A999B4D-4212-492A-968F-7AF66FFEC216}"/>
    <cellStyle name="T_Book1_danh ba" xfId="757" xr:uid="{4D245892-04AF-4AD0-B809-53A59D0A6F07}"/>
    <cellStyle name="T_Book1_danh ba 2" xfId="758" xr:uid="{C869A2E7-6140-4447-B9D5-B9CBB37DCBEB}"/>
    <cellStyle name="T_Book1_danh ba_KHAU TRU THEP CHU DT CAP" xfId="759" xr:uid="{82DF5903-01CB-48D7-8A3C-9C5F9EF329E2}"/>
    <cellStyle name="T_Book1_danh ba_KHAU TRU THEP CHU DT CAP 2" xfId="760" xr:uid="{2A90E8C3-CC8D-4A7A-A338-B3BF99AC6C90}"/>
    <cellStyle name="T_Book1_DUTOAN_Nha dieu hanh" xfId="761" xr:uid="{C5EAA786-A95C-4E20-B6DD-782704B2A9E8}"/>
    <cellStyle name="T_Book1_DUTOAN_Nha dieu hanh 2" xfId="762" xr:uid="{7EED88CE-B86A-41B2-9624-B0410C900BF1}"/>
    <cellStyle name="T_Book1_FBO - Golden Square - 2TestBR- Jan -08 -2008" xfId="763" xr:uid="{27B74763-1AF0-4A85-B91B-F95E34A2E523}"/>
    <cellStyle name="T_Book1_FBO - Golden Square - 2TestBR- Jan -08 -2008 2" xfId="764" xr:uid="{F12F8ABE-12A4-43B4-8107-00D1590AC583}"/>
    <cellStyle name="T_Book1_FBO - Golden Square - 2TestBR- Jan -08 -2008_1. bang tong hop khoi luong cho dot 1" xfId="765" xr:uid="{03F6CDC0-26C5-4E20-886C-DFBC4D6FD7BB}"/>
    <cellStyle name="T_Book1_FBO - Golden Square - 2TestBR- Jan -08 -2008_1. bang tong hop khoi luong cho dot 1 2" xfId="766" xr:uid="{5DA98B20-E200-48CA-88C2-2FBC5564AF67}"/>
    <cellStyle name="T_Book1_FBO - Golden Square - 2TestBR- Jan -08 -2008_form mau thnah toan KL gui BSV 26.08" xfId="767" xr:uid="{CEC04588-54C9-4BCF-860E-B1F249C9CB9D}"/>
    <cellStyle name="T_Book1_FBO - Golden Square - 2TestBR- Jan -08 -2008_form mau thnah toan KL gui BSV 26.08 2" xfId="768" xr:uid="{D6E585BB-0FF8-47B0-863A-1FA98976734E}"/>
    <cellStyle name="T_Book1_FBO - Golden Square - 2TestBR- Jan -08 -2008_KC ham dơt 1" xfId="769" xr:uid="{EAEB3DB0-D88D-41A3-A461-00FC4D151FA2}"/>
    <cellStyle name="T_Book1_FBO - Golden Square - 2TestBR- Jan -08 -2008_KC ham dơt 1 2" xfId="770" xr:uid="{A4186D4D-6877-4890-B1AC-8AACC5531127}"/>
    <cellStyle name="T_Book1_FBO - Golden Square - 2TestBR- Jan -08 -2008_KC ham dơt 1_DIEU CHINH GIA THEP R4" xfId="771" xr:uid="{4D5FC73D-A6EC-4D1D-977E-A6BA04F96DDA}"/>
    <cellStyle name="T_Book1_FBO - Golden Square - 2TestBR- Jan -08 -2008_KC ham dơt 1_DIEU CHINH GIA THEP R4 2" xfId="772" xr:uid="{FFA5697B-32B7-4158-A80A-41FE96EBCA6C}"/>
    <cellStyle name="T_Book1_FBO - Golden Square - 2TestBR- Jan -08 -2008_KC ham dơt 1_KL TT 5% gia thep R4" xfId="773" xr:uid="{B0453743-A220-4F26-A144-CDC58D97E479}"/>
    <cellStyle name="T_Book1_FBO - Golden Square - 2TestBR- Jan -08 -2008_KC ham dơt 1_KL TT 5% gia thep R4 2" xfId="774" xr:uid="{46149C56-51EA-4712-BFE1-ED2BEB26C9F0}"/>
    <cellStyle name="T_Book1_FBO - Golden Square - 2TestBR- Jan -08 -2008_Quyet toan tam Delta So GD " xfId="775" xr:uid="{0C3107BA-1A1A-461A-80DF-934822C501EA}"/>
    <cellStyle name="T_Book1_FBO - Golden Square - 2TestBR- Jan -08 -2008_Quyet toan tam Delta So GD  2" xfId="776" xr:uid="{4A4658EA-D6DF-4F54-B7D4-669A408DD2A4}"/>
    <cellStyle name="T_Book1_FBO - Golden Square - 2TestBR- Jan -08 -2008_Quyet toan tam Delta So GD _DIEU CHINH GIA THEP R4" xfId="777" xr:uid="{B49812C7-50BD-4ABD-9C04-12D2FC36B554}"/>
    <cellStyle name="T_Book1_FBO - Golden Square - 2TestBR- Jan -08 -2008_Quyet toan tam Delta So GD _DIEU CHINH GIA THEP R4 2" xfId="778" xr:uid="{3E28B214-A821-4A50-906D-F4EFF02D75DF}"/>
    <cellStyle name="T_Book1_FBO - Golden Square - 2TestBR- Jan -08 -2008_Quyet toan tam Delta So GD _KL TT 5% gia thep R4" xfId="779" xr:uid="{6C750605-7AD0-49DE-ACC9-B2F30848CCD3}"/>
    <cellStyle name="T_Book1_FBO - Golden Square - 2TestBR- Jan -08 -2008_Quyet toan tam Delta So GD _KL TT 5% gia thep R4 2" xfId="780" xr:uid="{B42B29EB-C270-4048-AA2A-871ACCDA4FC7}"/>
    <cellStyle name="T_Book1_FBO - Golden Square - 2TestBR- Jan -08 -2008_Thanh toan tam Delta So GD " xfId="781" xr:uid="{2936A569-DC4B-42B8-A2A8-D16C0DB5E395}"/>
    <cellStyle name="T_Book1_FBO - Golden Square - 2TestBR- Jan -08 -2008_Thanh toan tam Delta So GD  2" xfId="782" xr:uid="{A0CEAC42-F617-43CC-9F9B-048DFBA7A000}"/>
    <cellStyle name="T_Book1_FBO - Golden Square - 2TestBR- Jan -08 -2008_Thanh toan tam Delta So GD _DIEU CHINH GIA THEP R4" xfId="783" xr:uid="{880837AE-B32E-401B-B804-DBB55ED163F1}"/>
    <cellStyle name="T_Book1_FBO - Golden Square - 2TestBR- Jan -08 -2008_Thanh toan tam Delta So GD _DIEU CHINH GIA THEP R4 2" xfId="784" xr:uid="{622F5467-EAE9-46E7-9EF8-869BD4A372D5}"/>
    <cellStyle name="T_Book1_FBO - Golden Square - 2TestBR- Jan -08 -2008_Thanh toan tam Delta So GD _KL TT 5% gia thep R4" xfId="785" xr:uid="{EA4A61B3-FEFE-4819-80C9-BF052BF4C2AF}"/>
    <cellStyle name="T_Book1_FBO - Golden Square - 2TestBR- Jan -08 -2008_Thanh toan tam Delta So GD _KL TT 5% gia thep R4 2" xfId="786" xr:uid="{6C1FF342-F547-4FD4-A1FE-54AE7741DED7}"/>
    <cellStyle name="T_Book1_FBO - Vincom -DW&amp;Mass BRs- Alt- 2008-Mar-11- 3 rigs" xfId="787" xr:uid="{B5F2D00D-4FBF-4A80-99BA-748376F439EA}"/>
    <cellStyle name="T_Book1_FBO - Vincom -DW&amp;Mass BRs- Alt- 2008-Mar-11- 3 rigs 2" xfId="788" xr:uid="{B04E1FBC-2DF0-4459-9D65-5CB23924AD80}"/>
    <cellStyle name="T_Book1_FBO - Vincom -DW&amp;Mass BRs- Alt- 2008-Mar-11- 3 rigs_1. bang tong hop khoi luong cho dot 1" xfId="789" xr:uid="{4E092B04-9B1F-415A-ADEB-3EABBC788CAE}"/>
    <cellStyle name="T_Book1_FBO - Vincom -DW&amp;Mass BRs- Alt- 2008-Mar-11- 3 rigs_1. bang tong hop khoi luong cho dot 1 2" xfId="790" xr:uid="{B5A8D403-CC1D-4D35-B2F3-D428E172E454}"/>
    <cellStyle name="T_Book1_FBO - Vincom -DW&amp;Mass BRs- Alt- 2008-Mar-11- 3 rigs_form mau thnah toan KL gui BSV 26.08" xfId="791" xr:uid="{28C5306B-6379-4A16-8C73-83DEE657652D}"/>
    <cellStyle name="T_Book1_FBO - Vincom -DW&amp;Mass BRs- Alt- 2008-Mar-11- 3 rigs_form mau thnah toan KL gui BSV 26.08 2" xfId="792" xr:uid="{76691991-22F7-48F0-907B-468079B356AA}"/>
    <cellStyle name="T_Book1_FBO - Vincom -DW&amp;Mass BRs- Alt- 2008-Mar-11- 3 rigs_KC ham dơt 1" xfId="793" xr:uid="{BE6B7B9B-7219-4210-B63B-6A1B680DF313}"/>
    <cellStyle name="T_Book1_FBO - Vincom -DW&amp;Mass BRs- Alt- 2008-Mar-11- 3 rigs_KC ham dơt 1 2" xfId="794" xr:uid="{9D0479D1-D420-414D-8C01-6D68EAC2B14D}"/>
    <cellStyle name="T_Book1_FBO - Vincom -DW&amp;Mass BRs- Alt- 2008-Mar-11- 3 rigs_KC ham dơt 1_DIEU CHINH GIA THEP R4" xfId="795" xr:uid="{3370617F-5547-4BE9-AD19-D951394C47D1}"/>
    <cellStyle name="T_Book1_FBO - Vincom -DW&amp;Mass BRs- Alt- 2008-Mar-11- 3 rigs_KC ham dơt 1_DIEU CHINH GIA THEP R4 2" xfId="796" xr:uid="{F62255EB-5CEA-4587-AF4A-D14EF01618C3}"/>
    <cellStyle name="T_Book1_FBO - Vincom -DW&amp;Mass BRs- Alt- 2008-Mar-11- 3 rigs_KC ham dơt 1_KL TT 5% gia thep R4" xfId="797" xr:uid="{94FEA8CE-1A82-4C52-973D-454DCD25E185}"/>
    <cellStyle name="T_Book1_FBO - Vincom -DW&amp;Mass BRs- Alt- 2008-Mar-11- 3 rigs_KC ham dơt 1_KL TT 5% gia thep R4 2" xfId="798" xr:uid="{3E06B50C-1439-4C94-9EDA-C8A6B2DC7393}"/>
    <cellStyle name="T_Book1_FBO - Vincom -DW&amp;Mass BRs- Alt- 2008-Mar-11- 3 rigs_Quyet toan tam Delta So GD " xfId="799" xr:uid="{FF3F7541-DAEA-4480-831D-F523EC1DECEE}"/>
    <cellStyle name="T_Book1_FBO - Vincom -DW&amp;Mass BRs- Alt- 2008-Mar-11- 3 rigs_Quyet toan tam Delta So GD  2" xfId="800" xr:uid="{DC8EF548-043B-4883-BFD6-645863E0A9AC}"/>
    <cellStyle name="T_Book1_FBO - Vincom -DW&amp;Mass BRs- Alt- 2008-Mar-11- 3 rigs_Quyet toan tam Delta So GD _DIEU CHINH GIA THEP R4" xfId="801" xr:uid="{4EFA37B4-006F-4A76-B755-2C5DE0BEF066}"/>
    <cellStyle name="T_Book1_FBO - Vincom -DW&amp;Mass BRs- Alt- 2008-Mar-11- 3 rigs_Quyet toan tam Delta So GD _DIEU CHINH GIA THEP R4 2" xfId="802" xr:uid="{62DD3C6A-2FD5-49B8-8BEA-DCB5542FD1D6}"/>
    <cellStyle name="T_Book1_FBO - Vincom -DW&amp;Mass BRs- Alt- 2008-Mar-11- 3 rigs_Quyet toan tam Delta So GD _KL TT 5% gia thep R4" xfId="803" xr:uid="{CE835897-B395-4E86-B090-50FBD5715FC8}"/>
    <cellStyle name="T_Book1_FBO - Vincom -DW&amp;Mass BRs- Alt- 2008-Mar-11- 3 rigs_Quyet toan tam Delta So GD _KL TT 5% gia thep R4 2" xfId="804" xr:uid="{571983D5-E987-40F7-BE20-3402069D356A}"/>
    <cellStyle name="T_Book1_FBO - Vincom -DW&amp;Mass BRs- Alt- 2008-Mar-11- 3 rigs_Thanh toan tam Delta So GD " xfId="805" xr:uid="{B5A10BC8-7A20-49C5-A0DA-44D22E8347FE}"/>
    <cellStyle name="T_Book1_FBO - Vincom -DW&amp;Mass BRs- Alt- 2008-Mar-11- 3 rigs_Thanh toan tam Delta So GD  2" xfId="806" xr:uid="{E660B866-1F85-4667-B1A7-9B43C91BDE19}"/>
    <cellStyle name="T_Book1_FBO - Vincom -DW&amp;Mass BRs- Alt- 2008-Mar-11- 3 rigs_Thanh toan tam Delta So GD _DIEU CHINH GIA THEP R4" xfId="807" xr:uid="{CD0CB484-247E-4EFF-8E00-1E7D652A7DAA}"/>
    <cellStyle name="T_Book1_FBO - Vincom -DW&amp;Mass BRs- Alt- 2008-Mar-11- 3 rigs_Thanh toan tam Delta So GD _DIEU CHINH GIA THEP R4 2" xfId="808" xr:uid="{EAFFEC03-C9FE-428E-A3C0-6CA1485EE748}"/>
    <cellStyle name="T_Book1_FBO - Vincom -DW&amp;Mass BRs- Alt- 2008-Mar-11- 3 rigs_Thanh toan tam Delta So GD _KL TT 5% gia thep R4" xfId="809" xr:uid="{AF2CA362-A0F0-47DC-A499-A3D12154906E}"/>
    <cellStyle name="T_Book1_FBO - Vincom -DW&amp;Mass BRs- Alt- 2008-Mar-11- 3 rigs_Thanh toan tam Delta So GD _KL TT 5% gia thep R4 2" xfId="810" xr:uid="{15040D1A-A08E-4C32-95C7-E256D5232E5C}"/>
    <cellStyle name="T_Book1_form mau thnah toan KL gui BSV 26.08" xfId="811" xr:uid="{9B4E3127-6376-4598-BA6B-91A5498D5EF8}"/>
    <cellStyle name="T_Book1_form mau thnah toan KL gui BSV 26.08 2" xfId="812" xr:uid="{8514C1AA-FA7E-41D6-85E1-B329D8B4B9F2}"/>
    <cellStyle name="T_Book1_KC ham dơt 1" xfId="813" xr:uid="{B0BF9720-344D-49B9-AD7B-D4385C093985}"/>
    <cellStyle name="T_Book1_KC ham dơt 1 2" xfId="814" xr:uid="{5FB7E779-6F9E-47C6-9819-152969D76DB3}"/>
    <cellStyle name="T_Book1_KHAU TRU THEP CHU DT CAP" xfId="815" xr:uid="{C8F508B0-83F6-4939-924D-E2E6747DD775}"/>
    <cellStyle name="T_Book1_KHAU TRU THEP CHU DT CAP 2" xfId="816" xr:uid="{066ABE26-0350-40DF-B5A3-46A0C1054A22}"/>
    <cellStyle name="T_Book1_phong KHKD" xfId="817" xr:uid="{06B5CD2C-0755-45E3-82B7-692AFEA98F3A}"/>
    <cellStyle name="T_Book1_phong KHKD 2" xfId="818" xr:uid="{999327DF-21A7-4AF2-8BBD-6CCD9271989C}"/>
    <cellStyle name="T_Book1_Qty for IPC2_trong HD" xfId="819" xr:uid="{3486F4B9-BF45-4391-B262-85ECD4E2978F}"/>
    <cellStyle name="T_Book1_Qty for IPC2_trong HD 2" xfId="820" xr:uid="{798998E6-A7A6-4C86-9635-0BA456F38FEC}"/>
    <cellStyle name="T_Book1_Quantity for application No.1" xfId="821" xr:uid="{A9D1B2D9-82AD-4150-8AB9-ACA2472D2417}"/>
    <cellStyle name="T_Book1_Quantity for application No.1 2" xfId="822" xr:uid="{79D27A50-2725-48EC-B59F-DD8B6B779A81}"/>
    <cellStyle name="T_Book1_Quyet toan tam Delta So GD " xfId="823" xr:uid="{5A9F408B-78E6-4A6D-84A4-DDB85B7B64CA}"/>
    <cellStyle name="T_Book1_Quyet toan tam Delta So GD  2" xfId="824" xr:uid="{9420CDD8-B37A-4023-9FF0-4C6C3A3C6D78}"/>
    <cellStyle name="T_Book1_Thanh toan tam Delta So GD " xfId="825" xr:uid="{1B785326-A25F-4F31-AB15-5F04BC8C64C5}"/>
    <cellStyle name="T_Book1_Thanh toan tam Delta So GD  2" xfId="826" xr:uid="{6FBD6808-705C-4806-874A-8E225F506A0F}"/>
    <cellStyle name="T_Book1_VINCOM-Application No.1" xfId="827" xr:uid="{5717D389-4714-490A-845F-7DC52103B600}"/>
    <cellStyle name="T_Book1_VINCOM-Application No.1 2" xfId="828" xr:uid="{49091153-BF2C-4EC0-8C5E-A0D7B9961A67}"/>
    <cellStyle name="T_Bored pile-Barrette Capacity Nov-09-2007" xfId="829" xr:uid="{E4C170AA-C8EB-4E4A-8276-D191578E8185}"/>
    <cellStyle name="T_Bored pile-Barrette Capacity Nov-09-2007 2" xfId="830" xr:uid="{9E74451B-2250-4E44-92C3-61C721F39D42}"/>
    <cellStyle name="T_Bored pile-Barrette Capacity Nov-09-2007_1. bang tong hop khoi luong cho dot 1" xfId="831" xr:uid="{440349C3-27BE-4CBE-AD44-8A095FFC81BE}"/>
    <cellStyle name="T_Bored pile-Barrette Capacity Nov-09-2007_1. bang tong hop khoi luong cho dot 1 2" xfId="832" xr:uid="{BB79A8B1-327A-425A-8EB0-A9CAD25CDB8B}"/>
    <cellStyle name="T_Bored pile-Barrette Capacity Nov-09-2007_form mau thnah toan KL gui BSV 26.08" xfId="833" xr:uid="{3FFECE0C-4204-4359-9613-978536736659}"/>
    <cellStyle name="T_Bored pile-Barrette Capacity Nov-09-2007_form mau thnah toan KL gui BSV 26.08 2" xfId="834" xr:uid="{AC71A16D-812C-44E8-9FB5-FDDF735918D0}"/>
    <cellStyle name="T_Bored pile-Barrette Capacity Nov-09-2007_KC ham dơt 1" xfId="835" xr:uid="{1CF29DAB-4EB6-4ADF-BEBF-489954186E44}"/>
    <cellStyle name="T_Bored pile-Barrette Capacity Nov-09-2007_KC ham dơt 1 2" xfId="836" xr:uid="{F99B5D4F-1BB7-4850-9A7B-AD46A1A192A7}"/>
    <cellStyle name="T_Bored pile-Barrette Capacity Nov-09-2007_KC ham dơt 1_DIEU CHINH GIA THEP R4" xfId="837" xr:uid="{729B18D4-FA38-49F6-B6F5-26B58A245640}"/>
    <cellStyle name="T_Bored pile-Barrette Capacity Nov-09-2007_KC ham dơt 1_DIEU CHINH GIA THEP R4 2" xfId="838" xr:uid="{2C58D804-A5E6-416D-8F16-DCC251D49284}"/>
    <cellStyle name="T_Bored pile-Barrette Capacity Nov-09-2007_KC ham dơt 1_KL TT 5% gia thep R4" xfId="839" xr:uid="{7F88CB85-A653-4AC4-ADD1-DDF90C0CBF36}"/>
    <cellStyle name="T_Bored pile-Barrette Capacity Nov-09-2007_KC ham dơt 1_KL TT 5% gia thep R4 2" xfId="840" xr:uid="{52939C43-DE05-4EB0-B03B-9BB7114EFADD}"/>
    <cellStyle name="T_Bored pile-Barrette Capacity Nov-09-2007_Quyet toan tam Delta So GD " xfId="841" xr:uid="{8B23D684-CD99-4C0D-AEC9-998AB3D4E05F}"/>
    <cellStyle name="T_Bored pile-Barrette Capacity Nov-09-2007_Quyet toan tam Delta So GD  2" xfId="842" xr:uid="{6EEA656E-2847-4373-80CA-ABF9C6008F23}"/>
    <cellStyle name="T_Bored pile-Barrette Capacity Nov-09-2007_Quyet toan tam Delta So GD _DIEU CHINH GIA THEP R4" xfId="843" xr:uid="{0E4D3C1F-A2DD-4BAA-9BF4-4BFD6FAC6BE3}"/>
    <cellStyle name="T_Bored pile-Barrette Capacity Nov-09-2007_Quyet toan tam Delta So GD _DIEU CHINH GIA THEP R4 2" xfId="844" xr:uid="{B9054054-9E4D-4B2E-9149-15FFA1A1784F}"/>
    <cellStyle name="T_Bored pile-Barrette Capacity Nov-09-2007_Quyet toan tam Delta So GD _KL TT 5% gia thep R4" xfId="845" xr:uid="{3B315046-82A8-48FF-93E6-98FA73FC0210}"/>
    <cellStyle name="T_Bored pile-Barrette Capacity Nov-09-2007_Quyet toan tam Delta So GD _KL TT 5% gia thep R4 2" xfId="846" xr:uid="{32F81914-4689-4C5D-AA78-4E3AB0A1ECC9}"/>
    <cellStyle name="T_Bored pile-Barrette Capacity Nov-09-2007_Thanh toan tam Delta So GD " xfId="847" xr:uid="{AF59B150-1B6E-4980-B71A-64CACD106A9D}"/>
    <cellStyle name="T_Bored pile-Barrette Capacity Nov-09-2007_Thanh toan tam Delta So GD  2" xfId="848" xr:uid="{E8D60FB9-A707-437C-A31C-295367CC9972}"/>
    <cellStyle name="T_Bored pile-Barrette Capacity Nov-09-2007_Thanh toan tam Delta So GD _DIEU CHINH GIA THEP R4" xfId="849" xr:uid="{48F23512-D604-4E6E-95B8-AB6FB7D74BF6}"/>
    <cellStyle name="T_Bored pile-Barrette Capacity Nov-09-2007_Thanh toan tam Delta So GD _DIEU CHINH GIA THEP R4 2" xfId="850" xr:uid="{B26EFF4A-3BF1-4E62-B55E-D35AEDD0EDF4}"/>
    <cellStyle name="T_Bored pile-Barrette Capacity Nov-09-2007_Thanh toan tam Delta So GD _KL TT 5% gia thep R4" xfId="851" xr:uid="{B9C28657-7502-4020-9952-FD72DFEA027E}"/>
    <cellStyle name="T_Bored pile-Barrette Capacity Nov-09-2007_Thanh toan tam Delta So GD _KL TT 5% gia thep R4 2" xfId="852" xr:uid="{C29ED4CC-ACFE-4075-BC6B-E017B540C720}"/>
    <cellStyle name="T_Dang tinh thep cay LG_CĐT" xfId="853" xr:uid="{DD2A0D50-5B27-40FE-B0EA-6A0D14B7DFD6}"/>
    <cellStyle name="T_Dang tinh thep cay LG_CĐT 2" xfId="854" xr:uid="{561E9C67-C94D-472F-88F4-1F34509C893F}"/>
    <cellStyle name="T_Dang tinh thep cay LG_CĐT_KHAU TRU THEP CHU DT CAP" xfId="855" xr:uid="{49F88BB8-06B1-4E1F-8073-C8797B8606F7}"/>
    <cellStyle name="T_Dang tinh thep cay LG_CĐT_KHAU TRU THEP CHU DT CAP 2" xfId="856" xr:uid="{77237690-300B-4F94-97B2-4DC8FCE14412}"/>
    <cellStyle name="T_du toan dieu chinh  20-8-2006" xfId="857" xr:uid="{BBD20498-4E24-4D6F-8809-D8D65F56ADEB}"/>
    <cellStyle name="T_du toan dieu chinh  20-8-2006 2" xfId="858" xr:uid="{5567218D-7CEB-4FD9-A84F-6D304F31781F}"/>
    <cellStyle name="T_du toan dieu chinh  20-8-2006_KHAU TRU THEP CHU DT CAP" xfId="859" xr:uid="{36BF0A8B-E7BB-41D0-A18E-F31FC1046C8B}"/>
    <cellStyle name="T_du toan dieu chinh  20-8-2006_KHAU TRU THEP CHU DT CAP 2" xfId="860" xr:uid="{0FA00F6F-0D29-4366-BB2F-40FA62C14600}"/>
    <cellStyle name="T_du toan nut Binh Thuan (phan duong) ngay 2-8-2007" xfId="861" xr:uid="{AF91D5C8-8445-45B3-93FF-A2C0A1428E66}"/>
    <cellStyle name="T_DUTOAN_Nha dieu hanh" xfId="862" xr:uid="{2F80D060-1023-4F21-8AF9-E9B07B038D1A}"/>
    <cellStyle name="T_DUTOAN_Nha dieu hanh 2" xfId="863" xr:uid="{6D60C01D-89D1-4E44-B859-5012852528F6}"/>
    <cellStyle name="T_DUTOAN_Nha dieu hanh_phong KHKD" xfId="864" xr:uid="{B73232DE-9F6B-4C0F-A5FC-8CCF81358DA1}"/>
    <cellStyle name="T_DUTOAN_Nha dieu hanh_phong KHKD 2" xfId="865" xr:uid="{945C4F6D-FCFE-478A-B304-B063A644E4AE}"/>
    <cellStyle name="T_FBO - Golden Square - 2TestBR- Jan -08 -2008" xfId="866" xr:uid="{C6CBD7BB-772D-4868-A038-EA3B1E65C1B2}"/>
    <cellStyle name="T_FBO - Golden Square - 2TestBR- Jan -08 -2008 2" xfId="867" xr:uid="{25CDEE58-8363-45C4-8E08-DE96DC2181B7}"/>
    <cellStyle name="T_FBO - Golden Square - 2TestBR- Jan -08 -2008_1. bang tong hop khoi luong cho dot 1" xfId="868" xr:uid="{7D56CF84-50B6-4E25-BA1D-00CF5A877D30}"/>
    <cellStyle name="T_FBO - Golden Square - 2TestBR- Jan -08 -2008_1. bang tong hop khoi luong cho dot 1 2" xfId="869" xr:uid="{22291500-E454-459F-BD28-1B255CF7FDC2}"/>
    <cellStyle name="T_FBO - Golden Square - 2TestBR- Jan -08 -2008_form mau thnah toan KL gui BSV 26.08" xfId="870" xr:uid="{D270565F-26E0-455D-908D-625507D9C918}"/>
    <cellStyle name="T_FBO - Golden Square - 2TestBR- Jan -08 -2008_form mau thnah toan KL gui BSV 26.08 2" xfId="871" xr:uid="{5965D771-F851-4D3A-94D6-6C847500A99B}"/>
    <cellStyle name="T_FBO - Golden Square - 2TestBR- Jan -08 -2008_KC ham dơt 1" xfId="872" xr:uid="{8808F14B-8EF3-4CA9-B405-A87AC350F0DF}"/>
    <cellStyle name="T_FBO - Golden Square - 2TestBR- Jan -08 -2008_KC ham dơt 1 2" xfId="873" xr:uid="{B3074EC4-E5CE-4CD9-B54C-2E74DC50C656}"/>
    <cellStyle name="T_FBO - Golden Square - 2TestBR- Jan -08 -2008_KC ham dơt 1_DIEU CHINH GIA THEP R4" xfId="874" xr:uid="{1FB14121-E807-4DD2-B005-ADF5274FF056}"/>
    <cellStyle name="T_FBO - Golden Square - 2TestBR- Jan -08 -2008_KC ham dơt 1_DIEU CHINH GIA THEP R4 2" xfId="875" xr:uid="{B533FDB4-8276-4562-8685-7F7C285E2F27}"/>
    <cellStyle name="T_FBO - Golden Square - 2TestBR- Jan -08 -2008_KC ham dơt 1_KL TT 5% gia thep R4" xfId="876" xr:uid="{C7F8BF8B-D3C6-42E7-93A5-D84B9E5AEFFE}"/>
    <cellStyle name="T_FBO - Golden Square - 2TestBR- Jan -08 -2008_KC ham dơt 1_KL TT 5% gia thep R4 2" xfId="877" xr:uid="{48E4EEDC-9657-403A-A4F7-9127C5D83967}"/>
    <cellStyle name="T_FBO - Golden Square - 2TestBR- Jan -08 -2008_Quyet toan tam Delta So GD " xfId="878" xr:uid="{569DC5AA-57A4-4BE1-AF7E-DCD95E831B2C}"/>
    <cellStyle name="T_FBO - Golden Square - 2TestBR- Jan -08 -2008_Quyet toan tam Delta So GD  2" xfId="879" xr:uid="{5AA2BC82-C5F7-4DFC-A22F-DBD2F0FF4384}"/>
    <cellStyle name="T_FBO - Golden Square - 2TestBR- Jan -08 -2008_Quyet toan tam Delta So GD _DIEU CHINH GIA THEP R4" xfId="880" xr:uid="{E7E84F65-D4F2-41D7-8458-F9D0B690A876}"/>
    <cellStyle name="T_FBO - Golden Square - 2TestBR- Jan -08 -2008_Quyet toan tam Delta So GD _DIEU CHINH GIA THEP R4 2" xfId="881" xr:uid="{FCB91DA3-BD18-43B1-AE5B-FCA1EE39DD96}"/>
    <cellStyle name="T_FBO - Golden Square - 2TestBR- Jan -08 -2008_Quyet toan tam Delta So GD _KL TT 5% gia thep R4" xfId="882" xr:uid="{33BBD3DE-998E-4DD2-BCE8-7659392ED1A4}"/>
    <cellStyle name="T_FBO - Golden Square - 2TestBR- Jan -08 -2008_Quyet toan tam Delta So GD _KL TT 5% gia thep R4 2" xfId="883" xr:uid="{48E49C70-68F1-4B12-A31F-474AE3AE9BA4}"/>
    <cellStyle name="T_FBO - Golden Square - 2TestBR- Jan -08 -2008_Thanh toan tam Delta So GD " xfId="884" xr:uid="{B6BA7C56-64C6-4DCC-B4BE-C6FA4012718D}"/>
    <cellStyle name="T_FBO - Golden Square - 2TestBR- Jan -08 -2008_Thanh toan tam Delta So GD  2" xfId="885" xr:uid="{37C76A6F-1C09-4300-B4BB-60AAD1FAA4D6}"/>
    <cellStyle name="T_FBO - Golden Square - 2TestBR- Jan -08 -2008_Thanh toan tam Delta So GD _DIEU CHINH GIA THEP R4" xfId="886" xr:uid="{FB2629E1-99E3-41A4-834C-7E85A9FCB8D9}"/>
    <cellStyle name="T_FBO - Golden Square - 2TestBR- Jan -08 -2008_Thanh toan tam Delta So GD _DIEU CHINH GIA THEP R4 2" xfId="887" xr:uid="{B5435C57-20B1-4941-8B44-E67B13BC1B5D}"/>
    <cellStyle name="T_FBO - Golden Square - 2TestBR- Jan -08 -2008_Thanh toan tam Delta So GD _KL TT 5% gia thep R4" xfId="888" xr:uid="{AAFA0934-2EB9-422B-92E0-7443D56CA530}"/>
    <cellStyle name="T_FBO - Golden Square - 2TestBR- Jan -08 -2008_Thanh toan tam Delta So GD _KL TT 5% gia thep R4 2" xfId="889" xr:uid="{FA2F3FD1-6693-47EE-8BBE-62028072C499}"/>
    <cellStyle name="T_FBO - Vincom -DW&amp;Mass BRs- Alt- 2008-Mar-11- 3 rigs" xfId="890" xr:uid="{4D10BD06-F5C6-4539-8549-BEF6DDB2955C}"/>
    <cellStyle name="T_FBO - Vincom -DW&amp;Mass BRs- Alt- 2008-Mar-11- 3 rigs 2" xfId="891" xr:uid="{72E690A2-DEB7-436C-8298-BAF5C6167777}"/>
    <cellStyle name="T_FBO - Vincom -DW&amp;Mass BRs- Alt- 2008-Mar-11- 3 rigs_1. bang tong hop khoi luong cho dot 1" xfId="892" xr:uid="{7C262A6F-1292-4FA0-9E40-541C231B8C5E}"/>
    <cellStyle name="T_FBO - Vincom -DW&amp;Mass BRs- Alt- 2008-Mar-11- 3 rigs_1. bang tong hop khoi luong cho dot 1 2" xfId="893" xr:uid="{E78A8B28-603B-4C59-8492-345EED069B17}"/>
    <cellStyle name="T_FBO - Vincom -DW&amp;Mass BRs- Alt- 2008-Mar-11- 3 rigs_form mau thnah toan KL gui BSV 26.08" xfId="894" xr:uid="{21A5A4B1-148C-440A-82CB-CD8CC7CCDD34}"/>
    <cellStyle name="T_FBO - Vincom -DW&amp;Mass BRs- Alt- 2008-Mar-11- 3 rigs_form mau thnah toan KL gui BSV 26.08 2" xfId="895" xr:uid="{854520F1-C872-4F1C-BFF8-4156B371CA8C}"/>
    <cellStyle name="T_FBO - Vincom -DW&amp;Mass BRs- Alt- 2008-Mar-11- 3 rigs_KC ham dơt 1" xfId="896" xr:uid="{A2D91CA9-04DC-4377-948D-56DC8712458F}"/>
    <cellStyle name="T_FBO - Vincom -DW&amp;Mass BRs- Alt- 2008-Mar-11- 3 rigs_KC ham dơt 1 2" xfId="897" xr:uid="{2FB166A9-72B8-42A2-991C-956C5593BD36}"/>
    <cellStyle name="T_FBO - Vincom -DW&amp;Mass BRs- Alt- 2008-Mar-11- 3 rigs_KC ham dơt 1_DIEU CHINH GIA THEP R4" xfId="898" xr:uid="{307CCB84-80C6-4D2B-BEFE-94AA27D28A04}"/>
    <cellStyle name="T_FBO - Vincom -DW&amp;Mass BRs- Alt- 2008-Mar-11- 3 rigs_KC ham dơt 1_DIEU CHINH GIA THEP R4 2" xfId="899" xr:uid="{C86A60B9-6101-46C2-9AB3-3BC041B27E6B}"/>
    <cellStyle name="T_FBO - Vincom -DW&amp;Mass BRs- Alt- 2008-Mar-11- 3 rigs_KC ham dơt 1_KL TT 5% gia thep R4" xfId="900" xr:uid="{F9332377-445B-4081-8367-AA1BB0692014}"/>
    <cellStyle name="T_FBO - Vincom -DW&amp;Mass BRs- Alt- 2008-Mar-11- 3 rigs_KC ham dơt 1_KL TT 5% gia thep R4 2" xfId="901" xr:uid="{DCFA6DCC-5ED5-4B13-B35D-B633383BCFB1}"/>
    <cellStyle name="T_FBO - Vincom -DW&amp;Mass BRs- Alt- 2008-Mar-11- 3 rigs_Quyet toan tam Delta So GD " xfId="902" xr:uid="{A39D44AA-9AEA-408C-9AA8-6E0847136ED3}"/>
    <cellStyle name="T_FBO - Vincom -DW&amp;Mass BRs- Alt- 2008-Mar-11- 3 rigs_Quyet toan tam Delta So GD  2" xfId="903" xr:uid="{0DDF1A6E-89B0-40E1-903B-515D9722EF1B}"/>
    <cellStyle name="T_FBO - Vincom -DW&amp;Mass BRs- Alt- 2008-Mar-11- 3 rigs_Quyet toan tam Delta So GD _DIEU CHINH GIA THEP R4" xfId="904" xr:uid="{49B3EAC9-41DC-49E5-B028-A2862F690EF1}"/>
    <cellStyle name="T_FBO - Vincom -DW&amp;Mass BRs- Alt- 2008-Mar-11- 3 rigs_Quyet toan tam Delta So GD _DIEU CHINH GIA THEP R4 2" xfId="905" xr:uid="{3E73D269-90B6-4773-81E1-7D6DEE441D01}"/>
    <cellStyle name="T_FBO - Vincom -DW&amp;Mass BRs- Alt- 2008-Mar-11- 3 rigs_Quyet toan tam Delta So GD _KL TT 5% gia thep R4" xfId="906" xr:uid="{568D9C54-493E-4410-A90E-15075442468A}"/>
    <cellStyle name="T_FBO - Vincom -DW&amp;Mass BRs- Alt- 2008-Mar-11- 3 rigs_Quyet toan tam Delta So GD _KL TT 5% gia thep R4 2" xfId="907" xr:uid="{8C6A9869-09E0-4AA3-A85E-7D84B3D2F734}"/>
    <cellStyle name="T_FBO - Vincom -DW&amp;Mass BRs- Alt- 2008-Mar-11- 3 rigs_Thanh toan tam Delta So GD " xfId="908" xr:uid="{8FBAA36C-1F31-41B8-B880-6D44D481A616}"/>
    <cellStyle name="T_FBO - Vincom -DW&amp;Mass BRs- Alt- 2008-Mar-11- 3 rigs_Thanh toan tam Delta So GD  2" xfId="909" xr:uid="{2947B908-08AE-4B41-9ED6-2C1EF89FF907}"/>
    <cellStyle name="T_FBO - Vincom -DW&amp;Mass BRs- Alt- 2008-Mar-11- 3 rigs_Thanh toan tam Delta So GD _DIEU CHINH GIA THEP R4" xfId="910" xr:uid="{23ADFB36-8A6F-4990-B01F-157CE589B159}"/>
    <cellStyle name="T_FBO - Vincom -DW&amp;Mass BRs- Alt- 2008-Mar-11- 3 rigs_Thanh toan tam Delta So GD _DIEU CHINH GIA THEP R4 2" xfId="911" xr:uid="{17458558-8E47-4EA3-81CE-E42FDEA19BFB}"/>
    <cellStyle name="T_FBO - Vincom -DW&amp;Mass BRs- Alt- 2008-Mar-11- 3 rigs_Thanh toan tam Delta So GD _KL TT 5% gia thep R4" xfId="912" xr:uid="{A2A8CD77-1067-4575-B76D-3A4C473870A5}"/>
    <cellStyle name="T_FBO - Vincom -DW&amp;Mass BRs- Alt- 2008-Mar-11- 3 rigs_Thanh toan tam Delta So GD _KL TT 5% gia thep R4 2" xfId="913" xr:uid="{D31770B5-1826-490F-8E82-9DFB19C45A68}"/>
    <cellStyle name="T_Gia de nghi trung thau goi 25" xfId="914" xr:uid="{64333725-BEB3-43DD-969C-E9EEA8D40930}"/>
    <cellStyle name="T_Gia de nghi trung thau goi 25 2" xfId="915" xr:uid="{9D635A20-2952-4AA9-99AF-5FC661ED8DF7}"/>
    <cellStyle name="T_Gia de nghi trung thau goi 25_KHAU TRU THEP CHU DT CAP" xfId="916" xr:uid="{597AA3A1-80CB-4BB9-A260-7620A4CF4471}"/>
    <cellStyle name="T_Gia de nghi trung thau goi 25_KHAU TRU THEP CHU DT CAP 2" xfId="917" xr:uid="{DA2F60CE-7AE0-47DD-A4CB-AF545C965174}"/>
    <cellStyle name="T_Gia de nghi trung thau goi 25_T ham 20-10dc binh" xfId="918" xr:uid="{C64FCBC5-3A29-447B-A3F4-8D99FA6F5FF1}"/>
    <cellStyle name="T_Gia de nghi trung thau goi 25_T ham 20-10dc binh 2" xfId="919" xr:uid="{E702C438-57D0-4BC3-8AFE-B0FC444BB70E}"/>
    <cellStyle name="T_HT_Cap_Nuoc" xfId="920" xr:uid="{33A3C085-C03D-41F6-B243-C0DC464719AE}"/>
    <cellStyle name="T_HT_Cap_Nuoc 2" xfId="921" xr:uid="{0BDE90A6-C6A8-43C4-B058-F76419C8D06B}"/>
    <cellStyle name="T_HT_Cap_Nuoc_phong KHKD" xfId="922" xr:uid="{D1849715-57D7-4323-B650-EC59030801FE}"/>
    <cellStyle name="T_HT_Cap_Nuoc_phong KHKD 2" xfId="923" xr:uid="{FE75F14E-E646-4D3C-A194-89D96D632B68}"/>
    <cellStyle name="T_KL TT- PKA (thanh toan dot 1)" xfId="926" xr:uid="{B4F1A057-0B7C-4567-BBE9-3B1D30100488}"/>
    <cellStyle name="T_KL TT- PKA (thanh toan dot 1) 2" xfId="927" xr:uid="{887A0745-C7CB-4499-8C54-448E9A19828C}"/>
    <cellStyle name="T_KHAU TRU THEP CHU DT CAP" xfId="924" xr:uid="{75F2AF58-7A80-4DA7-B386-99144E3D27CF}"/>
    <cellStyle name="T_KHAU TRU THEP CHU DT CAP 2" xfId="925" xr:uid="{44575F81-658C-4E65-B964-86CF76B04FAA}"/>
    <cellStyle name="T_PhaoBH1,4mphai" xfId="928" xr:uid="{45AFB47D-37A1-4172-895E-5267447D5109}"/>
    <cellStyle name="T_PhaoBH1,4mphai 2" xfId="929" xr:uid="{DD314D02-B1EE-4EE3-8DF2-8B8A8A40FA68}"/>
    <cellStyle name="T_PhaoBH1,4mphai_phong KHKD" xfId="930" xr:uid="{7C6F9A64-A565-4826-A325-72A899BFA204}"/>
    <cellStyle name="T_PhaoBH1,4mphai_phong KHKD 2" xfId="931" xr:uid="{498BA38E-5AC0-450E-8593-40C6C9A12E41}"/>
    <cellStyle name="T_Tinh KL thep" xfId="946" xr:uid="{D743F17D-7D77-4021-86FC-0E8029FE38EB}"/>
    <cellStyle name="T_Tinh KL thep 2" xfId="947" xr:uid="{0686520C-98F8-413E-8A84-7184035EBB1F}"/>
    <cellStyle name="T_Tinh KL thep_KHAU TRU THEP CHU DT CAP" xfId="948" xr:uid="{8423C107-1463-428F-99BC-C778844DF0C6}"/>
    <cellStyle name="T_Tinh KL thep_KHAU TRU THEP CHU DT CAP 2" xfId="949" xr:uid="{1333D7B4-2238-438F-A16B-1BD28841F7D5}"/>
    <cellStyle name="T_Tinh khau tru ham R4" xfId="944" xr:uid="{D84960F1-60AF-4B2D-B26F-73A284D00FB2}"/>
    <cellStyle name="T_Tinh khau tru ham R4 2" xfId="945" xr:uid="{46305FEF-EC70-45F5-9FFE-114BE12B9250}"/>
    <cellStyle name="T_TL-Ben400CV" xfId="950" xr:uid="{4F9DC77B-3C0C-4368-B29F-1C9316033F94}"/>
    <cellStyle name="T_TL-Ben400CV 2" xfId="951" xr:uid="{F3E6A6DF-B222-42F9-BCF6-35DD4ED4C61A}"/>
    <cellStyle name="T_TL-Ben400CV_phong KHKD" xfId="952" xr:uid="{AF86D61F-8531-4DF7-AFA1-3A08054BB84A}"/>
    <cellStyle name="T_TL-Ben400CV_phong KHKD 2" xfId="953" xr:uid="{4C23A3D3-AF32-4870-8DB5-7ABE0B866E6B}"/>
    <cellStyle name="T_TongdutoanXMHP" xfId="954" xr:uid="{1C63208B-A874-4F3A-B6EA-B2D35DA6FB1B}"/>
    <cellStyle name="T_TongdutoanXMHP 2" xfId="955" xr:uid="{27EA78A5-A46A-42A7-B6CD-595F2D618A38}"/>
    <cellStyle name="T_tham_tra_du_toan" xfId="932" xr:uid="{9F2E33BB-7C53-410A-AD50-D363D1CE41D5}"/>
    <cellStyle name="T_tham_tra_du_toan 2" xfId="933" xr:uid="{DA9FEA50-3AC5-4825-B640-4F2213607BF6}"/>
    <cellStyle name="T_tham_tra_du_toan_KHAU TRU THEP CHU DT CAP" xfId="934" xr:uid="{15E403D7-6EFA-4599-9513-13CE785570EB}"/>
    <cellStyle name="T_tham_tra_du_toan_KHAU TRU THEP CHU DT CAP 2" xfId="935" xr:uid="{36D7B5FE-1935-4107-99A5-AB63C7FCC4A8}"/>
    <cellStyle name="T_Theo doi thi cong1" xfId="936" xr:uid="{4BF43DD5-03C8-42E1-9F24-7BE947DA9AA7}"/>
    <cellStyle name="T_Theo doi thi cong1 2" xfId="937" xr:uid="{DF923DEB-DA7A-4865-9900-174B1211782B}"/>
    <cellStyle name="T_Theo doi thi cong1_KHAU TRU THEP CHU DT CAP" xfId="938" xr:uid="{F8205429-CF77-451F-A20F-0EFD47C7A857}"/>
    <cellStyle name="T_Theo doi thi cong1_KHAU TRU THEP CHU DT CAP 2" xfId="939" xr:uid="{CB88E68F-9411-4034-B31A-4365FC3B477A}"/>
    <cellStyle name="T_THKL" xfId="940" xr:uid="{FF9B43FE-AEE9-4D61-9ECA-C042234D214C}"/>
    <cellStyle name="T_THKL 2" xfId="941" xr:uid="{865C1C78-36F1-493B-9B20-823BD6E6E5E1}"/>
    <cellStyle name="T_THKL_KHAU TRU THEP CHU DT CAP" xfId="942" xr:uid="{2F89C73D-400F-4598-BC58-C1835BA1BB43}"/>
    <cellStyle name="T_THKL_KHAU TRU THEP CHU DT CAP 2" xfId="943" xr:uid="{23E52F4A-68DD-48DE-BA02-2ED6CA47AAE3}"/>
    <cellStyle name="Tan" xfId="956" xr:uid="{D4E55671-DAEC-4CBA-B0C8-14017C7B3491}"/>
    <cellStyle name="Tan 2" xfId="957" xr:uid="{3C64DE6C-A210-4B78-996D-400B37735FEB}"/>
    <cellStyle name="Tan 3" xfId="958" xr:uid="{85C5EB35-C29F-47CA-88D2-73D115300789}"/>
    <cellStyle name="Text Indent A" xfId="959" xr:uid="{F23DF485-BDCF-4D69-AB93-B97A3F444EFB}"/>
    <cellStyle name="Text Indent B" xfId="960" xr:uid="{2617D0F3-77BC-4B7B-87D6-C5455554E0D4}"/>
    <cellStyle name="Text Indent C" xfId="961" xr:uid="{9BFB769E-1A0C-442F-8F6D-F86EF5D5A8F2}"/>
    <cellStyle name="tit1" xfId="972" xr:uid="{949BDC6D-A514-48F1-94C0-F778146D8DA7}"/>
    <cellStyle name="tit2" xfId="973" xr:uid="{72A38642-11B1-4BBC-8E27-C3A630ACFFA1}"/>
    <cellStyle name="tit2 2" xfId="974" xr:uid="{CF6FABE8-CC9F-4923-AB94-460D38450564}"/>
    <cellStyle name="tit2 3" xfId="975" xr:uid="{94974CC9-2774-422B-B6AB-1F3EA40E7D0F}"/>
    <cellStyle name="tit3" xfId="976" xr:uid="{649B5840-1B2E-4C91-9ABC-1952DC365A06}"/>
    <cellStyle name="tit4" xfId="977" xr:uid="{1D8AAD1F-5D29-4BEC-B014-4F202958F52B}"/>
    <cellStyle name="Title 2" xfId="978" xr:uid="{24CC26E0-2768-406C-A032-A1486B30C5F6}"/>
    <cellStyle name="Tongcong" xfId="979" xr:uid="{D2141A99-BDFE-4F24-A6F0-1A6F284A6076}"/>
    <cellStyle name="Total 2" xfId="980" xr:uid="{7F179F77-6753-4EB2-98C5-01C2217E930C}"/>
    <cellStyle name="Total 2 2" xfId="981" xr:uid="{0F64BAAC-CE62-4EDA-84E3-3A1CAE990439}"/>
    <cellStyle name="Total 2 3" xfId="982" xr:uid="{62B7ECD5-858A-4447-A161-C29B66DA48E6}"/>
    <cellStyle name="Total 3" xfId="983" xr:uid="{21070314-4F72-4AA2-ADA1-6C25A0DFAFF6}"/>
    <cellStyle name="tt1" xfId="984" xr:uid="{8247842A-C8C3-4686-ACA8-4D6FD5FB72C6}"/>
    <cellStyle name="th" xfId="962" xr:uid="{DDA2770A-1537-45F6-9BDA-328EFD803C75}"/>
    <cellStyle name="th 2" xfId="963" xr:uid="{A9259622-0481-409D-A2F0-E90D43DDFDA9}"/>
    <cellStyle name="þ_x001d_ð¤_x000c_¯þ_x0014__x000d_¨þU_x0001_À_x0004_ _x0015__x000f__x0001__x0001_" xfId="964" xr:uid="{9109C69B-AC74-4C9D-8340-6E56356139AD}"/>
    <cellStyle name="þ_x001d_ð·_x000c_æþ'_x000d_ßþU_x0001_Ø_x0005_ü_x0014__x0007__x0001__x0001_" xfId="965" xr:uid="{580C58E5-DF18-466C-95DF-CDE9A7641526}"/>
    <cellStyle name="þ_x001d_ðÇ%Uý—&amp;Hý9_x0008_Ÿ s_x000a__x0007__x0001__x0001_" xfId="966" xr:uid="{36FBFEC1-5F44-421A-ADF5-E8C81CAFF8FE}"/>
    <cellStyle name="þ_x001d_ðK_x000c_Fý_x001b__x000d_9ýU_x0001_Ð_x0008_¦)_x0007__x0001__x0001_" xfId="967" xr:uid="{9F01AD47-9AD7-4AAF-A025-29A6B5A36417}"/>
    <cellStyle name="thuong-10" xfId="968" xr:uid="{DC910814-A930-499F-86C2-D0758667D6F5}"/>
    <cellStyle name="thuong-10 2" xfId="969" xr:uid="{9C25AEE6-7915-4832-A18B-7AD51B1B1BB6}"/>
    <cellStyle name="thuong-11" xfId="970" xr:uid="{55E8678D-0E83-4F79-AF12-E26D2F1EE775}"/>
    <cellStyle name="Thuyet minh" xfId="971" xr:uid="{EAA0F1C3-8407-4026-BAB2-507CA58E4AFC}"/>
    <cellStyle name="Unit" xfId="985" xr:uid="{98FA12D5-E4C1-4AF9-B57E-A9F788AC9BB0}"/>
    <cellStyle name="Unprot" xfId="986" xr:uid="{E0849941-81BC-4488-89DE-DDEDACB840DF}"/>
    <cellStyle name="Unprot$" xfId="987" xr:uid="{655D7D30-0A87-41E3-9574-73F54829C49D}"/>
    <cellStyle name="Unprot_CurrencySKorea" xfId="988" xr:uid="{18D01DF8-7770-48A0-8893-A10585310B33}"/>
    <cellStyle name="Unprotect" xfId="989" xr:uid="{497E363E-8247-4495-8413-F2C2DAE03CB9}"/>
    <cellStyle name="User_Defined_A" xfId="990" xr:uid="{16DE36E3-DC99-4B33-9504-97A3D43E2C31}"/>
    <cellStyle name="VANG1" xfId="991" xr:uid="{360855C1-28E9-4D1F-AF4C-6D35FF762E74}"/>
    <cellStyle name="viet" xfId="992" xr:uid="{615655E4-B2E5-4B69-88DA-2E62DB252F39}"/>
    <cellStyle name="viet2" xfId="993" xr:uid="{ED4F29C1-907B-4D23-B369-162761949B5F}"/>
    <cellStyle name="viet2 2" xfId="994" xr:uid="{B35F3C05-0153-420B-9EB0-A71684963F74}"/>
    <cellStyle name="viet2 3" xfId="995" xr:uid="{EAF3C456-5EBA-4A14-A76C-6EE86B5DA16D}"/>
    <cellStyle name="VLB-GTKÕ" xfId="996" xr:uid="{E68146D4-99BF-47E2-AB70-18B7B9DC7D52}"/>
    <cellStyle name="VN new romanNormal" xfId="997" xr:uid="{EF0D4948-18BC-46FD-A325-9591F91152C9}"/>
    <cellStyle name="Vn Time 13" xfId="998" xr:uid="{F9130890-48DA-4427-A9C7-16FDFDD501D8}"/>
    <cellStyle name="Vn Time 14" xfId="999" xr:uid="{E0BFFB55-3F35-47B0-9F17-B4A4DEB1DE72}"/>
    <cellStyle name="VN time new roman" xfId="1000" xr:uid="{FC30C03E-91B2-4008-B264-EEC6791C2ABB}"/>
    <cellStyle name="vnbo" xfId="1001" xr:uid="{127A171D-897C-4178-BEEA-B82C4BF811F9}"/>
    <cellStyle name="vnbo 2" xfId="1002" xr:uid="{D9CB3323-6F84-4506-AA41-9F579E55CD96}"/>
    <cellStyle name="vnbo 3" xfId="1003" xr:uid="{B1FEC01C-5664-4220-8124-3ACA97F33005}"/>
    <cellStyle name="vnbo 4" xfId="1004" xr:uid="{3194DC2B-FB1F-405C-8724-FD0A0488BB6B}"/>
    <cellStyle name="vntxt1" xfId="1017" xr:uid="{4C8D1F47-AE37-4046-AB94-6A79664D1C55}"/>
    <cellStyle name="vntxt1 2" xfId="1018" xr:uid="{6B9FB8F4-55E7-42A5-9EF4-996E87179EC1}"/>
    <cellStyle name="vntxt1 3" xfId="1019" xr:uid="{580D9B95-01D2-4E6F-932D-46D182B438B0}"/>
    <cellStyle name="vntxt2" xfId="1020" xr:uid="{A437C391-93FB-4E89-827D-06E077736A4F}"/>
    <cellStyle name="vnhead1" xfId="1005" xr:uid="{8DD84FB5-DFD4-407A-8EE9-B0E3641E9C73}"/>
    <cellStyle name="vnhead1 2" xfId="1006" xr:uid="{2269731A-FF3F-4121-A5C2-A12B6ED0610F}"/>
    <cellStyle name="vnhead1 3" xfId="1007" xr:uid="{3210CE94-CF09-4515-A802-5488442EE45E}"/>
    <cellStyle name="vnhead2" xfId="1008" xr:uid="{79387C64-A785-4553-B72E-7841606952C8}"/>
    <cellStyle name="vnhead2 2" xfId="1009" xr:uid="{28877A8C-5692-439D-8E92-2DAE42E46378}"/>
    <cellStyle name="vnhead2 3" xfId="1010" xr:uid="{58A822AC-5D05-45C0-8BE2-BAAE69EE6A71}"/>
    <cellStyle name="vnhead2 4" xfId="1011" xr:uid="{EFF00BED-B511-4B4A-9CFD-2F80FFC55BC2}"/>
    <cellStyle name="vnhead3" xfId="1012" xr:uid="{BC142910-8EA3-431A-9B15-ADB05F7FCBCD}"/>
    <cellStyle name="vnhead3 2" xfId="1013" xr:uid="{0AFCF3CB-225B-4017-BDCD-DDEC41EA9395}"/>
    <cellStyle name="vnhead3 3" xfId="1014" xr:uid="{5171E6AC-DF0F-42BB-88CE-40FE6D93CE68}"/>
    <cellStyle name="vnhead3 4" xfId="1015" xr:uid="{CF44D3A6-846A-436F-9323-8762FAC631D0}"/>
    <cellStyle name="vnhead4" xfId="1016" xr:uid="{C863B966-0FE5-4721-8E96-36934CA9633C}"/>
    <cellStyle name="Währung [0]_UXO VII" xfId="1021" xr:uid="{B774B4B8-5DF2-4E32-B68C-59EE71F0AA7C}"/>
    <cellStyle name="Währung_UXO VII" xfId="1022" xr:uid="{69D4C891-538B-4B51-9BCE-42743381CE7E}"/>
    <cellStyle name="Walutowy [0]_Invoices2001Slovakia" xfId="1023" xr:uid="{5D893E93-67A2-434A-B62A-30ECCF7C26F6}"/>
    <cellStyle name="Walutowy_Invoices2001Slovakia" xfId="1024" xr:uid="{798B6D3D-E869-4178-8AF4-002D05BABB47}"/>
    <cellStyle name="Warning Text 2" xfId="1025" xr:uid="{C5100EDB-F85F-47D2-AAE4-9055332E6FED}"/>
    <cellStyle name="xan1" xfId="1026" xr:uid="{808F7B0E-47E0-4F99-A226-E8BB28BFC4E1}"/>
    <cellStyle name="xuan" xfId="1027" xr:uid="{54E2C7A6-25A8-4713-B4C5-9729B0EEDFA5}"/>
    <cellStyle name="เครื่องหมายสกุลเงิน [0]_FTC_OFFER" xfId="1028" xr:uid="{80B31B6D-C22A-4472-ADDA-CFA92CEA94F6}"/>
    <cellStyle name="เครื่องหมายสกุลเงิน_FTC_OFFER" xfId="1029" xr:uid="{132AA64E-B289-40EF-8157-03973B806920}"/>
    <cellStyle name="ปกติ_FTC_OFFER" xfId="1030" xr:uid="{EC660C96-2A44-4DE2-8A08-E535530813C1}"/>
    <cellStyle name=" [0.00]_ Att. 1- Cover" xfId="1031" xr:uid="{2CFF46C4-7507-448D-BECF-6B3885307739}"/>
    <cellStyle name="_ Att. 1- Cover" xfId="1032" xr:uid="{ED89C855-1BD3-47F3-8485-E7CEB3AD28E0}"/>
    <cellStyle name="?_ Att. 1- Cover" xfId="1033" xr:uid="{6F2C8E43-E657-4213-AFD5-8B2E9DBA9331}"/>
    <cellStyle name="똿뗦먛귟 [0.00]_PRODUCT DETAIL Q1" xfId="1034" xr:uid="{12B692F3-1B44-4571-8E91-90BF57F9E07D}"/>
    <cellStyle name="똿뗦먛귟_PRODUCT DETAIL Q1" xfId="1035" xr:uid="{4146F388-4F6A-4E5D-A4CD-6A6D3D02AD26}"/>
    <cellStyle name="믅됞 [0.00]_PRODUCT DETAIL Q1" xfId="1036" xr:uid="{46571B0E-3804-45A5-BB49-C7A98C9A42BB}"/>
    <cellStyle name="믅됞_PRODUCT DETAIL Q1" xfId="1037" xr:uid="{87BCAA48-0A58-4FD9-93D8-ABBD3ABD1CB9}"/>
    <cellStyle name="백분율_95" xfId="1038" xr:uid="{EA995A8A-0A15-4639-9D51-891A01B137BB}"/>
    <cellStyle name="뷭?_BOOKSHIP" xfId="1039" xr:uid="{B48171B1-A4E0-409E-939D-A5B501A37DA5}"/>
    <cellStyle name="쉼표 [0]_PCS-3~1" xfId="1040" xr:uid="{9D4A036B-0087-45E5-808A-F727DE876513}"/>
    <cellStyle name="쉼표_EQ_ROOM cost" xfId="1041" xr:uid="{2B818154-6199-46CC-8E63-A3985CC37657}"/>
    <cellStyle name="콤맀_Sheet1_총괄표 (수출입) (2)" xfId="1042" xr:uid="{38E99954-247E-49D6-A482-4DBD18AEAD32}"/>
    <cellStyle name="콤마 [ - 유형1" xfId="1043" xr:uid="{FAF525B2-A4DE-4D0F-93F9-F06EAEE112A1}"/>
    <cellStyle name="콤마 [ - 유형2" xfId="1044" xr:uid="{12F99260-CE83-4E0E-AEEE-EE131CAE334F}"/>
    <cellStyle name="콤마 [ - 유형3" xfId="1045" xr:uid="{04E2D14A-D756-4B6D-A4E2-EEB1B0E97FEC}"/>
    <cellStyle name="콤마 [ - 유형4" xfId="1046" xr:uid="{0B6A6CA3-F8C4-484B-9001-661C0854C728}"/>
    <cellStyle name="콤마 [ - 유형5" xfId="1047" xr:uid="{1862AD72-04C1-45C9-9F9B-A0BD1E49D2C4}"/>
    <cellStyle name="콤마 [ - 유형6" xfId="1048" xr:uid="{BB2E83C1-B85D-4F5D-9AA9-AF08790D9693}"/>
    <cellStyle name="콤마 [ - 유형7" xfId="1049" xr:uid="{B12C3072-E780-4F30-9A3C-7A26845177DA}"/>
    <cellStyle name="콤마 [ - 유형8" xfId="1050" xr:uid="{5BA47B86-59E8-48F2-91D4-C6667EEDC6B8}"/>
    <cellStyle name="콤마 [0]_ 비목별 월별기술 " xfId="1051" xr:uid="{605DCB0E-2E9F-4FC3-836E-E596FD939F05}"/>
    <cellStyle name="콤마_ 비목별 월별기술 " xfId="1052" xr:uid="{4F46DC10-A12F-4793-BD92-48C22F9CFA4B}"/>
    <cellStyle name="통화 [0]_1" xfId="1053" xr:uid="{69196864-2C8A-41B9-BC5E-52426E1CB6BA}"/>
    <cellStyle name="통화_1" xfId="1054" xr:uid="{2421D26E-4F93-4CC9-BBA5-F24A95620ACF}"/>
    <cellStyle name="표섀_변경(최종)" xfId="1055" xr:uid="{78501A3E-EC65-49D7-85A0-51A3C8ABE442}"/>
    <cellStyle name="표준 4 2" xfId="1056" xr:uid="{853D51B1-F7A9-4072-84F3-0B5A59616D92}"/>
    <cellStyle name="표준_ 97년 경영분석(안)" xfId="1057" xr:uid="{0FF48B1C-CB49-4A76-AC07-CE29427E07E9}"/>
    <cellStyle name="표줠_Sheet1_1_총괄표 (수출입) (2)" xfId="1058" xr:uid="{29A3B68C-F622-455B-BB7A-A6A405DBE099}"/>
    <cellStyle name="一般_00Q3902REV.1" xfId="1059" xr:uid="{AFB71525-0C09-4C92-82F3-DD1FAA5F0B9D}"/>
    <cellStyle name="千分位[0]_00Q3902REV.1" xfId="1060" xr:uid="{6A92197B-472B-4C01-AE8D-E732A4B431C0}"/>
    <cellStyle name="千分位_00Q3902REV.1" xfId="1061" xr:uid="{80F655A1-2F48-40AE-B203-B9F8EAA78277}"/>
    <cellStyle name="常规_Book1" xfId="1062" xr:uid="{9B59F86F-331A-476E-8FD2-F430919E312A}"/>
    <cellStyle name="桁区切り [0.00]_List-dwg瑩畳䵜楡" xfId="1063" xr:uid="{891B9771-2D7A-4228-B1C0-FE12BBFD7E7F}"/>
    <cellStyle name="桁区切り_List-dwgist-" xfId="1064" xr:uid="{C5F6BD76-9AE7-4974-AFB0-D96B050AD039}"/>
    <cellStyle name="標準_2110-5" xfId="1065" xr:uid="{D370C602-0D9D-4E93-A407-A67C2B2CB171}"/>
    <cellStyle name="貨幣 [0]_00Q3902REV.1" xfId="1066" xr:uid="{3B570615-1042-4B78-A708-1A9DB35EBF9E}"/>
    <cellStyle name="貨幣[0]_BRE" xfId="1067" xr:uid="{A6DEDA69-8CBB-45D2-8A63-AFBC75FB94E3}"/>
    <cellStyle name="貨幣_00Q3902REV.1" xfId="1068" xr:uid="{0356D5BF-CBD2-48A8-8E9B-2145CDF7BBC1}"/>
    <cellStyle name="通貨 [0.00]_List-dwgwg" xfId="1069" xr:uid="{CE88DD5C-0F1A-4DCD-BB01-C6485A3E854C}"/>
    <cellStyle name="通貨_List-dwgis" xfId="1070" xr:uid="{6CE8B3D6-76DC-49E1-9DCE-0C2C9A661825}"/>
  </cellStyles>
  <dxfs count="0"/>
  <tableStyles count="1" defaultTableStyle="TableStyleMedium2" defaultPivotStyle="PivotStyleLight16">
    <tableStyle name="Invisible" pivot="0" table="0" count="0" xr9:uid="{A71F0A4C-86FF-4472-817B-99624B07E43D}"/>
  </tableStyles>
  <colors>
    <mruColors>
      <color rgb="FFE7FFE7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190207</xdr:colOff>
      <xdr:row>2</xdr:row>
      <xdr:rowOff>35023</xdr:rowOff>
    </xdr:from>
    <xdr:to>
      <xdr:col>7</xdr:col>
      <xdr:colOff>134123</xdr:colOff>
      <xdr:row>2</xdr:row>
      <xdr:rowOff>35023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05C5A9-B689-786A-E99B-D239E818D3E6}"/>
            </a:ext>
          </a:extLst>
        </xdr:cNvPr>
        <xdr:cNvCxnSpPr/>
      </xdr:nvCxnSpPr>
      <xdr:spPr>
        <a:xfrm>
          <a:off x="2425212" y="688731"/>
          <a:ext cx="210282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190207</xdr:colOff>
      <xdr:row>2</xdr:row>
      <xdr:rowOff>35023</xdr:rowOff>
    </xdr:from>
    <xdr:to>
      <xdr:col>7</xdr:col>
      <xdr:colOff>134123</xdr:colOff>
      <xdr:row>2</xdr:row>
      <xdr:rowOff>35023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A26332A-0D7F-4EAF-9D32-C29CC9C5C399}"/>
            </a:ext>
          </a:extLst>
        </xdr:cNvPr>
        <xdr:cNvCxnSpPr/>
      </xdr:nvCxnSpPr>
      <xdr:spPr>
        <a:xfrm>
          <a:off x="4752682" y="692248"/>
          <a:ext cx="434446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1</xdr:row>
      <xdr:rowOff>195580</xdr:rowOff>
    </xdr:from>
    <xdr:to>
      <xdr:col>2</xdr:col>
      <xdr:colOff>891540</xdr:colOff>
      <xdr:row>1</xdr:row>
      <xdr:rowOff>195580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36CA6D6-7592-4C0F-8629-E0C71D8C76C4}"/>
            </a:ext>
          </a:extLst>
        </xdr:cNvPr>
        <xdr:cNvCxnSpPr/>
      </xdr:nvCxnSpPr>
      <xdr:spPr>
        <a:xfrm>
          <a:off x="546735" y="405130"/>
          <a:ext cx="13830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0</xdr:rowOff>
    </xdr:from>
    <xdr:to>
      <xdr:col>1</xdr:col>
      <xdr:colOff>933450</xdr:colOff>
      <xdr:row>4</xdr:row>
      <xdr:rowOff>185628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C752E9-E7F2-C9AE-E616-4B2F6B16F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0"/>
          <a:ext cx="1171574" cy="12810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661147</xdr:colOff>
      <xdr:row>3</xdr:row>
      <xdr:rowOff>117726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7DEEC-84AB-42C3-B6AD-0FF0C274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5765" cy="118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0</xdr:rowOff>
    </xdr:from>
    <xdr:to>
      <xdr:col>1</xdr:col>
      <xdr:colOff>495299</xdr:colOff>
      <xdr:row>3</xdr:row>
      <xdr:rowOff>110628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0972C6-DE76-46CB-ADE3-F85024F1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0"/>
          <a:ext cx="828675" cy="9107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92493</xdr:colOff>
      <xdr:row>11</xdr:row>
      <xdr:rowOff>55220</xdr:rowOff>
    </xdr:from>
    <xdr:to>
      <xdr:col>3</xdr:col>
      <xdr:colOff>1003580</xdr:colOff>
      <xdr:row>11</xdr:row>
      <xdr:rowOff>303698</xdr:rowOff>
    </xdr:to>
    <xdr:sp macro="" textlink="">
      <xdr:nvSpPr>
        <xdr:cNvPr id="2" name="hinh15">
          <a:extLst>
            <a:ext uri="{FF2B5EF4-FFF2-40B4-BE49-F238E27FC236}">
              <a16:creationId xmlns:a16="http://schemas.microsoft.com/office/drawing/2014/main" id="{2FC4164F-DFCF-4861-B691-D8530CEF2ADF}"/>
            </a:ext>
          </a:extLst>
        </xdr:cNvPr>
        <xdr:cNvSpPr>
          <a:spLocks noChangeAspect="1"/>
        </xdr:cNvSpPr>
      </xdr:nvSpPr>
      <xdr:spPr bwMode="auto">
        <a:xfrm rot="10800000">
          <a:off x="2732279" y="29453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9</xdr:row>
      <xdr:rowOff>61296</xdr:rowOff>
    </xdr:from>
    <xdr:to>
      <xdr:col>3</xdr:col>
      <xdr:colOff>965880</xdr:colOff>
      <xdr:row>9</xdr:row>
      <xdr:rowOff>224979</xdr:rowOff>
    </xdr:to>
    <xdr:grpSp>
      <xdr:nvGrpSpPr>
        <xdr:cNvPr id="3" name="hinh2">
          <a:extLst>
            <a:ext uri="{FF2B5EF4-FFF2-40B4-BE49-F238E27FC236}">
              <a16:creationId xmlns:a16="http://schemas.microsoft.com/office/drawing/2014/main" id="{174F960E-6A06-4936-B431-2EB72FF4095C}"/>
            </a:ext>
          </a:extLst>
        </xdr:cNvPr>
        <xdr:cNvGrpSpPr>
          <a:grpSpLocks noChangeAspect="1"/>
        </xdr:cNvGrpSpPr>
      </xdr:nvGrpSpPr>
      <xdr:grpSpPr bwMode="auto">
        <a:xfrm>
          <a:off x="2735410" y="2661061"/>
          <a:ext cx="875058" cy="163683"/>
          <a:chOff x="206" y="86"/>
          <a:chExt cx="73" cy="16"/>
        </a:xfrm>
      </xdr:grpSpPr>
      <xdr:sp macro="" textlink="">
        <xdr:nvSpPr>
          <xdr:cNvPr id="4" name="Line 6">
            <a:extLst>
              <a:ext uri="{FF2B5EF4-FFF2-40B4-BE49-F238E27FC236}">
                <a16:creationId xmlns:a16="http://schemas.microsoft.com/office/drawing/2014/main" id="{F9F92A23-40A9-27A7-5ADC-3A54A47353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7">
            <a:extLst>
              <a:ext uri="{FF2B5EF4-FFF2-40B4-BE49-F238E27FC236}">
                <a16:creationId xmlns:a16="http://schemas.microsoft.com/office/drawing/2014/main" id="{FD7A3CFB-5816-ADDF-2274-E2167522A0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id="{B4340700-F91A-7950-DE9A-5519C725A6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12</xdr:row>
      <xdr:rowOff>62196</xdr:rowOff>
    </xdr:from>
    <xdr:to>
      <xdr:col>3</xdr:col>
      <xdr:colOff>952499</xdr:colOff>
      <xdr:row>12</xdr:row>
      <xdr:rowOff>213437</xdr:rowOff>
    </xdr:to>
    <xdr:grpSp>
      <xdr:nvGrpSpPr>
        <xdr:cNvPr id="7" name="hinh3">
          <a:extLst>
            <a:ext uri="{FF2B5EF4-FFF2-40B4-BE49-F238E27FC236}">
              <a16:creationId xmlns:a16="http://schemas.microsoft.com/office/drawing/2014/main" id="{5A85594E-1F21-4DA5-B28D-6E2D3B9D06A0}"/>
            </a:ext>
          </a:extLst>
        </xdr:cNvPr>
        <xdr:cNvGrpSpPr>
          <a:grpSpLocks noChangeAspect="1"/>
        </xdr:cNvGrpSpPr>
      </xdr:nvGrpSpPr>
      <xdr:grpSpPr bwMode="auto">
        <a:xfrm>
          <a:off x="2735376" y="3603255"/>
          <a:ext cx="861711" cy="151241"/>
          <a:chOff x="206" y="112"/>
          <a:chExt cx="73" cy="16"/>
        </a:xfrm>
      </xdr:grpSpPr>
      <xdr:sp macro="" textlink="">
        <xdr:nvSpPr>
          <xdr:cNvPr id="8" name="Line 3">
            <a:extLst>
              <a:ext uri="{FF2B5EF4-FFF2-40B4-BE49-F238E27FC236}">
                <a16:creationId xmlns:a16="http://schemas.microsoft.com/office/drawing/2014/main" id="{F7077D47-7A8D-5BA5-B3A3-E21F9C6A3F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">
            <a:extLst>
              <a:ext uri="{FF2B5EF4-FFF2-40B4-BE49-F238E27FC236}">
                <a16:creationId xmlns:a16="http://schemas.microsoft.com/office/drawing/2014/main" id="{241811F5-FCBA-9710-DD2F-5646F505C6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</xdr:row>
      <xdr:rowOff>50652</xdr:rowOff>
    </xdr:from>
    <xdr:to>
      <xdr:col>3</xdr:col>
      <xdr:colOff>962981</xdr:colOff>
      <xdr:row>10</xdr:row>
      <xdr:rowOff>214335</xdr:rowOff>
    </xdr:to>
    <xdr:grpSp>
      <xdr:nvGrpSpPr>
        <xdr:cNvPr id="46" name="hinh2">
          <a:extLst>
            <a:ext uri="{FF2B5EF4-FFF2-40B4-BE49-F238E27FC236}">
              <a16:creationId xmlns:a16="http://schemas.microsoft.com/office/drawing/2014/main" id="{515B1DCE-8966-4604-886B-66DF029AE133}"/>
            </a:ext>
          </a:extLst>
        </xdr:cNvPr>
        <xdr:cNvGrpSpPr>
          <a:grpSpLocks noChangeAspect="1"/>
        </xdr:cNvGrpSpPr>
      </xdr:nvGrpSpPr>
      <xdr:grpSpPr bwMode="auto">
        <a:xfrm>
          <a:off x="2732511" y="2964181"/>
          <a:ext cx="875058" cy="163683"/>
          <a:chOff x="206" y="86"/>
          <a:chExt cx="73" cy="16"/>
        </a:xfrm>
      </xdr:grpSpPr>
      <xdr:sp macro="" textlink="">
        <xdr:nvSpPr>
          <xdr:cNvPr id="47" name="Line 6">
            <a:extLst>
              <a:ext uri="{FF2B5EF4-FFF2-40B4-BE49-F238E27FC236}">
                <a16:creationId xmlns:a16="http://schemas.microsoft.com/office/drawing/2014/main" id="{91D16330-CD82-4A0C-01A5-B5429DDD02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7">
            <a:extLst>
              <a:ext uri="{FF2B5EF4-FFF2-40B4-BE49-F238E27FC236}">
                <a16:creationId xmlns:a16="http://schemas.microsoft.com/office/drawing/2014/main" id="{52C6656C-CD14-4CD4-69DE-7DC6315830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8">
            <a:extLst>
              <a:ext uri="{FF2B5EF4-FFF2-40B4-BE49-F238E27FC236}">
                <a16:creationId xmlns:a16="http://schemas.microsoft.com/office/drawing/2014/main" id="{C4B191EB-A359-86A6-4212-0E0CB1FD90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16</xdr:row>
      <xdr:rowOff>55220</xdr:rowOff>
    </xdr:from>
    <xdr:to>
      <xdr:col>3</xdr:col>
      <xdr:colOff>1003580</xdr:colOff>
      <xdr:row>16</xdr:row>
      <xdr:rowOff>303698</xdr:rowOff>
    </xdr:to>
    <xdr:sp macro="" textlink="">
      <xdr:nvSpPr>
        <xdr:cNvPr id="470" name="hinh15">
          <a:extLst>
            <a:ext uri="{FF2B5EF4-FFF2-40B4-BE49-F238E27FC236}">
              <a16:creationId xmlns:a16="http://schemas.microsoft.com/office/drawing/2014/main" id="{5DCE5BC8-8AA4-41C5-8390-88FE2DA765E0}"/>
            </a:ext>
          </a:extLst>
        </xdr:cNvPr>
        <xdr:cNvSpPr>
          <a:spLocks noChangeAspect="1"/>
        </xdr:cNvSpPr>
      </xdr:nvSpPr>
      <xdr:spPr bwMode="auto">
        <a:xfrm rot="10800000">
          <a:off x="2732279" y="48394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14</xdr:row>
      <xdr:rowOff>61296</xdr:rowOff>
    </xdr:from>
    <xdr:to>
      <xdr:col>3</xdr:col>
      <xdr:colOff>965880</xdr:colOff>
      <xdr:row>14</xdr:row>
      <xdr:rowOff>224979</xdr:rowOff>
    </xdr:to>
    <xdr:grpSp>
      <xdr:nvGrpSpPr>
        <xdr:cNvPr id="471" name="hinh2">
          <a:extLst>
            <a:ext uri="{FF2B5EF4-FFF2-40B4-BE49-F238E27FC236}">
              <a16:creationId xmlns:a16="http://schemas.microsoft.com/office/drawing/2014/main" id="{B4B6C184-ECDA-45ED-AAB2-7910ECB6AF3B}"/>
            </a:ext>
          </a:extLst>
        </xdr:cNvPr>
        <xdr:cNvGrpSpPr>
          <a:grpSpLocks noChangeAspect="1"/>
        </xdr:cNvGrpSpPr>
      </xdr:nvGrpSpPr>
      <xdr:grpSpPr bwMode="auto">
        <a:xfrm>
          <a:off x="2735410" y="4229884"/>
          <a:ext cx="875058" cy="163683"/>
          <a:chOff x="206" y="86"/>
          <a:chExt cx="73" cy="16"/>
        </a:xfrm>
      </xdr:grpSpPr>
      <xdr:sp macro="" textlink="">
        <xdr:nvSpPr>
          <xdr:cNvPr id="472" name="Line 6">
            <a:extLst>
              <a:ext uri="{FF2B5EF4-FFF2-40B4-BE49-F238E27FC236}">
                <a16:creationId xmlns:a16="http://schemas.microsoft.com/office/drawing/2014/main" id="{F9B9DE94-6DE0-781E-EB89-8B79C3C829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" name="Line 7">
            <a:extLst>
              <a:ext uri="{FF2B5EF4-FFF2-40B4-BE49-F238E27FC236}">
                <a16:creationId xmlns:a16="http://schemas.microsoft.com/office/drawing/2014/main" id="{C374B530-246D-CC28-12D4-70665236E1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" name="Line 8">
            <a:extLst>
              <a:ext uri="{FF2B5EF4-FFF2-40B4-BE49-F238E27FC236}">
                <a16:creationId xmlns:a16="http://schemas.microsoft.com/office/drawing/2014/main" id="{A5BF72E2-C008-6DC8-ECAA-6FBA70E9B0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17</xdr:row>
      <xdr:rowOff>62196</xdr:rowOff>
    </xdr:from>
    <xdr:to>
      <xdr:col>3</xdr:col>
      <xdr:colOff>952499</xdr:colOff>
      <xdr:row>17</xdr:row>
      <xdr:rowOff>213437</xdr:rowOff>
    </xdr:to>
    <xdr:grpSp>
      <xdr:nvGrpSpPr>
        <xdr:cNvPr id="475" name="hinh3">
          <a:extLst>
            <a:ext uri="{FF2B5EF4-FFF2-40B4-BE49-F238E27FC236}">
              <a16:creationId xmlns:a16="http://schemas.microsoft.com/office/drawing/2014/main" id="{FECDDC7E-01DF-498F-85A4-E33F2B3F8842}"/>
            </a:ext>
          </a:extLst>
        </xdr:cNvPr>
        <xdr:cNvGrpSpPr>
          <a:grpSpLocks noChangeAspect="1"/>
        </xdr:cNvGrpSpPr>
      </xdr:nvGrpSpPr>
      <xdr:grpSpPr bwMode="auto">
        <a:xfrm>
          <a:off x="2735376" y="5172078"/>
          <a:ext cx="861711" cy="151241"/>
          <a:chOff x="206" y="112"/>
          <a:chExt cx="73" cy="16"/>
        </a:xfrm>
      </xdr:grpSpPr>
      <xdr:sp macro="" textlink="">
        <xdr:nvSpPr>
          <xdr:cNvPr id="476" name="Line 3">
            <a:extLst>
              <a:ext uri="{FF2B5EF4-FFF2-40B4-BE49-F238E27FC236}">
                <a16:creationId xmlns:a16="http://schemas.microsoft.com/office/drawing/2014/main" id="{C3005E09-0399-641A-49F2-E96097436B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" name="Line 4">
            <a:extLst>
              <a:ext uri="{FF2B5EF4-FFF2-40B4-BE49-F238E27FC236}">
                <a16:creationId xmlns:a16="http://schemas.microsoft.com/office/drawing/2014/main" id="{BFEF1B0C-A300-A51C-0F3D-BA51838BD4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15</xdr:row>
      <xdr:rowOff>50652</xdr:rowOff>
    </xdr:from>
    <xdr:to>
      <xdr:col>3</xdr:col>
      <xdr:colOff>962981</xdr:colOff>
      <xdr:row>15</xdr:row>
      <xdr:rowOff>214335</xdr:rowOff>
    </xdr:to>
    <xdr:grpSp>
      <xdr:nvGrpSpPr>
        <xdr:cNvPr id="478" name="hinh2">
          <a:extLst>
            <a:ext uri="{FF2B5EF4-FFF2-40B4-BE49-F238E27FC236}">
              <a16:creationId xmlns:a16="http://schemas.microsoft.com/office/drawing/2014/main" id="{37BB7143-0BA3-4022-A474-5F88B88C2A57}"/>
            </a:ext>
          </a:extLst>
        </xdr:cNvPr>
        <xdr:cNvGrpSpPr>
          <a:grpSpLocks noChangeAspect="1"/>
        </xdr:cNvGrpSpPr>
      </xdr:nvGrpSpPr>
      <xdr:grpSpPr bwMode="auto">
        <a:xfrm>
          <a:off x="2732511" y="4533005"/>
          <a:ext cx="875058" cy="163683"/>
          <a:chOff x="206" y="86"/>
          <a:chExt cx="73" cy="16"/>
        </a:xfrm>
      </xdr:grpSpPr>
      <xdr:sp macro="" textlink="">
        <xdr:nvSpPr>
          <xdr:cNvPr id="479" name="Line 6">
            <a:extLst>
              <a:ext uri="{FF2B5EF4-FFF2-40B4-BE49-F238E27FC236}">
                <a16:creationId xmlns:a16="http://schemas.microsoft.com/office/drawing/2014/main" id="{7AC49FF2-ECA1-6A41-6701-B5F8454DC6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" name="Line 7">
            <a:extLst>
              <a:ext uri="{FF2B5EF4-FFF2-40B4-BE49-F238E27FC236}">
                <a16:creationId xmlns:a16="http://schemas.microsoft.com/office/drawing/2014/main" id="{E7EFEEE3-C50C-A44E-3D00-0E3BA3FA00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" name="Line 8">
            <a:extLst>
              <a:ext uri="{FF2B5EF4-FFF2-40B4-BE49-F238E27FC236}">
                <a16:creationId xmlns:a16="http://schemas.microsoft.com/office/drawing/2014/main" id="{5635BC4F-9D44-ED83-4923-BF3BD7D9F0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</xdr:row>
      <xdr:rowOff>50652</xdr:rowOff>
    </xdr:from>
    <xdr:to>
      <xdr:col>3</xdr:col>
      <xdr:colOff>962981</xdr:colOff>
      <xdr:row>10</xdr:row>
      <xdr:rowOff>214335</xdr:rowOff>
    </xdr:to>
    <xdr:grpSp>
      <xdr:nvGrpSpPr>
        <xdr:cNvPr id="482" name="hinh2">
          <a:extLst>
            <a:ext uri="{FF2B5EF4-FFF2-40B4-BE49-F238E27FC236}">
              <a16:creationId xmlns:a16="http://schemas.microsoft.com/office/drawing/2014/main" id="{9F67D9B8-F28B-4127-81C3-4C83B3B2D421}"/>
            </a:ext>
          </a:extLst>
        </xdr:cNvPr>
        <xdr:cNvGrpSpPr>
          <a:grpSpLocks noChangeAspect="1"/>
        </xdr:cNvGrpSpPr>
      </xdr:nvGrpSpPr>
      <xdr:grpSpPr bwMode="auto">
        <a:xfrm>
          <a:off x="2732511" y="2964181"/>
          <a:ext cx="875058" cy="163683"/>
          <a:chOff x="206" y="86"/>
          <a:chExt cx="73" cy="16"/>
        </a:xfrm>
      </xdr:grpSpPr>
      <xdr:sp macro="" textlink="">
        <xdr:nvSpPr>
          <xdr:cNvPr id="483" name="Line 6">
            <a:extLst>
              <a:ext uri="{FF2B5EF4-FFF2-40B4-BE49-F238E27FC236}">
                <a16:creationId xmlns:a16="http://schemas.microsoft.com/office/drawing/2014/main" id="{0B777FED-4270-CE3C-D6ED-0E649F94BC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" name="Line 7">
            <a:extLst>
              <a:ext uri="{FF2B5EF4-FFF2-40B4-BE49-F238E27FC236}">
                <a16:creationId xmlns:a16="http://schemas.microsoft.com/office/drawing/2014/main" id="{16BAE7A9-BE73-87BF-39AA-7F896C0DAF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" name="Line 8">
            <a:extLst>
              <a:ext uri="{FF2B5EF4-FFF2-40B4-BE49-F238E27FC236}">
                <a16:creationId xmlns:a16="http://schemas.microsoft.com/office/drawing/2014/main" id="{D9E5CEA3-0868-66E1-AE03-BE8E2845EE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21</xdr:row>
      <xdr:rowOff>55220</xdr:rowOff>
    </xdr:from>
    <xdr:to>
      <xdr:col>3</xdr:col>
      <xdr:colOff>1003580</xdr:colOff>
      <xdr:row>21</xdr:row>
      <xdr:rowOff>303698</xdr:rowOff>
    </xdr:to>
    <xdr:sp macro="" textlink="">
      <xdr:nvSpPr>
        <xdr:cNvPr id="486" name="hinh15">
          <a:extLst>
            <a:ext uri="{FF2B5EF4-FFF2-40B4-BE49-F238E27FC236}">
              <a16:creationId xmlns:a16="http://schemas.microsoft.com/office/drawing/2014/main" id="{DFA8B39B-E069-4811-9FE0-3A404C0CDDA8}"/>
            </a:ext>
          </a:extLst>
        </xdr:cNvPr>
        <xdr:cNvSpPr>
          <a:spLocks noChangeAspect="1"/>
        </xdr:cNvSpPr>
      </xdr:nvSpPr>
      <xdr:spPr bwMode="auto">
        <a:xfrm rot="10800000">
          <a:off x="2732279" y="64179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19</xdr:row>
      <xdr:rowOff>61296</xdr:rowOff>
    </xdr:from>
    <xdr:to>
      <xdr:col>3</xdr:col>
      <xdr:colOff>965880</xdr:colOff>
      <xdr:row>19</xdr:row>
      <xdr:rowOff>224979</xdr:rowOff>
    </xdr:to>
    <xdr:grpSp>
      <xdr:nvGrpSpPr>
        <xdr:cNvPr id="487" name="hinh2">
          <a:extLst>
            <a:ext uri="{FF2B5EF4-FFF2-40B4-BE49-F238E27FC236}">
              <a16:creationId xmlns:a16="http://schemas.microsoft.com/office/drawing/2014/main" id="{15F9FECC-A184-4F04-AC35-D7180B0A87E7}"/>
            </a:ext>
          </a:extLst>
        </xdr:cNvPr>
        <xdr:cNvGrpSpPr>
          <a:grpSpLocks noChangeAspect="1"/>
        </xdr:cNvGrpSpPr>
      </xdr:nvGrpSpPr>
      <xdr:grpSpPr bwMode="auto">
        <a:xfrm>
          <a:off x="2735410" y="5798708"/>
          <a:ext cx="875058" cy="163683"/>
          <a:chOff x="206" y="86"/>
          <a:chExt cx="73" cy="16"/>
        </a:xfrm>
      </xdr:grpSpPr>
      <xdr:sp macro="" textlink="">
        <xdr:nvSpPr>
          <xdr:cNvPr id="488" name="Line 6">
            <a:extLst>
              <a:ext uri="{FF2B5EF4-FFF2-40B4-BE49-F238E27FC236}">
                <a16:creationId xmlns:a16="http://schemas.microsoft.com/office/drawing/2014/main" id="{579C8A09-531C-E898-5B51-38BCF20B15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" name="Line 7">
            <a:extLst>
              <a:ext uri="{FF2B5EF4-FFF2-40B4-BE49-F238E27FC236}">
                <a16:creationId xmlns:a16="http://schemas.microsoft.com/office/drawing/2014/main" id="{1D3063B3-726E-EA79-5555-24B22A1881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0" name="Line 8">
            <a:extLst>
              <a:ext uri="{FF2B5EF4-FFF2-40B4-BE49-F238E27FC236}">
                <a16:creationId xmlns:a16="http://schemas.microsoft.com/office/drawing/2014/main" id="{17C08AED-F257-7DE1-1E26-D3382FD927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22</xdr:row>
      <xdr:rowOff>62196</xdr:rowOff>
    </xdr:from>
    <xdr:to>
      <xdr:col>3</xdr:col>
      <xdr:colOff>952499</xdr:colOff>
      <xdr:row>22</xdr:row>
      <xdr:rowOff>213437</xdr:rowOff>
    </xdr:to>
    <xdr:grpSp>
      <xdr:nvGrpSpPr>
        <xdr:cNvPr id="491" name="hinh3">
          <a:extLst>
            <a:ext uri="{FF2B5EF4-FFF2-40B4-BE49-F238E27FC236}">
              <a16:creationId xmlns:a16="http://schemas.microsoft.com/office/drawing/2014/main" id="{9885F949-80D9-4372-A9B4-ACFE9D579846}"/>
            </a:ext>
          </a:extLst>
        </xdr:cNvPr>
        <xdr:cNvGrpSpPr>
          <a:grpSpLocks noChangeAspect="1"/>
        </xdr:cNvGrpSpPr>
      </xdr:nvGrpSpPr>
      <xdr:grpSpPr bwMode="auto">
        <a:xfrm>
          <a:off x="2735376" y="6740902"/>
          <a:ext cx="861711" cy="151241"/>
          <a:chOff x="206" y="112"/>
          <a:chExt cx="73" cy="16"/>
        </a:xfrm>
      </xdr:grpSpPr>
      <xdr:sp macro="" textlink="">
        <xdr:nvSpPr>
          <xdr:cNvPr id="492" name="Line 3">
            <a:extLst>
              <a:ext uri="{FF2B5EF4-FFF2-40B4-BE49-F238E27FC236}">
                <a16:creationId xmlns:a16="http://schemas.microsoft.com/office/drawing/2014/main" id="{0E498D4F-D7AC-DE2E-2C40-E562DDC213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" name="Line 4">
            <a:extLst>
              <a:ext uri="{FF2B5EF4-FFF2-40B4-BE49-F238E27FC236}">
                <a16:creationId xmlns:a16="http://schemas.microsoft.com/office/drawing/2014/main" id="{0603E1C0-9071-5629-C1F7-EA82095DC4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20</xdr:row>
      <xdr:rowOff>50652</xdr:rowOff>
    </xdr:from>
    <xdr:to>
      <xdr:col>3</xdr:col>
      <xdr:colOff>962981</xdr:colOff>
      <xdr:row>20</xdr:row>
      <xdr:rowOff>214335</xdr:rowOff>
    </xdr:to>
    <xdr:grpSp>
      <xdr:nvGrpSpPr>
        <xdr:cNvPr id="494" name="hinh2">
          <a:extLst>
            <a:ext uri="{FF2B5EF4-FFF2-40B4-BE49-F238E27FC236}">
              <a16:creationId xmlns:a16="http://schemas.microsoft.com/office/drawing/2014/main" id="{030EF765-D6FA-4DC5-BFED-039DCBED42D1}"/>
            </a:ext>
          </a:extLst>
        </xdr:cNvPr>
        <xdr:cNvGrpSpPr>
          <a:grpSpLocks noChangeAspect="1"/>
        </xdr:cNvGrpSpPr>
      </xdr:nvGrpSpPr>
      <xdr:grpSpPr bwMode="auto">
        <a:xfrm>
          <a:off x="2732511" y="6101828"/>
          <a:ext cx="875058" cy="163683"/>
          <a:chOff x="206" y="86"/>
          <a:chExt cx="73" cy="16"/>
        </a:xfrm>
      </xdr:grpSpPr>
      <xdr:sp macro="" textlink="">
        <xdr:nvSpPr>
          <xdr:cNvPr id="495" name="Line 6">
            <a:extLst>
              <a:ext uri="{FF2B5EF4-FFF2-40B4-BE49-F238E27FC236}">
                <a16:creationId xmlns:a16="http://schemas.microsoft.com/office/drawing/2014/main" id="{125A737E-C714-04A3-DF8B-FED4B477E8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6" name="Line 7">
            <a:extLst>
              <a:ext uri="{FF2B5EF4-FFF2-40B4-BE49-F238E27FC236}">
                <a16:creationId xmlns:a16="http://schemas.microsoft.com/office/drawing/2014/main" id="{AC7AC924-2AD9-FF5E-2F80-8E81B1DD15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7" name="Line 8">
            <a:extLst>
              <a:ext uri="{FF2B5EF4-FFF2-40B4-BE49-F238E27FC236}">
                <a16:creationId xmlns:a16="http://schemas.microsoft.com/office/drawing/2014/main" id="{28DC6BE6-154E-956F-40CB-A162C4A3BD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26</xdr:row>
      <xdr:rowOff>55220</xdr:rowOff>
    </xdr:from>
    <xdr:to>
      <xdr:col>3</xdr:col>
      <xdr:colOff>1003580</xdr:colOff>
      <xdr:row>26</xdr:row>
      <xdr:rowOff>303698</xdr:rowOff>
    </xdr:to>
    <xdr:sp macro="" textlink="">
      <xdr:nvSpPr>
        <xdr:cNvPr id="498" name="hinh15">
          <a:extLst>
            <a:ext uri="{FF2B5EF4-FFF2-40B4-BE49-F238E27FC236}">
              <a16:creationId xmlns:a16="http://schemas.microsoft.com/office/drawing/2014/main" id="{0A7DD7B5-AD55-4A3D-BECD-6CCC1971522B}"/>
            </a:ext>
          </a:extLst>
        </xdr:cNvPr>
        <xdr:cNvSpPr>
          <a:spLocks noChangeAspect="1"/>
        </xdr:cNvSpPr>
      </xdr:nvSpPr>
      <xdr:spPr bwMode="auto">
        <a:xfrm rot="10800000">
          <a:off x="2732279" y="7996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24</xdr:row>
      <xdr:rowOff>61296</xdr:rowOff>
    </xdr:from>
    <xdr:to>
      <xdr:col>3</xdr:col>
      <xdr:colOff>965880</xdr:colOff>
      <xdr:row>24</xdr:row>
      <xdr:rowOff>224979</xdr:rowOff>
    </xdr:to>
    <xdr:grpSp>
      <xdr:nvGrpSpPr>
        <xdr:cNvPr id="499" name="hinh2">
          <a:extLst>
            <a:ext uri="{FF2B5EF4-FFF2-40B4-BE49-F238E27FC236}">
              <a16:creationId xmlns:a16="http://schemas.microsoft.com/office/drawing/2014/main" id="{C2BFB80C-B859-417B-8BB0-D249F937515C}"/>
            </a:ext>
          </a:extLst>
        </xdr:cNvPr>
        <xdr:cNvGrpSpPr>
          <a:grpSpLocks noChangeAspect="1"/>
        </xdr:cNvGrpSpPr>
      </xdr:nvGrpSpPr>
      <xdr:grpSpPr bwMode="auto">
        <a:xfrm>
          <a:off x="2735410" y="7367531"/>
          <a:ext cx="875058" cy="163683"/>
          <a:chOff x="206" y="86"/>
          <a:chExt cx="73" cy="16"/>
        </a:xfrm>
      </xdr:grpSpPr>
      <xdr:sp macro="" textlink="">
        <xdr:nvSpPr>
          <xdr:cNvPr id="500" name="Line 6">
            <a:extLst>
              <a:ext uri="{FF2B5EF4-FFF2-40B4-BE49-F238E27FC236}">
                <a16:creationId xmlns:a16="http://schemas.microsoft.com/office/drawing/2014/main" id="{008A5777-A754-3713-0CA8-015B1054D3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" name="Line 7">
            <a:extLst>
              <a:ext uri="{FF2B5EF4-FFF2-40B4-BE49-F238E27FC236}">
                <a16:creationId xmlns:a16="http://schemas.microsoft.com/office/drawing/2014/main" id="{43C6B32B-864C-D69D-E6A1-D3877565FE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2" name="Line 8">
            <a:extLst>
              <a:ext uri="{FF2B5EF4-FFF2-40B4-BE49-F238E27FC236}">
                <a16:creationId xmlns:a16="http://schemas.microsoft.com/office/drawing/2014/main" id="{A40F5757-2BB1-43FF-17AA-3E982F2068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27</xdr:row>
      <xdr:rowOff>62196</xdr:rowOff>
    </xdr:from>
    <xdr:to>
      <xdr:col>3</xdr:col>
      <xdr:colOff>952499</xdr:colOff>
      <xdr:row>27</xdr:row>
      <xdr:rowOff>213437</xdr:rowOff>
    </xdr:to>
    <xdr:grpSp>
      <xdr:nvGrpSpPr>
        <xdr:cNvPr id="503" name="hinh3">
          <a:extLst>
            <a:ext uri="{FF2B5EF4-FFF2-40B4-BE49-F238E27FC236}">
              <a16:creationId xmlns:a16="http://schemas.microsoft.com/office/drawing/2014/main" id="{5AC00C3D-E9E9-4124-9C1B-4A9DE22612BA}"/>
            </a:ext>
          </a:extLst>
        </xdr:cNvPr>
        <xdr:cNvGrpSpPr>
          <a:grpSpLocks noChangeAspect="1"/>
        </xdr:cNvGrpSpPr>
      </xdr:nvGrpSpPr>
      <xdr:grpSpPr bwMode="auto">
        <a:xfrm>
          <a:off x="2735376" y="8309725"/>
          <a:ext cx="861711" cy="151241"/>
          <a:chOff x="206" y="112"/>
          <a:chExt cx="73" cy="16"/>
        </a:xfrm>
      </xdr:grpSpPr>
      <xdr:sp macro="" textlink="">
        <xdr:nvSpPr>
          <xdr:cNvPr id="504" name="Line 3">
            <a:extLst>
              <a:ext uri="{FF2B5EF4-FFF2-40B4-BE49-F238E27FC236}">
                <a16:creationId xmlns:a16="http://schemas.microsoft.com/office/drawing/2014/main" id="{8CBA9CD2-7597-2C41-05E2-B84F7114F1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5" name="Line 4">
            <a:extLst>
              <a:ext uri="{FF2B5EF4-FFF2-40B4-BE49-F238E27FC236}">
                <a16:creationId xmlns:a16="http://schemas.microsoft.com/office/drawing/2014/main" id="{6A1EF2C0-7D1C-D2F1-0A25-0251A352C6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25</xdr:row>
      <xdr:rowOff>50652</xdr:rowOff>
    </xdr:from>
    <xdr:to>
      <xdr:col>3</xdr:col>
      <xdr:colOff>962981</xdr:colOff>
      <xdr:row>25</xdr:row>
      <xdr:rowOff>214335</xdr:rowOff>
    </xdr:to>
    <xdr:grpSp>
      <xdr:nvGrpSpPr>
        <xdr:cNvPr id="506" name="hinh2">
          <a:extLst>
            <a:ext uri="{FF2B5EF4-FFF2-40B4-BE49-F238E27FC236}">
              <a16:creationId xmlns:a16="http://schemas.microsoft.com/office/drawing/2014/main" id="{533F49F9-7866-49DC-B348-738D7968DA53}"/>
            </a:ext>
          </a:extLst>
        </xdr:cNvPr>
        <xdr:cNvGrpSpPr>
          <a:grpSpLocks noChangeAspect="1"/>
        </xdr:cNvGrpSpPr>
      </xdr:nvGrpSpPr>
      <xdr:grpSpPr bwMode="auto">
        <a:xfrm>
          <a:off x="2732511" y="7670652"/>
          <a:ext cx="875058" cy="163683"/>
          <a:chOff x="206" y="86"/>
          <a:chExt cx="73" cy="16"/>
        </a:xfrm>
      </xdr:grpSpPr>
      <xdr:sp macro="" textlink="">
        <xdr:nvSpPr>
          <xdr:cNvPr id="507" name="Line 6">
            <a:extLst>
              <a:ext uri="{FF2B5EF4-FFF2-40B4-BE49-F238E27FC236}">
                <a16:creationId xmlns:a16="http://schemas.microsoft.com/office/drawing/2014/main" id="{F1B6AFB7-DD4E-6359-14AE-2F4F5481C8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" name="Line 7">
            <a:extLst>
              <a:ext uri="{FF2B5EF4-FFF2-40B4-BE49-F238E27FC236}">
                <a16:creationId xmlns:a16="http://schemas.microsoft.com/office/drawing/2014/main" id="{BB852631-3916-C96D-2760-58F1B62069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0" name="Line 8">
            <a:extLst>
              <a:ext uri="{FF2B5EF4-FFF2-40B4-BE49-F238E27FC236}">
                <a16:creationId xmlns:a16="http://schemas.microsoft.com/office/drawing/2014/main" id="{01730F68-D70E-098D-8F42-9B436E654E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32</xdr:row>
      <xdr:rowOff>55220</xdr:rowOff>
    </xdr:from>
    <xdr:to>
      <xdr:col>3</xdr:col>
      <xdr:colOff>1003580</xdr:colOff>
      <xdr:row>32</xdr:row>
      <xdr:rowOff>303698</xdr:rowOff>
    </xdr:to>
    <xdr:sp macro="" textlink="">
      <xdr:nvSpPr>
        <xdr:cNvPr id="511" name="hinh15">
          <a:extLst>
            <a:ext uri="{FF2B5EF4-FFF2-40B4-BE49-F238E27FC236}">
              <a16:creationId xmlns:a16="http://schemas.microsoft.com/office/drawing/2014/main" id="{70EA4206-595A-44DD-AD72-DA5A4D93E9B3}"/>
            </a:ext>
          </a:extLst>
        </xdr:cNvPr>
        <xdr:cNvSpPr>
          <a:spLocks noChangeAspect="1"/>
        </xdr:cNvSpPr>
      </xdr:nvSpPr>
      <xdr:spPr bwMode="auto">
        <a:xfrm rot="10800000">
          <a:off x="2732279" y="32610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30</xdr:row>
      <xdr:rowOff>61296</xdr:rowOff>
    </xdr:from>
    <xdr:to>
      <xdr:col>3</xdr:col>
      <xdr:colOff>965880</xdr:colOff>
      <xdr:row>30</xdr:row>
      <xdr:rowOff>224979</xdr:rowOff>
    </xdr:to>
    <xdr:grpSp>
      <xdr:nvGrpSpPr>
        <xdr:cNvPr id="512" name="hinh2">
          <a:extLst>
            <a:ext uri="{FF2B5EF4-FFF2-40B4-BE49-F238E27FC236}">
              <a16:creationId xmlns:a16="http://schemas.microsoft.com/office/drawing/2014/main" id="{D087539B-79C2-4C10-BE72-C439D3D0AC36}"/>
            </a:ext>
          </a:extLst>
        </xdr:cNvPr>
        <xdr:cNvGrpSpPr>
          <a:grpSpLocks noChangeAspect="1"/>
        </xdr:cNvGrpSpPr>
      </xdr:nvGrpSpPr>
      <xdr:grpSpPr bwMode="auto">
        <a:xfrm>
          <a:off x="2735410" y="9250120"/>
          <a:ext cx="875058" cy="163683"/>
          <a:chOff x="206" y="86"/>
          <a:chExt cx="73" cy="16"/>
        </a:xfrm>
      </xdr:grpSpPr>
      <xdr:sp macro="" textlink="">
        <xdr:nvSpPr>
          <xdr:cNvPr id="513" name="Line 6">
            <a:extLst>
              <a:ext uri="{FF2B5EF4-FFF2-40B4-BE49-F238E27FC236}">
                <a16:creationId xmlns:a16="http://schemas.microsoft.com/office/drawing/2014/main" id="{8EC277A8-9959-FFDA-4DBA-88491ABECF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4" name="Line 7">
            <a:extLst>
              <a:ext uri="{FF2B5EF4-FFF2-40B4-BE49-F238E27FC236}">
                <a16:creationId xmlns:a16="http://schemas.microsoft.com/office/drawing/2014/main" id="{322D4094-2FE0-A1CD-C559-9E08C3A757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" name="Line 8">
            <a:extLst>
              <a:ext uri="{FF2B5EF4-FFF2-40B4-BE49-F238E27FC236}">
                <a16:creationId xmlns:a16="http://schemas.microsoft.com/office/drawing/2014/main" id="{495148F2-8575-BC92-2938-55DFEC17EA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33</xdr:row>
      <xdr:rowOff>62196</xdr:rowOff>
    </xdr:from>
    <xdr:to>
      <xdr:col>3</xdr:col>
      <xdr:colOff>952499</xdr:colOff>
      <xdr:row>33</xdr:row>
      <xdr:rowOff>213437</xdr:rowOff>
    </xdr:to>
    <xdr:grpSp>
      <xdr:nvGrpSpPr>
        <xdr:cNvPr id="517" name="hinh3">
          <a:extLst>
            <a:ext uri="{FF2B5EF4-FFF2-40B4-BE49-F238E27FC236}">
              <a16:creationId xmlns:a16="http://schemas.microsoft.com/office/drawing/2014/main" id="{32A46667-EEE6-418D-AAFB-1786479F93B6}"/>
            </a:ext>
          </a:extLst>
        </xdr:cNvPr>
        <xdr:cNvGrpSpPr>
          <a:grpSpLocks noChangeAspect="1"/>
        </xdr:cNvGrpSpPr>
      </xdr:nvGrpSpPr>
      <xdr:grpSpPr bwMode="auto">
        <a:xfrm>
          <a:off x="2735376" y="10192314"/>
          <a:ext cx="861711" cy="151241"/>
          <a:chOff x="206" y="112"/>
          <a:chExt cx="73" cy="16"/>
        </a:xfrm>
      </xdr:grpSpPr>
      <xdr:sp macro="" textlink="">
        <xdr:nvSpPr>
          <xdr:cNvPr id="518" name="Line 3">
            <a:extLst>
              <a:ext uri="{FF2B5EF4-FFF2-40B4-BE49-F238E27FC236}">
                <a16:creationId xmlns:a16="http://schemas.microsoft.com/office/drawing/2014/main" id="{4209A7E1-2CD5-9963-E3D7-F65969E2C9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" name="Line 4">
            <a:extLst>
              <a:ext uri="{FF2B5EF4-FFF2-40B4-BE49-F238E27FC236}">
                <a16:creationId xmlns:a16="http://schemas.microsoft.com/office/drawing/2014/main" id="{DEFED536-8394-44A6-FCC1-7A610061B7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31</xdr:row>
      <xdr:rowOff>50652</xdr:rowOff>
    </xdr:from>
    <xdr:to>
      <xdr:col>3</xdr:col>
      <xdr:colOff>962981</xdr:colOff>
      <xdr:row>31</xdr:row>
      <xdr:rowOff>214335</xdr:rowOff>
    </xdr:to>
    <xdr:grpSp>
      <xdr:nvGrpSpPr>
        <xdr:cNvPr id="520" name="hinh2">
          <a:extLst>
            <a:ext uri="{FF2B5EF4-FFF2-40B4-BE49-F238E27FC236}">
              <a16:creationId xmlns:a16="http://schemas.microsoft.com/office/drawing/2014/main" id="{CA0B64F4-9480-4E75-96D0-6D48C0823266}"/>
            </a:ext>
          </a:extLst>
        </xdr:cNvPr>
        <xdr:cNvGrpSpPr>
          <a:grpSpLocks noChangeAspect="1"/>
        </xdr:cNvGrpSpPr>
      </xdr:nvGrpSpPr>
      <xdr:grpSpPr bwMode="auto">
        <a:xfrm>
          <a:off x="2732511" y="9553240"/>
          <a:ext cx="875058" cy="163683"/>
          <a:chOff x="206" y="86"/>
          <a:chExt cx="73" cy="16"/>
        </a:xfrm>
      </xdr:grpSpPr>
      <xdr:sp macro="" textlink="">
        <xdr:nvSpPr>
          <xdr:cNvPr id="521" name="Line 6">
            <a:extLst>
              <a:ext uri="{FF2B5EF4-FFF2-40B4-BE49-F238E27FC236}">
                <a16:creationId xmlns:a16="http://schemas.microsoft.com/office/drawing/2014/main" id="{6ABDD9B6-F224-28A7-D9E5-DF6964BB2C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4" name="Line 7">
            <a:extLst>
              <a:ext uri="{FF2B5EF4-FFF2-40B4-BE49-F238E27FC236}">
                <a16:creationId xmlns:a16="http://schemas.microsoft.com/office/drawing/2014/main" id="{385A79FD-57EC-8DFB-C1F7-134D99DEDD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5" name="Line 8">
            <a:extLst>
              <a:ext uri="{FF2B5EF4-FFF2-40B4-BE49-F238E27FC236}">
                <a16:creationId xmlns:a16="http://schemas.microsoft.com/office/drawing/2014/main" id="{A3F05C42-4FBA-4C10-1A6F-D6E1FC2C11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37</xdr:row>
      <xdr:rowOff>55220</xdr:rowOff>
    </xdr:from>
    <xdr:to>
      <xdr:col>3</xdr:col>
      <xdr:colOff>1003580</xdr:colOff>
      <xdr:row>37</xdr:row>
      <xdr:rowOff>303698</xdr:rowOff>
    </xdr:to>
    <xdr:sp macro="" textlink="">
      <xdr:nvSpPr>
        <xdr:cNvPr id="526" name="hinh15">
          <a:extLst>
            <a:ext uri="{FF2B5EF4-FFF2-40B4-BE49-F238E27FC236}">
              <a16:creationId xmlns:a16="http://schemas.microsoft.com/office/drawing/2014/main" id="{72CC75A2-7B1F-443A-8EA5-2624EEC7B07F}"/>
            </a:ext>
          </a:extLst>
        </xdr:cNvPr>
        <xdr:cNvSpPr>
          <a:spLocks noChangeAspect="1"/>
        </xdr:cNvSpPr>
      </xdr:nvSpPr>
      <xdr:spPr bwMode="auto">
        <a:xfrm rot="10800000">
          <a:off x="2732279" y="48394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35</xdr:row>
      <xdr:rowOff>61296</xdr:rowOff>
    </xdr:from>
    <xdr:to>
      <xdr:col>3</xdr:col>
      <xdr:colOff>965880</xdr:colOff>
      <xdr:row>35</xdr:row>
      <xdr:rowOff>224979</xdr:rowOff>
    </xdr:to>
    <xdr:grpSp>
      <xdr:nvGrpSpPr>
        <xdr:cNvPr id="527" name="hinh2">
          <a:extLst>
            <a:ext uri="{FF2B5EF4-FFF2-40B4-BE49-F238E27FC236}">
              <a16:creationId xmlns:a16="http://schemas.microsoft.com/office/drawing/2014/main" id="{49BAE233-9E16-4C33-84B1-429BF408C6FD}"/>
            </a:ext>
          </a:extLst>
        </xdr:cNvPr>
        <xdr:cNvGrpSpPr>
          <a:grpSpLocks noChangeAspect="1"/>
        </xdr:cNvGrpSpPr>
      </xdr:nvGrpSpPr>
      <xdr:grpSpPr bwMode="auto">
        <a:xfrm>
          <a:off x="2735410" y="10818943"/>
          <a:ext cx="875058" cy="163683"/>
          <a:chOff x="206" y="86"/>
          <a:chExt cx="73" cy="16"/>
        </a:xfrm>
      </xdr:grpSpPr>
      <xdr:sp macro="" textlink="">
        <xdr:nvSpPr>
          <xdr:cNvPr id="528" name="Line 6">
            <a:extLst>
              <a:ext uri="{FF2B5EF4-FFF2-40B4-BE49-F238E27FC236}">
                <a16:creationId xmlns:a16="http://schemas.microsoft.com/office/drawing/2014/main" id="{F0832B7D-D819-5665-DAEC-7E2531DEFE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" name="Line 7">
            <a:extLst>
              <a:ext uri="{FF2B5EF4-FFF2-40B4-BE49-F238E27FC236}">
                <a16:creationId xmlns:a16="http://schemas.microsoft.com/office/drawing/2014/main" id="{FAD89753-639F-7F6A-9935-8BC3B3A027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" name="Line 8">
            <a:extLst>
              <a:ext uri="{FF2B5EF4-FFF2-40B4-BE49-F238E27FC236}">
                <a16:creationId xmlns:a16="http://schemas.microsoft.com/office/drawing/2014/main" id="{254FA0D4-2E44-DA19-0B3B-205404970B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38</xdr:row>
      <xdr:rowOff>62196</xdr:rowOff>
    </xdr:from>
    <xdr:to>
      <xdr:col>3</xdr:col>
      <xdr:colOff>952499</xdr:colOff>
      <xdr:row>38</xdr:row>
      <xdr:rowOff>213437</xdr:rowOff>
    </xdr:to>
    <xdr:grpSp>
      <xdr:nvGrpSpPr>
        <xdr:cNvPr id="533" name="hinh3">
          <a:extLst>
            <a:ext uri="{FF2B5EF4-FFF2-40B4-BE49-F238E27FC236}">
              <a16:creationId xmlns:a16="http://schemas.microsoft.com/office/drawing/2014/main" id="{4BE5BA64-6910-46BA-AE26-5C6531969343}"/>
            </a:ext>
          </a:extLst>
        </xdr:cNvPr>
        <xdr:cNvGrpSpPr>
          <a:grpSpLocks noChangeAspect="1"/>
        </xdr:cNvGrpSpPr>
      </xdr:nvGrpSpPr>
      <xdr:grpSpPr bwMode="auto">
        <a:xfrm>
          <a:off x="2735376" y="11761137"/>
          <a:ext cx="861711" cy="151241"/>
          <a:chOff x="206" y="112"/>
          <a:chExt cx="73" cy="16"/>
        </a:xfrm>
      </xdr:grpSpPr>
      <xdr:sp macro="" textlink="">
        <xdr:nvSpPr>
          <xdr:cNvPr id="534" name="Line 3">
            <a:extLst>
              <a:ext uri="{FF2B5EF4-FFF2-40B4-BE49-F238E27FC236}">
                <a16:creationId xmlns:a16="http://schemas.microsoft.com/office/drawing/2014/main" id="{18C95DB4-5B4F-BD52-D14E-EB183139A7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5" name="Line 4">
            <a:extLst>
              <a:ext uri="{FF2B5EF4-FFF2-40B4-BE49-F238E27FC236}">
                <a16:creationId xmlns:a16="http://schemas.microsoft.com/office/drawing/2014/main" id="{D3A3E794-9676-B8B5-4CC3-B6571717A0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36</xdr:row>
      <xdr:rowOff>50652</xdr:rowOff>
    </xdr:from>
    <xdr:to>
      <xdr:col>3</xdr:col>
      <xdr:colOff>962981</xdr:colOff>
      <xdr:row>36</xdr:row>
      <xdr:rowOff>214335</xdr:rowOff>
    </xdr:to>
    <xdr:grpSp>
      <xdr:nvGrpSpPr>
        <xdr:cNvPr id="536" name="hinh2">
          <a:extLst>
            <a:ext uri="{FF2B5EF4-FFF2-40B4-BE49-F238E27FC236}">
              <a16:creationId xmlns:a16="http://schemas.microsoft.com/office/drawing/2014/main" id="{6E7D75E5-987D-4C2E-AFC4-4F19ADF4CBB7}"/>
            </a:ext>
          </a:extLst>
        </xdr:cNvPr>
        <xdr:cNvGrpSpPr>
          <a:grpSpLocks noChangeAspect="1"/>
        </xdr:cNvGrpSpPr>
      </xdr:nvGrpSpPr>
      <xdr:grpSpPr bwMode="auto">
        <a:xfrm>
          <a:off x="2732511" y="11122064"/>
          <a:ext cx="875058" cy="163683"/>
          <a:chOff x="206" y="86"/>
          <a:chExt cx="73" cy="16"/>
        </a:xfrm>
      </xdr:grpSpPr>
      <xdr:sp macro="" textlink="">
        <xdr:nvSpPr>
          <xdr:cNvPr id="537" name="Line 6">
            <a:extLst>
              <a:ext uri="{FF2B5EF4-FFF2-40B4-BE49-F238E27FC236}">
                <a16:creationId xmlns:a16="http://schemas.microsoft.com/office/drawing/2014/main" id="{8F6506C6-09EA-9961-1276-E386ADDCCB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0" name="Line 7">
            <a:extLst>
              <a:ext uri="{FF2B5EF4-FFF2-40B4-BE49-F238E27FC236}">
                <a16:creationId xmlns:a16="http://schemas.microsoft.com/office/drawing/2014/main" id="{AF1E86D8-6FED-7C09-4B01-3E4689BCB6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1" name="Line 8">
            <a:extLst>
              <a:ext uri="{FF2B5EF4-FFF2-40B4-BE49-F238E27FC236}">
                <a16:creationId xmlns:a16="http://schemas.microsoft.com/office/drawing/2014/main" id="{99F2AD53-17F2-AFFE-FE95-EFCF51657C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31</xdr:row>
      <xdr:rowOff>50652</xdr:rowOff>
    </xdr:from>
    <xdr:to>
      <xdr:col>3</xdr:col>
      <xdr:colOff>962981</xdr:colOff>
      <xdr:row>31</xdr:row>
      <xdr:rowOff>214335</xdr:rowOff>
    </xdr:to>
    <xdr:grpSp>
      <xdr:nvGrpSpPr>
        <xdr:cNvPr id="542" name="hinh2">
          <a:extLst>
            <a:ext uri="{FF2B5EF4-FFF2-40B4-BE49-F238E27FC236}">
              <a16:creationId xmlns:a16="http://schemas.microsoft.com/office/drawing/2014/main" id="{15DE6190-2EF7-432E-9867-8BE5FA00CF08}"/>
            </a:ext>
          </a:extLst>
        </xdr:cNvPr>
        <xdr:cNvGrpSpPr>
          <a:grpSpLocks noChangeAspect="1"/>
        </xdr:cNvGrpSpPr>
      </xdr:nvGrpSpPr>
      <xdr:grpSpPr bwMode="auto">
        <a:xfrm>
          <a:off x="2732511" y="9553240"/>
          <a:ext cx="875058" cy="163683"/>
          <a:chOff x="206" y="86"/>
          <a:chExt cx="73" cy="16"/>
        </a:xfrm>
      </xdr:grpSpPr>
      <xdr:sp macro="" textlink="">
        <xdr:nvSpPr>
          <xdr:cNvPr id="543" name="Line 6">
            <a:extLst>
              <a:ext uri="{FF2B5EF4-FFF2-40B4-BE49-F238E27FC236}">
                <a16:creationId xmlns:a16="http://schemas.microsoft.com/office/drawing/2014/main" id="{189E207F-E563-F38D-A55A-7C263B25D5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4" name="Line 7">
            <a:extLst>
              <a:ext uri="{FF2B5EF4-FFF2-40B4-BE49-F238E27FC236}">
                <a16:creationId xmlns:a16="http://schemas.microsoft.com/office/drawing/2014/main" id="{9F0087C4-2100-BD1B-E1BF-AF382FF435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" name="Line 8">
            <a:extLst>
              <a:ext uri="{FF2B5EF4-FFF2-40B4-BE49-F238E27FC236}">
                <a16:creationId xmlns:a16="http://schemas.microsoft.com/office/drawing/2014/main" id="{4D62E96B-CD3A-B67C-EDDB-DE92CC8EF5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43</xdr:row>
      <xdr:rowOff>55220</xdr:rowOff>
    </xdr:from>
    <xdr:to>
      <xdr:col>3</xdr:col>
      <xdr:colOff>1003580</xdr:colOff>
      <xdr:row>43</xdr:row>
      <xdr:rowOff>303698</xdr:rowOff>
    </xdr:to>
    <xdr:sp macro="" textlink="">
      <xdr:nvSpPr>
        <xdr:cNvPr id="549" name="hinh15">
          <a:extLst>
            <a:ext uri="{FF2B5EF4-FFF2-40B4-BE49-F238E27FC236}">
              <a16:creationId xmlns:a16="http://schemas.microsoft.com/office/drawing/2014/main" id="{14D28C31-F17B-4F7E-9586-516FF3B90141}"/>
            </a:ext>
          </a:extLst>
        </xdr:cNvPr>
        <xdr:cNvSpPr>
          <a:spLocks noChangeAspect="1"/>
        </xdr:cNvSpPr>
      </xdr:nvSpPr>
      <xdr:spPr bwMode="auto">
        <a:xfrm rot="10800000">
          <a:off x="2732279" y="64179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41</xdr:row>
      <xdr:rowOff>61296</xdr:rowOff>
    </xdr:from>
    <xdr:to>
      <xdr:col>3</xdr:col>
      <xdr:colOff>965880</xdr:colOff>
      <xdr:row>41</xdr:row>
      <xdr:rowOff>224979</xdr:rowOff>
    </xdr:to>
    <xdr:grpSp>
      <xdr:nvGrpSpPr>
        <xdr:cNvPr id="550" name="hinh2">
          <a:extLst>
            <a:ext uri="{FF2B5EF4-FFF2-40B4-BE49-F238E27FC236}">
              <a16:creationId xmlns:a16="http://schemas.microsoft.com/office/drawing/2014/main" id="{28A25108-B757-495D-AF71-2853C425831A}"/>
            </a:ext>
          </a:extLst>
        </xdr:cNvPr>
        <xdr:cNvGrpSpPr>
          <a:grpSpLocks noChangeAspect="1"/>
        </xdr:cNvGrpSpPr>
      </xdr:nvGrpSpPr>
      <xdr:grpSpPr bwMode="auto">
        <a:xfrm>
          <a:off x="2735410" y="12701531"/>
          <a:ext cx="875058" cy="163683"/>
          <a:chOff x="206" y="86"/>
          <a:chExt cx="73" cy="16"/>
        </a:xfrm>
      </xdr:grpSpPr>
      <xdr:sp macro="" textlink="">
        <xdr:nvSpPr>
          <xdr:cNvPr id="551" name="Line 6">
            <a:extLst>
              <a:ext uri="{FF2B5EF4-FFF2-40B4-BE49-F238E27FC236}">
                <a16:creationId xmlns:a16="http://schemas.microsoft.com/office/drawing/2014/main" id="{53382A50-7BEC-EC7F-352E-0946DA9926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" name="Line 7">
            <a:extLst>
              <a:ext uri="{FF2B5EF4-FFF2-40B4-BE49-F238E27FC236}">
                <a16:creationId xmlns:a16="http://schemas.microsoft.com/office/drawing/2014/main" id="{41E57953-E1D2-A2ED-1EA2-536DE9068A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" name="Line 8">
            <a:extLst>
              <a:ext uri="{FF2B5EF4-FFF2-40B4-BE49-F238E27FC236}">
                <a16:creationId xmlns:a16="http://schemas.microsoft.com/office/drawing/2014/main" id="{1AB8723A-6E83-8094-1D6C-0076694748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44</xdr:row>
      <xdr:rowOff>62196</xdr:rowOff>
    </xdr:from>
    <xdr:to>
      <xdr:col>3</xdr:col>
      <xdr:colOff>952499</xdr:colOff>
      <xdr:row>44</xdr:row>
      <xdr:rowOff>213437</xdr:rowOff>
    </xdr:to>
    <xdr:grpSp>
      <xdr:nvGrpSpPr>
        <xdr:cNvPr id="555" name="hinh3">
          <a:extLst>
            <a:ext uri="{FF2B5EF4-FFF2-40B4-BE49-F238E27FC236}">
              <a16:creationId xmlns:a16="http://schemas.microsoft.com/office/drawing/2014/main" id="{A97992D7-CC57-4EBB-9D11-93EEDC142191}"/>
            </a:ext>
          </a:extLst>
        </xdr:cNvPr>
        <xdr:cNvGrpSpPr>
          <a:grpSpLocks noChangeAspect="1"/>
        </xdr:cNvGrpSpPr>
      </xdr:nvGrpSpPr>
      <xdr:grpSpPr bwMode="auto">
        <a:xfrm>
          <a:off x="2735376" y="13643725"/>
          <a:ext cx="861711" cy="151241"/>
          <a:chOff x="206" y="112"/>
          <a:chExt cx="73" cy="16"/>
        </a:xfrm>
      </xdr:grpSpPr>
      <xdr:sp macro="" textlink="">
        <xdr:nvSpPr>
          <xdr:cNvPr id="556" name="Line 3">
            <a:extLst>
              <a:ext uri="{FF2B5EF4-FFF2-40B4-BE49-F238E27FC236}">
                <a16:creationId xmlns:a16="http://schemas.microsoft.com/office/drawing/2014/main" id="{BF9EC490-A7FD-8B77-2803-6CF4A20512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" name="Line 4">
            <a:extLst>
              <a:ext uri="{FF2B5EF4-FFF2-40B4-BE49-F238E27FC236}">
                <a16:creationId xmlns:a16="http://schemas.microsoft.com/office/drawing/2014/main" id="{593B52E2-C3E7-4C28-BB2F-2997B7BB93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42</xdr:row>
      <xdr:rowOff>50652</xdr:rowOff>
    </xdr:from>
    <xdr:to>
      <xdr:col>3</xdr:col>
      <xdr:colOff>962981</xdr:colOff>
      <xdr:row>42</xdr:row>
      <xdr:rowOff>214335</xdr:rowOff>
    </xdr:to>
    <xdr:grpSp>
      <xdr:nvGrpSpPr>
        <xdr:cNvPr id="558" name="hinh2">
          <a:extLst>
            <a:ext uri="{FF2B5EF4-FFF2-40B4-BE49-F238E27FC236}">
              <a16:creationId xmlns:a16="http://schemas.microsoft.com/office/drawing/2014/main" id="{4AA562B5-1EB0-46E0-9129-1EE525DC1676}"/>
            </a:ext>
          </a:extLst>
        </xdr:cNvPr>
        <xdr:cNvGrpSpPr>
          <a:grpSpLocks noChangeAspect="1"/>
        </xdr:cNvGrpSpPr>
      </xdr:nvGrpSpPr>
      <xdr:grpSpPr bwMode="auto">
        <a:xfrm>
          <a:off x="2732511" y="13004652"/>
          <a:ext cx="875058" cy="163683"/>
          <a:chOff x="206" y="86"/>
          <a:chExt cx="73" cy="16"/>
        </a:xfrm>
      </xdr:grpSpPr>
      <xdr:sp macro="" textlink="">
        <xdr:nvSpPr>
          <xdr:cNvPr id="562" name="Line 6">
            <a:extLst>
              <a:ext uri="{FF2B5EF4-FFF2-40B4-BE49-F238E27FC236}">
                <a16:creationId xmlns:a16="http://schemas.microsoft.com/office/drawing/2014/main" id="{AFE4FE74-3E57-FE19-7DAD-EC89CE5BA1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" name="Line 7">
            <a:extLst>
              <a:ext uri="{FF2B5EF4-FFF2-40B4-BE49-F238E27FC236}">
                <a16:creationId xmlns:a16="http://schemas.microsoft.com/office/drawing/2014/main" id="{DA033F90-14E4-64E6-25AC-2026C47260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" name="Line 8">
            <a:extLst>
              <a:ext uri="{FF2B5EF4-FFF2-40B4-BE49-F238E27FC236}">
                <a16:creationId xmlns:a16="http://schemas.microsoft.com/office/drawing/2014/main" id="{552C4102-D07E-DD86-659D-F3005A8A3F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48</xdr:row>
      <xdr:rowOff>55220</xdr:rowOff>
    </xdr:from>
    <xdr:to>
      <xdr:col>3</xdr:col>
      <xdr:colOff>1003580</xdr:colOff>
      <xdr:row>48</xdr:row>
      <xdr:rowOff>303698</xdr:rowOff>
    </xdr:to>
    <xdr:sp macro="" textlink="">
      <xdr:nvSpPr>
        <xdr:cNvPr id="565" name="hinh15">
          <a:extLst>
            <a:ext uri="{FF2B5EF4-FFF2-40B4-BE49-F238E27FC236}">
              <a16:creationId xmlns:a16="http://schemas.microsoft.com/office/drawing/2014/main" id="{F0E5ACC7-A824-49AF-AAC4-DEF7709036C9}"/>
            </a:ext>
          </a:extLst>
        </xdr:cNvPr>
        <xdr:cNvSpPr>
          <a:spLocks noChangeAspect="1"/>
        </xdr:cNvSpPr>
      </xdr:nvSpPr>
      <xdr:spPr bwMode="auto">
        <a:xfrm rot="10800000">
          <a:off x="2732279" y="7996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46</xdr:row>
      <xdr:rowOff>61296</xdr:rowOff>
    </xdr:from>
    <xdr:to>
      <xdr:col>3</xdr:col>
      <xdr:colOff>965880</xdr:colOff>
      <xdr:row>46</xdr:row>
      <xdr:rowOff>224979</xdr:rowOff>
    </xdr:to>
    <xdr:grpSp>
      <xdr:nvGrpSpPr>
        <xdr:cNvPr id="566" name="hinh2">
          <a:extLst>
            <a:ext uri="{FF2B5EF4-FFF2-40B4-BE49-F238E27FC236}">
              <a16:creationId xmlns:a16="http://schemas.microsoft.com/office/drawing/2014/main" id="{D750EE9E-4FF9-41DA-911A-0E08B7CD61ED}"/>
            </a:ext>
          </a:extLst>
        </xdr:cNvPr>
        <xdr:cNvGrpSpPr>
          <a:grpSpLocks noChangeAspect="1"/>
        </xdr:cNvGrpSpPr>
      </xdr:nvGrpSpPr>
      <xdr:grpSpPr bwMode="auto">
        <a:xfrm>
          <a:off x="2735410" y="14270355"/>
          <a:ext cx="875058" cy="163683"/>
          <a:chOff x="206" y="86"/>
          <a:chExt cx="73" cy="16"/>
        </a:xfrm>
      </xdr:grpSpPr>
      <xdr:sp macro="" textlink="">
        <xdr:nvSpPr>
          <xdr:cNvPr id="568" name="Line 6">
            <a:extLst>
              <a:ext uri="{FF2B5EF4-FFF2-40B4-BE49-F238E27FC236}">
                <a16:creationId xmlns:a16="http://schemas.microsoft.com/office/drawing/2014/main" id="{FD0CFBA8-8109-3639-DC4C-E471D88F34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" name="Line 7">
            <a:extLst>
              <a:ext uri="{FF2B5EF4-FFF2-40B4-BE49-F238E27FC236}">
                <a16:creationId xmlns:a16="http://schemas.microsoft.com/office/drawing/2014/main" id="{FD75EB42-066E-A5AF-7177-515D2C4AA7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" name="Line 8">
            <a:extLst>
              <a:ext uri="{FF2B5EF4-FFF2-40B4-BE49-F238E27FC236}">
                <a16:creationId xmlns:a16="http://schemas.microsoft.com/office/drawing/2014/main" id="{A62CA70A-E3B1-A7E5-8D31-9D4C5B46BB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49</xdr:row>
      <xdr:rowOff>62196</xdr:rowOff>
    </xdr:from>
    <xdr:to>
      <xdr:col>3</xdr:col>
      <xdr:colOff>952499</xdr:colOff>
      <xdr:row>49</xdr:row>
      <xdr:rowOff>213437</xdr:rowOff>
    </xdr:to>
    <xdr:grpSp>
      <xdr:nvGrpSpPr>
        <xdr:cNvPr id="571" name="hinh3">
          <a:extLst>
            <a:ext uri="{FF2B5EF4-FFF2-40B4-BE49-F238E27FC236}">
              <a16:creationId xmlns:a16="http://schemas.microsoft.com/office/drawing/2014/main" id="{EF05C9C8-B2DB-4A63-9CFF-D47775DDC17D}"/>
            </a:ext>
          </a:extLst>
        </xdr:cNvPr>
        <xdr:cNvGrpSpPr>
          <a:grpSpLocks noChangeAspect="1"/>
        </xdr:cNvGrpSpPr>
      </xdr:nvGrpSpPr>
      <xdr:grpSpPr bwMode="auto">
        <a:xfrm>
          <a:off x="2735376" y="15212549"/>
          <a:ext cx="861711" cy="151241"/>
          <a:chOff x="206" y="112"/>
          <a:chExt cx="73" cy="16"/>
        </a:xfrm>
      </xdr:grpSpPr>
      <xdr:sp macro="" textlink="">
        <xdr:nvSpPr>
          <xdr:cNvPr id="575" name="Line 3">
            <a:extLst>
              <a:ext uri="{FF2B5EF4-FFF2-40B4-BE49-F238E27FC236}">
                <a16:creationId xmlns:a16="http://schemas.microsoft.com/office/drawing/2014/main" id="{72A38948-4757-DD30-203B-4851F3AB74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" name="Line 4">
            <a:extLst>
              <a:ext uri="{FF2B5EF4-FFF2-40B4-BE49-F238E27FC236}">
                <a16:creationId xmlns:a16="http://schemas.microsoft.com/office/drawing/2014/main" id="{78CDCCAC-7F14-DF4B-415C-162B88FEDB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47</xdr:row>
      <xdr:rowOff>50652</xdr:rowOff>
    </xdr:from>
    <xdr:to>
      <xdr:col>3</xdr:col>
      <xdr:colOff>962981</xdr:colOff>
      <xdr:row>47</xdr:row>
      <xdr:rowOff>214335</xdr:rowOff>
    </xdr:to>
    <xdr:grpSp>
      <xdr:nvGrpSpPr>
        <xdr:cNvPr id="577" name="hinh2">
          <a:extLst>
            <a:ext uri="{FF2B5EF4-FFF2-40B4-BE49-F238E27FC236}">
              <a16:creationId xmlns:a16="http://schemas.microsoft.com/office/drawing/2014/main" id="{F8CC56BD-9EC0-4BE6-AD90-AA5A2C745BF2}"/>
            </a:ext>
          </a:extLst>
        </xdr:cNvPr>
        <xdr:cNvGrpSpPr>
          <a:grpSpLocks noChangeAspect="1"/>
        </xdr:cNvGrpSpPr>
      </xdr:nvGrpSpPr>
      <xdr:grpSpPr bwMode="auto">
        <a:xfrm>
          <a:off x="2732511" y="14573476"/>
          <a:ext cx="875058" cy="163683"/>
          <a:chOff x="206" y="86"/>
          <a:chExt cx="73" cy="16"/>
        </a:xfrm>
      </xdr:grpSpPr>
      <xdr:sp macro="" textlink="">
        <xdr:nvSpPr>
          <xdr:cNvPr id="578" name="Line 6">
            <a:extLst>
              <a:ext uri="{FF2B5EF4-FFF2-40B4-BE49-F238E27FC236}">
                <a16:creationId xmlns:a16="http://schemas.microsoft.com/office/drawing/2014/main" id="{53A85931-C177-44F9-F95A-3FFF950A13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" name="Line 7">
            <a:extLst>
              <a:ext uri="{FF2B5EF4-FFF2-40B4-BE49-F238E27FC236}">
                <a16:creationId xmlns:a16="http://schemas.microsoft.com/office/drawing/2014/main" id="{193DCD85-1ECE-AADF-AE49-B652ED3906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" name="Line 8">
            <a:extLst>
              <a:ext uri="{FF2B5EF4-FFF2-40B4-BE49-F238E27FC236}">
                <a16:creationId xmlns:a16="http://schemas.microsoft.com/office/drawing/2014/main" id="{BAF77D56-C0C5-919A-0902-3BF0904167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53</xdr:row>
      <xdr:rowOff>55220</xdr:rowOff>
    </xdr:from>
    <xdr:to>
      <xdr:col>3</xdr:col>
      <xdr:colOff>1003580</xdr:colOff>
      <xdr:row>53</xdr:row>
      <xdr:rowOff>303698</xdr:rowOff>
    </xdr:to>
    <xdr:sp macro="" textlink="">
      <xdr:nvSpPr>
        <xdr:cNvPr id="606" name="hinh15">
          <a:extLst>
            <a:ext uri="{FF2B5EF4-FFF2-40B4-BE49-F238E27FC236}">
              <a16:creationId xmlns:a16="http://schemas.microsoft.com/office/drawing/2014/main" id="{E4775C76-045B-450B-BD26-3B201FA39228}"/>
            </a:ext>
          </a:extLst>
        </xdr:cNvPr>
        <xdr:cNvSpPr>
          <a:spLocks noChangeAspect="1"/>
        </xdr:cNvSpPr>
      </xdr:nvSpPr>
      <xdr:spPr bwMode="auto">
        <a:xfrm rot="10800000">
          <a:off x="2732279" y="149414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51</xdr:row>
      <xdr:rowOff>61296</xdr:rowOff>
    </xdr:from>
    <xdr:to>
      <xdr:col>3</xdr:col>
      <xdr:colOff>965880</xdr:colOff>
      <xdr:row>51</xdr:row>
      <xdr:rowOff>224979</xdr:rowOff>
    </xdr:to>
    <xdr:grpSp>
      <xdr:nvGrpSpPr>
        <xdr:cNvPr id="618" name="hinh2">
          <a:extLst>
            <a:ext uri="{FF2B5EF4-FFF2-40B4-BE49-F238E27FC236}">
              <a16:creationId xmlns:a16="http://schemas.microsoft.com/office/drawing/2014/main" id="{A001DFEC-9060-4C42-8E48-AADAE76F812E}"/>
            </a:ext>
          </a:extLst>
        </xdr:cNvPr>
        <xdr:cNvGrpSpPr>
          <a:grpSpLocks noChangeAspect="1"/>
        </xdr:cNvGrpSpPr>
      </xdr:nvGrpSpPr>
      <xdr:grpSpPr bwMode="auto">
        <a:xfrm>
          <a:off x="2735410" y="15839178"/>
          <a:ext cx="875058" cy="163683"/>
          <a:chOff x="206" y="86"/>
          <a:chExt cx="73" cy="16"/>
        </a:xfrm>
      </xdr:grpSpPr>
      <xdr:sp macro="" textlink="">
        <xdr:nvSpPr>
          <xdr:cNvPr id="619" name="Line 6">
            <a:extLst>
              <a:ext uri="{FF2B5EF4-FFF2-40B4-BE49-F238E27FC236}">
                <a16:creationId xmlns:a16="http://schemas.microsoft.com/office/drawing/2014/main" id="{13A2AE81-6A8A-DF6D-F381-6CE035C97B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" name="Line 7">
            <a:extLst>
              <a:ext uri="{FF2B5EF4-FFF2-40B4-BE49-F238E27FC236}">
                <a16:creationId xmlns:a16="http://schemas.microsoft.com/office/drawing/2014/main" id="{06EB8A0C-4050-2060-20CC-056C86E8FA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1" name="Line 8">
            <a:extLst>
              <a:ext uri="{FF2B5EF4-FFF2-40B4-BE49-F238E27FC236}">
                <a16:creationId xmlns:a16="http://schemas.microsoft.com/office/drawing/2014/main" id="{408CD358-5D77-6242-E1A7-AD8766FDC8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54</xdr:row>
      <xdr:rowOff>62196</xdr:rowOff>
    </xdr:from>
    <xdr:to>
      <xdr:col>3</xdr:col>
      <xdr:colOff>952499</xdr:colOff>
      <xdr:row>54</xdr:row>
      <xdr:rowOff>213437</xdr:rowOff>
    </xdr:to>
    <xdr:grpSp>
      <xdr:nvGrpSpPr>
        <xdr:cNvPr id="622" name="hinh3">
          <a:extLst>
            <a:ext uri="{FF2B5EF4-FFF2-40B4-BE49-F238E27FC236}">
              <a16:creationId xmlns:a16="http://schemas.microsoft.com/office/drawing/2014/main" id="{A8832F50-EF22-4AA1-B573-F34396C8435B}"/>
            </a:ext>
          </a:extLst>
        </xdr:cNvPr>
        <xdr:cNvGrpSpPr>
          <a:grpSpLocks noChangeAspect="1"/>
        </xdr:cNvGrpSpPr>
      </xdr:nvGrpSpPr>
      <xdr:grpSpPr bwMode="auto">
        <a:xfrm>
          <a:off x="2735376" y="16781372"/>
          <a:ext cx="861711" cy="151241"/>
          <a:chOff x="206" y="112"/>
          <a:chExt cx="73" cy="16"/>
        </a:xfrm>
      </xdr:grpSpPr>
      <xdr:sp macro="" textlink="">
        <xdr:nvSpPr>
          <xdr:cNvPr id="623" name="Line 3">
            <a:extLst>
              <a:ext uri="{FF2B5EF4-FFF2-40B4-BE49-F238E27FC236}">
                <a16:creationId xmlns:a16="http://schemas.microsoft.com/office/drawing/2014/main" id="{D54E434B-1927-3A8C-6D5F-1145503271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4" name="Line 4">
            <a:extLst>
              <a:ext uri="{FF2B5EF4-FFF2-40B4-BE49-F238E27FC236}">
                <a16:creationId xmlns:a16="http://schemas.microsoft.com/office/drawing/2014/main" id="{EE98D9FB-7320-CDF1-B944-E39CAC2435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52</xdr:row>
      <xdr:rowOff>50652</xdr:rowOff>
    </xdr:from>
    <xdr:to>
      <xdr:col>3</xdr:col>
      <xdr:colOff>962981</xdr:colOff>
      <xdr:row>52</xdr:row>
      <xdr:rowOff>214335</xdr:rowOff>
    </xdr:to>
    <xdr:grpSp>
      <xdr:nvGrpSpPr>
        <xdr:cNvPr id="625" name="hinh2">
          <a:extLst>
            <a:ext uri="{FF2B5EF4-FFF2-40B4-BE49-F238E27FC236}">
              <a16:creationId xmlns:a16="http://schemas.microsoft.com/office/drawing/2014/main" id="{5FAB03F3-A6F0-4E43-83BA-E2F3EA1C1FAA}"/>
            </a:ext>
          </a:extLst>
        </xdr:cNvPr>
        <xdr:cNvGrpSpPr>
          <a:grpSpLocks noChangeAspect="1"/>
        </xdr:cNvGrpSpPr>
      </xdr:nvGrpSpPr>
      <xdr:grpSpPr bwMode="auto">
        <a:xfrm>
          <a:off x="2732511" y="16142299"/>
          <a:ext cx="875058" cy="163683"/>
          <a:chOff x="206" y="86"/>
          <a:chExt cx="73" cy="16"/>
        </a:xfrm>
      </xdr:grpSpPr>
      <xdr:sp macro="" textlink="">
        <xdr:nvSpPr>
          <xdr:cNvPr id="626" name="Line 6">
            <a:extLst>
              <a:ext uri="{FF2B5EF4-FFF2-40B4-BE49-F238E27FC236}">
                <a16:creationId xmlns:a16="http://schemas.microsoft.com/office/drawing/2014/main" id="{44A9CE17-0DE5-5D90-40D0-EA5D8160F1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" name="Line 7">
            <a:extLst>
              <a:ext uri="{FF2B5EF4-FFF2-40B4-BE49-F238E27FC236}">
                <a16:creationId xmlns:a16="http://schemas.microsoft.com/office/drawing/2014/main" id="{76C0832B-0581-95E8-D0B4-6BBE960F68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" name="Line 8">
            <a:extLst>
              <a:ext uri="{FF2B5EF4-FFF2-40B4-BE49-F238E27FC236}">
                <a16:creationId xmlns:a16="http://schemas.microsoft.com/office/drawing/2014/main" id="{33F28DB8-A6CD-C8D1-C2CB-ABF000711D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86</xdr:row>
      <xdr:rowOff>55220</xdr:rowOff>
    </xdr:from>
    <xdr:to>
      <xdr:col>3</xdr:col>
      <xdr:colOff>1003580</xdr:colOff>
      <xdr:row>86</xdr:row>
      <xdr:rowOff>303698</xdr:rowOff>
    </xdr:to>
    <xdr:sp macro="" textlink="">
      <xdr:nvSpPr>
        <xdr:cNvPr id="629" name="hinh15">
          <a:extLst>
            <a:ext uri="{FF2B5EF4-FFF2-40B4-BE49-F238E27FC236}">
              <a16:creationId xmlns:a16="http://schemas.microsoft.com/office/drawing/2014/main" id="{AA8A1570-6EF4-43E1-AB8B-A73CCB7B8B4F}"/>
            </a:ext>
          </a:extLst>
        </xdr:cNvPr>
        <xdr:cNvSpPr>
          <a:spLocks noChangeAspect="1"/>
        </xdr:cNvSpPr>
      </xdr:nvSpPr>
      <xdr:spPr bwMode="auto">
        <a:xfrm rot="10800000">
          <a:off x="2732279" y="133630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84</xdr:row>
      <xdr:rowOff>61296</xdr:rowOff>
    </xdr:from>
    <xdr:to>
      <xdr:col>3</xdr:col>
      <xdr:colOff>965880</xdr:colOff>
      <xdr:row>84</xdr:row>
      <xdr:rowOff>224979</xdr:rowOff>
    </xdr:to>
    <xdr:grpSp>
      <xdr:nvGrpSpPr>
        <xdr:cNvPr id="630" name="hinh2">
          <a:extLst>
            <a:ext uri="{FF2B5EF4-FFF2-40B4-BE49-F238E27FC236}">
              <a16:creationId xmlns:a16="http://schemas.microsoft.com/office/drawing/2014/main" id="{984181D5-9B5B-4D23-86F2-D2183E31F1CA}"/>
            </a:ext>
          </a:extLst>
        </xdr:cNvPr>
        <xdr:cNvGrpSpPr>
          <a:grpSpLocks noChangeAspect="1"/>
        </xdr:cNvGrpSpPr>
      </xdr:nvGrpSpPr>
      <xdr:grpSpPr bwMode="auto">
        <a:xfrm>
          <a:off x="2735410" y="26193414"/>
          <a:ext cx="875058" cy="163683"/>
          <a:chOff x="206" y="86"/>
          <a:chExt cx="73" cy="16"/>
        </a:xfrm>
      </xdr:grpSpPr>
      <xdr:sp macro="" textlink="">
        <xdr:nvSpPr>
          <xdr:cNvPr id="631" name="Line 6">
            <a:extLst>
              <a:ext uri="{FF2B5EF4-FFF2-40B4-BE49-F238E27FC236}">
                <a16:creationId xmlns:a16="http://schemas.microsoft.com/office/drawing/2014/main" id="{DF486C85-535C-798F-F34D-B043AEB892A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2" name="Line 7">
            <a:extLst>
              <a:ext uri="{FF2B5EF4-FFF2-40B4-BE49-F238E27FC236}">
                <a16:creationId xmlns:a16="http://schemas.microsoft.com/office/drawing/2014/main" id="{757A9B07-8851-1A26-8B53-5842A49DCD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3" name="Line 8">
            <a:extLst>
              <a:ext uri="{FF2B5EF4-FFF2-40B4-BE49-F238E27FC236}">
                <a16:creationId xmlns:a16="http://schemas.microsoft.com/office/drawing/2014/main" id="{C9A3DB10-D6AB-B938-D0E1-E821A79703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87</xdr:row>
      <xdr:rowOff>62196</xdr:rowOff>
    </xdr:from>
    <xdr:to>
      <xdr:col>3</xdr:col>
      <xdr:colOff>952499</xdr:colOff>
      <xdr:row>87</xdr:row>
      <xdr:rowOff>213437</xdr:rowOff>
    </xdr:to>
    <xdr:grpSp>
      <xdr:nvGrpSpPr>
        <xdr:cNvPr id="634" name="hinh3">
          <a:extLst>
            <a:ext uri="{FF2B5EF4-FFF2-40B4-BE49-F238E27FC236}">
              <a16:creationId xmlns:a16="http://schemas.microsoft.com/office/drawing/2014/main" id="{6F404186-8924-4759-A1C5-9ED7814028F1}"/>
            </a:ext>
          </a:extLst>
        </xdr:cNvPr>
        <xdr:cNvGrpSpPr>
          <a:grpSpLocks noChangeAspect="1"/>
        </xdr:cNvGrpSpPr>
      </xdr:nvGrpSpPr>
      <xdr:grpSpPr bwMode="auto">
        <a:xfrm>
          <a:off x="2735376" y="27135608"/>
          <a:ext cx="861711" cy="151241"/>
          <a:chOff x="206" y="112"/>
          <a:chExt cx="73" cy="16"/>
        </a:xfrm>
      </xdr:grpSpPr>
      <xdr:sp macro="" textlink="">
        <xdr:nvSpPr>
          <xdr:cNvPr id="635" name="Line 3">
            <a:extLst>
              <a:ext uri="{FF2B5EF4-FFF2-40B4-BE49-F238E27FC236}">
                <a16:creationId xmlns:a16="http://schemas.microsoft.com/office/drawing/2014/main" id="{B47791E9-92C3-588E-6062-469FFD5D07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6" name="Line 4">
            <a:extLst>
              <a:ext uri="{FF2B5EF4-FFF2-40B4-BE49-F238E27FC236}">
                <a16:creationId xmlns:a16="http://schemas.microsoft.com/office/drawing/2014/main" id="{6BBD5AC7-D224-191D-2AED-76039B6C87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85</xdr:row>
      <xdr:rowOff>50652</xdr:rowOff>
    </xdr:from>
    <xdr:to>
      <xdr:col>3</xdr:col>
      <xdr:colOff>962981</xdr:colOff>
      <xdr:row>85</xdr:row>
      <xdr:rowOff>214335</xdr:rowOff>
    </xdr:to>
    <xdr:grpSp>
      <xdr:nvGrpSpPr>
        <xdr:cNvPr id="637" name="hinh2">
          <a:extLst>
            <a:ext uri="{FF2B5EF4-FFF2-40B4-BE49-F238E27FC236}">
              <a16:creationId xmlns:a16="http://schemas.microsoft.com/office/drawing/2014/main" id="{FA85D1AE-1927-401C-AE0F-4052DF1B13A3}"/>
            </a:ext>
          </a:extLst>
        </xdr:cNvPr>
        <xdr:cNvGrpSpPr>
          <a:grpSpLocks noChangeAspect="1"/>
        </xdr:cNvGrpSpPr>
      </xdr:nvGrpSpPr>
      <xdr:grpSpPr bwMode="auto">
        <a:xfrm>
          <a:off x="2732511" y="26496534"/>
          <a:ext cx="875058" cy="163683"/>
          <a:chOff x="206" y="86"/>
          <a:chExt cx="73" cy="16"/>
        </a:xfrm>
      </xdr:grpSpPr>
      <xdr:sp macro="" textlink="">
        <xdr:nvSpPr>
          <xdr:cNvPr id="638" name="Line 6">
            <a:extLst>
              <a:ext uri="{FF2B5EF4-FFF2-40B4-BE49-F238E27FC236}">
                <a16:creationId xmlns:a16="http://schemas.microsoft.com/office/drawing/2014/main" id="{BAC14275-9F6D-D880-FBEA-3168B6C1B1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9" name="Line 7">
            <a:extLst>
              <a:ext uri="{FF2B5EF4-FFF2-40B4-BE49-F238E27FC236}">
                <a16:creationId xmlns:a16="http://schemas.microsoft.com/office/drawing/2014/main" id="{2D0CE460-C762-D741-4685-2207D3271B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2" name="Line 8">
            <a:extLst>
              <a:ext uri="{FF2B5EF4-FFF2-40B4-BE49-F238E27FC236}">
                <a16:creationId xmlns:a16="http://schemas.microsoft.com/office/drawing/2014/main" id="{422E1485-AE26-F53C-E8AB-C6BF796AE9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91</xdr:row>
      <xdr:rowOff>55220</xdr:rowOff>
    </xdr:from>
    <xdr:to>
      <xdr:col>3</xdr:col>
      <xdr:colOff>1003580</xdr:colOff>
      <xdr:row>91</xdr:row>
      <xdr:rowOff>303698</xdr:rowOff>
    </xdr:to>
    <xdr:sp macro="" textlink="">
      <xdr:nvSpPr>
        <xdr:cNvPr id="833" name="hinh15">
          <a:extLst>
            <a:ext uri="{FF2B5EF4-FFF2-40B4-BE49-F238E27FC236}">
              <a16:creationId xmlns:a16="http://schemas.microsoft.com/office/drawing/2014/main" id="{021A4C31-FFC9-41BE-A35C-E049279ADEF7}"/>
            </a:ext>
          </a:extLst>
        </xdr:cNvPr>
        <xdr:cNvSpPr>
          <a:spLocks noChangeAspect="1"/>
        </xdr:cNvSpPr>
      </xdr:nvSpPr>
      <xdr:spPr bwMode="auto">
        <a:xfrm rot="10800000">
          <a:off x="2732279" y="184139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89</xdr:row>
      <xdr:rowOff>61296</xdr:rowOff>
    </xdr:from>
    <xdr:to>
      <xdr:col>3</xdr:col>
      <xdr:colOff>965880</xdr:colOff>
      <xdr:row>89</xdr:row>
      <xdr:rowOff>224979</xdr:rowOff>
    </xdr:to>
    <xdr:grpSp>
      <xdr:nvGrpSpPr>
        <xdr:cNvPr id="834" name="hinh2">
          <a:extLst>
            <a:ext uri="{FF2B5EF4-FFF2-40B4-BE49-F238E27FC236}">
              <a16:creationId xmlns:a16="http://schemas.microsoft.com/office/drawing/2014/main" id="{2D0A4826-B8ED-424B-A8A0-E1E8F0EC7596}"/>
            </a:ext>
          </a:extLst>
        </xdr:cNvPr>
        <xdr:cNvGrpSpPr>
          <a:grpSpLocks noChangeAspect="1"/>
        </xdr:cNvGrpSpPr>
      </xdr:nvGrpSpPr>
      <xdr:grpSpPr bwMode="auto">
        <a:xfrm>
          <a:off x="2735410" y="27762237"/>
          <a:ext cx="875058" cy="163683"/>
          <a:chOff x="206" y="86"/>
          <a:chExt cx="73" cy="16"/>
        </a:xfrm>
      </xdr:grpSpPr>
      <xdr:sp macro="" textlink="">
        <xdr:nvSpPr>
          <xdr:cNvPr id="835" name="Line 6">
            <a:extLst>
              <a:ext uri="{FF2B5EF4-FFF2-40B4-BE49-F238E27FC236}">
                <a16:creationId xmlns:a16="http://schemas.microsoft.com/office/drawing/2014/main" id="{4385CE0F-59A7-73C8-E2FF-D6A1008B65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6" name="Line 7">
            <a:extLst>
              <a:ext uri="{FF2B5EF4-FFF2-40B4-BE49-F238E27FC236}">
                <a16:creationId xmlns:a16="http://schemas.microsoft.com/office/drawing/2014/main" id="{191F7997-E78A-5796-9738-872B463FF4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7" name="Line 8">
            <a:extLst>
              <a:ext uri="{FF2B5EF4-FFF2-40B4-BE49-F238E27FC236}">
                <a16:creationId xmlns:a16="http://schemas.microsoft.com/office/drawing/2014/main" id="{79EA9865-1220-F1AE-095F-4D4C926CB2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92</xdr:row>
      <xdr:rowOff>62196</xdr:rowOff>
    </xdr:from>
    <xdr:to>
      <xdr:col>3</xdr:col>
      <xdr:colOff>952499</xdr:colOff>
      <xdr:row>92</xdr:row>
      <xdr:rowOff>213437</xdr:rowOff>
    </xdr:to>
    <xdr:grpSp>
      <xdr:nvGrpSpPr>
        <xdr:cNvPr id="838" name="hinh3">
          <a:extLst>
            <a:ext uri="{FF2B5EF4-FFF2-40B4-BE49-F238E27FC236}">
              <a16:creationId xmlns:a16="http://schemas.microsoft.com/office/drawing/2014/main" id="{798564AC-0864-4702-969B-A87952C82CF4}"/>
            </a:ext>
          </a:extLst>
        </xdr:cNvPr>
        <xdr:cNvGrpSpPr>
          <a:grpSpLocks noChangeAspect="1"/>
        </xdr:cNvGrpSpPr>
      </xdr:nvGrpSpPr>
      <xdr:grpSpPr bwMode="auto">
        <a:xfrm>
          <a:off x="2735376" y="28704431"/>
          <a:ext cx="861711" cy="151241"/>
          <a:chOff x="206" y="112"/>
          <a:chExt cx="73" cy="16"/>
        </a:xfrm>
      </xdr:grpSpPr>
      <xdr:sp macro="" textlink="">
        <xdr:nvSpPr>
          <xdr:cNvPr id="839" name="Line 3">
            <a:extLst>
              <a:ext uri="{FF2B5EF4-FFF2-40B4-BE49-F238E27FC236}">
                <a16:creationId xmlns:a16="http://schemas.microsoft.com/office/drawing/2014/main" id="{441AC878-2EF3-DCAA-F572-D43D3A5AD1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" name="Line 4">
            <a:extLst>
              <a:ext uri="{FF2B5EF4-FFF2-40B4-BE49-F238E27FC236}">
                <a16:creationId xmlns:a16="http://schemas.microsoft.com/office/drawing/2014/main" id="{6C8716FB-089A-8EFB-F48A-70352DB781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90</xdr:row>
      <xdr:rowOff>50652</xdr:rowOff>
    </xdr:from>
    <xdr:to>
      <xdr:col>3</xdr:col>
      <xdr:colOff>962981</xdr:colOff>
      <xdr:row>90</xdr:row>
      <xdr:rowOff>214335</xdr:rowOff>
    </xdr:to>
    <xdr:grpSp>
      <xdr:nvGrpSpPr>
        <xdr:cNvPr id="841" name="hinh2">
          <a:extLst>
            <a:ext uri="{FF2B5EF4-FFF2-40B4-BE49-F238E27FC236}">
              <a16:creationId xmlns:a16="http://schemas.microsoft.com/office/drawing/2014/main" id="{621D09C0-81DE-4C37-861F-CBCEBE0BF6D5}"/>
            </a:ext>
          </a:extLst>
        </xdr:cNvPr>
        <xdr:cNvGrpSpPr>
          <a:grpSpLocks noChangeAspect="1"/>
        </xdr:cNvGrpSpPr>
      </xdr:nvGrpSpPr>
      <xdr:grpSpPr bwMode="auto">
        <a:xfrm>
          <a:off x="2732511" y="28065358"/>
          <a:ext cx="875058" cy="163683"/>
          <a:chOff x="206" y="86"/>
          <a:chExt cx="73" cy="16"/>
        </a:xfrm>
      </xdr:grpSpPr>
      <xdr:sp macro="" textlink="">
        <xdr:nvSpPr>
          <xdr:cNvPr id="842" name="Line 6">
            <a:extLst>
              <a:ext uri="{FF2B5EF4-FFF2-40B4-BE49-F238E27FC236}">
                <a16:creationId xmlns:a16="http://schemas.microsoft.com/office/drawing/2014/main" id="{158C6307-6EEB-9BCC-85C9-3B403DCE66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3" name="Line 7">
            <a:extLst>
              <a:ext uri="{FF2B5EF4-FFF2-40B4-BE49-F238E27FC236}">
                <a16:creationId xmlns:a16="http://schemas.microsoft.com/office/drawing/2014/main" id="{2CEF3002-5958-8B2E-EB32-51BF5C940E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" name="Line 8">
            <a:extLst>
              <a:ext uri="{FF2B5EF4-FFF2-40B4-BE49-F238E27FC236}">
                <a16:creationId xmlns:a16="http://schemas.microsoft.com/office/drawing/2014/main" id="{61DCD4E1-A8A4-92B0-C1D0-F2CA3E7D60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96</xdr:row>
      <xdr:rowOff>55220</xdr:rowOff>
    </xdr:from>
    <xdr:to>
      <xdr:col>3</xdr:col>
      <xdr:colOff>1003580</xdr:colOff>
      <xdr:row>96</xdr:row>
      <xdr:rowOff>303698</xdr:rowOff>
    </xdr:to>
    <xdr:sp macro="" textlink="">
      <xdr:nvSpPr>
        <xdr:cNvPr id="845" name="hinh15">
          <a:extLst>
            <a:ext uri="{FF2B5EF4-FFF2-40B4-BE49-F238E27FC236}">
              <a16:creationId xmlns:a16="http://schemas.microsoft.com/office/drawing/2014/main" id="{4C069793-AE2A-4EF7-A8F2-A49EB2F16167}"/>
            </a:ext>
          </a:extLst>
        </xdr:cNvPr>
        <xdr:cNvSpPr>
          <a:spLocks noChangeAspect="1"/>
        </xdr:cNvSpPr>
      </xdr:nvSpPr>
      <xdr:spPr bwMode="auto">
        <a:xfrm rot="10800000">
          <a:off x="2732279" y="199924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94</xdr:row>
      <xdr:rowOff>61296</xdr:rowOff>
    </xdr:from>
    <xdr:to>
      <xdr:col>3</xdr:col>
      <xdr:colOff>965880</xdr:colOff>
      <xdr:row>94</xdr:row>
      <xdr:rowOff>224979</xdr:rowOff>
    </xdr:to>
    <xdr:grpSp>
      <xdr:nvGrpSpPr>
        <xdr:cNvPr id="846" name="hinh2">
          <a:extLst>
            <a:ext uri="{FF2B5EF4-FFF2-40B4-BE49-F238E27FC236}">
              <a16:creationId xmlns:a16="http://schemas.microsoft.com/office/drawing/2014/main" id="{AD81E284-F6CD-45C1-8D69-FCAD70EC6D4E}"/>
            </a:ext>
          </a:extLst>
        </xdr:cNvPr>
        <xdr:cNvGrpSpPr>
          <a:grpSpLocks noChangeAspect="1"/>
        </xdr:cNvGrpSpPr>
      </xdr:nvGrpSpPr>
      <xdr:grpSpPr bwMode="auto">
        <a:xfrm>
          <a:off x="2735410" y="29331061"/>
          <a:ext cx="875058" cy="163683"/>
          <a:chOff x="206" y="86"/>
          <a:chExt cx="73" cy="16"/>
        </a:xfrm>
      </xdr:grpSpPr>
      <xdr:sp macro="" textlink="">
        <xdr:nvSpPr>
          <xdr:cNvPr id="847" name="Line 6">
            <a:extLst>
              <a:ext uri="{FF2B5EF4-FFF2-40B4-BE49-F238E27FC236}">
                <a16:creationId xmlns:a16="http://schemas.microsoft.com/office/drawing/2014/main" id="{76D07406-F316-11C7-A03C-632B0482CC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8" name="Line 7">
            <a:extLst>
              <a:ext uri="{FF2B5EF4-FFF2-40B4-BE49-F238E27FC236}">
                <a16:creationId xmlns:a16="http://schemas.microsoft.com/office/drawing/2014/main" id="{9CABAE4A-6D19-9796-3145-4AC5831655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" name="Line 8">
            <a:extLst>
              <a:ext uri="{FF2B5EF4-FFF2-40B4-BE49-F238E27FC236}">
                <a16:creationId xmlns:a16="http://schemas.microsoft.com/office/drawing/2014/main" id="{5EF10003-9B21-D72F-A2FD-183FEF8863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97</xdr:row>
      <xdr:rowOff>62196</xdr:rowOff>
    </xdr:from>
    <xdr:to>
      <xdr:col>3</xdr:col>
      <xdr:colOff>952499</xdr:colOff>
      <xdr:row>97</xdr:row>
      <xdr:rowOff>213437</xdr:rowOff>
    </xdr:to>
    <xdr:grpSp>
      <xdr:nvGrpSpPr>
        <xdr:cNvPr id="850" name="hinh3">
          <a:extLst>
            <a:ext uri="{FF2B5EF4-FFF2-40B4-BE49-F238E27FC236}">
              <a16:creationId xmlns:a16="http://schemas.microsoft.com/office/drawing/2014/main" id="{B0AAF9F1-B4DE-4BB7-A8C7-41F5F11CB534}"/>
            </a:ext>
          </a:extLst>
        </xdr:cNvPr>
        <xdr:cNvGrpSpPr>
          <a:grpSpLocks noChangeAspect="1"/>
        </xdr:cNvGrpSpPr>
      </xdr:nvGrpSpPr>
      <xdr:grpSpPr bwMode="auto">
        <a:xfrm>
          <a:off x="2735376" y="30273255"/>
          <a:ext cx="861711" cy="151241"/>
          <a:chOff x="206" y="112"/>
          <a:chExt cx="73" cy="16"/>
        </a:xfrm>
      </xdr:grpSpPr>
      <xdr:sp macro="" textlink="">
        <xdr:nvSpPr>
          <xdr:cNvPr id="851" name="Line 3">
            <a:extLst>
              <a:ext uri="{FF2B5EF4-FFF2-40B4-BE49-F238E27FC236}">
                <a16:creationId xmlns:a16="http://schemas.microsoft.com/office/drawing/2014/main" id="{026883F3-12B0-F8CD-299C-7F2D83AFEE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2" name="Line 4">
            <a:extLst>
              <a:ext uri="{FF2B5EF4-FFF2-40B4-BE49-F238E27FC236}">
                <a16:creationId xmlns:a16="http://schemas.microsoft.com/office/drawing/2014/main" id="{3C0A6D85-B7C1-168E-784F-456FA698CF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95</xdr:row>
      <xdr:rowOff>50652</xdr:rowOff>
    </xdr:from>
    <xdr:to>
      <xdr:col>3</xdr:col>
      <xdr:colOff>962981</xdr:colOff>
      <xdr:row>95</xdr:row>
      <xdr:rowOff>214335</xdr:rowOff>
    </xdr:to>
    <xdr:grpSp>
      <xdr:nvGrpSpPr>
        <xdr:cNvPr id="853" name="hinh2">
          <a:extLst>
            <a:ext uri="{FF2B5EF4-FFF2-40B4-BE49-F238E27FC236}">
              <a16:creationId xmlns:a16="http://schemas.microsoft.com/office/drawing/2014/main" id="{E55B805A-84F3-474F-95BB-C6585F82A70A}"/>
            </a:ext>
          </a:extLst>
        </xdr:cNvPr>
        <xdr:cNvGrpSpPr>
          <a:grpSpLocks noChangeAspect="1"/>
        </xdr:cNvGrpSpPr>
      </xdr:nvGrpSpPr>
      <xdr:grpSpPr bwMode="auto">
        <a:xfrm>
          <a:off x="2732511" y="29634181"/>
          <a:ext cx="875058" cy="163683"/>
          <a:chOff x="206" y="86"/>
          <a:chExt cx="73" cy="16"/>
        </a:xfrm>
      </xdr:grpSpPr>
      <xdr:sp macro="" textlink="">
        <xdr:nvSpPr>
          <xdr:cNvPr id="854" name="Line 6">
            <a:extLst>
              <a:ext uri="{FF2B5EF4-FFF2-40B4-BE49-F238E27FC236}">
                <a16:creationId xmlns:a16="http://schemas.microsoft.com/office/drawing/2014/main" id="{6582B76D-27A1-0C90-D97F-4F05073FE3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5" name="Line 7">
            <a:extLst>
              <a:ext uri="{FF2B5EF4-FFF2-40B4-BE49-F238E27FC236}">
                <a16:creationId xmlns:a16="http://schemas.microsoft.com/office/drawing/2014/main" id="{FD5FB396-4168-4778-7337-29C952FF28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6" name="Line 8">
            <a:extLst>
              <a:ext uri="{FF2B5EF4-FFF2-40B4-BE49-F238E27FC236}">
                <a16:creationId xmlns:a16="http://schemas.microsoft.com/office/drawing/2014/main" id="{F469E160-22D5-6D9B-09AB-8FE5528FB5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102</xdr:row>
      <xdr:rowOff>55220</xdr:rowOff>
    </xdr:from>
    <xdr:to>
      <xdr:col>3</xdr:col>
      <xdr:colOff>1003580</xdr:colOff>
      <xdr:row>102</xdr:row>
      <xdr:rowOff>303698</xdr:rowOff>
    </xdr:to>
    <xdr:sp macro="" textlink="">
      <xdr:nvSpPr>
        <xdr:cNvPr id="857" name="hinh15">
          <a:extLst>
            <a:ext uri="{FF2B5EF4-FFF2-40B4-BE49-F238E27FC236}">
              <a16:creationId xmlns:a16="http://schemas.microsoft.com/office/drawing/2014/main" id="{6BCF7672-4F74-4A4B-909B-BBB4C228DB4D}"/>
            </a:ext>
          </a:extLst>
        </xdr:cNvPr>
        <xdr:cNvSpPr>
          <a:spLocks noChangeAspect="1"/>
        </xdr:cNvSpPr>
      </xdr:nvSpPr>
      <xdr:spPr bwMode="auto">
        <a:xfrm rot="10800000">
          <a:off x="2732279" y="184139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100</xdr:row>
      <xdr:rowOff>61296</xdr:rowOff>
    </xdr:from>
    <xdr:to>
      <xdr:col>3</xdr:col>
      <xdr:colOff>965880</xdr:colOff>
      <xdr:row>100</xdr:row>
      <xdr:rowOff>224979</xdr:rowOff>
    </xdr:to>
    <xdr:grpSp>
      <xdr:nvGrpSpPr>
        <xdr:cNvPr id="858" name="hinh2">
          <a:extLst>
            <a:ext uri="{FF2B5EF4-FFF2-40B4-BE49-F238E27FC236}">
              <a16:creationId xmlns:a16="http://schemas.microsoft.com/office/drawing/2014/main" id="{B44D99A7-8A0A-4A1D-81FA-71B0E2CCDF55}"/>
            </a:ext>
          </a:extLst>
        </xdr:cNvPr>
        <xdr:cNvGrpSpPr>
          <a:grpSpLocks noChangeAspect="1"/>
        </xdr:cNvGrpSpPr>
      </xdr:nvGrpSpPr>
      <xdr:grpSpPr bwMode="auto">
        <a:xfrm>
          <a:off x="2735410" y="31213649"/>
          <a:ext cx="875058" cy="163683"/>
          <a:chOff x="206" y="86"/>
          <a:chExt cx="73" cy="16"/>
        </a:xfrm>
      </xdr:grpSpPr>
      <xdr:sp macro="" textlink="">
        <xdr:nvSpPr>
          <xdr:cNvPr id="859" name="Line 6">
            <a:extLst>
              <a:ext uri="{FF2B5EF4-FFF2-40B4-BE49-F238E27FC236}">
                <a16:creationId xmlns:a16="http://schemas.microsoft.com/office/drawing/2014/main" id="{0C32F3B8-F5FB-A589-E70C-7850A5E0C0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0" name="Line 7">
            <a:extLst>
              <a:ext uri="{FF2B5EF4-FFF2-40B4-BE49-F238E27FC236}">
                <a16:creationId xmlns:a16="http://schemas.microsoft.com/office/drawing/2014/main" id="{FBF19BF9-2CD3-1AAF-2ACC-47346768A4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1" name="Line 8">
            <a:extLst>
              <a:ext uri="{FF2B5EF4-FFF2-40B4-BE49-F238E27FC236}">
                <a16:creationId xmlns:a16="http://schemas.microsoft.com/office/drawing/2014/main" id="{58A3DAA0-B126-4773-006C-0C8C7815D9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103</xdr:row>
      <xdr:rowOff>62196</xdr:rowOff>
    </xdr:from>
    <xdr:to>
      <xdr:col>3</xdr:col>
      <xdr:colOff>952499</xdr:colOff>
      <xdr:row>103</xdr:row>
      <xdr:rowOff>213437</xdr:rowOff>
    </xdr:to>
    <xdr:grpSp>
      <xdr:nvGrpSpPr>
        <xdr:cNvPr id="862" name="hinh3">
          <a:extLst>
            <a:ext uri="{FF2B5EF4-FFF2-40B4-BE49-F238E27FC236}">
              <a16:creationId xmlns:a16="http://schemas.microsoft.com/office/drawing/2014/main" id="{FFDDA7F3-F6C1-45D9-B153-6A5E1691B5FD}"/>
            </a:ext>
          </a:extLst>
        </xdr:cNvPr>
        <xdr:cNvGrpSpPr>
          <a:grpSpLocks noChangeAspect="1"/>
        </xdr:cNvGrpSpPr>
      </xdr:nvGrpSpPr>
      <xdr:grpSpPr bwMode="auto">
        <a:xfrm>
          <a:off x="2735376" y="32155843"/>
          <a:ext cx="861711" cy="151241"/>
          <a:chOff x="206" y="112"/>
          <a:chExt cx="73" cy="16"/>
        </a:xfrm>
      </xdr:grpSpPr>
      <xdr:sp macro="" textlink="">
        <xdr:nvSpPr>
          <xdr:cNvPr id="863" name="Line 3">
            <a:extLst>
              <a:ext uri="{FF2B5EF4-FFF2-40B4-BE49-F238E27FC236}">
                <a16:creationId xmlns:a16="http://schemas.microsoft.com/office/drawing/2014/main" id="{E51D373E-B15E-7E32-F8EE-FE6A37001F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4" name="Line 4">
            <a:extLst>
              <a:ext uri="{FF2B5EF4-FFF2-40B4-BE49-F238E27FC236}">
                <a16:creationId xmlns:a16="http://schemas.microsoft.com/office/drawing/2014/main" id="{2DD0603C-B15E-0D3C-3C97-884794C130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101</xdr:row>
      <xdr:rowOff>50652</xdr:rowOff>
    </xdr:from>
    <xdr:to>
      <xdr:col>3</xdr:col>
      <xdr:colOff>962981</xdr:colOff>
      <xdr:row>101</xdr:row>
      <xdr:rowOff>214335</xdr:rowOff>
    </xdr:to>
    <xdr:grpSp>
      <xdr:nvGrpSpPr>
        <xdr:cNvPr id="865" name="hinh2">
          <a:extLst>
            <a:ext uri="{FF2B5EF4-FFF2-40B4-BE49-F238E27FC236}">
              <a16:creationId xmlns:a16="http://schemas.microsoft.com/office/drawing/2014/main" id="{9280FE7E-EDE2-4570-BCAD-3840F3DC0964}"/>
            </a:ext>
          </a:extLst>
        </xdr:cNvPr>
        <xdr:cNvGrpSpPr>
          <a:grpSpLocks noChangeAspect="1"/>
        </xdr:cNvGrpSpPr>
      </xdr:nvGrpSpPr>
      <xdr:grpSpPr bwMode="auto">
        <a:xfrm>
          <a:off x="2732511" y="31516770"/>
          <a:ext cx="875058" cy="163683"/>
          <a:chOff x="206" y="86"/>
          <a:chExt cx="73" cy="16"/>
        </a:xfrm>
      </xdr:grpSpPr>
      <xdr:sp macro="" textlink="">
        <xdr:nvSpPr>
          <xdr:cNvPr id="866" name="Line 6">
            <a:extLst>
              <a:ext uri="{FF2B5EF4-FFF2-40B4-BE49-F238E27FC236}">
                <a16:creationId xmlns:a16="http://schemas.microsoft.com/office/drawing/2014/main" id="{73DA0080-43BC-CD7E-D1FD-8F4BB7211D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7" name="Line 7">
            <a:extLst>
              <a:ext uri="{FF2B5EF4-FFF2-40B4-BE49-F238E27FC236}">
                <a16:creationId xmlns:a16="http://schemas.microsoft.com/office/drawing/2014/main" id="{92BE1DD7-AE87-3375-2111-3D0FEF9781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8" name="Line 8">
            <a:extLst>
              <a:ext uri="{FF2B5EF4-FFF2-40B4-BE49-F238E27FC236}">
                <a16:creationId xmlns:a16="http://schemas.microsoft.com/office/drawing/2014/main" id="{4073E38B-32A9-7995-517F-28177B5A1E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107</xdr:row>
      <xdr:rowOff>55220</xdr:rowOff>
    </xdr:from>
    <xdr:to>
      <xdr:col>3</xdr:col>
      <xdr:colOff>1003580</xdr:colOff>
      <xdr:row>107</xdr:row>
      <xdr:rowOff>303698</xdr:rowOff>
    </xdr:to>
    <xdr:sp macro="" textlink="">
      <xdr:nvSpPr>
        <xdr:cNvPr id="869" name="hinh15">
          <a:extLst>
            <a:ext uri="{FF2B5EF4-FFF2-40B4-BE49-F238E27FC236}">
              <a16:creationId xmlns:a16="http://schemas.microsoft.com/office/drawing/2014/main" id="{363BC173-8094-46A7-9F94-A43EF630EF34}"/>
            </a:ext>
          </a:extLst>
        </xdr:cNvPr>
        <xdr:cNvSpPr>
          <a:spLocks noChangeAspect="1"/>
        </xdr:cNvSpPr>
      </xdr:nvSpPr>
      <xdr:spPr bwMode="auto">
        <a:xfrm rot="10800000">
          <a:off x="2732279" y="234649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105</xdr:row>
      <xdr:rowOff>61296</xdr:rowOff>
    </xdr:from>
    <xdr:to>
      <xdr:col>3</xdr:col>
      <xdr:colOff>965880</xdr:colOff>
      <xdr:row>105</xdr:row>
      <xdr:rowOff>224979</xdr:rowOff>
    </xdr:to>
    <xdr:grpSp>
      <xdr:nvGrpSpPr>
        <xdr:cNvPr id="870" name="hinh2">
          <a:extLst>
            <a:ext uri="{FF2B5EF4-FFF2-40B4-BE49-F238E27FC236}">
              <a16:creationId xmlns:a16="http://schemas.microsoft.com/office/drawing/2014/main" id="{D6B2C795-B1EA-4B79-824A-FE2EE8149164}"/>
            </a:ext>
          </a:extLst>
        </xdr:cNvPr>
        <xdr:cNvGrpSpPr>
          <a:grpSpLocks noChangeAspect="1"/>
        </xdr:cNvGrpSpPr>
      </xdr:nvGrpSpPr>
      <xdr:grpSpPr bwMode="auto">
        <a:xfrm>
          <a:off x="2735410" y="32782472"/>
          <a:ext cx="875058" cy="163683"/>
          <a:chOff x="206" y="86"/>
          <a:chExt cx="73" cy="16"/>
        </a:xfrm>
      </xdr:grpSpPr>
      <xdr:sp macro="" textlink="">
        <xdr:nvSpPr>
          <xdr:cNvPr id="871" name="Line 6">
            <a:extLst>
              <a:ext uri="{FF2B5EF4-FFF2-40B4-BE49-F238E27FC236}">
                <a16:creationId xmlns:a16="http://schemas.microsoft.com/office/drawing/2014/main" id="{457043BB-7CCB-245D-9A5E-05066B1CF6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2" name="Line 7">
            <a:extLst>
              <a:ext uri="{FF2B5EF4-FFF2-40B4-BE49-F238E27FC236}">
                <a16:creationId xmlns:a16="http://schemas.microsoft.com/office/drawing/2014/main" id="{D499743A-8B97-965C-2C6C-9C13083631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3" name="Line 8">
            <a:extLst>
              <a:ext uri="{FF2B5EF4-FFF2-40B4-BE49-F238E27FC236}">
                <a16:creationId xmlns:a16="http://schemas.microsoft.com/office/drawing/2014/main" id="{93CB103B-6F11-58B3-4439-A452DFF411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108</xdr:row>
      <xdr:rowOff>62196</xdr:rowOff>
    </xdr:from>
    <xdr:to>
      <xdr:col>3</xdr:col>
      <xdr:colOff>952499</xdr:colOff>
      <xdr:row>108</xdr:row>
      <xdr:rowOff>213437</xdr:rowOff>
    </xdr:to>
    <xdr:grpSp>
      <xdr:nvGrpSpPr>
        <xdr:cNvPr id="874" name="hinh3">
          <a:extLst>
            <a:ext uri="{FF2B5EF4-FFF2-40B4-BE49-F238E27FC236}">
              <a16:creationId xmlns:a16="http://schemas.microsoft.com/office/drawing/2014/main" id="{163C072C-FB9F-4A2A-9121-F8C85F423702}"/>
            </a:ext>
          </a:extLst>
        </xdr:cNvPr>
        <xdr:cNvGrpSpPr>
          <a:grpSpLocks noChangeAspect="1"/>
        </xdr:cNvGrpSpPr>
      </xdr:nvGrpSpPr>
      <xdr:grpSpPr bwMode="auto">
        <a:xfrm>
          <a:off x="2735376" y="33724667"/>
          <a:ext cx="861711" cy="151241"/>
          <a:chOff x="206" y="112"/>
          <a:chExt cx="73" cy="16"/>
        </a:xfrm>
      </xdr:grpSpPr>
      <xdr:sp macro="" textlink="">
        <xdr:nvSpPr>
          <xdr:cNvPr id="875" name="Line 3">
            <a:extLst>
              <a:ext uri="{FF2B5EF4-FFF2-40B4-BE49-F238E27FC236}">
                <a16:creationId xmlns:a16="http://schemas.microsoft.com/office/drawing/2014/main" id="{58E6F97D-B073-7D58-A8BD-C2E0DDC774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6" name="Line 4">
            <a:extLst>
              <a:ext uri="{FF2B5EF4-FFF2-40B4-BE49-F238E27FC236}">
                <a16:creationId xmlns:a16="http://schemas.microsoft.com/office/drawing/2014/main" id="{44A2C511-0112-54D3-AF4E-D1B0D397FB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106</xdr:row>
      <xdr:rowOff>50652</xdr:rowOff>
    </xdr:from>
    <xdr:to>
      <xdr:col>3</xdr:col>
      <xdr:colOff>962981</xdr:colOff>
      <xdr:row>106</xdr:row>
      <xdr:rowOff>214335</xdr:rowOff>
    </xdr:to>
    <xdr:grpSp>
      <xdr:nvGrpSpPr>
        <xdr:cNvPr id="877" name="hinh2">
          <a:extLst>
            <a:ext uri="{FF2B5EF4-FFF2-40B4-BE49-F238E27FC236}">
              <a16:creationId xmlns:a16="http://schemas.microsoft.com/office/drawing/2014/main" id="{C53C755D-F79D-4EEC-8F75-0D8C090F03F6}"/>
            </a:ext>
          </a:extLst>
        </xdr:cNvPr>
        <xdr:cNvGrpSpPr>
          <a:grpSpLocks noChangeAspect="1"/>
        </xdr:cNvGrpSpPr>
      </xdr:nvGrpSpPr>
      <xdr:grpSpPr bwMode="auto">
        <a:xfrm>
          <a:off x="2732511" y="33085593"/>
          <a:ext cx="875058" cy="163683"/>
          <a:chOff x="206" y="86"/>
          <a:chExt cx="73" cy="16"/>
        </a:xfrm>
      </xdr:grpSpPr>
      <xdr:sp macro="" textlink="">
        <xdr:nvSpPr>
          <xdr:cNvPr id="878" name="Line 6">
            <a:extLst>
              <a:ext uri="{FF2B5EF4-FFF2-40B4-BE49-F238E27FC236}">
                <a16:creationId xmlns:a16="http://schemas.microsoft.com/office/drawing/2014/main" id="{E4BCE8D0-B238-2C3C-4A94-6CB6433844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9" name="Line 7">
            <a:extLst>
              <a:ext uri="{FF2B5EF4-FFF2-40B4-BE49-F238E27FC236}">
                <a16:creationId xmlns:a16="http://schemas.microsoft.com/office/drawing/2014/main" id="{90DABB01-3AA4-0F9E-8186-63B8D8EF6CA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0" name="Line 8">
            <a:extLst>
              <a:ext uri="{FF2B5EF4-FFF2-40B4-BE49-F238E27FC236}">
                <a16:creationId xmlns:a16="http://schemas.microsoft.com/office/drawing/2014/main" id="{A50F0F08-8BBE-3764-9A45-8D1A95FCC6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113</xdr:row>
      <xdr:rowOff>55220</xdr:rowOff>
    </xdr:from>
    <xdr:to>
      <xdr:col>3</xdr:col>
      <xdr:colOff>1003580</xdr:colOff>
      <xdr:row>113</xdr:row>
      <xdr:rowOff>303698</xdr:rowOff>
    </xdr:to>
    <xdr:sp macro="" textlink="">
      <xdr:nvSpPr>
        <xdr:cNvPr id="881" name="hinh15">
          <a:extLst>
            <a:ext uri="{FF2B5EF4-FFF2-40B4-BE49-F238E27FC236}">
              <a16:creationId xmlns:a16="http://schemas.microsoft.com/office/drawing/2014/main" id="{EB3F121B-12AD-44B9-A603-9B78E5F5626A}"/>
            </a:ext>
          </a:extLst>
        </xdr:cNvPr>
        <xdr:cNvSpPr>
          <a:spLocks noChangeAspect="1"/>
        </xdr:cNvSpPr>
      </xdr:nvSpPr>
      <xdr:spPr bwMode="auto">
        <a:xfrm rot="10800000">
          <a:off x="2732279" y="234649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111</xdr:row>
      <xdr:rowOff>61296</xdr:rowOff>
    </xdr:from>
    <xdr:to>
      <xdr:col>3</xdr:col>
      <xdr:colOff>965880</xdr:colOff>
      <xdr:row>111</xdr:row>
      <xdr:rowOff>224979</xdr:rowOff>
    </xdr:to>
    <xdr:grpSp>
      <xdr:nvGrpSpPr>
        <xdr:cNvPr id="882" name="hinh2">
          <a:extLst>
            <a:ext uri="{FF2B5EF4-FFF2-40B4-BE49-F238E27FC236}">
              <a16:creationId xmlns:a16="http://schemas.microsoft.com/office/drawing/2014/main" id="{8B63A850-DE5F-4903-B741-9F1138C02726}"/>
            </a:ext>
          </a:extLst>
        </xdr:cNvPr>
        <xdr:cNvGrpSpPr>
          <a:grpSpLocks noChangeAspect="1"/>
        </xdr:cNvGrpSpPr>
      </xdr:nvGrpSpPr>
      <xdr:grpSpPr bwMode="auto">
        <a:xfrm>
          <a:off x="2735410" y="34665061"/>
          <a:ext cx="875058" cy="163683"/>
          <a:chOff x="206" y="86"/>
          <a:chExt cx="73" cy="16"/>
        </a:xfrm>
      </xdr:grpSpPr>
      <xdr:sp macro="" textlink="">
        <xdr:nvSpPr>
          <xdr:cNvPr id="883" name="Line 6">
            <a:extLst>
              <a:ext uri="{FF2B5EF4-FFF2-40B4-BE49-F238E27FC236}">
                <a16:creationId xmlns:a16="http://schemas.microsoft.com/office/drawing/2014/main" id="{D930327F-7232-7AAE-374F-FEEFCBADE7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5" name="Line 7">
            <a:extLst>
              <a:ext uri="{FF2B5EF4-FFF2-40B4-BE49-F238E27FC236}">
                <a16:creationId xmlns:a16="http://schemas.microsoft.com/office/drawing/2014/main" id="{65390A40-C8B0-6E20-72B0-8B54B9DA35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7" name="Line 8">
            <a:extLst>
              <a:ext uri="{FF2B5EF4-FFF2-40B4-BE49-F238E27FC236}">
                <a16:creationId xmlns:a16="http://schemas.microsoft.com/office/drawing/2014/main" id="{AB75EF0A-37EC-5EC8-FE22-30589968C1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114</xdr:row>
      <xdr:rowOff>62196</xdr:rowOff>
    </xdr:from>
    <xdr:to>
      <xdr:col>3</xdr:col>
      <xdr:colOff>952499</xdr:colOff>
      <xdr:row>114</xdr:row>
      <xdr:rowOff>213437</xdr:rowOff>
    </xdr:to>
    <xdr:grpSp>
      <xdr:nvGrpSpPr>
        <xdr:cNvPr id="889" name="hinh3">
          <a:extLst>
            <a:ext uri="{FF2B5EF4-FFF2-40B4-BE49-F238E27FC236}">
              <a16:creationId xmlns:a16="http://schemas.microsoft.com/office/drawing/2014/main" id="{D73A9DB4-CCE7-4D8E-9EC8-0BAB564B00AD}"/>
            </a:ext>
          </a:extLst>
        </xdr:cNvPr>
        <xdr:cNvGrpSpPr>
          <a:grpSpLocks noChangeAspect="1"/>
        </xdr:cNvGrpSpPr>
      </xdr:nvGrpSpPr>
      <xdr:grpSpPr bwMode="auto">
        <a:xfrm>
          <a:off x="2735376" y="35607255"/>
          <a:ext cx="861711" cy="151241"/>
          <a:chOff x="206" y="112"/>
          <a:chExt cx="73" cy="16"/>
        </a:xfrm>
      </xdr:grpSpPr>
      <xdr:sp macro="" textlink="">
        <xdr:nvSpPr>
          <xdr:cNvPr id="891" name="Line 3">
            <a:extLst>
              <a:ext uri="{FF2B5EF4-FFF2-40B4-BE49-F238E27FC236}">
                <a16:creationId xmlns:a16="http://schemas.microsoft.com/office/drawing/2014/main" id="{4C727B8A-1110-8820-711A-59E594AAAC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3" name="Line 4">
            <a:extLst>
              <a:ext uri="{FF2B5EF4-FFF2-40B4-BE49-F238E27FC236}">
                <a16:creationId xmlns:a16="http://schemas.microsoft.com/office/drawing/2014/main" id="{3FFE3FBF-55CF-102B-7E79-B1C09D110C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112</xdr:row>
      <xdr:rowOff>50652</xdr:rowOff>
    </xdr:from>
    <xdr:to>
      <xdr:col>3</xdr:col>
      <xdr:colOff>962981</xdr:colOff>
      <xdr:row>112</xdr:row>
      <xdr:rowOff>214335</xdr:rowOff>
    </xdr:to>
    <xdr:grpSp>
      <xdr:nvGrpSpPr>
        <xdr:cNvPr id="895" name="hinh2">
          <a:extLst>
            <a:ext uri="{FF2B5EF4-FFF2-40B4-BE49-F238E27FC236}">
              <a16:creationId xmlns:a16="http://schemas.microsoft.com/office/drawing/2014/main" id="{57E378DD-0598-4E6D-94C8-2CAE27C3EBDF}"/>
            </a:ext>
          </a:extLst>
        </xdr:cNvPr>
        <xdr:cNvGrpSpPr>
          <a:grpSpLocks noChangeAspect="1"/>
        </xdr:cNvGrpSpPr>
      </xdr:nvGrpSpPr>
      <xdr:grpSpPr bwMode="auto">
        <a:xfrm>
          <a:off x="2732511" y="34968181"/>
          <a:ext cx="875058" cy="163683"/>
          <a:chOff x="206" y="86"/>
          <a:chExt cx="73" cy="16"/>
        </a:xfrm>
      </xdr:grpSpPr>
      <xdr:sp macro="" textlink="">
        <xdr:nvSpPr>
          <xdr:cNvPr id="897" name="Line 6">
            <a:extLst>
              <a:ext uri="{FF2B5EF4-FFF2-40B4-BE49-F238E27FC236}">
                <a16:creationId xmlns:a16="http://schemas.microsoft.com/office/drawing/2014/main" id="{A3F1C39E-0360-71F9-965B-26D843A132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9" name="Line 7">
            <a:extLst>
              <a:ext uri="{FF2B5EF4-FFF2-40B4-BE49-F238E27FC236}">
                <a16:creationId xmlns:a16="http://schemas.microsoft.com/office/drawing/2014/main" id="{664DEDB5-2F66-51CD-7845-4F77A4B485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1" name="Line 8">
            <a:extLst>
              <a:ext uri="{FF2B5EF4-FFF2-40B4-BE49-F238E27FC236}">
                <a16:creationId xmlns:a16="http://schemas.microsoft.com/office/drawing/2014/main" id="{A1041919-FAEF-FEA7-272D-304EC3B833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118</xdr:row>
      <xdr:rowOff>55220</xdr:rowOff>
    </xdr:from>
    <xdr:to>
      <xdr:col>3</xdr:col>
      <xdr:colOff>1003580</xdr:colOff>
      <xdr:row>118</xdr:row>
      <xdr:rowOff>303698</xdr:rowOff>
    </xdr:to>
    <xdr:sp macro="" textlink="">
      <xdr:nvSpPr>
        <xdr:cNvPr id="903" name="hinh15">
          <a:extLst>
            <a:ext uri="{FF2B5EF4-FFF2-40B4-BE49-F238E27FC236}">
              <a16:creationId xmlns:a16="http://schemas.microsoft.com/office/drawing/2014/main" id="{E21E406C-D031-40E4-AF9A-4ECBB1F97AAE}"/>
            </a:ext>
          </a:extLst>
        </xdr:cNvPr>
        <xdr:cNvSpPr>
          <a:spLocks noChangeAspect="1"/>
        </xdr:cNvSpPr>
      </xdr:nvSpPr>
      <xdr:spPr bwMode="auto">
        <a:xfrm rot="10800000">
          <a:off x="2732279" y="250433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116</xdr:row>
      <xdr:rowOff>61296</xdr:rowOff>
    </xdr:from>
    <xdr:to>
      <xdr:col>3</xdr:col>
      <xdr:colOff>965880</xdr:colOff>
      <xdr:row>116</xdr:row>
      <xdr:rowOff>224979</xdr:rowOff>
    </xdr:to>
    <xdr:grpSp>
      <xdr:nvGrpSpPr>
        <xdr:cNvPr id="908" name="hinh2">
          <a:extLst>
            <a:ext uri="{FF2B5EF4-FFF2-40B4-BE49-F238E27FC236}">
              <a16:creationId xmlns:a16="http://schemas.microsoft.com/office/drawing/2014/main" id="{87AFBB0C-234F-4BCB-8586-9CDBA8E31E85}"/>
            </a:ext>
          </a:extLst>
        </xdr:cNvPr>
        <xdr:cNvGrpSpPr>
          <a:grpSpLocks noChangeAspect="1"/>
        </xdr:cNvGrpSpPr>
      </xdr:nvGrpSpPr>
      <xdr:grpSpPr bwMode="auto">
        <a:xfrm>
          <a:off x="2735410" y="36233884"/>
          <a:ext cx="875058" cy="163683"/>
          <a:chOff x="206" y="86"/>
          <a:chExt cx="73" cy="16"/>
        </a:xfrm>
      </xdr:grpSpPr>
      <xdr:sp macro="" textlink="">
        <xdr:nvSpPr>
          <xdr:cNvPr id="909" name="Line 6">
            <a:extLst>
              <a:ext uri="{FF2B5EF4-FFF2-40B4-BE49-F238E27FC236}">
                <a16:creationId xmlns:a16="http://schemas.microsoft.com/office/drawing/2014/main" id="{895094FF-42E5-28E3-FBC5-65B9AA53E1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1" name="Line 7">
            <a:extLst>
              <a:ext uri="{FF2B5EF4-FFF2-40B4-BE49-F238E27FC236}">
                <a16:creationId xmlns:a16="http://schemas.microsoft.com/office/drawing/2014/main" id="{8596E2BD-A9E9-E7E8-CE51-7A225D3370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3" name="Line 8">
            <a:extLst>
              <a:ext uri="{FF2B5EF4-FFF2-40B4-BE49-F238E27FC236}">
                <a16:creationId xmlns:a16="http://schemas.microsoft.com/office/drawing/2014/main" id="{C324D324-98A9-5D0B-89E6-735DCA0817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119</xdr:row>
      <xdr:rowOff>62196</xdr:rowOff>
    </xdr:from>
    <xdr:to>
      <xdr:col>3</xdr:col>
      <xdr:colOff>952499</xdr:colOff>
      <xdr:row>119</xdr:row>
      <xdr:rowOff>213437</xdr:rowOff>
    </xdr:to>
    <xdr:grpSp>
      <xdr:nvGrpSpPr>
        <xdr:cNvPr id="915" name="hinh3">
          <a:extLst>
            <a:ext uri="{FF2B5EF4-FFF2-40B4-BE49-F238E27FC236}">
              <a16:creationId xmlns:a16="http://schemas.microsoft.com/office/drawing/2014/main" id="{565A8DC6-1605-4845-BA37-65A60F952104}"/>
            </a:ext>
          </a:extLst>
        </xdr:cNvPr>
        <xdr:cNvGrpSpPr>
          <a:grpSpLocks noChangeAspect="1"/>
        </xdr:cNvGrpSpPr>
      </xdr:nvGrpSpPr>
      <xdr:grpSpPr bwMode="auto">
        <a:xfrm>
          <a:off x="2735376" y="37176078"/>
          <a:ext cx="861711" cy="151241"/>
          <a:chOff x="206" y="112"/>
          <a:chExt cx="73" cy="16"/>
        </a:xfrm>
      </xdr:grpSpPr>
      <xdr:sp macro="" textlink="">
        <xdr:nvSpPr>
          <xdr:cNvPr id="917" name="Line 3">
            <a:extLst>
              <a:ext uri="{FF2B5EF4-FFF2-40B4-BE49-F238E27FC236}">
                <a16:creationId xmlns:a16="http://schemas.microsoft.com/office/drawing/2014/main" id="{0FDB8BFB-61D1-BCD3-9221-187523B277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9" name="Line 4">
            <a:extLst>
              <a:ext uri="{FF2B5EF4-FFF2-40B4-BE49-F238E27FC236}">
                <a16:creationId xmlns:a16="http://schemas.microsoft.com/office/drawing/2014/main" id="{3A4D18D8-E7FE-7263-ED91-D8A115EA77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117</xdr:row>
      <xdr:rowOff>50652</xdr:rowOff>
    </xdr:from>
    <xdr:to>
      <xdr:col>3</xdr:col>
      <xdr:colOff>962981</xdr:colOff>
      <xdr:row>117</xdr:row>
      <xdr:rowOff>214335</xdr:rowOff>
    </xdr:to>
    <xdr:grpSp>
      <xdr:nvGrpSpPr>
        <xdr:cNvPr id="921" name="hinh2">
          <a:extLst>
            <a:ext uri="{FF2B5EF4-FFF2-40B4-BE49-F238E27FC236}">
              <a16:creationId xmlns:a16="http://schemas.microsoft.com/office/drawing/2014/main" id="{7521165F-548F-4577-89B4-21AF982AFBED}"/>
            </a:ext>
          </a:extLst>
        </xdr:cNvPr>
        <xdr:cNvGrpSpPr>
          <a:grpSpLocks noChangeAspect="1"/>
        </xdr:cNvGrpSpPr>
      </xdr:nvGrpSpPr>
      <xdr:grpSpPr bwMode="auto">
        <a:xfrm>
          <a:off x="2732511" y="36537005"/>
          <a:ext cx="875058" cy="163683"/>
          <a:chOff x="206" y="86"/>
          <a:chExt cx="73" cy="16"/>
        </a:xfrm>
      </xdr:grpSpPr>
      <xdr:sp macro="" textlink="">
        <xdr:nvSpPr>
          <xdr:cNvPr id="923" name="Line 6">
            <a:extLst>
              <a:ext uri="{FF2B5EF4-FFF2-40B4-BE49-F238E27FC236}">
                <a16:creationId xmlns:a16="http://schemas.microsoft.com/office/drawing/2014/main" id="{FDDE4F40-9E37-4D30-55C0-57AC093FBD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" name="Line 7">
            <a:extLst>
              <a:ext uri="{FF2B5EF4-FFF2-40B4-BE49-F238E27FC236}">
                <a16:creationId xmlns:a16="http://schemas.microsoft.com/office/drawing/2014/main" id="{7B6EFADD-DECE-94E9-46D7-C12ADB1D82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7" name="Line 8">
            <a:extLst>
              <a:ext uri="{FF2B5EF4-FFF2-40B4-BE49-F238E27FC236}">
                <a16:creationId xmlns:a16="http://schemas.microsoft.com/office/drawing/2014/main" id="{42203C3A-5B13-FF1B-92C0-266B907F9D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123</xdr:row>
      <xdr:rowOff>55220</xdr:rowOff>
    </xdr:from>
    <xdr:to>
      <xdr:col>3</xdr:col>
      <xdr:colOff>1003580</xdr:colOff>
      <xdr:row>123</xdr:row>
      <xdr:rowOff>303698</xdr:rowOff>
    </xdr:to>
    <xdr:sp macro="" textlink="">
      <xdr:nvSpPr>
        <xdr:cNvPr id="929" name="hinh15">
          <a:extLst>
            <a:ext uri="{FF2B5EF4-FFF2-40B4-BE49-F238E27FC236}">
              <a16:creationId xmlns:a16="http://schemas.microsoft.com/office/drawing/2014/main" id="{97DC34B8-640F-4286-A4A2-103DC06C5562}"/>
            </a:ext>
          </a:extLst>
        </xdr:cNvPr>
        <xdr:cNvSpPr>
          <a:spLocks noChangeAspect="1"/>
        </xdr:cNvSpPr>
      </xdr:nvSpPr>
      <xdr:spPr bwMode="auto">
        <a:xfrm rot="10800000">
          <a:off x="2732279" y="285159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121</xdr:row>
      <xdr:rowOff>61296</xdr:rowOff>
    </xdr:from>
    <xdr:to>
      <xdr:col>3</xdr:col>
      <xdr:colOff>965880</xdr:colOff>
      <xdr:row>121</xdr:row>
      <xdr:rowOff>224979</xdr:rowOff>
    </xdr:to>
    <xdr:grpSp>
      <xdr:nvGrpSpPr>
        <xdr:cNvPr id="931" name="hinh2">
          <a:extLst>
            <a:ext uri="{FF2B5EF4-FFF2-40B4-BE49-F238E27FC236}">
              <a16:creationId xmlns:a16="http://schemas.microsoft.com/office/drawing/2014/main" id="{2315DC5C-DD42-4DFE-873B-43146E070647}"/>
            </a:ext>
          </a:extLst>
        </xdr:cNvPr>
        <xdr:cNvGrpSpPr>
          <a:grpSpLocks noChangeAspect="1"/>
        </xdr:cNvGrpSpPr>
      </xdr:nvGrpSpPr>
      <xdr:grpSpPr bwMode="auto">
        <a:xfrm>
          <a:off x="2735410" y="37802708"/>
          <a:ext cx="875058" cy="163683"/>
          <a:chOff x="206" y="86"/>
          <a:chExt cx="73" cy="16"/>
        </a:xfrm>
      </xdr:grpSpPr>
      <xdr:sp macro="" textlink="">
        <xdr:nvSpPr>
          <xdr:cNvPr id="933" name="Line 6">
            <a:extLst>
              <a:ext uri="{FF2B5EF4-FFF2-40B4-BE49-F238E27FC236}">
                <a16:creationId xmlns:a16="http://schemas.microsoft.com/office/drawing/2014/main" id="{44255E2D-6E4D-D545-BC46-45CFF8ED59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5" name="Line 7">
            <a:extLst>
              <a:ext uri="{FF2B5EF4-FFF2-40B4-BE49-F238E27FC236}">
                <a16:creationId xmlns:a16="http://schemas.microsoft.com/office/drawing/2014/main" id="{C8ED87A6-BBA2-C508-D942-69F2316F68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7" name="Line 8">
            <a:extLst>
              <a:ext uri="{FF2B5EF4-FFF2-40B4-BE49-F238E27FC236}">
                <a16:creationId xmlns:a16="http://schemas.microsoft.com/office/drawing/2014/main" id="{DDE22824-DA92-1465-2434-A0E0FE99D4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124</xdr:row>
      <xdr:rowOff>62196</xdr:rowOff>
    </xdr:from>
    <xdr:to>
      <xdr:col>3</xdr:col>
      <xdr:colOff>952499</xdr:colOff>
      <xdr:row>124</xdr:row>
      <xdr:rowOff>213437</xdr:rowOff>
    </xdr:to>
    <xdr:grpSp>
      <xdr:nvGrpSpPr>
        <xdr:cNvPr id="939" name="hinh3">
          <a:extLst>
            <a:ext uri="{FF2B5EF4-FFF2-40B4-BE49-F238E27FC236}">
              <a16:creationId xmlns:a16="http://schemas.microsoft.com/office/drawing/2014/main" id="{7B3A1123-3DCC-47D8-8E1C-402D40879CDD}"/>
            </a:ext>
          </a:extLst>
        </xdr:cNvPr>
        <xdr:cNvGrpSpPr>
          <a:grpSpLocks noChangeAspect="1"/>
        </xdr:cNvGrpSpPr>
      </xdr:nvGrpSpPr>
      <xdr:grpSpPr bwMode="auto">
        <a:xfrm>
          <a:off x="2735376" y="38744902"/>
          <a:ext cx="861711" cy="151241"/>
          <a:chOff x="206" y="112"/>
          <a:chExt cx="73" cy="16"/>
        </a:xfrm>
      </xdr:grpSpPr>
      <xdr:sp macro="" textlink="">
        <xdr:nvSpPr>
          <xdr:cNvPr id="941" name="Line 3">
            <a:extLst>
              <a:ext uri="{FF2B5EF4-FFF2-40B4-BE49-F238E27FC236}">
                <a16:creationId xmlns:a16="http://schemas.microsoft.com/office/drawing/2014/main" id="{B4EB2006-353A-8A3E-BDBE-F65C772570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6" name="Line 4">
            <a:extLst>
              <a:ext uri="{FF2B5EF4-FFF2-40B4-BE49-F238E27FC236}">
                <a16:creationId xmlns:a16="http://schemas.microsoft.com/office/drawing/2014/main" id="{23156376-DFE5-66F1-8811-311741C942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122</xdr:row>
      <xdr:rowOff>50652</xdr:rowOff>
    </xdr:from>
    <xdr:to>
      <xdr:col>3</xdr:col>
      <xdr:colOff>962981</xdr:colOff>
      <xdr:row>122</xdr:row>
      <xdr:rowOff>214335</xdr:rowOff>
    </xdr:to>
    <xdr:grpSp>
      <xdr:nvGrpSpPr>
        <xdr:cNvPr id="947" name="hinh2">
          <a:extLst>
            <a:ext uri="{FF2B5EF4-FFF2-40B4-BE49-F238E27FC236}">
              <a16:creationId xmlns:a16="http://schemas.microsoft.com/office/drawing/2014/main" id="{A66CEDA8-8EAC-4C31-AB11-3209F39672DC}"/>
            </a:ext>
          </a:extLst>
        </xdr:cNvPr>
        <xdr:cNvGrpSpPr>
          <a:grpSpLocks noChangeAspect="1"/>
        </xdr:cNvGrpSpPr>
      </xdr:nvGrpSpPr>
      <xdr:grpSpPr bwMode="auto">
        <a:xfrm>
          <a:off x="2732511" y="38105828"/>
          <a:ext cx="875058" cy="163683"/>
          <a:chOff x="206" y="86"/>
          <a:chExt cx="73" cy="16"/>
        </a:xfrm>
      </xdr:grpSpPr>
      <xdr:sp macro="" textlink="">
        <xdr:nvSpPr>
          <xdr:cNvPr id="949" name="Line 6">
            <a:extLst>
              <a:ext uri="{FF2B5EF4-FFF2-40B4-BE49-F238E27FC236}">
                <a16:creationId xmlns:a16="http://schemas.microsoft.com/office/drawing/2014/main" id="{040541FE-3396-ABA3-4A30-1BDC728A7C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1" name="Line 7">
            <a:extLst>
              <a:ext uri="{FF2B5EF4-FFF2-40B4-BE49-F238E27FC236}">
                <a16:creationId xmlns:a16="http://schemas.microsoft.com/office/drawing/2014/main" id="{2EEDA979-1CC5-114E-691C-11B01AAECD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3" name="Line 8">
            <a:extLst>
              <a:ext uri="{FF2B5EF4-FFF2-40B4-BE49-F238E27FC236}">
                <a16:creationId xmlns:a16="http://schemas.microsoft.com/office/drawing/2014/main" id="{CBD3D193-1BD3-1374-A7A7-3C91CA6411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128</xdr:row>
      <xdr:rowOff>55220</xdr:rowOff>
    </xdr:from>
    <xdr:to>
      <xdr:col>3</xdr:col>
      <xdr:colOff>1003580</xdr:colOff>
      <xdr:row>128</xdr:row>
      <xdr:rowOff>303698</xdr:rowOff>
    </xdr:to>
    <xdr:sp macro="" textlink="">
      <xdr:nvSpPr>
        <xdr:cNvPr id="955" name="hinh15">
          <a:extLst>
            <a:ext uri="{FF2B5EF4-FFF2-40B4-BE49-F238E27FC236}">
              <a16:creationId xmlns:a16="http://schemas.microsoft.com/office/drawing/2014/main" id="{81996ACF-9EFF-43C9-8E17-930C7CFF7AF9}"/>
            </a:ext>
          </a:extLst>
        </xdr:cNvPr>
        <xdr:cNvSpPr>
          <a:spLocks noChangeAspect="1"/>
        </xdr:cNvSpPr>
      </xdr:nvSpPr>
      <xdr:spPr bwMode="auto">
        <a:xfrm rot="10800000">
          <a:off x="2732279" y="30094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126</xdr:row>
      <xdr:rowOff>61296</xdr:rowOff>
    </xdr:from>
    <xdr:to>
      <xdr:col>3</xdr:col>
      <xdr:colOff>965880</xdr:colOff>
      <xdr:row>126</xdr:row>
      <xdr:rowOff>224979</xdr:rowOff>
    </xdr:to>
    <xdr:grpSp>
      <xdr:nvGrpSpPr>
        <xdr:cNvPr id="957" name="hinh2">
          <a:extLst>
            <a:ext uri="{FF2B5EF4-FFF2-40B4-BE49-F238E27FC236}">
              <a16:creationId xmlns:a16="http://schemas.microsoft.com/office/drawing/2014/main" id="{102712D1-925E-4FA6-8055-90A6BE905517}"/>
            </a:ext>
          </a:extLst>
        </xdr:cNvPr>
        <xdr:cNvGrpSpPr>
          <a:grpSpLocks noChangeAspect="1"/>
        </xdr:cNvGrpSpPr>
      </xdr:nvGrpSpPr>
      <xdr:grpSpPr bwMode="auto">
        <a:xfrm>
          <a:off x="2735410" y="39371531"/>
          <a:ext cx="875058" cy="163683"/>
          <a:chOff x="206" y="86"/>
          <a:chExt cx="73" cy="16"/>
        </a:xfrm>
      </xdr:grpSpPr>
      <xdr:sp macro="" textlink="">
        <xdr:nvSpPr>
          <xdr:cNvPr id="959" name="Line 6">
            <a:extLst>
              <a:ext uri="{FF2B5EF4-FFF2-40B4-BE49-F238E27FC236}">
                <a16:creationId xmlns:a16="http://schemas.microsoft.com/office/drawing/2014/main" id="{EF125F03-7C15-A7B0-6CD3-4C0C19912D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1" name="Line 7">
            <a:extLst>
              <a:ext uri="{FF2B5EF4-FFF2-40B4-BE49-F238E27FC236}">
                <a16:creationId xmlns:a16="http://schemas.microsoft.com/office/drawing/2014/main" id="{D9715C44-4AF7-96B0-9FA8-D57AA81F2C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3" name="Line 8">
            <a:extLst>
              <a:ext uri="{FF2B5EF4-FFF2-40B4-BE49-F238E27FC236}">
                <a16:creationId xmlns:a16="http://schemas.microsoft.com/office/drawing/2014/main" id="{752C6C0A-7A38-93AD-FFF7-EAAB930A3A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129</xdr:row>
      <xdr:rowOff>62196</xdr:rowOff>
    </xdr:from>
    <xdr:to>
      <xdr:col>3</xdr:col>
      <xdr:colOff>952499</xdr:colOff>
      <xdr:row>129</xdr:row>
      <xdr:rowOff>213437</xdr:rowOff>
    </xdr:to>
    <xdr:grpSp>
      <xdr:nvGrpSpPr>
        <xdr:cNvPr id="965" name="hinh3">
          <a:extLst>
            <a:ext uri="{FF2B5EF4-FFF2-40B4-BE49-F238E27FC236}">
              <a16:creationId xmlns:a16="http://schemas.microsoft.com/office/drawing/2014/main" id="{9B644001-4C24-44EC-A6C5-59CC2452ACF0}"/>
            </a:ext>
          </a:extLst>
        </xdr:cNvPr>
        <xdr:cNvGrpSpPr>
          <a:grpSpLocks noChangeAspect="1"/>
        </xdr:cNvGrpSpPr>
      </xdr:nvGrpSpPr>
      <xdr:grpSpPr bwMode="auto">
        <a:xfrm>
          <a:off x="2735376" y="40313725"/>
          <a:ext cx="861711" cy="151241"/>
          <a:chOff x="206" y="112"/>
          <a:chExt cx="73" cy="16"/>
        </a:xfrm>
      </xdr:grpSpPr>
      <xdr:sp macro="" textlink="">
        <xdr:nvSpPr>
          <xdr:cNvPr id="967" name="Line 3">
            <a:extLst>
              <a:ext uri="{FF2B5EF4-FFF2-40B4-BE49-F238E27FC236}">
                <a16:creationId xmlns:a16="http://schemas.microsoft.com/office/drawing/2014/main" id="{E877F91C-538D-B0D3-305F-4325B787A6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9" name="Line 4">
            <a:extLst>
              <a:ext uri="{FF2B5EF4-FFF2-40B4-BE49-F238E27FC236}">
                <a16:creationId xmlns:a16="http://schemas.microsoft.com/office/drawing/2014/main" id="{152E6DF8-1609-0FE6-6589-5585E70A64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127</xdr:row>
      <xdr:rowOff>50652</xdr:rowOff>
    </xdr:from>
    <xdr:to>
      <xdr:col>3</xdr:col>
      <xdr:colOff>962981</xdr:colOff>
      <xdr:row>127</xdr:row>
      <xdr:rowOff>214335</xdr:rowOff>
    </xdr:to>
    <xdr:grpSp>
      <xdr:nvGrpSpPr>
        <xdr:cNvPr id="971" name="hinh2">
          <a:extLst>
            <a:ext uri="{FF2B5EF4-FFF2-40B4-BE49-F238E27FC236}">
              <a16:creationId xmlns:a16="http://schemas.microsoft.com/office/drawing/2014/main" id="{9E64B59E-D700-4243-88B4-AA90F7CCFCDC}"/>
            </a:ext>
          </a:extLst>
        </xdr:cNvPr>
        <xdr:cNvGrpSpPr>
          <a:grpSpLocks noChangeAspect="1"/>
        </xdr:cNvGrpSpPr>
      </xdr:nvGrpSpPr>
      <xdr:grpSpPr bwMode="auto">
        <a:xfrm>
          <a:off x="2732511" y="39674652"/>
          <a:ext cx="875058" cy="163683"/>
          <a:chOff x="206" y="86"/>
          <a:chExt cx="73" cy="16"/>
        </a:xfrm>
      </xdr:grpSpPr>
      <xdr:sp macro="" textlink="">
        <xdr:nvSpPr>
          <xdr:cNvPr id="973" name="Line 6">
            <a:extLst>
              <a:ext uri="{FF2B5EF4-FFF2-40B4-BE49-F238E27FC236}">
                <a16:creationId xmlns:a16="http://schemas.microsoft.com/office/drawing/2014/main" id="{668E2151-BAAC-1015-C6A1-A332256C35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5" name="Line 7">
            <a:extLst>
              <a:ext uri="{FF2B5EF4-FFF2-40B4-BE49-F238E27FC236}">
                <a16:creationId xmlns:a16="http://schemas.microsoft.com/office/drawing/2014/main" id="{6CAE3C60-FE94-93DA-11FB-BA2F09B8F4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7" name="Line 8">
            <a:extLst>
              <a:ext uri="{FF2B5EF4-FFF2-40B4-BE49-F238E27FC236}">
                <a16:creationId xmlns:a16="http://schemas.microsoft.com/office/drawing/2014/main" id="{8A2497A3-A03B-C49A-5A2F-B2C218B484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134</xdr:row>
      <xdr:rowOff>55220</xdr:rowOff>
    </xdr:from>
    <xdr:to>
      <xdr:col>3</xdr:col>
      <xdr:colOff>1003580</xdr:colOff>
      <xdr:row>134</xdr:row>
      <xdr:rowOff>303698</xdr:rowOff>
    </xdr:to>
    <xdr:sp macro="" textlink="">
      <xdr:nvSpPr>
        <xdr:cNvPr id="979" name="hinh15">
          <a:extLst>
            <a:ext uri="{FF2B5EF4-FFF2-40B4-BE49-F238E27FC236}">
              <a16:creationId xmlns:a16="http://schemas.microsoft.com/office/drawing/2014/main" id="{89AC930A-530C-4E07-B78D-818C3132351E}"/>
            </a:ext>
          </a:extLst>
        </xdr:cNvPr>
        <xdr:cNvSpPr>
          <a:spLocks noChangeAspect="1"/>
        </xdr:cNvSpPr>
      </xdr:nvSpPr>
      <xdr:spPr bwMode="auto">
        <a:xfrm rot="10800000">
          <a:off x="2732279" y="269374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132</xdr:row>
      <xdr:rowOff>61296</xdr:rowOff>
    </xdr:from>
    <xdr:to>
      <xdr:col>3</xdr:col>
      <xdr:colOff>965880</xdr:colOff>
      <xdr:row>132</xdr:row>
      <xdr:rowOff>224979</xdr:rowOff>
    </xdr:to>
    <xdr:grpSp>
      <xdr:nvGrpSpPr>
        <xdr:cNvPr id="981" name="hinh2">
          <a:extLst>
            <a:ext uri="{FF2B5EF4-FFF2-40B4-BE49-F238E27FC236}">
              <a16:creationId xmlns:a16="http://schemas.microsoft.com/office/drawing/2014/main" id="{29054017-7200-4C54-BE11-4CB068A35866}"/>
            </a:ext>
          </a:extLst>
        </xdr:cNvPr>
        <xdr:cNvGrpSpPr>
          <a:grpSpLocks noChangeAspect="1"/>
        </xdr:cNvGrpSpPr>
      </xdr:nvGrpSpPr>
      <xdr:grpSpPr bwMode="auto">
        <a:xfrm>
          <a:off x="2735410" y="41254120"/>
          <a:ext cx="875058" cy="163683"/>
          <a:chOff x="206" y="86"/>
          <a:chExt cx="73" cy="16"/>
        </a:xfrm>
      </xdr:grpSpPr>
      <xdr:sp macro="" textlink="">
        <xdr:nvSpPr>
          <xdr:cNvPr id="986" name="Line 6">
            <a:extLst>
              <a:ext uri="{FF2B5EF4-FFF2-40B4-BE49-F238E27FC236}">
                <a16:creationId xmlns:a16="http://schemas.microsoft.com/office/drawing/2014/main" id="{7125B439-5FC9-C8A0-FD60-69E43E2CFA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7" name="Line 7">
            <a:extLst>
              <a:ext uri="{FF2B5EF4-FFF2-40B4-BE49-F238E27FC236}">
                <a16:creationId xmlns:a16="http://schemas.microsoft.com/office/drawing/2014/main" id="{4695FACF-7A4E-17D5-00ED-1C9D807DF4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9" name="Line 8">
            <a:extLst>
              <a:ext uri="{FF2B5EF4-FFF2-40B4-BE49-F238E27FC236}">
                <a16:creationId xmlns:a16="http://schemas.microsoft.com/office/drawing/2014/main" id="{CFFC29E2-2812-A7FF-3F2E-E1A37C2871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135</xdr:row>
      <xdr:rowOff>62196</xdr:rowOff>
    </xdr:from>
    <xdr:to>
      <xdr:col>3</xdr:col>
      <xdr:colOff>952499</xdr:colOff>
      <xdr:row>135</xdr:row>
      <xdr:rowOff>213437</xdr:rowOff>
    </xdr:to>
    <xdr:grpSp>
      <xdr:nvGrpSpPr>
        <xdr:cNvPr id="991" name="hinh3">
          <a:extLst>
            <a:ext uri="{FF2B5EF4-FFF2-40B4-BE49-F238E27FC236}">
              <a16:creationId xmlns:a16="http://schemas.microsoft.com/office/drawing/2014/main" id="{27B8A759-5DC5-4227-B8B3-19E03AB4AC1E}"/>
            </a:ext>
          </a:extLst>
        </xdr:cNvPr>
        <xdr:cNvGrpSpPr>
          <a:grpSpLocks noChangeAspect="1"/>
        </xdr:cNvGrpSpPr>
      </xdr:nvGrpSpPr>
      <xdr:grpSpPr bwMode="auto">
        <a:xfrm>
          <a:off x="2735376" y="42196314"/>
          <a:ext cx="861711" cy="151241"/>
          <a:chOff x="206" y="112"/>
          <a:chExt cx="73" cy="16"/>
        </a:xfrm>
      </xdr:grpSpPr>
      <xdr:sp macro="" textlink="">
        <xdr:nvSpPr>
          <xdr:cNvPr id="993" name="Line 3">
            <a:extLst>
              <a:ext uri="{FF2B5EF4-FFF2-40B4-BE49-F238E27FC236}">
                <a16:creationId xmlns:a16="http://schemas.microsoft.com/office/drawing/2014/main" id="{9F7E402F-F917-AFCA-816A-74E436B2F0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5" name="Line 4">
            <a:extLst>
              <a:ext uri="{FF2B5EF4-FFF2-40B4-BE49-F238E27FC236}">
                <a16:creationId xmlns:a16="http://schemas.microsoft.com/office/drawing/2014/main" id="{27B2B6B8-4EFA-FB7F-22A8-4981A33456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133</xdr:row>
      <xdr:rowOff>50652</xdr:rowOff>
    </xdr:from>
    <xdr:to>
      <xdr:col>3</xdr:col>
      <xdr:colOff>962981</xdr:colOff>
      <xdr:row>133</xdr:row>
      <xdr:rowOff>214335</xdr:rowOff>
    </xdr:to>
    <xdr:grpSp>
      <xdr:nvGrpSpPr>
        <xdr:cNvPr id="997" name="hinh2">
          <a:extLst>
            <a:ext uri="{FF2B5EF4-FFF2-40B4-BE49-F238E27FC236}">
              <a16:creationId xmlns:a16="http://schemas.microsoft.com/office/drawing/2014/main" id="{1216C5DE-DF46-4A83-8A6E-942C013C8D82}"/>
            </a:ext>
          </a:extLst>
        </xdr:cNvPr>
        <xdr:cNvGrpSpPr>
          <a:grpSpLocks noChangeAspect="1"/>
        </xdr:cNvGrpSpPr>
      </xdr:nvGrpSpPr>
      <xdr:grpSpPr bwMode="auto">
        <a:xfrm>
          <a:off x="2732511" y="41557240"/>
          <a:ext cx="875058" cy="163683"/>
          <a:chOff x="206" y="86"/>
          <a:chExt cx="73" cy="16"/>
        </a:xfrm>
      </xdr:grpSpPr>
      <xdr:sp macro="" textlink="">
        <xdr:nvSpPr>
          <xdr:cNvPr id="999" name="Line 6">
            <a:extLst>
              <a:ext uri="{FF2B5EF4-FFF2-40B4-BE49-F238E27FC236}">
                <a16:creationId xmlns:a16="http://schemas.microsoft.com/office/drawing/2014/main" id="{BC480BB4-9489-8309-4BF7-C6422834C1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1" name="Line 7">
            <a:extLst>
              <a:ext uri="{FF2B5EF4-FFF2-40B4-BE49-F238E27FC236}">
                <a16:creationId xmlns:a16="http://schemas.microsoft.com/office/drawing/2014/main" id="{8B573104-8D90-E4C6-9993-0F187DA0F5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3" name="Line 8">
            <a:extLst>
              <a:ext uri="{FF2B5EF4-FFF2-40B4-BE49-F238E27FC236}">
                <a16:creationId xmlns:a16="http://schemas.microsoft.com/office/drawing/2014/main" id="{6E2FC9C8-8F2D-04AA-FE22-2D0E0887CD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139</xdr:row>
      <xdr:rowOff>55220</xdr:rowOff>
    </xdr:from>
    <xdr:to>
      <xdr:col>3</xdr:col>
      <xdr:colOff>1003580</xdr:colOff>
      <xdr:row>139</xdr:row>
      <xdr:rowOff>303698</xdr:rowOff>
    </xdr:to>
    <xdr:sp macro="" textlink="">
      <xdr:nvSpPr>
        <xdr:cNvPr id="1005" name="hinh15">
          <a:extLst>
            <a:ext uri="{FF2B5EF4-FFF2-40B4-BE49-F238E27FC236}">
              <a16:creationId xmlns:a16="http://schemas.microsoft.com/office/drawing/2014/main" id="{F59616D9-AFF0-45CB-8AC3-57AD4BBB6BF9}"/>
            </a:ext>
          </a:extLst>
        </xdr:cNvPr>
        <xdr:cNvSpPr>
          <a:spLocks noChangeAspect="1"/>
        </xdr:cNvSpPr>
      </xdr:nvSpPr>
      <xdr:spPr bwMode="auto">
        <a:xfrm rot="10800000">
          <a:off x="2732279" y="285159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137</xdr:row>
      <xdr:rowOff>61296</xdr:rowOff>
    </xdr:from>
    <xdr:to>
      <xdr:col>3</xdr:col>
      <xdr:colOff>965880</xdr:colOff>
      <xdr:row>137</xdr:row>
      <xdr:rowOff>224979</xdr:rowOff>
    </xdr:to>
    <xdr:grpSp>
      <xdr:nvGrpSpPr>
        <xdr:cNvPr id="1007" name="hinh2">
          <a:extLst>
            <a:ext uri="{FF2B5EF4-FFF2-40B4-BE49-F238E27FC236}">
              <a16:creationId xmlns:a16="http://schemas.microsoft.com/office/drawing/2014/main" id="{66F5970B-6917-4F7D-B5C2-9D0AF00A946B}"/>
            </a:ext>
          </a:extLst>
        </xdr:cNvPr>
        <xdr:cNvGrpSpPr>
          <a:grpSpLocks noChangeAspect="1"/>
        </xdr:cNvGrpSpPr>
      </xdr:nvGrpSpPr>
      <xdr:grpSpPr bwMode="auto">
        <a:xfrm>
          <a:off x="2735410" y="42822943"/>
          <a:ext cx="875058" cy="163683"/>
          <a:chOff x="206" y="86"/>
          <a:chExt cx="73" cy="16"/>
        </a:xfrm>
      </xdr:grpSpPr>
      <xdr:sp macro="" textlink="">
        <xdr:nvSpPr>
          <xdr:cNvPr id="1009" name="Line 6">
            <a:extLst>
              <a:ext uri="{FF2B5EF4-FFF2-40B4-BE49-F238E27FC236}">
                <a16:creationId xmlns:a16="http://schemas.microsoft.com/office/drawing/2014/main" id="{3B019BF7-D114-03F4-05F7-9F08311F90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1" name="Line 7">
            <a:extLst>
              <a:ext uri="{FF2B5EF4-FFF2-40B4-BE49-F238E27FC236}">
                <a16:creationId xmlns:a16="http://schemas.microsoft.com/office/drawing/2014/main" id="{7A496F19-97AA-5FA2-60FC-4AE4974ED1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3" name="Line 8">
            <a:extLst>
              <a:ext uri="{FF2B5EF4-FFF2-40B4-BE49-F238E27FC236}">
                <a16:creationId xmlns:a16="http://schemas.microsoft.com/office/drawing/2014/main" id="{8339FECD-CA9E-37D4-A93F-5E59FD94E9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140</xdr:row>
      <xdr:rowOff>62196</xdr:rowOff>
    </xdr:from>
    <xdr:to>
      <xdr:col>3</xdr:col>
      <xdr:colOff>952499</xdr:colOff>
      <xdr:row>140</xdr:row>
      <xdr:rowOff>213437</xdr:rowOff>
    </xdr:to>
    <xdr:grpSp>
      <xdr:nvGrpSpPr>
        <xdr:cNvPr id="1015" name="hinh3">
          <a:extLst>
            <a:ext uri="{FF2B5EF4-FFF2-40B4-BE49-F238E27FC236}">
              <a16:creationId xmlns:a16="http://schemas.microsoft.com/office/drawing/2014/main" id="{4CCFC554-E4C1-4537-BC5B-2F6ED0852657}"/>
            </a:ext>
          </a:extLst>
        </xdr:cNvPr>
        <xdr:cNvGrpSpPr>
          <a:grpSpLocks noChangeAspect="1"/>
        </xdr:cNvGrpSpPr>
      </xdr:nvGrpSpPr>
      <xdr:grpSpPr bwMode="auto">
        <a:xfrm>
          <a:off x="2735376" y="43765137"/>
          <a:ext cx="861711" cy="151241"/>
          <a:chOff x="206" y="112"/>
          <a:chExt cx="73" cy="16"/>
        </a:xfrm>
      </xdr:grpSpPr>
      <xdr:sp macro="" textlink="">
        <xdr:nvSpPr>
          <xdr:cNvPr id="1017" name="Line 3">
            <a:extLst>
              <a:ext uri="{FF2B5EF4-FFF2-40B4-BE49-F238E27FC236}">
                <a16:creationId xmlns:a16="http://schemas.microsoft.com/office/drawing/2014/main" id="{3ACD0E2C-5FA7-C429-F42A-381396D2C3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9" name="Line 4">
            <a:extLst>
              <a:ext uri="{FF2B5EF4-FFF2-40B4-BE49-F238E27FC236}">
                <a16:creationId xmlns:a16="http://schemas.microsoft.com/office/drawing/2014/main" id="{7700C690-AF7F-400B-EDD4-40B88F395D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138</xdr:row>
      <xdr:rowOff>50652</xdr:rowOff>
    </xdr:from>
    <xdr:to>
      <xdr:col>3</xdr:col>
      <xdr:colOff>962981</xdr:colOff>
      <xdr:row>138</xdr:row>
      <xdr:rowOff>214335</xdr:rowOff>
    </xdr:to>
    <xdr:grpSp>
      <xdr:nvGrpSpPr>
        <xdr:cNvPr id="1026" name="hinh2">
          <a:extLst>
            <a:ext uri="{FF2B5EF4-FFF2-40B4-BE49-F238E27FC236}">
              <a16:creationId xmlns:a16="http://schemas.microsoft.com/office/drawing/2014/main" id="{9CC2795A-39B2-4777-B84E-1C3C58374992}"/>
            </a:ext>
          </a:extLst>
        </xdr:cNvPr>
        <xdr:cNvGrpSpPr>
          <a:grpSpLocks noChangeAspect="1"/>
        </xdr:cNvGrpSpPr>
      </xdr:nvGrpSpPr>
      <xdr:grpSpPr bwMode="auto">
        <a:xfrm>
          <a:off x="2732511" y="43126064"/>
          <a:ext cx="875058" cy="163683"/>
          <a:chOff x="206" y="86"/>
          <a:chExt cx="73" cy="16"/>
        </a:xfrm>
      </xdr:grpSpPr>
      <xdr:sp macro="" textlink="">
        <xdr:nvSpPr>
          <xdr:cNvPr id="1027" name="Line 6">
            <a:extLst>
              <a:ext uri="{FF2B5EF4-FFF2-40B4-BE49-F238E27FC236}">
                <a16:creationId xmlns:a16="http://schemas.microsoft.com/office/drawing/2014/main" id="{EE0924AB-7388-564B-B304-7A03EB1EAE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7">
            <a:extLst>
              <a:ext uri="{FF2B5EF4-FFF2-40B4-BE49-F238E27FC236}">
                <a16:creationId xmlns:a16="http://schemas.microsoft.com/office/drawing/2014/main" id="{BAD9A838-BAC6-D466-F97A-A1319D26270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8">
            <a:extLst>
              <a:ext uri="{FF2B5EF4-FFF2-40B4-BE49-F238E27FC236}">
                <a16:creationId xmlns:a16="http://schemas.microsoft.com/office/drawing/2014/main" id="{EE596658-C946-D6F7-316A-266B1D78A1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144</xdr:row>
      <xdr:rowOff>55220</xdr:rowOff>
    </xdr:from>
    <xdr:to>
      <xdr:col>3</xdr:col>
      <xdr:colOff>1003580</xdr:colOff>
      <xdr:row>144</xdr:row>
      <xdr:rowOff>303698</xdr:rowOff>
    </xdr:to>
    <xdr:sp macro="" textlink="">
      <xdr:nvSpPr>
        <xdr:cNvPr id="1033" name="hinh15">
          <a:extLst>
            <a:ext uri="{FF2B5EF4-FFF2-40B4-BE49-F238E27FC236}">
              <a16:creationId xmlns:a16="http://schemas.microsoft.com/office/drawing/2014/main" id="{2D4203CA-134E-4493-8334-B11A52E45F95}"/>
            </a:ext>
          </a:extLst>
        </xdr:cNvPr>
        <xdr:cNvSpPr>
          <a:spLocks noChangeAspect="1"/>
        </xdr:cNvSpPr>
      </xdr:nvSpPr>
      <xdr:spPr bwMode="auto">
        <a:xfrm rot="10800000">
          <a:off x="2732279" y="30094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142</xdr:row>
      <xdr:rowOff>61296</xdr:rowOff>
    </xdr:from>
    <xdr:to>
      <xdr:col>3</xdr:col>
      <xdr:colOff>965880</xdr:colOff>
      <xdr:row>142</xdr:row>
      <xdr:rowOff>224979</xdr:rowOff>
    </xdr:to>
    <xdr:grpSp>
      <xdr:nvGrpSpPr>
        <xdr:cNvPr id="1035" name="hinh2">
          <a:extLst>
            <a:ext uri="{FF2B5EF4-FFF2-40B4-BE49-F238E27FC236}">
              <a16:creationId xmlns:a16="http://schemas.microsoft.com/office/drawing/2014/main" id="{49CDFED7-FB55-4089-A037-98282694FF34}"/>
            </a:ext>
          </a:extLst>
        </xdr:cNvPr>
        <xdr:cNvGrpSpPr>
          <a:grpSpLocks noChangeAspect="1"/>
        </xdr:cNvGrpSpPr>
      </xdr:nvGrpSpPr>
      <xdr:grpSpPr bwMode="auto">
        <a:xfrm>
          <a:off x="2735410" y="44391767"/>
          <a:ext cx="875058" cy="163683"/>
          <a:chOff x="206" y="86"/>
          <a:chExt cx="73" cy="16"/>
        </a:xfrm>
      </xdr:grpSpPr>
      <xdr:sp macro="" textlink="">
        <xdr:nvSpPr>
          <xdr:cNvPr id="1037" name="Line 6">
            <a:extLst>
              <a:ext uri="{FF2B5EF4-FFF2-40B4-BE49-F238E27FC236}">
                <a16:creationId xmlns:a16="http://schemas.microsoft.com/office/drawing/2014/main" id="{62A89AE1-9B4D-8D20-7317-2E33196804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7">
            <a:extLst>
              <a:ext uri="{FF2B5EF4-FFF2-40B4-BE49-F238E27FC236}">
                <a16:creationId xmlns:a16="http://schemas.microsoft.com/office/drawing/2014/main" id="{60533E83-61F1-79D2-C559-A57115CABF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8">
            <a:extLst>
              <a:ext uri="{FF2B5EF4-FFF2-40B4-BE49-F238E27FC236}">
                <a16:creationId xmlns:a16="http://schemas.microsoft.com/office/drawing/2014/main" id="{EAE46A1F-BDD6-6B96-05B5-31698B1448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145</xdr:row>
      <xdr:rowOff>62196</xdr:rowOff>
    </xdr:from>
    <xdr:to>
      <xdr:col>3</xdr:col>
      <xdr:colOff>952499</xdr:colOff>
      <xdr:row>145</xdr:row>
      <xdr:rowOff>213437</xdr:rowOff>
    </xdr:to>
    <xdr:grpSp>
      <xdr:nvGrpSpPr>
        <xdr:cNvPr id="1043" name="hinh3">
          <a:extLst>
            <a:ext uri="{FF2B5EF4-FFF2-40B4-BE49-F238E27FC236}">
              <a16:creationId xmlns:a16="http://schemas.microsoft.com/office/drawing/2014/main" id="{35E49B99-0616-412B-AE1E-91CA15F74D62}"/>
            </a:ext>
          </a:extLst>
        </xdr:cNvPr>
        <xdr:cNvGrpSpPr>
          <a:grpSpLocks noChangeAspect="1"/>
        </xdr:cNvGrpSpPr>
      </xdr:nvGrpSpPr>
      <xdr:grpSpPr bwMode="auto">
        <a:xfrm>
          <a:off x="2735376" y="45333961"/>
          <a:ext cx="861711" cy="151241"/>
          <a:chOff x="206" y="112"/>
          <a:chExt cx="73" cy="16"/>
        </a:xfrm>
      </xdr:grpSpPr>
      <xdr:sp macro="" textlink="">
        <xdr:nvSpPr>
          <xdr:cNvPr id="1045" name="Line 3">
            <a:extLst>
              <a:ext uri="{FF2B5EF4-FFF2-40B4-BE49-F238E27FC236}">
                <a16:creationId xmlns:a16="http://schemas.microsoft.com/office/drawing/2014/main" id="{8AF8748E-B8CA-FBF4-675A-717726A124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7" name="Line 4">
            <a:extLst>
              <a:ext uri="{FF2B5EF4-FFF2-40B4-BE49-F238E27FC236}">
                <a16:creationId xmlns:a16="http://schemas.microsoft.com/office/drawing/2014/main" id="{0E9F5903-1EFA-4DD6-43A3-66BA3DDA36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143</xdr:row>
      <xdr:rowOff>50652</xdr:rowOff>
    </xdr:from>
    <xdr:to>
      <xdr:col>3</xdr:col>
      <xdr:colOff>962981</xdr:colOff>
      <xdr:row>143</xdr:row>
      <xdr:rowOff>214335</xdr:rowOff>
    </xdr:to>
    <xdr:grpSp>
      <xdr:nvGrpSpPr>
        <xdr:cNvPr id="1049" name="hinh2">
          <a:extLst>
            <a:ext uri="{FF2B5EF4-FFF2-40B4-BE49-F238E27FC236}">
              <a16:creationId xmlns:a16="http://schemas.microsoft.com/office/drawing/2014/main" id="{725B0BF0-680A-4137-A3DE-476E184F5DD0}"/>
            </a:ext>
          </a:extLst>
        </xdr:cNvPr>
        <xdr:cNvGrpSpPr>
          <a:grpSpLocks noChangeAspect="1"/>
        </xdr:cNvGrpSpPr>
      </xdr:nvGrpSpPr>
      <xdr:grpSpPr bwMode="auto">
        <a:xfrm>
          <a:off x="2732511" y="44694887"/>
          <a:ext cx="875058" cy="163683"/>
          <a:chOff x="206" y="86"/>
          <a:chExt cx="73" cy="16"/>
        </a:xfrm>
      </xdr:grpSpPr>
      <xdr:sp macro="" textlink="">
        <xdr:nvSpPr>
          <xdr:cNvPr id="1051" name="Line 6">
            <a:extLst>
              <a:ext uri="{FF2B5EF4-FFF2-40B4-BE49-F238E27FC236}">
                <a16:creationId xmlns:a16="http://schemas.microsoft.com/office/drawing/2014/main" id="{FE492892-2CBA-C46A-0C5A-CE6029C660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3" name="Line 7">
            <a:extLst>
              <a:ext uri="{FF2B5EF4-FFF2-40B4-BE49-F238E27FC236}">
                <a16:creationId xmlns:a16="http://schemas.microsoft.com/office/drawing/2014/main" id="{897BDA5B-6AD8-6D18-049F-B0B41CB4EE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Line 8">
            <a:extLst>
              <a:ext uri="{FF2B5EF4-FFF2-40B4-BE49-F238E27FC236}">
                <a16:creationId xmlns:a16="http://schemas.microsoft.com/office/drawing/2014/main" id="{1091ABA5-A97C-369E-A9EC-F58393861E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150</xdr:row>
      <xdr:rowOff>55220</xdr:rowOff>
    </xdr:from>
    <xdr:to>
      <xdr:col>3</xdr:col>
      <xdr:colOff>1003580</xdr:colOff>
      <xdr:row>150</xdr:row>
      <xdr:rowOff>303698</xdr:rowOff>
    </xdr:to>
    <xdr:sp macro="" textlink="">
      <xdr:nvSpPr>
        <xdr:cNvPr id="1057" name="hinh15">
          <a:extLst>
            <a:ext uri="{FF2B5EF4-FFF2-40B4-BE49-F238E27FC236}">
              <a16:creationId xmlns:a16="http://schemas.microsoft.com/office/drawing/2014/main" id="{74243470-A0BE-4358-81DB-3D1E86C0E4D5}"/>
            </a:ext>
          </a:extLst>
        </xdr:cNvPr>
        <xdr:cNvSpPr>
          <a:spLocks noChangeAspect="1"/>
        </xdr:cNvSpPr>
      </xdr:nvSpPr>
      <xdr:spPr bwMode="auto">
        <a:xfrm rot="10800000">
          <a:off x="2732279" y="335668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148</xdr:row>
      <xdr:rowOff>61296</xdr:rowOff>
    </xdr:from>
    <xdr:to>
      <xdr:col>3</xdr:col>
      <xdr:colOff>965880</xdr:colOff>
      <xdr:row>148</xdr:row>
      <xdr:rowOff>224979</xdr:rowOff>
    </xdr:to>
    <xdr:grpSp>
      <xdr:nvGrpSpPr>
        <xdr:cNvPr id="1059" name="hinh2">
          <a:extLst>
            <a:ext uri="{FF2B5EF4-FFF2-40B4-BE49-F238E27FC236}">
              <a16:creationId xmlns:a16="http://schemas.microsoft.com/office/drawing/2014/main" id="{B532CC0E-F270-47B7-9F5F-0B0B84CE8E2C}"/>
            </a:ext>
          </a:extLst>
        </xdr:cNvPr>
        <xdr:cNvGrpSpPr>
          <a:grpSpLocks noChangeAspect="1"/>
        </xdr:cNvGrpSpPr>
      </xdr:nvGrpSpPr>
      <xdr:grpSpPr bwMode="auto">
        <a:xfrm>
          <a:off x="2735410" y="46274355"/>
          <a:ext cx="875058" cy="163683"/>
          <a:chOff x="206" y="86"/>
          <a:chExt cx="73" cy="16"/>
        </a:xfrm>
      </xdr:grpSpPr>
      <xdr:sp macro="" textlink="">
        <xdr:nvSpPr>
          <xdr:cNvPr id="1067" name="Line 6">
            <a:extLst>
              <a:ext uri="{FF2B5EF4-FFF2-40B4-BE49-F238E27FC236}">
                <a16:creationId xmlns:a16="http://schemas.microsoft.com/office/drawing/2014/main" id="{252D3F12-4D61-9DDB-4A51-A4A6B9AF77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Line 7">
            <a:extLst>
              <a:ext uri="{FF2B5EF4-FFF2-40B4-BE49-F238E27FC236}">
                <a16:creationId xmlns:a16="http://schemas.microsoft.com/office/drawing/2014/main" id="{80A7F4B8-1398-3660-9719-904CE26E8A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0" name="Line 8">
            <a:extLst>
              <a:ext uri="{FF2B5EF4-FFF2-40B4-BE49-F238E27FC236}">
                <a16:creationId xmlns:a16="http://schemas.microsoft.com/office/drawing/2014/main" id="{EFA7BB42-9150-7604-1011-D16CB390A7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151</xdr:row>
      <xdr:rowOff>62196</xdr:rowOff>
    </xdr:from>
    <xdr:to>
      <xdr:col>3</xdr:col>
      <xdr:colOff>952499</xdr:colOff>
      <xdr:row>151</xdr:row>
      <xdr:rowOff>213437</xdr:rowOff>
    </xdr:to>
    <xdr:grpSp>
      <xdr:nvGrpSpPr>
        <xdr:cNvPr id="1072" name="hinh3">
          <a:extLst>
            <a:ext uri="{FF2B5EF4-FFF2-40B4-BE49-F238E27FC236}">
              <a16:creationId xmlns:a16="http://schemas.microsoft.com/office/drawing/2014/main" id="{B0B423A5-6298-462F-8B55-628B2AC8F2A1}"/>
            </a:ext>
          </a:extLst>
        </xdr:cNvPr>
        <xdr:cNvGrpSpPr>
          <a:grpSpLocks noChangeAspect="1"/>
        </xdr:cNvGrpSpPr>
      </xdr:nvGrpSpPr>
      <xdr:grpSpPr bwMode="auto">
        <a:xfrm>
          <a:off x="2735376" y="47216549"/>
          <a:ext cx="861711" cy="151241"/>
          <a:chOff x="206" y="112"/>
          <a:chExt cx="73" cy="16"/>
        </a:xfrm>
      </xdr:grpSpPr>
      <xdr:sp macro="" textlink="">
        <xdr:nvSpPr>
          <xdr:cNvPr id="1074" name="Line 3">
            <a:extLst>
              <a:ext uri="{FF2B5EF4-FFF2-40B4-BE49-F238E27FC236}">
                <a16:creationId xmlns:a16="http://schemas.microsoft.com/office/drawing/2014/main" id="{F8E1757B-3EC8-A5D8-74E4-B2EC1C0BB6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6" name="Line 4">
            <a:extLst>
              <a:ext uri="{FF2B5EF4-FFF2-40B4-BE49-F238E27FC236}">
                <a16:creationId xmlns:a16="http://schemas.microsoft.com/office/drawing/2014/main" id="{8C4D0463-9A65-9698-E7F5-08353F0C6C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149</xdr:row>
      <xdr:rowOff>50652</xdr:rowOff>
    </xdr:from>
    <xdr:to>
      <xdr:col>3</xdr:col>
      <xdr:colOff>962981</xdr:colOff>
      <xdr:row>149</xdr:row>
      <xdr:rowOff>214335</xdr:rowOff>
    </xdr:to>
    <xdr:grpSp>
      <xdr:nvGrpSpPr>
        <xdr:cNvPr id="1078" name="hinh2">
          <a:extLst>
            <a:ext uri="{FF2B5EF4-FFF2-40B4-BE49-F238E27FC236}">
              <a16:creationId xmlns:a16="http://schemas.microsoft.com/office/drawing/2014/main" id="{FEC99873-DA16-4A14-B21F-76BF2A5AFB25}"/>
            </a:ext>
          </a:extLst>
        </xdr:cNvPr>
        <xdr:cNvGrpSpPr>
          <a:grpSpLocks noChangeAspect="1"/>
        </xdr:cNvGrpSpPr>
      </xdr:nvGrpSpPr>
      <xdr:grpSpPr bwMode="auto">
        <a:xfrm>
          <a:off x="2732511" y="46577476"/>
          <a:ext cx="875058" cy="163683"/>
          <a:chOff x="206" y="86"/>
          <a:chExt cx="73" cy="16"/>
        </a:xfrm>
      </xdr:grpSpPr>
      <xdr:sp macro="" textlink="">
        <xdr:nvSpPr>
          <xdr:cNvPr id="1080" name="Line 6">
            <a:extLst>
              <a:ext uri="{FF2B5EF4-FFF2-40B4-BE49-F238E27FC236}">
                <a16:creationId xmlns:a16="http://schemas.microsoft.com/office/drawing/2014/main" id="{EA7215BD-7078-C5C5-D2E4-DEA44FF199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" name="Line 7">
            <a:extLst>
              <a:ext uri="{FF2B5EF4-FFF2-40B4-BE49-F238E27FC236}">
                <a16:creationId xmlns:a16="http://schemas.microsoft.com/office/drawing/2014/main" id="{97AB9BB5-4729-57A9-F867-6D38880747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Line 8">
            <a:extLst>
              <a:ext uri="{FF2B5EF4-FFF2-40B4-BE49-F238E27FC236}">
                <a16:creationId xmlns:a16="http://schemas.microsoft.com/office/drawing/2014/main" id="{E8A178D5-DDDA-9FE7-61C5-A900A58F45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155</xdr:row>
      <xdr:rowOff>55220</xdr:rowOff>
    </xdr:from>
    <xdr:to>
      <xdr:col>3</xdr:col>
      <xdr:colOff>1003580</xdr:colOff>
      <xdr:row>155</xdr:row>
      <xdr:rowOff>303698</xdr:rowOff>
    </xdr:to>
    <xdr:sp macro="" textlink="">
      <xdr:nvSpPr>
        <xdr:cNvPr id="1086" name="hinh15">
          <a:extLst>
            <a:ext uri="{FF2B5EF4-FFF2-40B4-BE49-F238E27FC236}">
              <a16:creationId xmlns:a16="http://schemas.microsoft.com/office/drawing/2014/main" id="{5E5C077C-894A-40F3-983A-9751AFCF2369}"/>
            </a:ext>
          </a:extLst>
        </xdr:cNvPr>
        <xdr:cNvSpPr>
          <a:spLocks noChangeAspect="1"/>
        </xdr:cNvSpPr>
      </xdr:nvSpPr>
      <xdr:spPr bwMode="auto">
        <a:xfrm rot="10800000">
          <a:off x="2732279" y="386178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153</xdr:row>
      <xdr:rowOff>61296</xdr:rowOff>
    </xdr:from>
    <xdr:to>
      <xdr:col>3</xdr:col>
      <xdr:colOff>965880</xdr:colOff>
      <xdr:row>153</xdr:row>
      <xdr:rowOff>224979</xdr:rowOff>
    </xdr:to>
    <xdr:grpSp>
      <xdr:nvGrpSpPr>
        <xdr:cNvPr id="1088" name="hinh2">
          <a:extLst>
            <a:ext uri="{FF2B5EF4-FFF2-40B4-BE49-F238E27FC236}">
              <a16:creationId xmlns:a16="http://schemas.microsoft.com/office/drawing/2014/main" id="{44DE25E2-7EB6-44A4-AB5D-71812599A517}"/>
            </a:ext>
          </a:extLst>
        </xdr:cNvPr>
        <xdr:cNvGrpSpPr>
          <a:grpSpLocks noChangeAspect="1"/>
        </xdr:cNvGrpSpPr>
      </xdr:nvGrpSpPr>
      <xdr:grpSpPr bwMode="auto">
        <a:xfrm>
          <a:off x="2735410" y="47843178"/>
          <a:ext cx="875058" cy="163683"/>
          <a:chOff x="206" y="86"/>
          <a:chExt cx="73" cy="16"/>
        </a:xfrm>
      </xdr:grpSpPr>
      <xdr:sp macro="" textlink="">
        <xdr:nvSpPr>
          <xdr:cNvPr id="1090" name="Line 6">
            <a:extLst>
              <a:ext uri="{FF2B5EF4-FFF2-40B4-BE49-F238E27FC236}">
                <a16:creationId xmlns:a16="http://schemas.microsoft.com/office/drawing/2014/main" id="{6CB5B70D-E906-FA25-34D7-70AB99FECA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7">
            <a:extLst>
              <a:ext uri="{FF2B5EF4-FFF2-40B4-BE49-F238E27FC236}">
                <a16:creationId xmlns:a16="http://schemas.microsoft.com/office/drawing/2014/main" id="{75611320-D77E-B34F-DF72-E75D48E175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Line 8">
            <a:extLst>
              <a:ext uri="{FF2B5EF4-FFF2-40B4-BE49-F238E27FC236}">
                <a16:creationId xmlns:a16="http://schemas.microsoft.com/office/drawing/2014/main" id="{E477CFE7-EB75-92B4-D600-89D6839B79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156</xdr:row>
      <xdr:rowOff>62196</xdr:rowOff>
    </xdr:from>
    <xdr:to>
      <xdr:col>3</xdr:col>
      <xdr:colOff>952499</xdr:colOff>
      <xdr:row>156</xdr:row>
      <xdr:rowOff>213437</xdr:rowOff>
    </xdr:to>
    <xdr:grpSp>
      <xdr:nvGrpSpPr>
        <xdr:cNvPr id="1096" name="hinh3">
          <a:extLst>
            <a:ext uri="{FF2B5EF4-FFF2-40B4-BE49-F238E27FC236}">
              <a16:creationId xmlns:a16="http://schemas.microsoft.com/office/drawing/2014/main" id="{C9310853-850D-4500-A6E0-1804A6684FCF}"/>
            </a:ext>
          </a:extLst>
        </xdr:cNvPr>
        <xdr:cNvGrpSpPr>
          <a:grpSpLocks noChangeAspect="1"/>
        </xdr:cNvGrpSpPr>
      </xdr:nvGrpSpPr>
      <xdr:grpSpPr bwMode="auto">
        <a:xfrm>
          <a:off x="2735376" y="48785372"/>
          <a:ext cx="861711" cy="151241"/>
          <a:chOff x="206" y="112"/>
          <a:chExt cx="73" cy="16"/>
        </a:xfrm>
      </xdr:grpSpPr>
      <xdr:sp macro="" textlink="">
        <xdr:nvSpPr>
          <xdr:cNvPr id="1098" name="Line 3">
            <a:extLst>
              <a:ext uri="{FF2B5EF4-FFF2-40B4-BE49-F238E27FC236}">
                <a16:creationId xmlns:a16="http://schemas.microsoft.com/office/drawing/2014/main" id="{BC963DED-D52D-86B1-476E-96CD22DD9B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" name="Line 4">
            <a:extLst>
              <a:ext uri="{FF2B5EF4-FFF2-40B4-BE49-F238E27FC236}">
                <a16:creationId xmlns:a16="http://schemas.microsoft.com/office/drawing/2014/main" id="{01D8C391-7918-CFD2-2CA7-D4CBE527BC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154</xdr:row>
      <xdr:rowOff>50652</xdr:rowOff>
    </xdr:from>
    <xdr:to>
      <xdr:col>3</xdr:col>
      <xdr:colOff>962981</xdr:colOff>
      <xdr:row>154</xdr:row>
      <xdr:rowOff>214335</xdr:rowOff>
    </xdr:to>
    <xdr:grpSp>
      <xdr:nvGrpSpPr>
        <xdr:cNvPr id="1102" name="hinh2">
          <a:extLst>
            <a:ext uri="{FF2B5EF4-FFF2-40B4-BE49-F238E27FC236}">
              <a16:creationId xmlns:a16="http://schemas.microsoft.com/office/drawing/2014/main" id="{D588A043-D69E-421B-A7B1-293AA899B847}"/>
            </a:ext>
          </a:extLst>
        </xdr:cNvPr>
        <xdr:cNvGrpSpPr>
          <a:grpSpLocks noChangeAspect="1"/>
        </xdr:cNvGrpSpPr>
      </xdr:nvGrpSpPr>
      <xdr:grpSpPr bwMode="auto">
        <a:xfrm>
          <a:off x="2732511" y="48146299"/>
          <a:ext cx="875058" cy="163683"/>
          <a:chOff x="206" y="86"/>
          <a:chExt cx="73" cy="16"/>
        </a:xfrm>
      </xdr:grpSpPr>
      <xdr:sp macro="" textlink="">
        <xdr:nvSpPr>
          <xdr:cNvPr id="1110" name="Line 6">
            <a:extLst>
              <a:ext uri="{FF2B5EF4-FFF2-40B4-BE49-F238E27FC236}">
                <a16:creationId xmlns:a16="http://schemas.microsoft.com/office/drawing/2014/main" id="{BE1F290E-5686-6DE3-4E4D-910E8B61C5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Line 7">
            <a:extLst>
              <a:ext uri="{FF2B5EF4-FFF2-40B4-BE49-F238E27FC236}">
                <a16:creationId xmlns:a16="http://schemas.microsoft.com/office/drawing/2014/main" id="{D65BEA18-3301-591E-C24B-38C2AADD18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3" name="Line 8">
            <a:extLst>
              <a:ext uri="{FF2B5EF4-FFF2-40B4-BE49-F238E27FC236}">
                <a16:creationId xmlns:a16="http://schemas.microsoft.com/office/drawing/2014/main" id="{3029A0F7-0B7E-CEAF-C282-C3EF8C6DDF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160</xdr:row>
      <xdr:rowOff>55220</xdr:rowOff>
    </xdr:from>
    <xdr:to>
      <xdr:col>3</xdr:col>
      <xdr:colOff>1003580</xdr:colOff>
      <xdr:row>160</xdr:row>
      <xdr:rowOff>303698</xdr:rowOff>
    </xdr:to>
    <xdr:sp macro="" textlink="">
      <xdr:nvSpPr>
        <xdr:cNvPr id="1115" name="hinh15">
          <a:extLst>
            <a:ext uri="{FF2B5EF4-FFF2-40B4-BE49-F238E27FC236}">
              <a16:creationId xmlns:a16="http://schemas.microsoft.com/office/drawing/2014/main" id="{4FF81837-8BB2-437A-89F4-A2470D2B689C}"/>
            </a:ext>
          </a:extLst>
        </xdr:cNvPr>
        <xdr:cNvSpPr>
          <a:spLocks noChangeAspect="1"/>
        </xdr:cNvSpPr>
      </xdr:nvSpPr>
      <xdr:spPr bwMode="auto">
        <a:xfrm rot="10800000">
          <a:off x="2732279" y="401962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158</xdr:row>
      <xdr:rowOff>61296</xdr:rowOff>
    </xdr:from>
    <xdr:to>
      <xdr:col>3</xdr:col>
      <xdr:colOff>965880</xdr:colOff>
      <xdr:row>158</xdr:row>
      <xdr:rowOff>224979</xdr:rowOff>
    </xdr:to>
    <xdr:grpSp>
      <xdr:nvGrpSpPr>
        <xdr:cNvPr id="1117" name="hinh2">
          <a:extLst>
            <a:ext uri="{FF2B5EF4-FFF2-40B4-BE49-F238E27FC236}">
              <a16:creationId xmlns:a16="http://schemas.microsoft.com/office/drawing/2014/main" id="{BFDEED78-7A66-4A86-9868-DAED98EA075D}"/>
            </a:ext>
          </a:extLst>
        </xdr:cNvPr>
        <xdr:cNvGrpSpPr>
          <a:grpSpLocks noChangeAspect="1"/>
        </xdr:cNvGrpSpPr>
      </xdr:nvGrpSpPr>
      <xdr:grpSpPr bwMode="auto">
        <a:xfrm>
          <a:off x="2735410" y="49412002"/>
          <a:ext cx="875058" cy="163683"/>
          <a:chOff x="206" y="86"/>
          <a:chExt cx="73" cy="16"/>
        </a:xfrm>
      </xdr:grpSpPr>
      <xdr:sp macro="" textlink="">
        <xdr:nvSpPr>
          <xdr:cNvPr id="1119" name="Line 6">
            <a:extLst>
              <a:ext uri="{FF2B5EF4-FFF2-40B4-BE49-F238E27FC236}">
                <a16:creationId xmlns:a16="http://schemas.microsoft.com/office/drawing/2014/main" id="{E994F440-8B06-E0F5-DE1F-163C19499B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1" name="Line 7">
            <a:extLst>
              <a:ext uri="{FF2B5EF4-FFF2-40B4-BE49-F238E27FC236}">
                <a16:creationId xmlns:a16="http://schemas.microsoft.com/office/drawing/2014/main" id="{5B71A842-F32B-2F99-FC70-46DF2B33D9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3" name="Line 8">
            <a:extLst>
              <a:ext uri="{FF2B5EF4-FFF2-40B4-BE49-F238E27FC236}">
                <a16:creationId xmlns:a16="http://schemas.microsoft.com/office/drawing/2014/main" id="{B390655E-823A-057A-6413-B32493841D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161</xdr:row>
      <xdr:rowOff>62196</xdr:rowOff>
    </xdr:from>
    <xdr:to>
      <xdr:col>3</xdr:col>
      <xdr:colOff>952499</xdr:colOff>
      <xdr:row>161</xdr:row>
      <xdr:rowOff>213437</xdr:rowOff>
    </xdr:to>
    <xdr:grpSp>
      <xdr:nvGrpSpPr>
        <xdr:cNvPr id="1125" name="hinh3">
          <a:extLst>
            <a:ext uri="{FF2B5EF4-FFF2-40B4-BE49-F238E27FC236}">
              <a16:creationId xmlns:a16="http://schemas.microsoft.com/office/drawing/2014/main" id="{1683B700-C55F-4CF6-91C2-1B3789BF9C78}"/>
            </a:ext>
          </a:extLst>
        </xdr:cNvPr>
        <xdr:cNvGrpSpPr>
          <a:grpSpLocks noChangeAspect="1"/>
        </xdr:cNvGrpSpPr>
      </xdr:nvGrpSpPr>
      <xdr:grpSpPr bwMode="auto">
        <a:xfrm>
          <a:off x="2735376" y="50354196"/>
          <a:ext cx="861711" cy="151241"/>
          <a:chOff x="206" y="112"/>
          <a:chExt cx="73" cy="16"/>
        </a:xfrm>
      </xdr:grpSpPr>
      <xdr:sp macro="" textlink="">
        <xdr:nvSpPr>
          <xdr:cNvPr id="1127" name="Line 3">
            <a:extLst>
              <a:ext uri="{FF2B5EF4-FFF2-40B4-BE49-F238E27FC236}">
                <a16:creationId xmlns:a16="http://schemas.microsoft.com/office/drawing/2014/main" id="{C0645062-DFEC-C95C-39C4-9DB3AEC973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Line 4">
            <a:extLst>
              <a:ext uri="{FF2B5EF4-FFF2-40B4-BE49-F238E27FC236}">
                <a16:creationId xmlns:a16="http://schemas.microsoft.com/office/drawing/2014/main" id="{96A4C863-7BCA-E7DC-C729-4E7EF15CE2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159</xdr:row>
      <xdr:rowOff>50652</xdr:rowOff>
    </xdr:from>
    <xdr:to>
      <xdr:col>3</xdr:col>
      <xdr:colOff>962981</xdr:colOff>
      <xdr:row>159</xdr:row>
      <xdr:rowOff>214335</xdr:rowOff>
    </xdr:to>
    <xdr:grpSp>
      <xdr:nvGrpSpPr>
        <xdr:cNvPr id="1131" name="hinh2">
          <a:extLst>
            <a:ext uri="{FF2B5EF4-FFF2-40B4-BE49-F238E27FC236}">
              <a16:creationId xmlns:a16="http://schemas.microsoft.com/office/drawing/2014/main" id="{CE7BBDAF-2CD1-4480-B5A6-1E8CFE1EA2DA}"/>
            </a:ext>
          </a:extLst>
        </xdr:cNvPr>
        <xdr:cNvGrpSpPr>
          <a:grpSpLocks noChangeAspect="1"/>
        </xdr:cNvGrpSpPr>
      </xdr:nvGrpSpPr>
      <xdr:grpSpPr bwMode="auto">
        <a:xfrm>
          <a:off x="2732511" y="49715123"/>
          <a:ext cx="875058" cy="163683"/>
          <a:chOff x="206" y="86"/>
          <a:chExt cx="73" cy="16"/>
        </a:xfrm>
      </xdr:grpSpPr>
      <xdr:sp macro="" textlink="">
        <xdr:nvSpPr>
          <xdr:cNvPr id="1133" name="Line 6">
            <a:extLst>
              <a:ext uri="{FF2B5EF4-FFF2-40B4-BE49-F238E27FC236}">
                <a16:creationId xmlns:a16="http://schemas.microsoft.com/office/drawing/2014/main" id="{A45D51FA-63BF-1539-6175-74CDD6A14C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Line 7">
            <a:extLst>
              <a:ext uri="{FF2B5EF4-FFF2-40B4-BE49-F238E27FC236}">
                <a16:creationId xmlns:a16="http://schemas.microsoft.com/office/drawing/2014/main" id="{A2F153B0-E854-9E75-7AD6-59C52C76FA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Line 8">
            <a:extLst>
              <a:ext uri="{FF2B5EF4-FFF2-40B4-BE49-F238E27FC236}">
                <a16:creationId xmlns:a16="http://schemas.microsoft.com/office/drawing/2014/main" id="{DC162591-0E1E-32D5-B64E-F5D0CEC8DD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171</xdr:row>
      <xdr:rowOff>55220</xdr:rowOff>
    </xdr:from>
    <xdr:to>
      <xdr:col>3</xdr:col>
      <xdr:colOff>1003580</xdr:colOff>
      <xdr:row>171</xdr:row>
      <xdr:rowOff>303698</xdr:rowOff>
    </xdr:to>
    <xdr:sp macro="" textlink="">
      <xdr:nvSpPr>
        <xdr:cNvPr id="3911" name="hinh15">
          <a:extLst>
            <a:ext uri="{FF2B5EF4-FFF2-40B4-BE49-F238E27FC236}">
              <a16:creationId xmlns:a16="http://schemas.microsoft.com/office/drawing/2014/main" id="{4A24B484-7FA3-49A2-BF40-B796C599F4C3}"/>
            </a:ext>
          </a:extLst>
        </xdr:cNvPr>
        <xdr:cNvSpPr>
          <a:spLocks noChangeAspect="1"/>
        </xdr:cNvSpPr>
      </xdr:nvSpPr>
      <xdr:spPr bwMode="auto">
        <a:xfrm rot="10800000">
          <a:off x="2732279" y="401962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169</xdr:row>
      <xdr:rowOff>61296</xdr:rowOff>
    </xdr:from>
    <xdr:to>
      <xdr:col>3</xdr:col>
      <xdr:colOff>965880</xdr:colOff>
      <xdr:row>169</xdr:row>
      <xdr:rowOff>224979</xdr:rowOff>
    </xdr:to>
    <xdr:grpSp>
      <xdr:nvGrpSpPr>
        <xdr:cNvPr id="3912" name="hinh2">
          <a:extLst>
            <a:ext uri="{FF2B5EF4-FFF2-40B4-BE49-F238E27FC236}">
              <a16:creationId xmlns:a16="http://schemas.microsoft.com/office/drawing/2014/main" id="{CDDE5547-EDC1-4C7F-BA95-90FAD02774DB}"/>
            </a:ext>
          </a:extLst>
        </xdr:cNvPr>
        <xdr:cNvGrpSpPr>
          <a:grpSpLocks noChangeAspect="1"/>
        </xdr:cNvGrpSpPr>
      </xdr:nvGrpSpPr>
      <xdr:grpSpPr bwMode="auto">
        <a:xfrm>
          <a:off x="2735410" y="52863414"/>
          <a:ext cx="875058" cy="163683"/>
          <a:chOff x="206" y="86"/>
          <a:chExt cx="73" cy="16"/>
        </a:xfrm>
      </xdr:grpSpPr>
      <xdr:sp macro="" textlink="">
        <xdr:nvSpPr>
          <xdr:cNvPr id="3913" name="Line 6">
            <a:extLst>
              <a:ext uri="{FF2B5EF4-FFF2-40B4-BE49-F238E27FC236}">
                <a16:creationId xmlns:a16="http://schemas.microsoft.com/office/drawing/2014/main" id="{0A5D254A-4416-6656-9651-027EC1D60F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14" name="Line 7">
            <a:extLst>
              <a:ext uri="{FF2B5EF4-FFF2-40B4-BE49-F238E27FC236}">
                <a16:creationId xmlns:a16="http://schemas.microsoft.com/office/drawing/2014/main" id="{1B2CCB32-0568-9B3C-52E9-A8B0E3C058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15" name="Line 8">
            <a:extLst>
              <a:ext uri="{FF2B5EF4-FFF2-40B4-BE49-F238E27FC236}">
                <a16:creationId xmlns:a16="http://schemas.microsoft.com/office/drawing/2014/main" id="{31A9835F-D77B-2741-9D4B-3A7589ED33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172</xdr:row>
      <xdr:rowOff>62196</xdr:rowOff>
    </xdr:from>
    <xdr:to>
      <xdr:col>3</xdr:col>
      <xdr:colOff>952499</xdr:colOff>
      <xdr:row>172</xdr:row>
      <xdr:rowOff>213437</xdr:rowOff>
    </xdr:to>
    <xdr:grpSp>
      <xdr:nvGrpSpPr>
        <xdr:cNvPr id="3916" name="hinh3">
          <a:extLst>
            <a:ext uri="{FF2B5EF4-FFF2-40B4-BE49-F238E27FC236}">
              <a16:creationId xmlns:a16="http://schemas.microsoft.com/office/drawing/2014/main" id="{515A1822-40C9-43A4-B446-1952267BF5B1}"/>
            </a:ext>
          </a:extLst>
        </xdr:cNvPr>
        <xdr:cNvGrpSpPr>
          <a:grpSpLocks noChangeAspect="1"/>
        </xdr:cNvGrpSpPr>
      </xdr:nvGrpSpPr>
      <xdr:grpSpPr bwMode="auto">
        <a:xfrm>
          <a:off x="2735376" y="53805608"/>
          <a:ext cx="861711" cy="151241"/>
          <a:chOff x="206" y="112"/>
          <a:chExt cx="73" cy="16"/>
        </a:xfrm>
      </xdr:grpSpPr>
      <xdr:sp macro="" textlink="">
        <xdr:nvSpPr>
          <xdr:cNvPr id="3917" name="Line 3">
            <a:extLst>
              <a:ext uri="{FF2B5EF4-FFF2-40B4-BE49-F238E27FC236}">
                <a16:creationId xmlns:a16="http://schemas.microsoft.com/office/drawing/2014/main" id="{E5F939C7-DC01-F6A5-3D74-AB369F5E33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18" name="Line 4">
            <a:extLst>
              <a:ext uri="{FF2B5EF4-FFF2-40B4-BE49-F238E27FC236}">
                <a16:creationId xmlns:a16="http://schemas.microsoft.com/office/drawing/2014/main" id="{C7914D69-E104-6E85-79D5-2F225855A5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170</xdr:row>
      <xdr:rowOff>50652</xdr:rowOff>
    </xdr:from>
    <xdr:to>
      <xdr:col>3</xdr:col>
      <xdr:colOff>962981</xdr:colOff>
      <xdr:row>170</xdr:row>
      <xdr:rowOff>214335</xdr:rowOff>
    </xdr:to>
    <xdr:grpSp>
      <xdr:nvGrpSpPr>
        <xdr:cNvPr id="3919" name="hinh2">
          <a:extLst>
            <a:ext uri="{FF2B5EF4-FFF2-40B4-BE49-F238E27FC236}">
              <a16:creationId xmlns:a16="http://schemas.microsoft.com/office/drawing/2014/main" id="{ED67F277-4D58-4E32-8C3E-79CCC0819274}"/>
            </a:ext>
          </a:extLst>
        </xdr:cNvPr>
        <xdr:cNvGrpSpPr>
          <a:grpSpLocks noChangeAspect="1"/>
        </xdr:cNvGrpSpPr>
      </xdr:nvGrpSpPr>
      <xdr:grpSpPr bwMode="auto">
        <a:xfrm>
          <a:off x="2732511" y="53166534"/>
          <a:ext cx="875058" cy="163683"/>
          <a:chOff x="206" y="86"/>
          <a:chExt cx="73" cy="16"/>
        </a:xfrm>
      </xdr:grpSpPr>
      <xdr:sp macro="" textlink="">
        <xdr:nvSpPr>
          <xdr:cNvPr id="3920" name="Line 6">
            <a:extLst>
              <a:ext uri="{FF2B5EF4-FFF2-40B4-BE49-F238E27FC236}">
                <a16:creationId xmlns:a16="http://schemas.microsoft.com/office/drawing/2014/main" id="{5C5A9F8E-788D-341B-A3C4-820900B8F6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1" name="Line 7">
            <a:extLst>
              <a:ext uri="{FF2B5EF4-FFF2-40B4-BE49-F238E27FC236}">
                <a16:creationId xmlns:a16="http://schemas.microsoft.com/office/drawing/2014/main" id="{29BF4B8C-552C-1AB7-B057-3250A42F64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2" name="Line 8">
            <a:extLst>
              <a:ext uri="{FF2B5EF4-FFF2-40B4-BE49-F238E27FC236}">
                <a16:creationId xmlns:a16="http://schemas.microsoft.com/office/drawing/2014/main" id="{86632A75-E96C-69C7-1D9D-C7FF7D76FF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166</xdr:row>
      <xdr:rowOff>55220</xdr:rowOff>
    </xdr:from>
    <xdr:to>
      <xdr:col>3</xdr:col>
      <xdr:colOff>1003580</xdr:colOff>
      <xdr:row>166</xdr:row>
      <xdr:rowOff>303698</xdr:rowOff>
    </xdr:to>
    <xdr:sp macro="" textlink="">
      <xdr:nvSpPr>
        <xdr:cNvPr id="3923" name="hinh15">
          <a:extLst>
            <a:ext uri="{FF2B5EF4-FFF2-40B4-BE49-F238E27FC236}">
              <a16:creationId xmlns:a16="http://schemas.microsoft.com/office/drawing/2014/main" id="{817115B5-7BA7-4B99-A0FF-49FB0464E2ED}"/>
            </a:ext>
          </a:extLst>
        </xdr:cNvPr>
        <xdr:cNvSpPr>
          <a:spLocks noChangeAspect="1"/>
        </xdr:cNvSpPr>
      </xdr:nvSpPr>
      <xdr:spPr bwMode="auto">
        <a:xfrm rot="10800000">
          <a:off x="2732279" y="417747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164</xdr:row>
      <xdr:rowOff>61296</xdr:rowOff>
    </xdr:from>
    <xdr:to>
      <xdr:col>3</xdr:col>
      <xdr:colOff>965880</xdr:colOff>
      <xdr:row>164</xdr:row>
      <xdr:rowOff>224979</xdr:rowOff>
    </xdr:to>
    <xdr:grpSp>
      <xdr:nvGrpSpPr>
        <xdr:cNvPr id="3924" name="hinh2">
          <a:extLst>
            <a:ext uri="{FF2B5EF4-FFF2-40B4-BE49-F238E27FC236}">
              <a16:creationId xmlns:a16="http://schemas.microsoft.com/office/drawing/2014/main" id="{B88A85B3-D014-4F25-B4DC-50ECB1DCA61E}"/>
            </a:ext>
          </a:extLst>
        </xdr:cNvPr>
        <xdr:cNvGrpSpPr>
          <a:grpSpLocks noChangeAspect="1"/>
        </xdr:cNvGrpSpPr>
      </xdr:nvGrpSpPr>
      <xdr:grpSpPr bwMode="auto">
        <a:xfrm>
          <a:off x="2735410" y="51294590"/>
          <a:ext cx="875058" cy="163683"/>
          <a:chOff x="206" y="86"/>
          <a:chExt cx="73" cy="16"/>
        </a:xfrm>
      </xdr:grpSpPr>
      <xdr:sp macro="" textlink="">
        <xdr:nvSpPr>
          <xdr:cNvPr id="3925" name="Line 6">
            <a:extLst>
              <a:ext uri="{FF2B5EF4-FFF2-40B4-BE49-F238E27FC236}">
                <a16:creationId xmlns:a16="http://schemas.microsoft.com/office/drawing/2014/main" id="{2C68E3A7-13DB-411A-3C4A-B17DF6A1B2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6" name="Line 7">
            <a:extLst>
              <a:ext uri="{FF2B5EF4-FFF2-40B4-BE49-F238E27FC236}">
                <a16:creationId xmlns:a16="http://schemas.microsoft.com/office/drawing/2014/main" id="{16F222C5-3CC9-0FCC-0CF9-38E9177B5E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7" name="Line 8">
            <a:extLst>
              <a:ext uri="{FF2B5EF4-FFF2-40B4-BE49-F238E27FC236}">
                <a16:creationId xmlns:a16="http://schemas.microsoft.com/office/drawing/2014/main" id="{92B0E904-2C5B-6EBB-4882-1DFA897ABD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167</xdr:row>
      <xdr:rowOff>62196</xdr:rowOff>
    </xdr:from>
    <xdr:to>
      <xdr:col>3</xdr:col>
      <xdr:colOff>952499</xdr:colOff>
      <xdr:row>167</xdr:row>
      <xdr:rowOff>213437</xdr:rowOff>
    </xdr:to>
    <xdr:grpSp>
      <xdr:nvGrpSpPr>
        <xdr:cNvPr id="3928" name="hinh3">
          <a:extLst>
            <a:ext uri="{FF2B5EF4-FFF2-40B4-BE49-F238E27FC236}">
              <a16:creationId xmlns:a16="http://schemas.microsoft.com/office/drawing/2014/main" id="{774C1DB7-33E4-4F9A-A23B-A22F35E72592}"/>
            </a:ext>
          </a:extLst>
        </xdr:cNvPr>
        <xdr:cNvGrpSpPr>
          <a:grpSpLocks noChangeAspect="1"/>
        </xdr:cNvGrpSpPr>
      </xdr:nvGrpSpPr>
      <xdr:grpSpPr bwMode="auto">
        <a:xfrm>
          <a:off x="2735376" y="52236784"/>
          <a:ext cx="861711" cy="151241"/>
          <a:chOff x="206" y="112"/>
          <a:chExt cx="73" cy="16"/>
        </a:xfrm>
      </xdr:grpSpPr>
      <xdr:sp macro="" textlink="">
        <xdr:nvSpPr>
          <xdr:cNvPr id="3929" name="Line 3">
            <a:extLst>
              <a:ext uri="{FF2B5EF4-FFF2-40B4-BE49-F238E27FC236}">
                <a16:creationId xmlns:a16="http://schemas.microsoft.com/office/drawing/2014/main" id="{D99B70FD-C2E7-EABF-D57D-5DB9B1F960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0" name="Line 4">
            <a:extLst>
              <a:ext uri="{FF2B5EF4-FFF2-40B4-BE49-F238E27FC236}">
                <a16:creationId xmlns:a16="http://schemas.microsoft.com/office/drawing/2014/main" id="{007587EE-6B50-99CF-777C-1F6B5C9823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165</xdr:row>
      <xdr:rowOff>50652</xdr:rowOff>
    </xdr:from>
    <xdr:to>
      <xdr:col>3</xdr:col>
      <xdr:colOff>962981</xdr:colOff>
      <xdr:row>165</xdr:row>
      <xdr:rowOff>214335</xdr:rowOff>
    </xdr:to>
    <xdr:grpSp>
      <xdr:nvGrpSpPr>
        <xdr:cNvPr id="3931" name="hinh2">
          <a:extLst>
            <a:ext uri="{FF2B5EF4-FFF2-40B4-BE49-F238E27FC236}">
              <a16:creationId xmlns:a16="http://schemas.microsoft.com/office/drawing/2014/main" id="{FD0F29E8-57A3-421D-8608-34E2C8332ECC}"/>
            </a:ext>
          </a:extLst>
        </xdr:cNvPr>
        <xdr:cNvGrpSpPr>
          <a:grpSpLocks noChangeAspect="1"/>
        </xdr:cNvGrpSpPr>
      </xdr:nvGrpSpPr>
      <xdr:grpSpPr bwMode="auto">
        <a:xfrm>
          <a:off x="2732511" y="51597711"/>
          <a:ext cx="875058" cy="163683"/>
          <a:chOff x="206" y="86"/>
          <a:chExt cx="73" cy="16"/>
        </a:xfrm>
      </xdr:grpSpPr>
      <xdr:sp macro="" textlink="">
        <xdr:nvSpPr>
          <xdr:cNvPr id="3932" name="Line 6">
            <a:extLst>
              <a:ext uri="{FF2B5EF4-FFF2-40B4-BE49-F238E27FC236}">
                <a16:creationId xmlns:a16="http://schemas.microsoft.com/office/drawing/2014/main" id="{9A1A6620-FB81-ECEC-5BB6-96696705BC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3" name="Line 7">
            <a:extLst>
              <a:ext uri="{FF2B5EF4-FFF2-40B4-BE49-F238E27FC236}">
                <a16:creationId xmlns:a16="http://schemas.microsoft.com/office/drawing/2014/main" id="{CD022201-8BB5-C539-0F1A-997E480821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4" name="Line 8">
            <a:extLst>
              <a:ext uri="{FF2B5EF4-FFF2-40B4-BE49-F238E27FC236}">
                <a16:creationId xmlns:a16="http://schemas.microsoft.com/office/drawing/2014/main" id="{41C7F8D8-158B-7B6E-A88F-1595CA9C85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177</xdr:row>
      <xdr:rowOff>55220</xdr:rowOff>
    </xdr:from>
    <xdr:to>
      <xdr:col>3</xdr:col>
      <xdr:colOff>1003580</xdr:colOff>
      <xdr:row>177</xdr:row>
      <xdr:rowOff>303698</xdr:rowOff>
    </xdr:to>
    <xdr:sp macro="" textlink="">
      <xdr:nvSpPr>
        <xdr:cNvPr id="3935" name="hinh15">
          <a:extLst>
            <a:ext uri="{FF2B5EF4-FFF2-40B4-BE49-F238E27FC236}">
              <a16:creationId xmlns:a16="http://schemas.microsoft.com/office/drawing/2014/main" id="{AB7A1181-8C0E-44B7-AC3C-C50C8180E6E8}"/>
            </a:ext>
          </a:extLst>
        </xdr:cNvPr>
        <xdr:cNvSpPr>
          <a:spLocks noChangeAspect="1"/>
        </xdr:cNvSpPr>
      </xdr:nvSpPr>
      <xdr:spPr bwMode="auto">
        <a:xfrm rot="10800000">
          <a:off x="2732279" y="335668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175</xdr:row>
      <xdr:rowOff>61296</xdr:rowOff>
    </xdr:from>
    <xdr:to>
      <xdr:col>3</xdr:col>
      <xdr:colOff>965880</xdr:colOff>
      <xdr:row>175</xdr:row>
      <xdr:rowOff>224979</xdr:rowOff>
    </xdr:to>
    <xdr:grpSp>
      <xdr:nvGrpSpPr>
        <xdr:cNvPr id="3936" name="hinh2">
          <a:extLst>
            <a:ext uri="{FF2B5EF4-FFF2-40B4-BE49-F238E27FC236}">
              <a16:creationId xmlns:a16="http://schemas.microsoft.com/office/drawing/2014/main" id="{70397F78-273A-4453-86DE-A8E4D3A589F8}"/>
            </a:ext>
          </a:extLst>
        </xdr:cNvPr>
        <xdr:cNvGrpSpPr>
          <a:grpSpLocks noChangeAspect="1"/>
        </xdr:cNvGrpSpPr>
      </xdr:nvGrpSpPr>
      <xdr:grpSpPr bwMode="auto">
        <a:xfrm>
          <a:off x="2735410" y="54746002"/>
          <a:ext cx="875058" cy="163683"/>
          <a:chOff x="206" y="86"/>
          <a:chExt cx="73" cy="16"/>
        </a:xfrm>
      </xdr:grpSpPr>
      <xdr:sp macro="" textlink="">
        <xdr:nvSpPr>
          <xdr:cNvPr id="3937" name="Line 6">
            <a:extLst>
              <a:ext uri="{FF2B5EF4-FFF2-40B4-BE49-F238E27FC236}">
                <a16:creationId xmlns:a16="http://schemas.microsoft.com/office/drawing/2014/main" id="{338E67FD-9C24-2308-D862-4DB32FFAD1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8" name="Line 7">
            <a:extLst>
              <a:ext uri="{FF2B5EF4-FFF2-40B4-BE49-F238E27FC236}">
                <a16:creationId xmlns:a16="http://schemas.microsoft.com/office/drawing/2014/main" id="{F584A4E0-F664-ABAB-5222-34C7A19129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9" name="Line 8">
            <a:extLst>
              <a:ext uri="{FF2B5EF4-FFF2-40B4-BE49-F238E27FC236}">
                <a16:creationId xmlns:a16="http://schemas.microsoft.com/office/drawing/2014/main" id="{65F317F7-FA9A-F692-A894-4E8A1A4847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178</xdr:row>
      <xdr:rowOff>62196</xdr:rowOff>
    </xdr:from>
    <xdr:to>
      <xdr:col>3</xdr:col>
      <xdr:colOff>952499</xdr:colOff>
      <xdr:row>178</xdr:row>
      <xdr:rowOff>213437</xdr:rowOff>
    </xdr:to>
    <xdr:grpSp>
      <xdr:nvGrpSpPr>
        <xdr:cNvPr id="3940" name="hinh3">
          <a:extLst>
            <a:ext uri="{FF2B5EF4-FFF2-40B4-BE49-F238E27FC236}">
              <a16:creationId xmlns:a16="http://schemas.microsoft.com/office/drawing/2014/main" id="{95E7044B-2348-41C2-8CC2-9A4100424355}"/>
            </a:ext>
          </a:extLst>
        </xdr:cNvPr>
        <xdr:cNvGrpSpPr>
          <a:grpSpLocks noChangeAspect="1"/>
        </xdr:cNvGrpSpPr>
      </xdr:nvGrpSpPr>
      <xdr:grpSpPr bwMode="auto">
        <a:xfrm>
          <a:off x="2735376" y="55688196"/>
          <a:ext cx="861711" cy="151241"/>
          <a:chOff x="206" y="112"/>
          <a:chExt cx="73" cy="16"/>
        </a:xfrm>
      </xdr:grpSpPr>
      <xdr:sp macro="" textlink="">
        <xdr:nvSpPr>
          <xdr:cNvPr id="3941" name="Line 3">
            <a:extLst>
              <a:ext uri="{FF2B5EF4-FFF2-40B4-BE49-F238E27FC236}">
                <a16:creationId xmlns:a16="http://schemas.microsoft.com/office/drawing/2014/main" id="{0AC983C8-45BE-4D0F-1402-129B4A5C8A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2" name="Line 4">
            <a:extLst>
              <a:ext uri="{FF2B5EF4-FFF2-40B4-BE49-F238E27FC236}">
                <a16:creationId xmlns:a16="http://schemas.microsoft.com/office/drawing/2014/main" id="{19B6F8A8-A052-7131-8372-FD2663C624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176</xdr:row>
      <xdr:rowOff>50652</xdr:rowOff>
    </xdr:from>
    <xdr:to>
      <xdr:col>3</xdr:col>
      <xdr:colOff>962981</xdr:colOff>
      <xdr:row>176</xdr:row>
      <xdr:rowOff>214335</xdr:rowOff>
    </xdr:to>
    <xdr:grpSp>
      <xdr:nvGrpSpPr>
        <xdr:cNvPr id="3943" name="hinh2">
          <a:extLst>
            <a:ext uri="{FF2B5EF4-FFF2-40B4-BE49-F238E27FC236}">
              <a16:creationId xmlns:a16="http://schemas.microsoft.com/office/drawing/2014/main" id="{AE5F2A21-5880-4C99-A3B5-B99FF575296C}"/>
            </a:ext>
          </a:extLst>
        </xdr:cNvPr>
        <xdr:cNvGrpSpPr>
          <a:grpSpLocks noChangeAspect="1"/>
        </xdr:cNvGrpSpPr>
      </xdr:nvGrpSpPr>
      <xdr:grpSpPr bwMode="auto">
        <a:xfrm>
          <a:off x="2732511" y="55049123"/>
          <a:ext cx="875058" cy="163683"/>
          <a:chOff x="206" y="86"/>
          <a:chExt cx="73" cy="16"/>
        </a:xfrm>
      </xdr:grpSpPr>
      <xdr:sp macro="" textlink="">
        <xdr:nvSpPr>
          <xdr:cNvPr id="3944" name="Line 6">
            <a:extLst>
              <a:ext uri="{FF2B5EF4-FFF2-40B4-BE49-F238E27FC236}">
                <a16:creationId xmlns:a16="http://schemas.microsoft.com/office/drawing/2014/main" id="{7AE77FD9-140A-A166-2F9E-393493BE9D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5" name="Line 7">
            <a:extLst>
              <a:ext uri="{FF2B5EF4-FFF2-40B4-BE49-F238E27FC236}">
                <a16:creationId xmlns:a16="http://schemas.microsoft.com/office/drawing/2014/main" id="{00093BFB-D746-9F6E-2856-A801B5C957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6" name="Line 8">
            <a:extLst>
              <a:ext uri="{FF2B5EF4-FFF2-40B4-BE49-F238E27FC236}">
                <a16:creationId xmlns:a16="http://schemas.microsoft.com/office/drawing/2014/main" id="{9A33BF7C-A0DD-2809-DE61-61AEC0BA34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182</xdr:row>
      <xdr:rowOff>55220</xdr:rowOff>
    </xdr:from>
    <xdr:to>
      <xdr:col>3</xdr:col>
      <xdr:colOff>1003580</xdr:colOff>
      <xdr:row>182</xdr:row>
      <xdr:rowOff>303698</xdr:rowOff>
    </xdr:to>
    <xdr:sp macro="" textlink="">
      <xdr:nvSpPr>
        <xdr:cNvPr id="3947" name="hinh15">
          <a:extLst>
            <a:ext uri="{FF2B5EF4-FFF2-40B4-BE49-F238E27FC236}">
              <a16:creationId xmlns:a16="http://schemas.microsoft.com/office/drawing/2014/main" id="{38657EC9-6D1E-4BB5-9BF2-55C322C25F3E}"/>
            </a:ext>
          </a:extLst>
        </xdr:cNvPr>
        <xdr:cNvSpPr>
          <a:spLocks noChangeAspect="1"/>
        </xdr:cNvSpPr>
      </xdr:nvSpPr>
      <xdr:spPr bwMode="auto">
        <a:xfrm rot="10800000">
          <a:off x="2732279" y="351453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180</xdr:row>
      <xdr:rowOff>61296</xdr:rowOff>
    </xdr:from>
    <xdr:to>
      <xdr:col>3</xdr:col>
      <xdr:colOff>965880</xdr:colOff>
      <xdr:row>180</xdr:row>
      <xdr:rowOff>224979</xdr:rowOff>
    </xdr:to>
    <xdr:grpSp>
      <xdr:nvGrpSpPr>
        <xdr:cNvPr id="3948" name="hinh2">
          <a:extLst>
            <a:ext uri="{FF2B5EF4-FFF2-40B4-BE49-F238E27FC236}">
              <a16:creationId xmlns:a16="http://schemas.microsoft.com/office/drawing/2014/main" id="{DF0B4914-18DE-4BA7-8584-AA23EC2F4AF3}"/>
            </a:ext>
          </a:extLst>
        </xdr:cNvPr>
        <xdr:cNvGrpSpPr>
          <a:grpSpLocks noChangeAspect="1"/>
        </xdr:cNvGrpSpPr>
      </xdr:nvGrpSpPr>
      <xdr:grpSpPr bwMode="auto">
        <a:xfrm>
          <a:off x="2735410" y="56314825"/>
          <a:ext cx="875058" cy="163683"/>
          <a:chOff x="206" y="86"/>
          <a:chExt cx="73" cy="16"/>
        </a:xfrm>
      </xdr:grpSpPr>
      <xdr:sp macro="" textlink="">
        <xdr:nvSpPr>
          <xdr:cNvPr id="3949" name="Line 6">
            <a:extLst>
              <a:ext uri="{FF2B5EF4-FFF2-40B4-BE49-F238E27FC236}">
                <a16:creationId xmlns:a16="http://schemas.microsoft.com/office/drawing/2014/main" id="{45268917-7AE2-88D3-7DAB-BD1DC30165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0" name="Line 7">
            <a:extLst>
              <a:ext uri="{FF2B5EF4-FFF2-40B4-BE49-F238E27FC236}">
                <a16:creationId xmlns:a16="http://schemas.microsoft.com/office/drawing/2014/main" id="{72D4D32F-1059-5E34-9EAB-1DA2845678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1" name="Line 8">
            <a:extLst>
              <a:ext uri="{FF2B5EF4-FFF2-40B4-BE49-F238E27FC236}">
                <a16:creationId xmlns:a16="http://schemas.microsoft.com/office/drawing/2014/main" id="{83209980-9960-F23A-F801-541730613D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183</xdr:row>
      <xdr:rowOff>62196</xdr:rowOff>
    </xdr:from>
    <xdr:to>
      <xdr:col>3</xdr:col>
      <xdr:colOff>952499</xdr:colOff>
      <xdr:row>183</xdr:row>
      <xdr:rowOff>213437</xdr:rowOff>
    </xdr:to>
    <xdr:grpSp>
      <xdr:nvGrpSpPr>
        <xdr:cNvPr id="3952" name="hinh3">
          <a:extLst>
            <a:ext uri="{FF2B5EF4-FFF2-40B4-BE49-F238E27FC236}">
              <a16:creationId xmlns:a16="http://schemas.microsoft.com/office/drawing/2014/main" id="{DC4F49FB-A876-4422-93D6-5F53E7FD8AFB}"/>
            </a:ext>
          </a:extLst>
        </xdr:cNvPr>
        <xdr:cNvGrpSpPr>
          <a:grpSpLocks noChangeAspect="1"/>
        </xdr:cNvGrpSpPr>
      </xdr:nvGrpSpPr>
      <xdr:grpSpPr bwMode="auto">
        <a:xfrm>
          <a:off x="2735376" y="57257020"/>
          <a:ext cx="861711" cy="151241"/>
          <a:chOff x="206" y="112"/>
          <a:chExt cx="73" cy="16"/>
        </a:xfrm>
      </xdr:grpSpPr>
      <xdr:sp macro="" textlink="">
        <xdr:nvSpPr>
          <xdr:cNvPr id="3953" name="Line 3">
            <a:extLst>
              <a:ext uri="{FF2B5EF4-FFF2-40B4-BE49-F238E27FC236}">
                <a16:creationId xmlns:a16="http://schemas.microsoft.com/office/drawing/2014/main" id="{0BF18F85-4A2E-D75F-A735-E50DD01D9F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4" name="Line 4">
            <a:extLst>
              <a:ext uri="{FF2B5EF4-FFF2-40B4-BE49-F238E27FC236}">
                <a16:creationId xmlns:a16="http://schemas.microsoft.com/office/drawing/2014/main" id="{CE722127-E7C8-CB5D-8806-6A1C31BBC8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181</xdr:row>
      <xdr:rowOff>50652</xdr:rowOff>
    </xdr:from>
    <xdr:to>
      <xdr:col>3</xdr:col>
      <xdr:colOff>962981</xdr:colOff>
      <xdr:row>181</xdr:row>
      <xdr:rowOff>214335</xdr:rowOff>
    </xdr:to>
    <xdr:grpSp>
      <xdr:nvGrpSpPr>
        <xdr:cNvPr id="3955" name="hinh2">
          <a:extLst>
            <a:ext uri="{FF2B5EF4-FFF2-40B4-BE49-F238E27FC236}">
              <a16:creationId xmlns:a16="http://schemas.microsoft.com/office/drawing/2014/main" id="{4DE60B4D-97B6-4DCD-96D1-A2FF20BAD2B6}"/>
            </a:ext>
          </a:extLst>
        </xdr:cNvPr>
        <xdr:cNvGrpSpPr>
          <a:grpSpLocks noChangeAspect="1"/>
        </xdr:cNvGrpSpPr>
      </xdr:nvGrpSpPr>
      <xdr:grpSpPr bwMode="auto">
        <a:xfrm>
          <a:off x="2732511" y="56617946"/>
          <a:ext cx="875058" cy="163683"/>
          <a:chOff x="206" y="86"/>
          <a:chExt cx="73" cy="16"/>
        </a:xfrm>
      </xdr:grpSpPr>
      <xdr:sp macro="" textlink="">
        <xdr:nvSpPr>
          <xdr:cNvPr id="3956" name="Line 6">
            <a:extLst>
              <a:ext uri="{FF2B5EF4-FFF2-40B4-BE49-F238E27FC236}">
                <a16:creationId xmlns:a16="http://schemas.microsoft.com/office/drawing/2014/main" id="{24E509B7-C90F-8EB7-E45C-8198022B0B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7" name="Line 7">
            <a:extLst>
              <a:ext uri="{FF2B5EF4-FFF2-40B4-BE49-F238E27FC236}">
                <a16:creationId xmlns:a16="http://schemas.microsoft.com/office/drawing/2014/main" id="{FDF26247-5916-EDF5-A800-597F5C2C53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58" name="Line 8">
            <a:extLst>
              <a:ext uri="{FF2B5EF4-FFF2-40B4-BE49-F238E27FC236}">
                <a16:creationId xmlns:a16="http://schemas.microsoft.com/office/drawing/2014/main" id="{B071B408-A9CB-1518-8A72-945C18EE8F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187</xdr:row>
      <xdr:rowOff>55220</xdr:rowOff>
    </xdr:from>
    <xdr:to>
      <xdr:col>3</xdr:col>
      <xdr:colOff>1003580</xdr:colOff>
      <xdr:row>187</xdr:row>
      <xdr:rowOff>303698</xdr:rowOff>
    </xdr:to>
    <xdr:sp macro="" textlink="">
      <xdr:nvSpPr>
        <xdr:cNvPr id="3959" name="hinh15">
          <a:extLst>
            <a:ext uri="{FF2B5EF4-FFF2-40B4-BE49-F238E27FC236}">
              <a16:creationId xmlns:a16="http://schemas.microsoft.com/office/drawing/2014/main" id="{75A1BCDB-F50F-4EE3-BA76-343232918321}"/>
            </a:ext>
          </a:extLst>
        </xdr:cNvPr>
        <xdr:cNvSpPr>
          <a:spLocks noChangeAspect="1"/>
        </xdr:cNvSpPr>
      </xdr:nvSpPr>
      <xdr:spPr bwMode="auto">
        <a:xfrm rot="10800000">
          <a:off x="2732279" y="36723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185</xdr:row>
      <xdr:rowOff>61296</xdr:rowOff>
    </xdr:from>
    <xdr:to>
      <xdr:col>3</xdr:col>
      <xdr:colOff>965880</xdr:colOff>
      <xdr:row>185</xdr:row>
      <xdr:rowOff>224979</xdr:rowOff>
    </xdr:to>
    <xdr:grpSp>
      <xdr:nvGrpSpPr>
        <xdr:cNvPr id="3960" name="hinh2">
          <a:extLst>
            <a:ext uri="{FF2B5EF4-FFF2-40B4-BE49-F238E27FC236}">
              <a16:creationId xmlns:a16="http://schemas.microsoft.com/office/drawing/2014/main" id="{496C246D-6F20-4E9F-85A1-59FC7B4B6045}"/>
            </a:ext>
          </a:extLst>
        </xdr:cNvPr>
        <xdr:cNvGrpSpPr>
          <a:grpSpLocks noChangeAspect="1"/>
        </xdr:cNvGrpSpPr>
      </xdr:nvGrpSpPr>
      <xdr:grpSpPr bwMode="auto">
        <a:xfrm>
          <a:off x="2735410" y="57883649"/>
          <a:ext cx="875058" cy="163683"/>
          <a:chOff x="206" y="86"/>
          <a:chExt cx="73" cy="16"/>
        </a:xfrm>
      </xdr:grpSpPr>
      <xdr:sp macro="" textlink="">
        <xdr:nvSpPr>
          <xdr:cNvPr id="3961" name="Line 6">
            <a:extLst>
              <a:ext uri="{FF2B5EF4-FFF2-40B4-BE49-F238E27FC236}">
                <a16:creationId xmlns:a16="http://schemas.microsoft.com/office/drawing/2014/main" id="{6D9DACD0-8E4E-6AF7-00FA-C4DE15B24F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5" name="Line 7">
            <a:extLst>
              <a:ext uri="{FF2B5EF4-FFF2-40B4-BE49-F238E27FC236}">
                <a16:creationId xmlns:a16="http://schemas.microsoft.com/office/drawing/2014/main" id="{FBD67423-F0F6-16C8-0248-FD7F191C44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6" name="Line 8">
            <a:extLst>
              <a:ext uri="{FF2B5EF4-FFF2-40B4-BE49-F238E27FC236}">
                <a16:creationId xmlns:a16="http://schemas.microsoft.com/office/drawing/2014/main" id="{BA5A19F5-E610-D7E8-391E-4B74B0805B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188</xdr:row>
      <xdr:rowOff>62196</xdr:rowOff>
    </xdr:from>
    <xdr:to>
      <xdr:col>3</xdr:col>
      <xdr:colOff>952499</xdr:colOff>
      <xdr:row>188</xdr:row>
      <xdr:rowOff>213437</xdr:rowOff>
    </xdr:to>
    <xdr:grpSp>
      <xdr:nvGrpSpPr>
        <xdr:cNvPr id="1158" name="hinh3">
          <a:extLst>
            <a:ext uri="{FF2B5EF4-FFF2-40B4-BE49-F238E27FC236}">
              <a16:creationId xmlns:a16="http://schemas.microsoft.com/office/drawing/2014/main" id="{0D797762-A618-438C-8488-3962C90E9A8B}"/>
            </a:ext>
          </a:extLst>
        </xdr:cNvPr>
        <xdr:cNvGrpSpPr>
          <a:grpSpLocks noChangeAspect="1"/>
        </xdr:cNvGrpSpPr>
      </xdr:nvGrpSpPr>
      <xdr:grpSpPr bwMode="auto">
        <a:xfrm>
          <a:off x="2735376" y="58825843"/>
          <a:ext cx="861711" cy="151241"/>
          <a:chOff x="206" y="112"/>
          <a:chExt cx="73" cy="16"/>
        </a:xfrm>
      </xdr:grpSpPr>
      <xdr:sp macro="" textlink="">
        <xdr:nvSpPr>
          <xdr:cNvPr id="1160" name="Line 3">
            <a:extLst>
              <a:ext uri="{FF2B5EF4-FFF2-40B4-BE49-F238E27FC236}">
                <a16:creationId xmlns:a16="http://schemas.microsoft.com/office/drawing/2014/main" id="{9A2B7329-9204-C44D-30EA-291747AB6D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2" name="Line 4">
            <a:extLst>
              <a:ext uri="{FF2B5EF4-FFF2-40B4-BE49-F238E27FC236}">
                <a16:creationId xmlns:a16="http://schemas.microsoft.com/office/drawing/2014/main" id="{FD86473C-5F1F-B9C3-1C4C-0532E10656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186</xdr:row>
      <xdr:rowOff>50652</xdr:rowOff>
    </xdr:from>
    <xdr:to>
      <xdr:col>3</xdr:col>
      <xdr:colOff>962981</xdr:colOff>
      <xdr:row>186</xdr:row>
      <xdr:rowOff>214335</xdr:rowOff>
    </xdr:to>
    <xdr:grpSp>
      <xdr:nvGrpSpPr>
        <xdr:cNvPr id="1164" name="hinh2">
          <a:extLst>
            <a:ext uri="{FF2B5EF4-FFF2-40B4-BE49-F238E27FC236}">
              <a16:creationId xmlns:a16="http://schemas.microsoft.com/office/drawing/2014/main" id="{6E9DBCE5-8BF6-40FA-993B-1C00F0B53E87}"/>
            </a:ext>
          </a:extLst>
        </xdr:cNvPr>
        <xdr:cNvGrpSpPr>
          <a:grpSpLocks noChangeAspect="1"/>
        </xdr:cNvGrpSpPr>
      </xdr:nvGrpSpPr>
      <xdr:grpSpPr bwMode="auto">
        <a:xfrm>
          <a:off x="2732511" y="58186770"/>
          <a:ext cx="875058" cy="163683"/>
          <a:chOff x="206" y="86"/>
          <a:chExt cx="73" cy="16"/>
        </a:xfrm>
      </xdr:grpSpPr>
      <xdr:sp macro="" textlink="">
        <xdr:nvSpPr>
          <xdr:cNvPr id="1166" name="Line 6">
            <a:extLst>
              <a:ext uri="{FF2B5EF4-FFF2-40B4-BE49-F238E27FC236}">
                <a16:creationId xmlns:a16="http://schemas.microsoft.com/office/drawing/2014/main" id="{22EEEE20-6071-993B-ED93-8035C869A2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" name="Line 7">
            <a:extLst>
              <a:ext uri="{FF2B5EF4-FFF2-40B4-BE49-F238E27FC236}">
                <a16:creationId xmlns:a16="http://schemas.microsoft.com/office/drawing/2014/main" id="{6DF92530-8BBA-3B16-9AC7-D2D63F47F0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0" name="Line 8">
            <a:extLst>
              <a:ext uri="{FF2B5EF4-FFF2-40B4-BE49-F238E27FC236}">
                <a16:creationId xmlns:a16="http://schemas.microsoft.com/office/drawing/2014/main" id="{302F8AE3-197A-11F2-7F41-7C5BA4762A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193</xdr:row>
      <xdr:rowOff>55220</xdr:rowOff>
    </xdr:from>
    <xdr:to>
      <xdr:col>3</xdr:col>
      <xdr:colOff>1003580</xdr:colOff>
      <xdr:row>193</xdr:row>
      <xdr:rowOff>303698</xdr:rowOff>
    </xdr:to>
    <xdr:sp macro="" textlink="">
      <xdr:nvSpPr>
        <xdr:cNvPr id="1172" name="hinh15">
          <a:extLst>
            <a:ext uri="{FF2B5EF4-FFF2-40B4-BE49-F238E27FC236}">
              <a16:creationId xmlns:a16="http://schemas.microsoft.com/office/drawing/2014/main" id="{76580DDC-1B3C-4F89-8669-B35C646D9516}"/>
            </a:ext>
          </a:extLst>
        </xdr:cNvPr>
        <xdr:cNvSpPr>
          <a:spLocks noChangeAspect="1"/>
        </xdr:cNvSpPr>
      </xdr:nvSpPr>
      <xdr:spPr bwMode="auto">
        <a:xfrm rot="10800000">
          <a:off x="2732279" y="471413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191</xdr:row>
      <xdr:rowOff>61296</xdr:rowOff>
    </xdr:from>
    <xdr:to>
      <xdr:col>3</xdr:col>
      <xdr:colOff>965880</xdr:colOff>
      <xdr:row>191</xdr:row>
      <xdr:rowOff>224979</xdr:rowOff>
    </xdr:to>
    <xdr:grpSp>
      <xdr:nvGrpSpPr>
        <xdr:cNvPr id="1174" name="hinh2">
          <a:extLst>
            <a:ext uri="{FF2B5EF4-FFF2-40B4-BE49-F238E27FC236}">
              <a16:creationId xmlns:a16="http://schemas.microsoft.com/office/drawing/2014/main" id="{8BBBC1CF-D2F3-40E5-B77B-49EA93BF8C95}"/>
            </a:ext>
          </a:extLst>
        </xdr:cNvPr>
        <xdr:cNvGrpSpPr>
          <a:grpSpLocks noChangeAspect="1"/>
        </xdr:cNvGrpSpPr>
      </xdr:nvGrpSpPr>
      <xdr:grpSpPr bwMode="auto">
        <a:xfrm>
          <a:off x="2735410" y="59766237"/>
          <a:ext cx="875058" cy="163683"/>
          <a:chOff x="206" y="86"/>
          <a:chExt cx="73" cy="16"/>
        </a:xfrm>
      </xdr:grpSpPr>
      <xdr:sp macro="" textlink="">
        <xdr:nvSpPr>
          <xdr:cNvPr id="1176" name="Line 6">
            <a:extLst>
              <a:ext uri="{FF2B5EF4-FFF2-40B4-BE49-F238E27FC236}">
                <a16:creationId xmlns:a16="http://schemas.microsoft.com/office/drawing/2014/main" id="{CB875A25-2AE7-1B98-9645-5C951780B4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8" name="Line 7">
            <a:extLst>
              <a:ext uri="{FF2B5EF4-FFF2-40B4-BE49-F238E27FC236}">
                <a16:creationId xmlns:a16="http://schemas.microsoft.com/office/drawing/2014/main" id="{6C656088-5162-AB75-07B8-87BB814A0B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0" name="Line 8">
            <a:extLst>
              <a:ext uri="{FF2B5EF4-FFF2-40B4-BE49-F238E27FC236}">
                <a16:creationId xmlns:a16="http://schemas.microsoft.com/office/drawing/2014/main" id="{D23B2545-E554-E1FB-6B7F-7EBC56A6CF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194</xdr:row>
      <xdr:rowOff>62196</xdr:rowOff>
    </xdr:from>
    <xdr:to>
      <xdr:col>3</xdr:col>
      <xdr:colOff>952499</xdr:colOff>
      <xdr:row>194</xdr:row>
      <xdr:rowOff>213437</xdr:rowOff>
    </xdr:to>
    <xdr:grpSp>
      <xdr:nvGrpSpPr>
        <xdr:cNvPr id="1182" name="hinh3">
          <a:extLst>
            <a:ext uri="{FF2B5EF4-FFF2-40B4-BE49-F238E27FC236}">
              <a16:creationId xmlns:a16="http://schemas.microsoft.com/office/drawing/2014/main" id="{C51A577D-6DA9-4C21-9E2E-DB4D385EC895}"/>
            </a:ext>
          </a:extLst>
        </xdr:cNvPr>
        <xdr:cNvGrpSpPr>
          <a:grpSpLocks noChangeAspect="1"/>
        </xdr:cNvGrpSpPr>
      </xdr:nvGrpSpPr>
      <xdr:grpSpPr bwMode="auto">
        <a:xfrm>
          <a:off x="2735376" y="60708431"/>
          <a:ext cx="861711" cy="151241"/>
          <a:chOff x="206" y="112"/>
          <a:chExt cx="73" cy="16"/>
        </a:xfrm>
      </xdr:grpSpPr>
      <xdr:sp macro="" textlink="">
        <xdr:nvSpPr>
          <xdr:cNvPr id="1184" name="Line 3">
            <a:extLst>
              <a:ext uri="{FF2B5EF4-FFF2-40B4-BE49-F238E27FC236}">
                <a16:creationId xmlns:a16="http://schemas.microsoft.com/office/drawing/2014/main" id="{2016C11A-33BF-F276-FF86-9A0C43D0FD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6" name="Line 4">
            <a:extLst>
              <a:ext uri="{FF2B5EF4-FFF2-40B4-BE49-F238E27FC236}">
                <a16:creationId xmlns:a16="http://schemas.microsoft.com/office/drawing/2014/main" id="{52109832-10D2-D275-CBA9-AA1CD34B10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192</xdr:row>
      <xdr:rowOff>50652</xdr:rowOff>
    </xdr:from>
    <xdr:to>
      <xdr:col>3</xdr:col>
      <xdr:colOff>962981</xdr:colOff>
      <xdr:row>192</xdr:row>
      <xdr:rowOff>214335</xdr:rowOff>
    </xdr:to>
    <xdr:grpSp>
      <xdr:nvGrpSpPr>
        <xdr:cNvPr id="1188" name="hinh2">
          <a:extLst>
            <a:ext uri="{FF2B5EF4-FFF2-40B4-BE49-F238E27FC236}">
              <a16:creationId xmlns:a16="http://schemas.microsoft.com/office/drawing/2014/main" id="{3B771962-FAE5-43B2-BB34-854A81BA1D95}"/>
            </a:ext>
          </a:extLst>
        </xdr:cNvPr>
        <xdr:cNvGrpSpPr>
          <a:grpSpLocks noChangeAspect="1"/>
        </xdr:cNvGrpSpPr>
      </xdr:nvGrpSpPr>
      <xdr:grpSpPr bwMode="auto">
        <a:xfrm>
          <a:off x="2732511" y="60069358"/>
          <a:ext cx="875058" cy="163683"/>
          <a:chOff x="206" y="86"/>
          <a:chExt cx="73" cy="16"/>
        </a:xfrm>
      </xdr:grpSpPr>
      <xdr:sp macro="" textlink="">
        <xdr:nvSpPr>
          <xdr:cNvPr id="1190" name="Line 6">
            <a:extLst>
              <a:ext uri="{FF2B5EF4-FFF2-40B4-BE49-F238E27FC236}">
                <a16:creationId xmlns:a16="http://schemas.microsoft.com/office/drawing/2014/main" id="{A69E2D67-8729-B83F-3347-8AAB9D2CBD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2" name="Line 7">
            <a:extLst>
              <a:ext uri="{FF2B5EF4-FFF2-40B4-BE49-F238E27FC236}">
                <a16:creationId xmlns:a16="http://schemas.microsoft.com/office/drawing/2014/main" id="{A2B8A5AD-9077-564E-4009-DBEEC5C4C0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4" name="Line 8">
            <a:extLst>
              <a:ext uri="{FF2B5EF4-FFF2-40B4-BE49-F238E27FC236}">
                <a16:creationId xmlns:a16="http://schemas.microsoft.com/office/drawing/2014/main" id="{08C68299-FD15-7960-5275-AD9649DB52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198</xdr:row>
      <xdr:rowOff>55220</xdr:rowOff>
    </xdr:from>
    <xdr:to>
      <xdr:col>3</xdr:col>
      <xdr:colOff>1003580</xdr:colOff>
      <xdr:row>198</xdr:row>
      <xdr:rowOff>303698</xdr:rowOff>
    </xdr:to>
    <xdr:sp macro="" textlink="">
      <xdr:nvSpPr>
        <xdr:cNvPr id="1202" name="hinh15">
          <a:extLst>
            <a:ext uri="{FF2B5EF4-FFF2-40B4-BE49-F238E27FC236}">
              <a16:creationId xmlns:a16="http://schemas.microsoft.com/office/drawing/2014/main" id="{98CF3A87-9818-4BCA-AE20-B7DA7D312CA1}"/>
            </a:ext>
          </a:extLst>
        </xdr:cNvPr>
        <xdr:cNvSpPr>
          <a:spLocks noChangeAspect="1"/>
        </xdr:cNvSpPr>
      </xdr:nvSpPr>
      <xdr:spPr bwMode="auto">
        <a:xfrm rot="10800000">
          <a:off x="2732279" y="487198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196</xdr:row>
      <xdr:rowOff>61296</xdr:rowOff>
    </xdr:from>
    <xdr:to>
      <xdr:col>3</xdr:col>
      <xdr:colOff>965880</xdr:colOff>
      <xdr:row>196</xdr:row>
      <xdr:rowOff>224979</xdr:rowOff>
    </xdr:to>
    <xdr:grpSp>
      <xdr:nvGrpSpPr>
        <xdr:cNvPr id="1203" name="hinh2">
          <a:extLst>
            <a:ext uri="{FF2B5EF4-FFF2-40B4-BE49-F238E27FC236}">
              <a16:creationId xmlns:a16="http://schemas.microsoft.com/office/drawing/2014/main" id="{36076A85-48C0-4E28-BE86-3105DE3AAA3C}"/>
            </a:ext>
          </a:extLst>
        </xdr:cNvPr>
        <xdr:cNvGrpSpPr>
          <a:grpSpLocks noChangeAspect="1"/>
        </xdr:cNvGrpSpPr>
      </xdr:nvGrpSpPr>
      <xdr:grpSpPr bwMode="auto">
        <a:xfrm>
          <a:off x="2735410" y="61335061"/>
          <a:ext cx="875058" cy="163683"/>
          <a:chOff x="206" y="86"/>
          <a:chExt cx="73" cy="16"/>
        </a:xfrm>
      </xdr:grpSpPr>
      <xdr:sp macro="" textlink="">
        <xdr:nvSpPr>
          <xdr:cNvPr id="1204" name="Line 6">
            <a:extLst>
              <a:ext uri="{FF2B5EF4-FFF2-40B4-BE49-F238E27FC236}">
                <a16:creationId xmlns:a16="http://schemas.microsoft.com/office/drawing/2014/main" id="{76BB8EF2-A627-5A29-FB40-324ECCDE1D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5" name="Line 7">
            <a:extLst>
              <a:ext uri="{FF2B5EF4-FFF2-40B4-BE49-F238E27FC236}">
                <a16:creationId xmlns:a16="http://schemas.microsoft.com/office/drawing/2014/main" id="{8F1FC36C-8261-B48D-3058-1DDF49414B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6" name="Line 8">
            <a:extLst>
              <a:ext uri="{FF2B5EF4-FFF2-40B4-BE49-F238E27FC236}">
                <a16:creationId xmlns:a16="http://schemas.microsoft.com/office/drawing/2014/main" id="{D452D8EB-077B-15CE-4F3B-DE9858A96D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199</xdr:row>
      <xdr:rowOff>62196</xdr:rowOff>
    </xdr:from>
    <xdr:to>
      <xdr:col>3</xdr:col>
      <xdr:colOff>952499</xdr:colOff>
      <xdr:row>199</xdr:row>
      <xdr:rowOff>213437</xdr:rowOff>
    </xdr:to>
    <xdr:grpSp>
      <xdr:nvGrpSpPr>
        <xdr:cNvPr id="1207" name="hinh3">
          <a:extLst>
            <a:ext uri="{FF2B5EF4-FFF2-40B4-BE49-F238E27FC236}">
              <a16:creationId xmlns:a16="http://schemas.microsoft.com/office/drawing/2014/main" id="{3ED212B1-DC5D-4CFE-B460-F4A88149896F}"/>
            </a:ext>
          </a:extLst>
        </xdr:cNvPr>
        <xdr:cNvGrpSpPr>
          <a:grpSpLocks noChangeAspect="1"/>
        </xdr:cNvGrpSpPr>
      </xdr:nvGrpSpPr>
      <xdr:grpSpPr bwMode="auto">
        <a:xfrm>
          <a:off x="2735376" y="62277255"/>
          <a:ext cx="861711" cy="151241"/>
          <a:chOff x="206" y="112"/>
          <a:chExt cx="73" cy="16"/>
        </a:xfrm>
      </xdr:grpSpPr>
      <xdr:sp macro="" textlink="">
        <xdr:nvSpPr>
          <xdr:cNvPr id="1208" name="Line 3">
            <a:extLst>
              <a:ext uri="{FF2B5EF4-FFF2-40B4-BE49-F238E27FC236}">
                <a16:creationId xmlns:a16="http://schemas.microsoft.com/office/drawing/2014/main" id="{84A08DF4-53C3-C5A2-0BD7-039E2F5F34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9" name="Line 4">
            <a:extLst>
              <a:ext uri="{FF2B5EF4-FFF2-40B4-BE49-F238E27FC236}">
                <a16:creationId xmlns:a16="http://schemas.microsoft.com/office/drawing/2014/main" id="{5ECE071E-64FB-78FD-63D6-154ECF6EAD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197</xdr:row>
      <xdr:rowOff>50652</xdr:rowOff>
    </xdr:from>
    <xdr:to>
      <xdr:col>3</xdr:col>
      <xdr:colOff>962981</xdr:colOff>
      <xdr:row>197</xdr:row>
      <xdr:rowOff>214335</xdr:rowOff>
    </xdr:to>
    <xdr:grpSp>
      <xdr:nvGrpSpPr>
        <xdr:cNvPr id="1210" name="hinh2">
          <a:extLst>
            <a:ext uri="{FF2B5EF4-FFF2-40B4-BE49-F238E27FC236}">
              <a16:creationId xmlns:a16="http://schemas.microsoft.com/office/drawing/2014/main" id="{CA16DC27-0187-4344-9BFF-7285A7FC00EA}"/>
            </a:ext>
          </a:extLst>
        </xdr:cNvPr>
        <xdr:cNvGrpSpPr>
          <a:grpSpLocks noChangeAspect="1"/>
        </xdr:cNvGrpSpPr>
      </xdr:nvGrpSpPr>
      <xdr:grpSpPr bwMode="auto">
        <a:xfrm>
          <a:off x="2732511" y="61638181"/>
          <a:ext cx="875058" cy="163683"/>
          <a:chOff x="206" y="86"/>
          <a:chExt cx="73" cy="16"/>
        </a:xfrm>
      </xdr:grpSpPr>
      <xdr:sp macro="" textlink="">
        <xdr:nvSpPr>
          <xdr:cNvPr id="1211" name="Line 6">
            <a:extLst>
              <a:ext uri="{FF2B5EF4-FFF2-40B4-BE49-F238E27FC236}">
                <a16:creationId xmlns:a16="http://schemas.microsoft.com/office/drawing/2014/main" id="{8C8129FC-C8BC-8A5D-62E5-ED72901483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2" name="Line 7">
            <a:extLst>
              <a:ext uri="{FF2B5EF4-FFF2-40B4-BE49-F238E27FC236}">
                <a16:creationId xmlns:a16="http://schemas.microsoft.com/office/drawing/2014/main" id="{A24FA0FC-C9FA-01EC-626C-76B9CECACA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3" name="Line 8">
            <a:extLst>
              <a:ext uri="{FF2B5EF4-FFF2-40B4-BE49-F238E27FC236}">
                <a16:creationId xmlns:a16="http://schemas.microsoft.com/office/drawing/2014/main" id="{F7A94C14-121F-4ED1-EA37-CB25DDBA3A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203</xdr:row>
      <xdr:rowOff>55220</xdr:rowOff>
    </xdr:from>
    <xdr:to>
      <xdr:col>3</xdr:col>
      <xdr:colOff>1003580</xdr:colOff>
      <xdr:row>203</xdr:row>
      <xdr:rowOff>303698</xdr:rowOff>
    </xdr:to>
    <xdr:sp macro="" textlink="">
      <xdr:nvSpPr>
        <xdr:cNvPr id="1214" name="hinh15">
          <a:extLst>
            <a:ext uri="{FF2B5EF4-FFF2-40B4-BE49-F238E27FC236}">
              <a16:creationId xmlns:a16="http://schemas.microsoft.com/office/drawing/2014/main" id="{BDB32E9C-D002-49E0-A9EE-5FE6EF32E954}"/>
            </a:ext>
          </a:extLst>
        </xdr:cNvPr>
        <xdr:cNvSpPr>
          <a:spLocks noChangeAspect="1"/>
        </xdr:cNvSpPr>
      </xdr:nvSpPr>
      <xdr:spPr bwMode="auto">
        <a:xfrm rot="10800000">
          <a:off x="2732279" y="502982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201</xdr:row>
      <xdr:rowOff>61296</xdr:rowOff>
    </xdr:from>
    <xdr:to>
      <xdr:col>3</xdr:col>
      <xdr:colOff>965880</xdr:colOff>
      <xdr:row>201</xdr:row>
      <xdr:rowOff>224979</xdr:rowOff>
    </xdr:to>
    <xdr:grpSp>
      <xdr:nvGrpSpPr>
        <xdr:cNvPr id="1215" name="hinh2">
          <a:extLst>
            <a:ext uri="{FF2B5EF4-FFF2-40B4-BE49-F238E27FC236}">
              <a16:creationId xmlns:a16="http://schemas.microsoft.com/office/drawing/2014/main" id="{DD961D12-0DEE-4B08-82A0-897863607EBD}"/>
            </a:ext>
          </a:extLst>
        </xdr:cNvPr>
        <xdr:cNvGrpSpPr>
          <a:grpSpLocks noChangeAspect="1"/>
        </xdr:cNvGrpSpPr>
      </xdr:nvGrpSpPr>
      <xdr:grpSpPr bwMode="auto">
        <a:xfrm>
          <a:off x="2735410" y="62903884"/>
          <a:ext cx="875058" cy="163683"/>
          <a:chOff x="206" y="86"/>
          <a:chExt cx="73" cy="16"/>
        </a:xfrm>
      </xdr:grpSpPr>
      <xdr:sp macro="" textlink="">
        <xdr:nvSpPr>
          <xdr:cNvPr id="4024" name="Line 6">
            <a:extLst>
              <a:ext uri="{FF2B5EF4-FFF2-40B4-BE49-F238E27FC236}">
                <a16:creationId xmlns:a16="http://schemas.microsoft.com/office/drawing/2014/main" id="{84A1836F-2D3F-C54B-AEB5-5159F8BB33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5" name="Line 7">
            <a:extLst>
              <a:ext uri="{FF2B5EF4-FFF2-40B4-BE49-F238E27FC236}">
                <a16:creationId xmlns:a16="http://schemas.microsoft.com/office/drawing/2014/main" id="{999CFC82-FFE9-428B-C21D-F1A78C2479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6" name="Line 8">
            <a:extLst>
              <a:ext uri="{FF2B5EF4-FFF2-40B4-BE49-F238E27FC236}">
                <a16:creationId xmlns:a16="http://schemas.microsoft.com/office/drawing/2014/main" id="{FBD7FCE3-7253-6413-F82D-AD28F4C6C9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204</xdr:row>
      <xdr:rowOff>62196</xdr:rowOff>
    </xdr:from>
    <xdr:to>
      <xdr:col>3</xdr:col>
      <xdr:colOff>952499</xdr:colOff>
      <xdr:row>204</xdr:row>
      <xdr:rowOff>213437</xdr:rowOff>
    </xdr:to>
    <xdr:grpSp>
      <xdr:nvGrpSpPr>
        <xdr:cNvPr id="4027" name="hinh3">
          <a:extLst>
            <a:ext uri="{FF2B5EF4-FFF2-40B4-BE49-F238E27FC236}">
              <a16:creationId xmlns:a16="http://schemas.microsoft.com/office/drawing/2014/main" id="{3851914D-1819-4774-9800-B7258B877C31}"/>
            </a:ext>
          </a:extLst>
        </xdr:cNvPr>
        <xdr:cNvGrpSpPr>
          <a:grpSpLocks noChangeAspect="1"/>
        </xdr:cNvGrpSpPr>
      </xdr:nvGrpSpPr>
      <xdr:grpSpPr bwMode="auto">
        <a:xfrm>
          <a:off x="2735376" y="63846078"/>
          <a:ext cx="861711" cy="151241"/>
          <a:chOff x="206" y="112"/>
          <a:chExt cx="73" cy="16"/>
        </a:xfrm>
      </xdr:grpSpPr>
      <xdr:sp macro="" textlink="">
        <xdr:nvSpPr>
          <xdr:cNvPr id="4028" name="Line 3">
            <a:extLst>
              <a:ext uri="{FF2B5EF4-FFF2-40B4-BE49-F238E27FC236}">
                <a16:creationId xmlns:a16="http://schemas.microsoft.com/office/drawing/2014/main" id="{D01A9EE7-83A3-6C07-B0AE-4EDECA0119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9" name="Line 4">
            <a:extLst>
              <a:ext uri="{FF2B5EF4-FFF2-40B4-BE49-F238E27FC236}">
                <a16:creationId xmlns:a16="http://schemas.microsoft.com/office/drawing/2014/main" id="{369D3EF9-9691-485B-FFE4-9D5B0EF962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202</xdr:row>
      <xdr:rowOff>50652</xdr:rowOff>
    </xdr:from>
    <xdr:to>
      <xdr:col>3</xdr:col>
      <xdr:colOff>962981</xdr:colOff>
      <xdr:row>202</xdr:row>
      <xdr:rowOff>214335</xdr:rowOff>
    </xdr:to>
    <xdr:grpSp>
      <xdr:nvGrpSpPr>
        <xdr:cNvPr id="4030" name="hinh2">
          <a:extLst>
            <a:ext uri="{FF2B5EF4-FFF2-40B4-BE49-F238E27FC236}">
              <a16:creationId xmlns:a16="http://schemas.microsoft.com/office/drawing/2014/main" id="{B3FA1AC5-28AE-4056-B363-A9ABDC04E89E}"/>
            </a:ext>
          </a:extLst>
        </xdr:cNvPr>
        <xdr:cNvGrpSpPr>
          <a:grpSpLocks noChangeAspect="1"/>
        </xdr:cNvGrpSpPr>
      </xdr:nvGrpSpPr>
      <xdr:grpSpPr bwMode="auto">
        <a:xfrm>
          <a:off x="2732511" y="63207005"/>
          <a:ext cx="875058" cy="163683"/>
          <a:chOff x="206" y="86"/>
          <a:chExt cx="73" cy="16"/>
        </a:xfrm>
      </xdr:grpSpPr>
      <xdr:sp macro="" textlink="">
        <xdr:nvSpPr>
          <xdr:cNvPr id="4031" name="Line 6">
            <a:extLst>
              <a:ext uri="{FF2B5EF4-FFF2-40B4-BE49-F238E27FC236}">
                <a16:creationId xmlns:a16="http://schemas.microsoft.com/office/drawing/2014/main" id="{2C243C1E-A63F-6FC8-C828-374DD81F4E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2" name="Line 7">
            <a:extLst>
              <a:ext uri="{FF2B5EF4-FFF2-40B4-BE49-F238E27FC236}">
                <a16:creationId xmlns:a16="http://schemas.microsoft.com/office/drawing/2014/main" id="{48F03F6B-27DC-A06E-BB68-547C5FA545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3" name="Line 8">
            <a:extLst>
              <a:ext uri="{FF2B5EF4-FFF2-40B4-BE49-F238E27FC236}">
                <a16:creationId xmlns:a16="http://schemas.microsoft.com/office/drawing/2014/main" id="{A2FEB321-0C7E-83F5-2EDB-1C341FC21D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208</xdr:row>
      <xdr:rowOff>55220</xdr:rowOff>
    </xdr:from>
    <xdr:to>
      <xdr:col>3</xdr:col>
      <xdr:colOff>1003580</xdr:colOff>
      <xdr:row>208</xdr:row>
      <xdr:rowOff>303698</xdr:rowOff>
    </xdr:to>
    <xdr:sp macro="" textlink="">
      <xdr:nvSpPr>
        <xdr:cNvPr id="4034" name="hinh15">
          <a:extLst>
            <a:ext uri="{FF2B5EF4-FFF2-40B4-BE49-F238E27FC236}">
              <a16:creationId xmlns:a16="http://schemas.microsoft.com/office/drawing/2014/main" id="{257FCD55-8A9B-4008-814A-AB78451EF610}"/>
            </a:ext>
          </a:extLst>
        </xdr:cNvPr>
        <xdr:cNvSpPr>
          <a:spLocks noChangeAspect="1"/>
        </xdr:cNvSpPr>
      </xdr:nvSpPr>
      <xdr:spPr bwMode="auto">
        <a:xfrm rot="10800000">
          <a:off x="2732279" y="553492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206</xdr:row>
      <xdr:rowOff>61296</xdr:rowOff>
    </xdr:from>
    <xdr:to>
      <xdr:col>3</xdr:col>
      <xdr:colOff>965880</xdr:colOff>
      <xdr:row>206</xdr:row>
      <xdr:rowOff>224979</xdr:rowOff>
    </xdr:to>
    <xdr:grpSp>
      <xdr:nvGrpSpPr>
        <xdr:cNvPr id="4035" name="hinh2">
          <a:extLst>
            <a:ext uri="{FF2B5EF4-FFF2-40B4-BE49-F238E27FC236}">
              <a16:creationId xmlns:a16="http://schemas.microsoft.com/office/drawing/2014/main" id="{E22CA4E2-8025-4CFE-BF59-B6B0E9663814}"/>
            </a:ext>
          </a:extLst>
        </xdr:cNvPr>
        <xdr:cNvGrpSpPr>
          <a:grpSpLocks noChangeAspect="1"/>
        </xdr:cNvGrpSpPr>
      </xdr:nvGrpSpPr>
      <xdr:grpSpPr bwMode="auto">
        <a:xfrm>
          <a:off x="2735410" y="64472708"/>
          <a:ext cx="875058" cy="163683"/>
          <a:chOff x="206" y="86"/>
          <a:chExt cx="73" cy="16"/>
        </a:xfrm>
      </xdr:grpSpPr>
      <xdr:sp macro="" textlink="">
        <xdr:nvSpPr>
          <xdr:cNvPr id="4036" name="Line 6">
            <a:extLst>
              <a:ext uri="{FF2B5EF4-FFF2-40B4-BE49-F238E27FC236}">
                <a16:creationId xmlns:a16="http://schemas.microsoft.com/office/drawing/2014/main" id="{E8830659-BC77-A3E1-9201-2837841C69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7" name="Line 7">
            <a:extLst>
              <a:ext uri="{FF2B5EF4-FFF2-40B4-BE49-F238E27FC236}">
                <a16:creationId xmlns:a16="http://schemas.microsoft.com/office/drawing/2014/main" id="{961C2044-B99B-5F04-F8F7-6BACD5F70B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8" name="Line 8">
            <a:extLst>
              <a:ext uri="{FF2B5EF4-FFF2-40B4-BE49-F238E27FC236}">
                <a16:creationId xmlns:a16="http://schemas.microsoft.com/office/drawing/2014/main" id="{D4919A21-71F9-DB36-CA0B-ED1667186F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209</xdr:row>
      <xdr:rowOff>62196</xdr:rowOff>
    </xdr:from>
    <xdr:to>
      <xdr:col>3</xdr:col>
      <xdr:colOff>952499</xdr:colOff>
      <xdr:row>209</xdr:row>
      <xdr:rowOff>213437</xdr:rowOff>
    </xdr:to>
    <xdr:grpSp>
      <xdr:nvGrpSpPr>
        <xdr:cNvPr id="4039" name="hinh3">
          <a:extLst>
            <a:ext uri="{FF2B5EF4-FFF2-40B4-BE49-F238E27FC236}">
              <a16:creationId xmlns:a16="http://schemas.microsoft.com/office/drawing/2014/main" id="{C29ED617-C18A-4C2F-BB73-6088F0B61A65}"/>
            </a:ext>
          </a:extLst>
        </xdr:cNvPr>
        <xdr:cNvGrpSpPr>
          <a:grpSpLocks noChangeAspect="1"/>
        </xdr:cNvGrpSpPr>
      </xdr:nvGrpSpPr>
      <xdr:grpSpPr bwMode="auto">
        <a:xfrm>
          <a:off x="2735376" y="65414902"/>
          <a:ext cx="861711" cy="151241"/>
          <a:chOff x="206" y="112"/>
          <a:chExt cx="73" cy="16"/>
        </a:xfrm>
      </xdr:grpSpPr>
      <xdr:sp macro="" textlink="">
        <xdr:nvSpPr>
          <xdr:cNvPr id="4040" name="Line 3">
            <a:extLst>
              <a:ext uri="{FF2B5EF4-FFF2-40B4-BE49-F238E27FC236}">
                <a16:creationId xmlns:a16="http://schemas.microsoft.com/office/drawing/2014/main" id="{375B423D-8EFF-B220-0AD1-888E891ECD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1" name="Line 4">
            <a:extLst>
              <a:ext uri="{FF2B5EF4-FFF2-40B4-BE49-F238E27FC236}">
                <a16:creationId xmlns:a16="http://schemas.microsoft.com/office/drawing/2014/main" id="{BDFC7D6E-DBF0-5071-5DD6-87E4747842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207</xdr:row>
      <xdr:rowOff>50652</xdr:rowOff>
    </xdr:from>
    <xdr:to>
      <xdr:col>3</xdr:col>
      <xdr:colOff>962981</xdr:colOff>
      <xdr:row>207</xdr:row>
      <xdr:rowOff>214335</xdr:rowOff>
    </xdr:to>
    <xdr:grpSp>
      <xdr:nvGrpSpPr>
        <xdr:cNvPr id="4042" name="hinh2">
          <a:extLst>
            <a:ext uri="{FF2B5EF4-FFF2-40B4-BE49-F238E27FC236}">
              <a16:creationId xmlns:a16="http://schemas.microsoft.com/office/drawing/2014/main" id="{94B857E1-5514-4EE6-97F1-22A616835046}"/>
            </a:ext>
          </a:extLst>
        </xdr:cNvPr>
        <xdr:cNvGrpSpPr>
          <a:grpSpLocks noChangeAspect="1"/>
        </xdr:cNvGrpSpPr>
      </xdr:nvGrpSpPr>
      <xdr:grpSpPr bwMode="auto">
        <a:xfrm>
          <a:off x="2732511" y="64775828"/>
          <a:ext cx="875058" cy="163683"/>
          <a:chOff x="206" y="86"/>
          <a:chExt cx="73" cy="16"/>
        </a:xfrm>
      </xdr:grpSpPr>
      <xdr:sp macro="" textlink="">
        <xdr:nvSpPr>
          <xdr:cNvPr id="4043" name="Line 6">
            <a:extLst>
              <a:ext uri="{FF2B5EF4-FFF2-40B4-BE49-F238E27FC236}">
                <a16:creationId xmlns:a16="http://schemas.microsoft.com/office/drawing/2014/main" id="{249B0DB2-68D4-EE64-84BB-ED9A62F0B7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4" name="Line 7">
            <a:extLst>
              <a:ext uri="{FF2B5EF4-FFF2-40B4-BE49-F238E27FC236}">
                <a16:creationId xmlns:a16="http://schemas.microsoft.com/office/drawing/2014/main" id="{C074F773-FC74-0916-276A-36FBFCA238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5" name="Line 8">
            <a:extLst>
              <a:ext uri="{FF2B5EF4-FFF2-40B4-BE49-F238E27FC236}">
                <a16:creationId xmlns:a16="http://schemas.microsoft.com/office/drawing/2014/main" id="{2B766868-CBA8-8DD2-5F08-2AB6FA007D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214</xdr:row>
      <xdr:rowOff>55220</xdr:rowOff>
    </xdr:from>
    <xdr:to>
      <xdr:col>3</xdr:col>
      <xdr:colOff>1003580</xdr:colOff>
      <xdr:row>214</xdr:row>
      <xdr:rowOff>303698</xdr:rowOff>
    </xdr:to>
    <xdr:sp macro="" textlink="">
      <xdr:nvSpPr>
        <xdr:cNvPr id="4046" name="hinh15">
          <a:extLst>
            <a:ext uri="{FF2B5EF4-FFF2-40B4-BE49-F238E27FC236}">
              <a16:creationId xmlns:a16="http://schemas.microsoft.com/office/drawing/2014/main" id="{0E525FDF-BA51-4542-8CDB-C0C2DCF4E4A4}"/>
            </a:ext>
          </a:extLst>
        </xdr:cNvPr>
        <xdr:cNvSpPr>
          <a:spLocks noChangeAspect="1"/>
        </xdr:cNvSpPr>
      </xdr:nvSpPr>
      <xdr:spPr bwMode="auto">
        <a:xfrm rot="10800000">
          <a:off x="2732279" y="52192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212</xdr:row>
      <xdr:rowOff>61296</xdr:rowOff>
    </xdr:from>
    <xdr:to>
      <xdr:col>3</xdr:col>
      <xdr:colOff>965880</xdr:colOff>
      <xdr:row>212</xdr:row>
      <xdr:rowOff>224979</xdr:rowOff>
    </xdr:to>
    <xdr:grpSp>
      <xdr:nvGrpSpPr>
        <xdr:cNvPr id="4047" name="hinh2">
          <a:extLst>
            <a:ext uri="{FF2B5EF4-FFF2-40B4-BE49-F238E27FC236}">
              <a16:creationId xmlns:a16="http://schemas.microsoft.com/office/drawing/2014/main" id="{DB29335C-139F-45DB-9215-22FF43E255A6}"/>
            </a:ext>
          </a:extLst>
        </xdr:cNvPr>
        <xdr:cNvGrpSpPr>
          <a:grpSpLocks noChangeAspect="1"/>
        </xdr:cNvGrpSpPr>
      </xdr:nvGrpSpPr>
      <xdr:grpSpPr bwMode="auto">
        <a:xfrm>
          <a:off x="2735410" y="66355296"/>
          <a:ext cx="875058" cy="163683"/>
          <a:chOff x="206" y="86"/>
          <a:chExt cx="73" cy="16"/>
        </a:xfrm>
      </xdr:grpSpPr>
      <xdr:sp macro="" textlink="">
        <xdr:nvSpPr>
          <xdr:cNvPr id="4048" name="Line 6">
            <a:extLst>
              <a:ext uri="{FF2B5EF4-FFF2-40B4-BE49-F238E27FC236}">
                <a16:creationId xmlns:a16="http://schemas.microsoft.com/office/drawing/2014/main" id="{5B60DAEA-EC8F-8401-D400-CE7CEBB8D7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9" name="Line 7">
            <a:extLst>
              <a:ext uri="{FF2B5EF4-FFF2-40B4-BE49-F238E27FC236}">
                <a16:creationId xmlns:a16="http://schemas.microsoft.com/office/drawing/2014/main" id="{AE0A86BA-5D80-BBA4-10A7-DE89EB9006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0" name="Line 8">
            <a:extLst>
              <a:ext uri="{FF2B5EF4-FFF2-40B4-BE49-F238E27FC236}">
                <a16:creationId xmlns:a16="http://schemas.microsoft.com/office/drawing/2014/main" id="{BC77CF19-FBED-A0C1-8DE3-E78324FDB4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215</xdr:row>
      <xdr:rowOff>62196</xdr:rowOff>
    </xdr:from>
    <xdr:to>
      <xdr:col>3</xdr:col>
      <xdr:colOff>952499</xdr:colOff>
      <xdr:row>215</xdr:row>
      <xdr:rowOff>213437</xdr:rowOff>
    </xdr:to>
    <xdr:grpSp>
      <xdr:nvGrpSpPr>
        <xdr:cNvPr id="4051" name="hinh3">
          <a:extLst>
            <a:ext uri="{FF2B5EF4-FFF2-40B4-BE49-F238E27FC236}">
              <a16:creationId xmlns:a16="http://schemas.microsoft.com/office/drawing/2014/main" id="{406AF39B-0F72-4786-8750-8C33AD2A7F95}"/>
            </a:ext>
          </a:extLst>
        </xdr:cNvPr>
        <xdr:cNvGrpSpPr>
          <a:grpSpLocks noChangeAspect="1"/>
        </xdr:cNvGrpSpPr>
      </xdr:nvGrpSpPr>
      <xdr:grpSpPr bwMode="auto">
        <a:xfrm>
          <a:off x="2735376" y="67297490"/>
          <a:ext cx="861711" cy="151241"/>
          <a:chOff x="206" y="112"/>
          <a:chExt cx="73" cy="16"/>
        </a:xfrm>
      </xdr:grpSpPr>
      <xdr:sp macro="" textlink="">
        <xdr:nvSpPr>
          <xdr:cNvPr id="4052" name="Line 3">
            <a:extLst>
              <a:ext uri="{FF2B5EF4-FFF2-40B4-BE49-F238E27FC236}">
                <a16:creationId xmlns:a16="http://schemas.microsoft.com/office/drawing/2014/main" id="{4B5356F9-74CD-6492-0158-C3E8854792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3" name="Line 4">
            <a:extLst>
              <a:ext uri="{FF2B5EF4-FFF2-40B4-BE49-F238E27FC236}">
                <a16:creationId xmlns:a16="http://schemas.microsoft.com/office/drawing/2014/main" id="{6A26AEAF-D47A-935F-0319-BF30DEEB69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213</xdr:row>
      <xdr:rowOff>50652</xdr:rowOff>
    </xdr:from>
    <xdr:to>
      <xdr:col>3</xdr:col>
      <xdr:colOff>962981</xdr:colOff>
      <xdr:row>213</xdr:row>
      <xdr:rowOff>214335</xdr:rowOff>
    </xdr:to>
    <xdr:grpSp>
      <xdr:nvGrpSpPr>
        <xdr:cNvPr id="4054" name="hinh2">
          <a:extLst>
            <a:ext uri="{FF2B5EF4-FFF2-40B4-BE49-F238E27FC236}">
              <a16:creationId xmlns:a16="http://schemas.microsoft.com/office/drawing/2014/main" id="{61C19276-96D7-49DB-8145-BA4568401224}"/>
            </a:ext>
          </a:extLst>
        </xdr:cNvPr>
        <xdr:cNvGrpSpPr>
          <a:grpSpLocks noChangeAspect="1"/>
        </xdr:cNvGrpSpPr>
      </xdr:nvGrpSpPr>
      <xdr:grpSpPr bwMode="auto">
        <a:xfrm>
          <a:off x="2732511" y="66658417"/>
          <a:ext cx="875058" cy="163683"/>
          <a:chOff x="206" y="86"/>
          <a:chExt cx="73" cy="16"/>
        </a:xfrm>
      </xdr:grpSpPr>
      <xdr:sp macro="" textlink="">
        <xdr:nvSpPr>
          <xdr:cNvPr id="4055" name="Line 6">
            <a:extLst>
              <a:ext uri="{FF2B5EF4-FFF2-40B4-BE49-F238E27FC236}">
                <a16:creationId xmlns:a16="http://schemas.microsoft.com/office/drawing/2014/main" id="{9ABA7B51-5A79-B4FF-C431-BA6762E5FC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6" name="Line 7">
            <a:extLst>
              <a:ext uri="{FF2B5EF4-FFF2-40B4-BE49-F238E27FC236}">
                <a16:creationId xmlns:a16="http://schemas.microsoft.com/office/drawing/2014/main" id="{77AB1C25-8EBA-2683-9ABD-76E610B63C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7" name="Line 8">
            <a:extLst>
              <a:ext uri="{FF2B5EF4-FFF2-40B4-BE49-F238E27FC236}">
                <a16:creationId xmlns:a16="http://schemas.microsoft.com/office/drawing/2014/main" id="{9BF86AE7-30A0-BA05-9882-1970C034A7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219</xdr:row>
      <xdr:rowOff>55220</xdr:rowOff>
    </xdr:from>
    <xdr:to>
      <xdr:col>3</xdr:col>
      <xdr:colOff>1003580</xdr:colOff>
      <xdr:row>219</xdr:row>
      <xdr:rowOff>303698</xdr:rowOff>
    </xdr:to>
    <xdr:sp macro="" textlink="">
      <xdr:nvSpPr>
        <xdr:cNvPr id="4058" name="hinh15">
          <a:extLst>
            <a:ext uri="{FF2B5EF4-FFF2-40B4-BE49-F238E27FC236}">
              <a16:creationId xmlns:a16="http://schemas.microsoft.com/office/drawing/2014/main" id="{EF460777-68DA-4696-8BAE-1C51E4F70C92}"/>
            </a:ext>
          </a:extLst>
        </xdr:cNvPr>
        <xdr:cNvSpPr>
          <a:spLocks noChangeAspect="1"/>
        </xdr:cNvSpPr>
      </xdr:nvSpPr>
      <xdr:spPr bwMode="auto">
        <a:xfrm rot="10800000">
          <a:off x="2732279" y="537707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217</xdr:row>
      <xdr:rowOff>61296</xdr:rowOff>
    </xdr:from>
    <xdr:to>
      <xdr:col>3</xdr:col>
      <xdr:colOff>965880</xdr:colOff>
      <xdr:row>217</xdr:row>
      <xdr:rowOff>224979</xdr:rowOff>
    </xdr:to>
    <xdr:grpSp>
      <xdr:nvGrpSpPr>
        <xdr:cNvPr id="4059" name="hinh2">
          <a:extLst>
            <a:ext uri="{FF2B5EF4-FFF2-40B4-BE49-F238E27FC236}">
              <a16:creationId xmlns:a16="http://schemas.microsoft.com/office/drawing/2014/main" id="{2F53D85E-1F47-488B-8299-3484F027D87D}"/>
            </a:ext>
          </a:extLst>
        </xdr:cNvPr>
        <xdr:cNvGrpSpPr>
          <a:grpSpLocks noChangeAspect="1"/>
        </xdr:cNvGrpSpPr>
      </xdr:nvGrpSpPr>
      <xdr:grpSpPr bwMode="auto">
        <a:xfrm>
          <a:off x="2735410" y="67924120"/>
          <a:ext cx="875058" cy="163683"/>
          <a:chOff x="206" y="86"/>
          <a:chExt cx="73" cy="16"/>
        </a:xfrm>
      </xdr:grpSpPr>
      <xdr:sp macro="" textlink="">
        <xdr:nvSpPr>
          <xdr:cNvPr id="4060" name="Line 6">
            <a:extLst>
              <a:ext uri="{FF2B5EF4-FFF2-40B4-BE49-F238E27FC236}">
                <a16:creationId xmlns:a16="http://schemas.microsoft.com/office/drawing/2014/main" id="{767FA125-1AB4-941E-D0CE-D5C7306A51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1" name="Line 7">
            <a:extLst>
              <a:ext uri="{FF2B5EF4-FFF2-40B4-BE49-F238E27FC236}">
                <a16:creationId xmlns:a16="http://schemas.microsoft.com/office/drawing/2014/main" id="{44AC748E-A375-F7EF-0851-DE208B142A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2" name="Line 8">
            <a:extLst>
              <a:ext uri="{FF2B5EF4-FFF2-40B4-BE49-F238E27FC236}">
                <a16:creationId xmlns:a16="http://schemas.microsoft.com/office/drawing/2014/main" id="{0246D85A-EABF-08AC-DE9A-637E954C67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220</xdr:row>
      <xdr:rowOff>62196</xdr:rowOff>
    </xdr:from>
    <xdr:to>
      <xdr:col>3</xdr:col>
      <xdr:colOff>952499</xdr:colOff>
      <xdr:row>220</xdr:row>
      <xdr:rowOff>213437</xdr:rowOff>
    </xdr:to>
    <xdr:grpSp>
      <xdr:nvGrpSpPr>
        <xdr:cNvPr id="4063" name="hinh3">
          <a:extLst>
            <a:ext uri="{FF2B5EF4-FFF2-40B4-BE49-F238E27FC236}">
              <a16:creationId xmlns:a16="http://schemas.microsoft.com/office/drawing/2014/main" id="{99AF531A-8CC8-4BF5-8589-493328FBB5EC}"/>
            </a:ext>
          </a:extLst>
        </xdr:cNvPr>
        <xdr:cNvGrpSpPr>
          <a:grpSpLocks noChangeAspect="1"/>
        </xdr:cNvGrpSpPr>
      </xdr:nvGrpSpPr>
      <xdr:grpSpPr bwMode="auto">
        <a:xfrm>
          <a:off x="2735376" y="68866314"/>
          <a:ext cx="861711" cy="151241"/>
          <a:chOff x="206" y="112"/>
          <a:chExt cx="73" cy="16"/>
        </a:xfrm>
      </xdr:grpSpPr>
      <xdr:sp macro="" textlink="">
        <xdr:nvSpPr>
          <xdr:cNvPr id="4064" name="Line 3">
            <a:extLst>
              <a:ext uri="{FF2B5EF4-FFF2-40B4-BE49-F238E27FC236}">
                <a16:creationId xmlns:a16="http://schemas.microsoft.com/office/drawing/2014/main" id="{0D176292-2D7F-FB71-F863-1E930570C7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5" name="Line 4">
            <a:extLst>
              <a:ext uri="{FF2B5EF4-FFF2-40B4-BE49-F238E27FC236}">
                <a16:creationId xmlns:a16="http://schemas.microsoft.com/office/drawing/2014/main" id="{C287439F-EC21-1159-ECB2-71B10A2FDC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218</xdr:row>
      <xdr:rowOff>50652</xdr:rowOff>
    </xdr:from>
    <xdr:to>
      <xdr:col>3</xdr:col>
      <xdr:colOff>962981</xdr:colOff>
      <xdr:row>218</xdr:row>
      <xdr:rowOff>214335</xdr:rowOff>
    </xdr:to>
    <xdr:grpSp>
      <xdr:nvGrpSpPr>
        <xdr:cNvPr id="4066" name="hinh2">
          <a:extLst>
            <a:ext uri="{FF2B5EF4-FFF2-40B4-BE49-F238E27FC236}">
              <a16:creationId xmlns:a16="http://schemas.microsoft.com/office/drawing/2014/main" id="{0DD51ABB-B0EE-426A-A65D-517D30C72033}"/>
            </a:ext>
          </a:extLst>
        </xdr:cNvPr>
        <xdr:cNvGrpSpPr>
          <a:grpSpLocks noChangeAspect="1"/>
        </xdr:cNvGrpSpPr>
      </xdr:nvGrpSpPr>
      <xdr:grpSpPr bwMode="auto">
        <a:xfrm>
          <a:off x="2732511" y="68227240"/>
          <a:ext cx="875058" cy="163683"/>
          <a:chOff x="206" y="86"/>
          <a:chExt cx="73" cy="16"/>
        </a:xfrm>
      </xdr:grpSpPr>
      <xdr:sp macro="" textlink="">
        <xdr:nvSpPr>
          <xdr:cNvPr id="4067" name="Line 6">
            <a:extLst>
              <a:ext uri="{FF2B5EF4-FFF2-40B4-BE49-F238E27FC236}">
                <a16:creationId xmlns:a16="http://schemas.microsoft.com/office/drawing/2014/main" id="{D462042D-5BE9-10FF-3A2C-10A78085F6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8" name="Line 7">
            <a:extLst>
              <a:ext uri="{FF2B5EF4-FFF2-40B4-BE49-F238E27FC236}">
                <a16:creationId xmlns:a16="http://schemas.microsoft.com/office/drawing/2014/main" id="{9AEEF9CA-DB17-B592-72D8-DD9FDFFC2A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9" name="Line 8">
            <a:extLst>
              <a:ext uri="{FF2B5EF4-FFF2-40B4-BE49-F238E27FC236}">
                <a16:creationId xmlns:a16="http://schemas.microsoft.com/office/drawing/2014/main" id="{4F69A31F-4D40-56A7-A8C9-DB7BA8FC0C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224</xdr:row>
      <xdr:rowOff>55220</xdr:rowOff>
    </xdr:from>
    <xdr:to>
      <xdr:col>3</xdr:col>
      <xdr:colOff>1003580</xdr:colOff>
      <xdr:row>224</xdr:row>
      <xdr:rowOff>303698</xdr:rowOff>
    </xdr:to>
    <xdr:sp macro="" textlink="">
      <xdr:nvSpPr>
        <xdr:cNvPr id="4070" name="hinh15">
          <a:extLst>
            <a:ext uri="{FF2B5EF4-FFF2-40B4-BE49-F238E27FC236}">
              <a16:creationId xmlns:a16="http://schemas.microsoft.com/office/drawing/2014/main" id="{514D97F3-9A2B-4762-930F-99CEB217E539}"/>
            </a:ext>
          </a:extLst>
        </xdr:cNvPr>
        <xdr:cNvSpPr>
          <a:spLocks noChangeAspect="1"/>
        </xdr:cNvSpPr>
      </xdr:nvSpPr>
      <xdr:spPr bwMode="auto">
        <a:xfrm rot="10800000">
          <a:off x="2732279" y="553492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222</xdr:row>
      <xdr:rowOff>61296</xdr:rowOff>
    </xdr:from>
    <xdr:to>
      <xdr:col>3</xdr:col>
      <xdr:colOff>965880</xdr:colOff>
      <xdr:row>222</xdr:row>
      <xdr:rowOff>224979</xdr:rowOff>
    </xdr:to>
    <xdr:grpSp>
      <xdr:nvGrpSpPr>
        <xdr:cNvPr id="4071" name="hinh2">
          <a:extLst>
            <a:ext uri="{FF2B5EF4-FFF2-40B4-BE49-F238E27FC236}">
              <a16:creationId xmlns:a16="http://schemas.microsoft.com/office/drawing/2014/main" id="{CEDB543C-9ACE-4203-9ADB-FE5B901D0CF4}"/>
            </a:ext>
          </a:extLst>
        </xdr:cNvPr>
        <xdr:cNvGrpSpPr>
          <a:grpSpLocks noChangeAspect="1"/>
        </xdr:cNvGrpSpPr>
      </xdr:nvGrpSpPr>
      <xdr:grpSpPr bwMode="auto">
        <a:xfrm>
          <a:off x="2735410" y="69492943"/>
          <a:ext cx="875058" cy="163683"/>
          <a:chOff x="206" y="86"/>
          <a:chExt cx="73" cy="16"/>
        </a:xfrm>
      </xdr:grpSpPr>
      <xdr:sp macro="" textlink="">
        <xdr:nvSpPr>
          <xdr:cNvPr id="4072" name="Line 6">
            <a:extLst>
              <a:ext uri="{FF2B5EF4-FFF2-40B4-BE49-F238E27FC236}">
                <a16:creationId xmlns:a16="http://schemas.microsoft.com/office/drawing/2014/main" id="{D250F1AD-F567-1134-06CF-C31C10C5AD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3" name="Line 7">
            <a:extLst>
              <a:ext uri="{FF2B5EF4-FFF2-40B4-BE49-F238E27FC236}">
                <a16:creationId xmlns:a16="http://schemas.microsoft.com/office/drawing/2014/main" id="{6BBD93B6-07DD-D45B-1EB6-732FBA1858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4" name="Line 8">
            <a:extLst>
              <a:ext uri="{FF2B5EF4-FFF2-40B4-BE49-F238E27FC236}">
                <a16:creationId xmlns:a16="http://schemas.microsoft.com/office/drawing/2014/main" id="{F5A168E9-0E32-87CE-3C65-F60CF22390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225</xdr:row>
      <xdr:rowOff>62196</xdr:rowOff>
    </xdr:from>
    <xdr:to>
      <xdr:col>3</xdr:col>
      <xdr:colOff>952499</xdr:colOff>
      <xdr:row>225</xdr:row>
      <xdr:rowOff>213437</xdr:rowOff>
    </xdr:to>
    <xdr:grpSp>
      <xdr:nvGrpSpPr>
        <xdr:cNvPr id="4075" name="hinh3">
          <a:extLst>
            <a:ext uri="{FF2B5EF4-FFF2-40B4-BE49-F238E27FC236}">
              <a16:creationId xmlns:a16="http://schemas.microsoft.com/office/drawing/2014/main" id="{E4355B72-374A-42F8-A767-D2009DD2F047}"/>
            </a:ext>
          </a:extLst>
        </xdr:cNvPr>
        <xdr:cNvGrpSpPr>
          <a:grpSpLocks noChangeAspect="1"/>
        </xdr:cNvGrpSpPr>
      </xdr:nvGrpSpPr>
      <xdr:grpSpPr bwMode="auto">
        <a:xfrm>
          <a:off x="2735376" y="70435137"/>
          <a:ext cx="861711" cy="151241"/>
          <a:chOff x="206" y="112"/>
          <a:chExt cx="73" cy="16"/>
        </a:xfrm>
      </xdr:grpSpPr>
      <xdr:sp macro="" textlink="">
        <xdr:nvSpPr>
          <xdr:cNvPr id="4076" name="Line 3">
            <a:extLst>
              <a:ext uri="{FF2B5EF4-FFF2-40B4-BE49-F238E27FC236}">
                <a16:creationId xmlns:a16="http://schemas.microsoft.com/office/drawing/2014/main" id="{9276BEC1-24CA-9424-5B7B-C8B949F54B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7" name="Line 4">
            <a:extLst>
              <a:ext uri="{FF2B5EF4-FFF2-40B4-BE49-F238E27FC236}">
                <a16:creationId xmlns:a16="http://schemas.microsoft.com/office/drawing/2014/main" id="{7300B6B0-2EA7-2BC5-3F6E-74AADA7AAD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223</xdr:row>
      <xdr:rowOff>50652</xdr:rowOff>
    </xdr:from>
    <xdr:to>
      <xdr:col>3</xdr:col>
      <xdr:colOff>962981</xdr:colOff>
      <xdr:row>223</xdr:row>
      <xdr:rowOff>214335</xdr:rowOff>
    </xdr:to>
    <xdr:grpSp>
      <xdr:nvGrpSpPr>
        <xdr:cNvPr id="4078" name="hinh2">
          <a:extLst>
            <a:ext uri="{FF2B5EF4-FFF2-40B4-BE49-F238E27FC236}">
              <a16:creationId xmlns:a16="http://schemas.microsoft.com/office/drawing/2014/main" id="{22B960FC-24BE-478F-8B97-1915E1ACC6E9}"/>
            </a:ext>
          </a:extLst>
        </xdr:cNvPr>
        <xdr:cNvGrpSpPr>
          <a:grpSpLocks noChangeAspect="1"/>
        </xdr:cNvGrpSpPr>
      </xdr:nvGrpSpPr>
      <xdr:grpSpPr bwMode="auto">
        <a:xfrm>
          <a:off x="2732511" y="69796064"/>
          <a:ext cx="875058" cy="163683"/>
          <a:chOff x="206" y="86"/>
          <a:chExt cx="73" cy="16"/>
        </a:xfrm>
      </xdr:grpSpPr>
      <xdr:sp macro="" textlink="">
        <xdr:nvSpPr>
          <xdr:cNvPr id="4079" name="Line 6">
            <a:extLst>
              <a:ext uri="{FF2B5EF4-FFF2-40B4-BE49-F238E27FC236}">
                <a16:creationId xmlns:a16="http://schemas.microsoft.com/office/drawing/2014/main" id="{6F05C887-B1D9-C819-3DEE-0AC8198045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0" name="Line 7">
            <a:extLst>
              <a:ext uri="{FF2B5EF4-FFF2-40B4-BE49-F238E27FC236}">
                <a16:creationId xmlns:a16="http://schemas.microsoft.com/office/drawing/2014/main" id="{521F03D5-CA4D-9FEB-CA1A-B54BB0ED4D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1" name="Line 8">
            <a:extLst>
              <a:ext uri="{FF2B5EF4-FFF2-40B4-BE49-F238E27FC236}">
                <a16:creationId xmlns:a16="http://schemas.microsoft.com/office/drawing/2014/main" id="{5DFFFED6-89DD-D00F-4604-E99AB820D7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229</xdr:row>
      <xdr:rowOff>55220</xdr:rowOff>
    </xdr:from>
    <xdr:to>
      <xdr:col>3</xdr:col>
      <xdr:colOff>1003580</xdr:colOff>
      <xdr:row>229</xdr:row>
      <xdr:rowOff>303698</xdr:rowOff>
    </xdr:to>
    <xdr:sp macro="" textlink="">
      <xdr:nvSpPr>
        <xdr:cNvPr id="4082" name="hinh15">
          <a:extLst>
            <a:ext uri="{FF2B5EF4-FFF2-40B4-BE49-F238E27FC236}">
              <a16:creationId xmlns:a16="http://schemas.microsoft.com/office/drawing/2014/main" id="{EACEFE31-4116-47EC-A45B-A76BA86215CF}"/>
            </a:ext>
          </a:extLst>
        </xdr:cNvPr>
        <xdr:cNvSpPr>
          <a:spLocks noChangeAspect="1"/>
        </xdr:cNvSpPr>
      </xdr:nvSpPr>
      <xdr:spPr bwMode="auto">
        <a:xfrm rot="10800000">
          <a:off x="2732279" y="569276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227</xdr:row>
      <xdr:rowOff>61296</xdr:rowOff>
    </xdr:from>
    <xdr:to>
      <xdr:col>3</xdr:col>
      <xdr:colOff>965880</xdr:colOff>
      <xdr:row>227</xdr:row>
      <xdr:rowOff>224979</xdr:rowOff>
    </xdr:to>
    <xdr:grpSp>
      <xdr:nvGrpSpPr>
        <xdr:cNvPr id="4083" name="hinh2">
          <a:extLst>
            <a:ext uri="{FF2B5EF4-FFF2-40B4-BE49-F238E27FC236}">
              <a16:creationId xmlns:a16="http://schemas.microsoft.com/office/drawing/2014/main" id="{BC55F677-3EB3-4AE1-9729-3C06444C4372}"/>
            </a:ext>
          </a:extLst>
        </xdr:cNvPr>
        <xdr:cNvGrpSpPr>
          <a:grpSpLocks noChangeAspect="1"/>
        </xdr:cNvGrpSpPr>
      </xdr:nvGrpSpPr>
      <xdr:grpSpPr bwMode="auto">
        <a:xfrm>
          <a:off x="2735410" y="71061767"/>
          <a:ext cx="875058" cy="163683"/>
          <a:chOff x="206" y="86"/>
          <a:chExt cx="73" cy="16"/>
        </a:xfrm>
      </xdr:grpSpPr>
      <xdr:sp macro="" textlink="">
        <xdr:nvSpPr>
          <xdr:cNvPr id="4084" name="Line 6">
            <a:extLst>
              <a:ext uri="{FF2B5EF4-FFF2-40B4-BE49-F238E27FC236}">
                <a16:creationId xmlns:a16="http://schemas.microsoft.com/office/drawing/2014/main" id="{88086715-B064-A62C-829E-FA7EC00835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39" name="Line 7">
            <a:extLst>
              <a:ext uri="{FF2B5EF4-FFF2-40B4-BE49-F238E27FC236}">
                <a16:creationId xmlns:a16="http://schemas.microsoft.com/office/drawing/2014/main" id="{075EFFBD-9E61-7249-8C1B-06FCBFF4FB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0" name="Line 8">
            <a:extLst>
              <a:ext uri="{FF2B5EF4-FFF2-40B4-BE49-F238E27FC236}">
                <a16:creationId xmlns:a16="http://schemas.microsoft.com/office/drawing/2014/main" id="{FBF052BC-E5ED-D1F6-2F40-D756EF2A84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230</xdr:row>
      <xdr:rowOff>62196</xdr:rowOff>
    </xdr:from>
    <xdr:to>
      <xdr:col>3</xdr:col>
      <xdr:colOff>952499</xdr:colOff>
      <xdr:row>230</xdr:row>
      <xdr:rowOff>213437</xdr:rowOff>
    </xdr:to>
    <xdr:grpSp>
      <xdr:nvGrpSpPr>
        <xdr:cNvPr id="4141" name="hinh3">
          <a:extLst>
            <a:ext uri="{FF2B5EF4-FFF2-40B4-BE49-F238E27FC236}">
              <a16:creationId xmlns:a16="http://schemas.microsoft.com/office/drawing/2014/main" id="{D6E2CF32-0469-4756-86EE-47615BD2BEC0}"/>
            </a:ext>
          </a:extLst>
        </xdr:cNvPr>
        <xdr:cNvGrpSpPr>
          <a:grpSpLocks noChangeAspect="1"/>
        </xdr:cNvGrpSpPr>
      </xdr:nvGrpSpPr>
      <xdr:grpSpPr bwMode="auto">
        <a:xfrm>
          <a:off x="2735376" y="72003961"/>
          <a:ext cx="861711" cy="151241"/>
          <a:chOff x="206" y="112"/>
          <a:chExt cx="73" cy="16"/>
        </a:xfrm>
      </xdr:grpSpPr>
      <xdr:sp macro="" textlink="">
        <xdr:nvSpPr>
          <xdr:cNvPr id="4142" name="Line 3">
            <a:extLst>
              <a:ext uri="{FF2B5EF4-FFF2-40B4-BE49-F238E27FC236}">
                <a16:creationId xmlns:a16="http://schemas.microsoft.com/office/drawing/2014/main" id="{B7B1DFE5-B6F5-5BA1-E82B-CB83199F25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3" name="Line 4">
            <a:extLst>
              <a:ext uri="{FF2B5EF4-FFF2-40B4-BE49-F238E27FC236}">
                <a16:creationId xmlns:a16="http://schemas.microsoft.com/office/drawing/2014/main" id="{95303522-3389-0157-584C-CE14807839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228</xdr:row>
      <xdr:rowOff>50652</xdr:rowOff>
    </xdr:from>
    <xdr:to>
      <xdr:col>3</xdr:col>
      <xdr:colOff>962981</xdr:colOff>
      <xdr:row>228</xdr:row>
      <xdr:rowOff>214335</xdr:rowOff>
    </xdr:to>
    <xdr:grpSp>
      <xdr:nvGrpSpPr>
        <xdr:cNvPr id="4144" name="hinh2">
          <a:extLst>
            <a:ext uri="{FF2B5EF4-FFF2-40B4-BE49-F238E27FC236}">
              <a16:creationId xmlns:a16="http://schemas.microsoft.com/office/drawing/2014/main" id="{77D7B253-DEF9-4EB2-8A2E-E5ED1DC9F88D}"/>
            </a:ext>
          </a:extLst>
        </xdr:cNvPr>
        <xdr:cNvGrpSpPr>
          <a:grpSpLocks noChangeAspect="1"/>
        </xdr:cNvGrpSpPr>
      </xdr:nvGrpSpPr>
      <xdr:grpSpPr bwMode="auto">
        <a:xfrm>
          <a:off x="2732511" y="71364887"/>
          <a:ext cx="875058" cy="163683"/>
          <a:chOff x="206" y="86"/>
          <a:chExt cx="73" cy="16"/>
        </a:xfrm>
      </xdr:grpSpPr>
      <xdr:sp macro="" textlink="">
        <xdr:nvSpPr>
          <xdr:cNvPr id="4145" name="Line 6">
            <a:extLst>
              <a:ext uri="{FF2B5EF4-FFF2-40B4-BE49-F238E27FC236}">
                <a16:creationId xmlns:a16="http://schemas.microsoft.com/office/drawing/2014/main" id="{AAB53369-89EE-66D9-4DB2-CA27DC36CE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6" name="Line 7">
            <a:extLst>
              <a:ext uri="{FF2B5EF4-FFF2-40B4-BE49-F238E27FC236}">
                <a16:creationId xmlns:a16="http://schemas.microsoft.com/office/drawing/2014/main" id="{8FBA3E29-C30B-1788-7C72-22D747677B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7" name="Line 8">
            <a:extLst>
              <a:ext uri="{FF2B5EF4-FFF2-40B4-BE49-F238E27FC236}">
                <a16:creationId xmlns:a16="http://schemas.microsoft.com/office/drawing/2014/main" id="{1129CD48-563B-9ED3-FEE7-671EC87186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235</xdr:row>
      <xdr:rowOff>55220</xdr:rowOff>
    </xdr:from>
    <xdr:to>
      <xdr:col>3</xdr:col>
      <xdr:colOff>1003580</xdr:colOff>
      <xdr:row>235</xdr:row>
      <xdr:rowOff>303698</xdr:rowOff>
    </xdr:to>
    <xdr:sp macro="" textlink="">
      <xdr:nvSpPr>
        <xdr:cNvPr id="4148" name="hinh15">
          <a:extLst>
            <a:ext uri="{FF2B5EF4-FFF2-40B4-BE49-F238E27FC236}">
              <a16:creationId xmlns:a16="http://schemas.microsoft.com/office/drawing/2014/main" id="{62124667-5013-4FFD-A422-0F6A99CC5924}"/>
            </a:ext>
          </a:extLst>
        </xdr:cNvPr>
        <xdr:cNvSpPr>
          <a:spLocks noChangeAspect="1"/>
        </xdr:cNvSpPr>
      </xdr:nvSpPr>
      <xdr:spPr bwMode="auto">
        <a:xfrm rot="10800000">
          <a:off x="2732279" y="58821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233</xdr:row>
      <xdr:rowOff>61296</xdr:rowOff>
    </xdr:from>
    <xdr:to>
      <xdr:col>3</xdr:col>
      <xdr:colOff>965880</xdr:colOff>
      <xdr:row>233</xdr:row>
      <xdr:rowOff>224979</xdr:rowOff>
    </xdr:to>
    <xdr:grpSp>
      <xdr:nvGrpSpPr>
        <xdr:cNvPr id="4149" name="hinh2">
          <a:extLst>
            <a:ext uri="{FF2B5EF4-FFF2-40B4-BE49-F238E27FC236}">
              <a16:creationId xmlns:a16="http://schemas.microsoft.com/office/drawing/2014/main" id="{211CF4F1-1F37-4D02-B4E9-7754EEE07212}"/>
            </a:ext>
          </a:extLst>
        </xdr:cNvPr>
        <xdr:cNvGrpSpPr>
          <a:grpSpLocks noChangeAspect="1"/>
        </xdr:cNvGrpSpPr>
      </xdr:nvGrpSpPr>
      <xdr:grpSpPr bwMode="auto">
        <a:xfrm>
          <a:off x="2735410" y="72944355"/>
          <a:ext cx="875058" cy="163683"/>
          <a:chOff x="206" y="86"/>
          <a:chExt cx="73" cy="16"/>
        </a:xfrm>
      </xdr:grpSpPr>
      <xdr:sp macro="" textlink="">
        <xdr:nvSpPr>
          <xdr:cNvPr id="4150" name="Line 6">
            <a:extLst>
              <a:ext uri="{FF2B5EF4-FFF2-40B4-BE49-F238E27FC236}">
                <a16:creationId xmlns:a16="http://schemas.microsoft.com/office/drawing/2014/main" id="{7CF06D7D-190D-DBAA-7A77-995C5F9CD7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1" name="Line 7">
            <a:extLst>
              <a:ext uri="{FF2B5EF4-FFF2-40B4-BE49-F238E27FC236}">
                <a16:creationId xmlns:a16="http://schemas.microsoft.com/office/drawing/2014/main" id="{DE2F48EE-5F5F-6772-78B1-3D740F317C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2" name="Line 8">
            <a:extLst>
              <a:ext uri="{FF2B5EF4-FFF2-40B4-BE49-F238E27FC236}">
                <a16:creationId xmlns:a16="http://schemas.microsoft.com/office/drawing/2014/main" id="{1624C83E-8277-1477-7D7C-17B0A91172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236</xdr:row>
      <xdr:rowOff>62196</xdr:rowOff>
    </xdr:from>
    <xdr:to>
      <xdr:col>3</xdr:col>
      <xdr:colOff>952499</xdr:colOff>
      <xdr:row>236</xdr:row>
      <xdr:rowOff>213437</xdr:rowOff>
    </xdr:to>
    <xdr:grpSp>
      <xdr:nvGrpSpPr>
        <xdr:cNvPr id="4153" name="hinh3">
          <a:extLst>
            <a:ext uri="{FF2B5EF4-FFF2-40B4-BE49-F238E27FC236}">
              <a16:creationId xmlns:a16="http://schemas.microsoft.com/office/drawing/2014/main" id="{33BD49A8-4F81-4BD9-8466-CD3C768C4299}"/>
            </a:ext>
          </a:extLst>
        </xdr:cNvPr>
        <xdr:cNvGrpSpPr>
          <a:grpSpLocks noChangeAspect="1"/>
        </xdr:cNvGrpSpPr>
      </xdr:nvGrpSpPr>
      <xdr:grpSpPr bwMode="auto">
        <a:xfrm>
          <a:off x="2735376" y="73886549"/>
          <a:ext cx="861711" cy="151241"/>
          <a:chOff x="206" y="112"/>
          <a:chExt cx="73" cy="16"/>
        </a:xfrm>
      </xdr:grpSpPr>
      <xdr:sp macro="" textlink="">
        <xdr:nvSpPr>
          <xdr:cNvPr id="4154" name="Line 3">
            <a:extLst>
              <a:ext uri="{FF2B5EF4-FFF2-40B4-BE49-F238E27FC236}">
                <a16:creationId xmlns:a16="http://schemas.microsoft.com/office/drawing/2014/main" id="{13725F1E-ABED-87BC-D6E2-1E1549E9E5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5" name="Line 4">
            <a:extLst>
              <a:ext uri="{FF2B5EF4-FFF2-40B4-BE49-F238E27FC236}">
                <a16:creationId xmlns:a16="http://schemas.microsoft.com/office/drawing/2014/main" id="{109D030C-697A-259C-5746-CC70D49C95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234</xdr:row>
      <xdr:rowOff>50652</xdr:rowOff>
    </xdr:from>
    <xdr:to>
      <xdr:col>3</xdr:col>
      <xdr:colOff>962981</xdr:colOff>
      <xdr:row>234</xdr:row>
      <xdr:rowOff>214335</xdr:rowOff>
    </xdr:to>
    <xdr:grpSp>
      <xdr:nvGrpSpPr>
        <xdr:cNvPr id="4156" name="hinh2">
          <a:extLst>
            <a:ext uri="{FF2B5EF4-FFF2-40B4-BE49-F238E27FC236}">
              <a16:creationId xmlns:a16="http://schemas.microsoft.com/office/drawing/2014/main" id="{E551C2FA-0B81-49E3-8035-BC2EC3A4C7B1}"/>
            </a:ext>
          </a:extLst>
        </xdr:cNvPr>
        <xdr:cNvGrpSpPr>
          <a:grpSpLocks noChangeAspect="1"/>
        </xdr:cNvGrpSpPr>
      </xdr:nvGrpSpPr>
      <xdr:grpSpPr bwMode="auto">
        <a:xfrm>
          <a:off x="2732511" y="73247476"/>
          <a:ext cx="875058" cy="163683"/>
          <a:chOff x="206" y="86"/>
          <a:chExt cx="73" cy="16"/>
        </a:xfrm>
      </xdr:grpSpPr>
      <xdr:sp macro="" textlink="">
        <xdr:nvSpPr>
          <xdr:cNvPr id="4157" name="Line 6">
            <a:extLst>
              <a:ext uri="{FF2B5EF4-FFF2-40B4-BE49-F238E27FC236}">
                <a16:creationId xmlns:a16="http://schemas.microsoft.com/office/drawing/2014/main" id="{4A58DDA9-961E-D790-E0D8-0EB0D713A6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8" name="Line 7">
            <a:extLst>
              <a:ext uri="{FF2B5EF4-FFF2-40B4-BE49-F238E27FC236}">
                <a16:creationId xmlns:a16="http://schemas.microsoft.com/office/drawing/2014/main" id="{B34C6C52-6BD4-8BCC-60B0-61E7AA18DF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9" name="Line 8">
            <a:extLst>
              <a:ext uri="{FF2B5EF4-FFF2-40B4-BE49-F238E27FC236}">
                <a16:creationId xmlns:a16="http://schemas.microsoft.com/office/drawing/2014/main" id="{FF539B4C-2375-276B-D330-AC16C4D1C9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240</xdr:row>
      <xdr:rowOff>55220</xdr:rowOff>
    </xdr:from>
    <xdr:to>
      <xdr:col>3</xdr:col>
      <xdr:colOff>1003580</xdr:colOff>
      <xdr:row>240</xdr:row>
      <xdr:rowOff>303698</xdr:rowOff>
    </xdr:to>
    <xdr:sp macro="" textlink="">
      <xdr:nvSpPr>
        <xdr:cNvPr id="4160" name="hinh15">
          <a:extLst>
            <a:ext uri="{FF2B5EF4-FFF2-40B4-BE49-F238E27FC236}">
              <a16:creationId xmlns:a16="http://schemas.microsoft.com/office/drawing/2014/main" id="{141FACC5-F1F9-471F-88E7-F337C2D385D5}"/>
            </a:ext>
          </a:extLst>
        </xdr:cNvPr>
        <xdr:cNvSpPr>
          <a:spLocks noChangeAspect="1"/>
        </xdr:cNvSpPr>
      </xdr:nvSpPr>
      <xdr:spPr bwMode="auto">
        <a:xfrm rot="10800000">
          <a:off x="2732279" y="604001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238</xdr:row>
      <xdr:rowOff>61296</xdr:rowOff>
    </xdr:from>
    <xdr:to>
      <xdr:col>3</xdr:col>
      <xdr:colOff>965880</xdr:colOff>
      <xdr:row>238</xdr:row>
      <xdr:rowOff>224979</xdr:rowOff>
    </xdr:to>
    <xdr:grpSp>
      <xdr:nvGrpSpPr>
        <xdr:cNvPr id="4161" name="hinh2">
          <a:extLst>
            <a:ext uri="{FF2B5EF4-FFF2-40B4-BE49-F238E27FC236}">
              <a16:creationId xmlns:a16="http://schemas.microsoft.com/office/drawing/2014/main" id="{ED94650D-BB6E-4CD0-99EC-2E3585D30FDF}"/>
            </a:ext>
          </a:extLst>
        </xdr:cNvPr>
        <xdr:cNvGrpSpPr>
          <a:grpSpLocks noChangeAspect="1"/>
        </xdr:cNvGrpSpPr>
      </xdr:nvGrpSpPr>
      <xdr:grpSpPr bwMode="auto">
        <a:xfrm>
          <a:off x="2735410" y="74513178"/>
          <a:ext cx="875058" cy="163683"/>
          <a:chOff x="206" y="86"/>
          <a:chExt cx="73" cy="16"/>
        </a:xfrm>
      </xdr:grpSpPr>
      <xdr:sp macro="" textlink="">
        <xdr:nvSpPr>
          <xdr:cNvPr id="4162" name="Line 6">
            <a:extLst>
              <a:ext uri="{FF2B5EF4-FFF2-40B4-BE49-F238E27FC236}">
                <a16:creationId xmlns:a16="http://schemas.microsoft.com/office/drawing/2014/main" id="{A5DE414F-515D-84BF-1954-3E1BCF1111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3" name="Line 7">
            <a:extLst>
              <a:ext uri="{FF2B5EF4-FFF2-40B4-BE49-F238E27FC236}">
                <a16:creationId xmlns:a16="http://schemas.microsoft.com/office/drawing/2014/main" id="{D9E42967-4D7A-FD28-B7F5-C4FC84FF9B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4" name="Line 8">
            <a:extLst>
              <a:ext uri="{FF2B5EF4-FFF2-40B4-BE49-F238E27FC236}">
                <a16:creationId xmlns:a16="http://schemas.microsoft.com/office/drawing/2014/main" id="{1BF8FF7E-8C7D-AF56-A3FA-8E275A94E5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241</xdr:row>
      <xdr:rowOff>62196</xdr:rowOff>
    </xdr:from>
    <xdr:to>
      <xdr:col>3</xdr:col>
      <xdr:colOff>952499</xdr:colOff>
      <xdr:row>241</xdr:row>
      <xdr:rowOff>213437</xdr:rowOff>
    </xdr:to>
    <xdr:grpSp>
      <xdr:nvGrpSpPr>
        <xdr:cNvPr id="4165" name="hinh3">
          <a:extLst>
            <a:ext uri="{FF2B5EF4-FFF2-40B4-BE49-F238E27FC236}">
              <a16:creationId xmlns:a16="http://schemas.microsoft.com/office/drawing/2014/main" id="{6DA9403F-6675-4DA8-9215-AAD69A3DC868}"/>
            </a:ext>
          </a:extLst>
        </xdr:cNvPr>
        <xdr:cNvGrpSpPr>
          <a:grpSpLocks noChangeAspect="1"/>
        </xdr:cNvGrpSpPr>
      </xdr:nvGrpSpPr>
      <xdr:grpSpPr bwMode="auto">
        <a:xfrm>
          <a:off x="2735376" y="75455372"/>
          <a:ext cx="861711" cy="151241"/>
          <a:chOff x="206" y="112"/>
          <a:chExt cx="73" cy="16"/>
        </a:xfrm>
      </xdr:grpSpPr>
      <xdr:sp macro="" textlink="">
        <xdr:nvSpPr>
          <xdr:cNvPr id="4166" name="Line 3">
            <a:extLst>
              <a:ext uri="{FF2B5EF4-FFF2-40B4-BE49-F238E27FC236}">
                <a16:creationId xmlns:a16="http://schemas.microsoft.com/office/drawing/2014/main" id="{F352313A-37F4-C6BD-949E-C3B0B9222D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7" name="Line 4">
            <a:extLst>
              <a:ext uri="{FF2B5EF4-FFF2-40B4-BE49-F238E27FC236}">
                <a16:creationId xmlns:a16="http://schemas.microsoft.com/office/drawing/2014/main" id="{36262979-6244-F501-6470-5C9EA05B07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239</xdr:row>
      <xdr:rowOff>50652</xdr:rowOff>
    </xdr:from>
    <xdr:to>
      <xdr:col>3</xdr:col>
      <xdr:colOff>962981</xdr:colOff>
      <xdr:row>239</xdr:row>
      <xdr:rowOff>214335</xdr:rowOff>
    </xdr:to>
    <xdr:grpSp>
      <xdr:nvGrpSpPr>
        <xdr:cNvPr id="4168" name="hinh2">
          <a:extLst>
            <a:ext uri="{FF2B5EF4-FFF2-40B4-BE49-F238E27FC236}">
              <a16:creationId xmlns:a16="http://schemas.microsoft.com/office/drawing/2014/main" id="{BBD640F6-8DB8-46FF-8E7A-94D0A93A04B0}"/>
            </a:ext>
          </a:extLst>
        </xdr:cNvPr>
        <xdr:cNvGrpSpPr>
          <a:grpSpLocks noChangeAspect="1"/>
        </xdr:cNvGrpSpPr>
      </xdr:nvGrpSpPr>
      <xdr:grpSpPr bwMode="auto">
        <a:xfrm>
          <a:off x="2732511" y="74816299"/>
          <a:ext cx="875058" cy="163683"/>
          <a:chOff x="206" y="86"/>
          <a:chExt cx="73" cy="16"/>
        </a:xfrm>
      </xdr:grpSpPr>
      <xdr:sp macro="" textlink="">
        <xdr:nvSpPr>
          <xdr:cNvPr id="4169" name="Line 6">
            <a:extLst>
              <a:ext uri="{FF2B5EF4-FFF2-40B4-BE49-F238E27FC236}">
                <a16:creationId xmlns:a16="http://schemas.microsoft.com/office/drawing/2014/main" id="{89046084-E0A7-3278-3309-12FA16D020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0" name="Line 7">
            <a:extLst>
              <a:ext uri="{FF2B5EF4-FFF2-40B4-BE49-F238E27FC236}">
                <a16:creationId xmlns:a16="http://schemas.microsoft.com/office/drawing/2014/main" id="{E5EFDFA7-74E0-08A9-FA2C-8626025684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1" name="Line 8">
            <a:extLst>
              <a:ext uri="{FF2B5EF4-FFF2-40B4-BE49-F238E27FC236}">
                <a16:creationId xmlns:a16="http://schemas.microsoft.com/office/drawing/2014/main" id="{AC1CCE99-2743-78A8-4639-752B4E4D85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250</xdr:row>
      <xdr:rowOff>55220</xdr:rowOff>
    </xdr:from>
    <xdr:to>
      <xdr:col>3</xdr:col>
      <xdr:colOff>1003580</xdr:colOff>
      <xdr:row>250</xdr:row>
      <xdr:rowOff>303698</xdr:rowOff>
    </xdr:to>
    <xdr:sp macro="" textlink="">
      <xdr:nvSpPr>
        <xdr:cNvPr id="4172" name="hinh15">
          <a:extLst>
            <a:ext uri="{FF2B5EF4-FFF2-40B4-BE49-F238E27FC236}">
              <a16:creationId xmlns:a16="http://schemas.microsoft.com/office/drawing/2014/main" id="{EC54F7E9-8C79-4ED5-B81C-D877108AFF13}"/>
            </a:ext>
          </a:extLst>
        </xdr:cNvPr>
        <xdr:cNvSpPr>
          <a:spLocks noChangeAspect="1"/>
        </xdr:cNvSpPr>
      </xdr:nvSpPr>
      <xdr:spPr bwMode="auto">
        <a:xfrm rot="10800000">
          <a:off x="2732279" y="619786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248</xdr:row>
      <xdr:rowOff>61296</xdr:rowOff>
    </xdr:from>
    <xdr:to>
      <xdr:col>3</xdr:col>
      <xdr:colOff>965880</xdr:colOff>
      <xdr:row>248</xdr:row>
      <xdr:rowOff>224979</xdr:rowOff>
    </xdr:to>
    <xdr:grpSp>
      <xdr:nvGrpSpPr>
        <xdr:cNvPr id="4173" name="hinh2">
          <a:extLst>
            <a:ext uri="{FF2B5EF4-FFF2-40B4-BE49-F238E27FC236}">
              <a16:creationId xmlns:a16="http://schemas.microsoft.com/office/drawing/2014/main" id="{6E42D046-4FF8-4CA6-9F18-4F377549530C}"/>
            </a:ext>
          </a:extLst>
        </xdr:cNvPr>
        <xdr:cNvGrpSpPr>
          <a:grpSpLocks noChangeAspect="1"/>
        </xdr:cNvGrpSpPr>
      </xdr:nvGrpSpPr>
      <xdr:grpSpPr bwMode="auto">
        <a:xfrm>
          <a:off x="2735410" y="77650825"/>
          <a:ext cx="875058" cy="163683"/>
          <a:chOff x="206" y="86"/>
          <a:chExt cx="73" cy="16"/>
        </a:xfrm>
      </xdr:grpSpPr>
      <xdr:sp macro="" textlink="">
        <xdr:nvSpPr>
          <xdr:cNvPr id="4174" name="Line 6">
            <a:extLst>
              <a:ext uri="{FF2B5EF4-FFF2-40B4-BE49-F238E27FC236}">
                <a16:creationId xmlns:a16="http://schemas.microsoft.com/office/drawing/2014/main" id="{58B43298-3823-7DE1-6257-F1392A95F3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5" name="Line 7">
            <a:extLst>
              <a:ext uri="{FF2B5EF4-FFF2-40B4-BE49-F238E27FC236}">
                <a16:creationId xmlns:a16="http://schemas.microsoft.com/office/drawing/2014/main" id="{7A41F38F-E0A2-64A3-2BA0-88FFBDA184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6" name="Line 8">
            <a:extLst>
              <a:ext uri="{FF2B5EF4-FFF2-40B4-BE49-F238E27FC236}">
                <a16:creationId xmlns:a16="http://schemas.microsoft.com/office/drawing/2014/main" id="{8264BEFE-1163-4C89-4656-218103049A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251</xdr:row>
      <xdr:rowOff>62196</xdr:rowOff>
    </xdr:from>
    <xdr:to>
      <xdr:col>3</xdr:col>
      <xdr:colOff>952499</xdr:colOff>
      <xdr:row>251</xdr:row>
      <xdr:rowOff>213437</xdr:rowOff>
    </xdr:to>
    <xdr:grpSp>
      <xdr:nvGrpSpPr>
        <xdr:cNvPr id="4177" name="hinh3">
          <a:extLst>
            <a:ext uri="{FF2B5EF4-FFF2-40B4-BE49-F238E27FC236}">
              <a16:creationId xmlns:a16="http://schemas.microsoft.com/office/drawing/2014/main" id="{D0E07E70-2B17-4E4D-9983-631BC2EE884D}"/>
            </a:ext>
          </a:extLst>
        </xdr:cNvPr>
        <xdr:cNvGrpSpPr>
          <a:grpSpLocks noChangeAspect="1"/>
        </xdr:cNvGrpSpPr>
      </xdr:nvGrpSpPr>
      <xdr:grpSpPr bwMode="auto">
        <a:xfrm>
          <a:off x="2735376" y="78593020"/>
          <a:ext cx="861711" cy="151241"/>
          <a:chOff x="206" y="112"/>
          <a:chExt cx="73" cy="16"/>
        </a:xfrm>
      </xdr:grpSpPr>
      <xdr:sp macro="" textlink="">
        <xdr:nvSpPr>
          <xdr:cNvPr id="4178" name="Line 3">
            <a:extLst>
              <a:ext uri="{FF2B5EF4-FFF2-40B4-BE49-F238E27FC236}">
                <a16:creationId xmlns:a16="http://schemas.microsoft.com/office/drawing/2014/main" id="{2D69973B-2C0F-ABEF-C829-58CBAE8F65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9" name="Line 4">
            <a:extLst>
              <a:ext uri="{FF2B5EF4-FFF2-40B4-BE49-F238E27FC236}">
                <a16:creationId xmlns:a16="http://schemas.microsoft.com/office/drawing/2014/main" id="{735F21F9-1A86-AAE8-7D9A-53DF113325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249</xdr:row>
      <xdr:rowOff>50652</xdr:rowOff>
    </xdr:from>
    <xdr:to>
      <xdr:col>3</xdr:col>
      <xdr:colOff>962981</xdr:colOff>
      <xdr:row>249</xdr:row>
      <xdr:rowOff>214335</xdr:rowOff>
    </xdr:to>
    <xdr:grpSp>
      <xdr:nvGrpSpPr>
        <xdr:cNvPr id="4180" name="hinh2">
          <a:extLst>
            <a:ext uri="{FF2B5EF4-FFF2-40B4-BE49-F238E27FC236}">
              <a16:creationId xmlns:a16="http://schemas.microsoft.com/office/drawing/2014/main" id="{524CE536-06FD-477F-9147-2DACC7BD4E37}"/>
            </a:ext>
          </a:extLst>
        </xdr:cNvPr>
        <xdr:cNvGrpSpPr>
          <a:grpSpLocks noChangeAspect="1"/>
        </xdr:cNvGrpSpPr>
      </xdr:nvGrpSpPr>
      <xdr:grpSpPr bwMode="auto">
        <a:xfrm>
          <a:off x="2732511" y="77953946"/>
          <a:ext cx="875058" cy="163683"/>
          <a:chOff x="206" y="86"/>
          <a:chExt cx="73" cy="16"/>
        </a:xfrm>
      </xdr:grpSpPr>
      <xdr:sp macro="" textlink="">
        <xdr:nvSpPr>
          <xdr:cNvPr id="4181" name="Line 6">
            <a:extLst>
              <a:ext uri="{FF2B5EF4-FFF2-40B4-BE49-F238E27FC236}">
                <a16:creationId xmlns:a16="http://schemas.microsoft.com/office/drawing/2014/main" id="{D3ED4F66-C244-B789-F16A-C580D9B3EA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82" name="Line 7">
            <a:extLst>
              <a:ext uri="{FF2B5EF4-FFF2-40B4-BE49-F238E27FC236}">
                <a16:creationId xmlns:a16="http://schemas.microsoft.com/office/drawing/2014/main" id="{CB892FE7-7807-5D8F-B491-AE8F0EBB20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83" name="Line 8">
            <a:extLst>
              <a:ext uri="{FF2B5EF4-FFF2-40B4-BE49-F238E27FC236}">
                <a16:creationId xmlns:a16="http://schemas.microsoft.com/office/drawing/2014/main" id="{9D15B6B6-6414-2DC4-EB54-29822E51ED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255</xdr:row>
      <xdr:rowOff>55220</xdr:rowOff>
    </xdr:from>
    <xdr:to>
      <xdr:col>3</xdr:col>
      <xdr:colOff>1003580</xdr:colOff>
      <xdr:row>255</xdr:row>
      <xdr:rowOff>303698</xdr:rowOff>
    </xdr:to>
    <xdr:sp macro="" textlink="">
      <xdr:nvSpPr>
        <xdr:cNvPr id="4184" name="hinh15">
          <a:extLst>
            <a:ext uri="{FF2B5EF4-FFF2-40B4-BE49-F238E27FC236}">
              <a16:creationId xmlns:a16="http://schemas.microsoft.com/office/drawing/2014/main" id="{3550A42C-FAE8-432A-8B92-9055856909F8}"/>
            </a:ext>
          </a:extLst>
        </xdr:cNvPr>
        <xdr:cNvSpPr>
          <a:spLocks noChangeAspect="1"/>
        </xdr:cNvSpPr>
      </xdr:nvSpPr>
      <xdr:spPr bwMode="auto">
        <a:xfrm rot="10800000">
          <a:off x="2732279" y="635570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253</xdr:row>
      <xdr:rowOff>61296</xdr:rowOff>
    </xdr:from>
    <xdr:to>
      <xdr:col>3</xdr:col>
      <xdr:colOff>965880</xdr:colOff>
      <xdr:row>253</xdr:row>
      <xdr:rowOff>224979</xdr:rowOff>
    </xdr:to>
    <xdr:grpSp>
      <xdr:nvGrpSpPr>
        <xdr:cNvPr id="4185" name="hinh2">
          <a:extLst>
            <a:ext uri="{FF2B5EF4-FFF2-40B4-BE49-F238E27FC236}">
              <a16:creationId xmlns:a16="http://schemas.microsoft.com/office/drawing/2014/main" id="{20C6F823-5688-4C0E-A23C-2159BB46E5AC}"/>
            </a:ext>
          </a:extLst>
        </xdr:cNvPr>
        <xdr:cNvGrpSpPr>
          <a:grpSpLocks noChangeAspect="1"/>
        </xdr:cNvGrpSpPr>
      </xdr:nvGrpSpPr>
      <xdr:grpSpPr bwMode="auto">
        <a:xfrm>
          <a:off x="2735410" y="79219649"/>
          <a:ext cx="875058" cy="163683"/>
          <a:chOff x="206" y="86"/>
          <a:chExt cx="73" cy="16"/>
        </a:xfrm>
      </xdr:grpSpPr>
      <xdr:sp macro="" textlink="">
        <xdr:nvSpPr>
          <xdr:cNvPr id="4186" name="Line 6">
            <a:extLst>
              <a:ext uri="{FF2B5EF4-FFF2-40B4-BE49-F238E27FC236}">
                <a16:creationId xmlns:a16="http://schemas.microsoft.com/office/drawing/2014/main" id="{B73C1D63-7186-6F54-F154-23EBA3A77C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87" name="Line 7">
            <a:extLst>
              <a:ext uri="{FF2B5EF4-FFF2-40B4-BE49-F238E27FC236}">
                <a16:creationId xmlns:a16="http://schemas.microsoft.com/office/drawing/2014/main" id="{3A6228CB-0E0A-98C7-9BBF-07BADF1CF8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88" name="Line 8">
            <a:extLst>
              <a:ext uri="{FF2B5EF4-FFF2-40B4-BE49-F238E27FC236}">
                <a16:creationId xmlns:a16="http://schemas.microsoft.com/office/drawing/2014/main" id="{CBB2A41A-041F-68E5-30BA-94C15345F3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256</xdr:row>
      <xdr:rowOff>62196</xdr:rowOff>
    </xdr:from>
    <xdr:to>
      <xdr:col>3</xdr:col>
      <xdr:colOff>952499</xdr:colOff>
      <xdr:row>256</xdr:row>
      <xdr:rowOff>213437</xdr:rowOff>
    </xdr:to>
    <xdr:grpSp>
      <xdr:nvGrpSpPr>
        <xdr:cNvPr id="4189" name="hinh3">
          <a:extLst>
            <a:ext uri="{FF2B5EF4-FFF2-40B4-BE49-F238E27FC236}">
              <a16:creationId xmlns:a16="http://schemas.microsoft.com/office/drawing/2014/main" id="{FCF8B9B1-1534-4125-BAA5-658F1C105541}"/>
            </a:ext>
          </a:extLst>
        </xdr:cNvPr>
        <xdr:cNvGrpSpPr>
          <a:grpSpLocks noChangeAspect="1"/>
        </xdr:cNvGrpSpPr>
      </xdr:nvGrpSpPr>
      <xdr:grpSpPr bwMode="auto">
        <a:xfrm>
          <a:off x="2735376" y="80161843"/>
          <a:ext cx="861711" cy="151241"/>
          <a:chOff x="206" y="112"/>
          <a:chExt cx="73" cy="16"/>
        </a:xfrm>
      </xdr:grpSpPr>
      <xdr:sp macro="" textlink="">
        <xdr:nvSpPr>
          <xdr:cNvPr id="4190" name="Line 3">
            <a:extLst>
              <a:ext uri="{FF2B5EF4-FFF2-40B4-BE49-F238E27FC236}">
                <a16:creationId xmlns:a16="http://schemas.microsoft.com/office/drawing/2014/main" id="{544C6E84-5A60-FE1A-1CD4-EAB267ADBA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91" name="Line 4">
            <a:extLst>
              <a:ext uri="{FF2B5EF4-FFF2-40B4-BE49-F238E27FC236}">
                <a16:creationId xmlns:a16="http://schemas.microsoft.com/office/drawing/2014/main" id="{B031AB23-7F75-77A8-012C-E1FF66D3DC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254</xdr:row>
      <xdr:rowOff>50652</xdr:rowOff>
    </xdr:from>
    <xdr:to>
      <xdr:col>3</xdr:col>
      <xdr:colOff>962981</xdr:colOff>
      <xdr:row>254</xdr:row>
      <xdr:rowOff>214335</xdr:rowOff>
    </xdr:to>
    <xdr:grpSp>
      <xdr:nvGrpSpPr>
        <xdr:cNvPr id="4192" name="hinh2">
          <a:extLst>
            <a:ext uri="{FF2B5EF4-FFF2-40B4-BE49-F238E27FC236}">
              <a16:creationId xmlns:a16="http://schemas.microsoft.com/office/drawing/2014/main" id="{38E027A7-2A3F-494D-99C9-B986413F0697}"/>
            </a:ext>
          </a:extLst>
        </xdr:cNvPr>
        <xdr:cNvGrpSpPr>
          <a:grpSpLocks noChangeAspect="1"/>
        </xdr:cNvGrpSpPr>
      </xdr:nvGrpSpPr>
      <xdr:grpSpPr bwMode="auto">
        <a:xfrm>
          <a:off x="2732511" y="79522770"/>
          <a:ext cx="875058" cy="163683"/>
          <a:chOff x="206" y="86"/>
          <a:chExt cx="73" cy="16"/>
        </a:xfrm>
      </xdr:grpSpPr>
      <xdr:sp macro="" textlink="">
        <xdr:nvSpPr>
          <xdr:cNvPr id="4193" name="Line 6">
            <a:extLst>
              <a:ext uri="{FF2B5EF4-FFF2-40B4-BE49-F238E27FC236}">
                <a16:creationId xmlns:a16="http://schemas.microsoft.com/office/drawing/2014/main" id="{E58AE58D-9446-10BE-4450-28AFDC1E00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94" name="Line 7">
            <a:extLst>
              <a:ext uri="{FF2B5EF4-FFF2-40B4-BE49-F238E27FC236}">
                <a16:creationId xmlns:a16="http://schemas.microsoft.com/office/drawing/2014/main" id="{6EB94871-8AA4-55C2-2B94-31CB4EED42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95" name="Line 8">
            <a:extLst>
              <a:ext uri="{FF2B5EF4-FFF2-40B4-BE49-F238E27FC236}">
                <a16:creationId xmlns:a16="http://schemas.microsoft.com/office/drawing/2014/main" id="{E73B81C1-3C76-8A8A-8FA3-F49200B17A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245</xdr:row>
      <xdr:rowOff>55220</xdr:rowOff>
    </xdr:from>
    <xdr:to>
      <xdr:col>3</xdr:col>
      <xdr:colOff>1003580</xdr:colOff>
      <xdr:row>245</xdr:row>
      <xdr:rowOff>303698</xdr:rowOff>
    </xdr:to>
    <xdr:sp macro="" textlink="">
      <xdr:nvSpPr>
        <xdr:cNvPr id="4196" name="hinh15">
          <a:extLst>
            <a:ext uri="{FF2B5EF4-FFF2-40B4-BE49-F238E27FC236}">
              <a16:creationId xmlns:a16="http://schemas.microsoft.com/office/drawing/2014/main" id="{ED38BDAE-D4E2-455E-B3AD-AD13EA06354A}"/>
            </a:ext>
          </a:extLst>
        </xdr:cNvPr>
        <xdr:cNvSpPr>
          <a:spLocks noChangeAspect="1"/>
        </xdr:cNvSpPr>
      </xdr:nvSpPr>
      <xdr:spPr bwMode="auto">
        <a:xfrm rot="10800000">
          <a:off x="2732279" y="436688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243</xdr:row>
      <xdr:rowOff>61296</xdr:rowOff>
    </xdr:from>
    <xdr:to>
      <xdr:col>3</xdr:col>
      <xdr:colOff>965880</xdr:colOff>
      <xdr:row>243</xdr:row>
      <xdr:rowOff>224979</xdr:rowOff>
    </xdr:to>
    <xdr:grpSp>
      <xdr:nvGrpSpPr>
        <xdr:cNvPr id="4197" name="hinh2">
          <a:extLst>
            <a:ext uri="{FF2B5EF4-FFF2-40B4-BE49-F238E27FC236}">
              <a16:creationId xmlns:a16="http://schemas.microsoft.com/office/drawing/2014/main" id="{90F0E3DC-E599-4C96-AF55-A6307F23D4B8}"/>
            </a:ext>
          </a:extLst>
        </xdr:cNvPr>
        <xdr:cNvGrpSpPr>
          <a:grpSpLocks noChangeAspect="1"/>
        </xdr:cNvGrpSpPr>
      </xdr:nvGrpSpPr>
      <xdr:grpSpPr bwMode="auto">
        <a:xfrm>
          <a:off x="2735410" y="76082002"/>
          <a:ext cx="875058" cy="163683"/>
          <a:chOff x="206" y="86"/>
          <a:chExt cx="73" cy="16"/>
        </a:xfrm>
      </xdr:grpSpPr>
      <xdr:sp macro="" textlink="">
        <xdr:nvSpPr>
          <xdr:cNvPr id="4198" name="Line 6">
            <a:extLst>
              <a:ext uri="{FF2B5EF4-FFF2-40B4-BE49-F238E27FC236}">
                <a16:creationId xmlns:a16="http://schemas.microsoft.com/office/drawing/2014/main" id="{57DEA8DE-EF99-1F18-B3FF-77D5A119ED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99" name="Line 7">
            <a:extLst>
              <a:ext uri="{FF2B5EF4-FFF2-40B4-BE49-F238E27FC236}">
                <a16:creationId xmlns:a16="http://schemas.microsoft.com/office/drawing/2014/main" id="{87E01344-E098-76FB-F5CE-C00053863E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00" name="Line 8">
            <a:extLst>
              <a:ext uri="{FF2B5EF4-FFF2-40B4-BE49-F238E27FC236}">
                <a16:creationId xmlns:a16="http://schemas.microsoft.com/office/drawing/2014/main" id="{4E92FD0A-5236-33B4-98EF-4B50F87D12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246</xdr:row>
      <xdr:rowOff>62196</xdr:rowOff>
    </xdr:from>
    <xdr:to>
      <xdr:col>3</xdr:col>
      <xdr:colOff>952499</xdr:colOff>
      <xdr:row>246</xdr:row>
      <xdr:rowOff>213437</xdr:rowOff>
    </xdr:to>
    <xdr:grpSp>
      <xdr:nvGrpSpPr>
        <xdr:cNvPr id="4201" name="hinh3">
          <a:extLst>
            <a:ext uri="{FF2B5EF4-FFF2-40B4-BE49-F238E27FC236}">
              <a16:creationId xmlns:a16="http://schemas.microsoft.com/office/drawing/2014/main" id="{E27E7BE4-46CF-4875-A631-E47CE9E0793D}"/>
            </a:ext>
          </a:extLst>
        </xdr:cNvPr>
        <xdr:cNvGrpSpPr>
          <a:grpSpLocks noChangeAspect="1"/>
        </xdr:cNvGrpSpPr>
      </xdr:nvGrpSpPr>
      <xdr:grpSpPr bwMode="auto">
        <a:xfrm>
          <a:off x="2735376" y="77024196"/>
          <a:ext cx="861711" cy="151241"/>
          <a:chOff x="206" y="112"/>
          <a:chExt cx="73" cy="16"/>
        </a:xfrm>
      </xdr:grpSpPr>
      <xdr:sp macro="" textlink="">
        <xdr:nvSpPr>
          <xdr:cNvPr id="4202" name="Line 3">
            <a:extLst>
              <a:ext uri="{FF2B5EF4-FFF2-40B4-BE49-F238E27FC236}">
                <a16:creationId xmlns:a16="http://schemas.microsoft.com/office/drawing/2014/main" id="{EF57FBD5-E17C-E8E0-8826-6F0AFEBEF3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03" name="Line 4">
            <a:extLst>
              <a:ext uri="{FF2B5EF4-FFF2-40B4-BE49-F238E27FC236}">
                <a16:creationId xmlns:a16="http://schemas.microsoft.com/office/drawing/2014/main" id="{989E8C74-5A0E-A477-4DE2-E9692A63E1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244</xdr:row>
      <xdr:rowOff>50652</xdr:rowOff>
    </xdr:from>
    <xdr:to>
      <xdr:col>3</xdr:col>
      <xdr:colOff>962981</xdr:colOff>
      <xdr:row>244</xdr:row>
      <xdr:rowOff>214335</xdr:rowOff>
    </xdr:to>
    <xdr:grpSp>
      <xdr:nvGrpSpPr>
        <xdr:cNvPr id="4204" name="hinh2">
          <a:extLst>
            <a:ext uri="{FF2B5EF4-FFF2-40B4-BE49-F238E27FC236}">
              <a16:creationId xmlns:a16="http://schemas.microsoft.com/office/drawing/2014/main" id="{99F56D81-0197-47E6-BBB6-C2B0D6B2AE3B}"/>
            </a:ext>
          </a:extLst>
        </xdr:cNvPr>
        <xdr:cNvGrpSpPr>
          <a:grpSpLocks noChangeAspect="1"/>
        </xdr:cNvGrpSpPr>
      </xdr:nvGrpSpPr>
      <xdr:grpSpPr bwMode="auto">
        <a:xfrm>
          <a:off x="2732511" y="76385123"/>
          <a:ext cx="875058" cy="163683"/>
          <a:chOff x="206" y="86"/>
          <a:chExt cx="73" cy="16"/>
        </a:xfrm>
      </xdr:grpSpPr>
      <xdr:sp macro="" textlink="">
        <xdr:nvSpPr>
          <xdr:cNvPr id="4205" name="Line 6">
            <a:extLst>
              <a:ext uri="{FF2B5EF4-FFF2-40B4-BE49-F238E27FC236}">
                <a16:creationId xmlns:a16="http://schemas.microsoft.com/office/drawing/2014/main" id="{2D5C0F98-BFC1-CD2C-20D8-354D153243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2" name="Line 7">
            <a:extLst>
              <a:ext uri="{FF2B5EF4-FFF2-40B4-BE49-F238E27FC236}">
                <a16:creationId xmlns:a16="http://schemas.microsoft.com/office/drawing/2014/main" id="{550702FD-5AD7-CA36-6CCF-BF35278466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3" name="Line 8">
            <a:extLst>
              <a:ext uri="{FF2B5EF4-FFF2-40B4-BE49-F238E27FC236}">
                <a16:creationId xmlns:a16="http://schemas.microsoft.com/office/drawing/2014/main" id="{0EDC0966-B135-63A3-D6B3-BDD00C4C06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261</xdr:row>
      <xdr:rowOff>55220</xdr:rowOff>
    </xdr:from>
    <xdr:to>
      <xdr:col>3</xdr:col>
      <xdr:colOff>1003580</xdr:colOff>
      <xdr:row>261</xdr:row>
      <xdr:rowOff>303698</xdr:rowOff>
    </xdr:to>
    <xdr:sp macro="" textlink="">
      <xdr:nvSpPr>
        <xdr:cNvPr id="4264" name="hinh15">
          <a:extLst>
            <a:ext uri="{FF2B5EF4-FFF2-40B4-BE49-F238E27FC236}">
              <a16:creationId xmlns:a16="http://schemas.microsoft.com/office/drawing/2014/main" id="{671799C8-61A4-400D-B5DE-923F96FCDBC1}"/>
            </a:ext>
          </a:extLst>
        </xdr:cNvPr>
        <xdr:cNvSpPr>
          <a:spLocks noChangeAspect="1"/>
        </xdr:cNvSpPr>
      </xdr:nvSpPr>
      <xdr:spPr bwMode="auto">
        <a:xfrm rot="10800000">
          <a:off x="2732279" y="654511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259</xdr:row>
      <xdr:rowOff>61296</xdr:rowOff>
    </xdr:from>
    <xdr:to>
      <xdr:col>3</xdr:col>
      <xdr:colOff>965880</xdr:colOff>
      <xdr:row>259</xdr:row>
      <xdr:rowOff>224979</xdr:rowOff>
    </xdr:to>
    <xdr:grpSp>
      <xdr:nvGrpSpPr>
        <xdr:cNvPr id="4265" name="hinh2">
          <a:extLst>
            <a:ext uri="{FF2B5EF4-FFF2-40B4-BE49-F238E27FC236}">
              <a16:creationId xmlns:a16="http://schemas.microsoft.com/office/drawing/2014/main" id="{F577AAAB-E9FA-4689-90BB-9AA0E0BD989C}"/>
            </a:ext>
          </a:extLst>
        </xdr:cNvPr>
        <xdr:cNvGrpSpPr>
          <a:grpSpLocks noChangeAspect="1"/>
        </xdr:cNvGrpSpPr>
      </xdr:nvGrpSpPr>
      <xdr:grpSpPr bwMode="auto">
        <a:xfrm>
          <a:off x="2735410" y="81102237"/>
          <a:ext cx="875058" cy="163683"/>
          <a:chOff x="206" y="86"/>
          <a:chExt cx="73" cy="16"/>
        </a:xfrm>
      </xdr:grpSpPr>
      <xdr:sp macro="" textlink="">
        <xdr:nvSpPr>
          <xdr:cNvPr id="4266" name="Line 6">
            <a:extLst>
              <a:ext uri="{FF2B5EF4-FFF2-40B4-BE49-F238E27FC236}">
                <a16:creationId xmlns:a16="http://schemas.microsoft.com/office/drawing/2014/main" id="{6C334D2A-49CC-E1F5-F8F0-5B60B3471F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7" name="Line 7">
            <a:extLst>
              <a:ext uri="{FF2B5EF4-FFF2-40B4-BE49-F238E27FC236}">
                <a16:creationId xmlns:a16="http://schemas.microsoft.com/office/drawing/2014/main" id="{E3A648B7-4226-5CAC-369A-F290FC0ADC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8" name="Line 8">
            <a:extLst>
              <a:ext uri="{FF2B5EF4-FFF2-40B4-BE49-F238E27FC236}">
                <a16:creationId xmlns:a16="http://schemas.microsoft.com/office/drawing/2014/main" id="{E16270F2-6872-2E4D-2BB9-449F2A694E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262</xdr:row>
      <xdr:rowOff>62196</xdr:rowOff>
    </xdr:from>
    <xdr:to>
      <xdr:col>3</xdr:col>
      <xdr:colOff>952499</xdr:colOff>
      <xdr:row>262</xdr:row>
      <xdr:rowOff>213437</xdr:rowOff>
    </xdr:to>
    <xdr:grpSp>
      <xdr:nvGrpSpPr>
        <xdr:cNvPr id="4269" name="hinh3">
          <a:extLst>
            <a:ext uri="{FF2B5EF4-FFF2-40B4-BE49-F238E27FC236}">
              <a16:creationId xmlns:a16="http://schemas.microsoft.com/office/drawing/2014/main" id="{C41E85CB-12B4-4F89-B774-8ACE3370EDB9}"/>
            </a:ext>
          </a:extLst>
        </xdr:cNvPr>
        <xdr:cNvGrpSpPr>
          <a:grpSpLocks noChangeAspect="1"/>
        </xdr:cNvGrpSpPr>
      </xdr:nvGrpSpPr>
      <xdr:grpSpPr bwMode="auto">
        <a:xfrm>
          <a:off x="2735376" y="82044431"/>
          <a:ext cx="861711" cy="151241"/>
          <a:chOff x="206" y="112"/>
          <a:chExt cx="73" cy="16"/>
        </a:xfrm>
      </xdr:grpSpPr>
      <xdr:sp macro="" textlink="">
        <xdr:nvSpPr>
          <xdr:cNvPr id="4270" name="Line 3">
            <a:extLst>
              <a:ext uri="{FF2B5EF4-FFF2-40B4-BE49-F238E27FC236}">
                <a16:creationId xmlns:a16="http://schemas.microsoft.com/office/drawing/2014/main" id="{B4A49358-2856-316F-AB67-E08AB1FD7C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1" name="Line 4">
            <a:extLst>
              <a:ext uri="{FF2B5EF4-FFF2-40B4-BE49-F238E27FC236}">
                <a16:creationId xmlns:a16="http://schemas.microsoft.com/office/drawing/2014/main" id="{803BE2F1-B679-6CCB-E0A4-588002F007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260</xdr:row>
      <xdr:rowOff>50652</xdr:rowOff>
    </xdr:from>
    <xdr:to>
      <xdr:col>3</xdr:col>
      <xdr:colOff>962981</xdr:colOff>
      <xdr:row>260</xdr:row>
      <xdr:rowOff>214335</xdr:rowOff>
    </xdr:to>
    <xdr:grpSp>
      <xdr:nvGrpSpPr>
        <xdr:cNvPr id="4272" name="hinh2">
          <a:extLst>
            <a:ext uri="{FF2B5EF4-FFF2-40B4-BE49-F238E27FC236}">
              <a16:creationId xmlns:a16="http://schemas.microsoft.com/office/drawing/2014/main" id="{B380CBF8-FA2D-402F-A8F8-1639E4B781E4}"/>
            </a:ext>
          </a:extLst>
        </xdr:cNvPr>
        <xdr:cNvGrpSpPr>
          <a:grpSpLocks noChangeAspect="1"/>
        </xdr:cNvGrpSpPr>
      </xdr:nvGrpSpPr>
      <xdr:grpSpPr bwMode="auto">
        <a:xfrm>
          <a:off x="2732511" y="81405358"/>
          <a:ext cx="875058" cy="163683"/>
          <a:chOff x="206" y="86"/>
          <a:chExt cx="73" cy="16"/>
        </a:xfrm>
      </xdr:grpSpPr>
      <xdr:sp macro="" textlink="">
        <xdr:nvSpPr>
          <xdr:cNvPr id="4273" name="Line 6">
            <a:extLst>
              <a:ext uri="{FF2B5EF4-FFF2-40B4-BE49-F238E27FC236}">
                <a16:creationId xmlns:a16="http://schemas.microsoft.com/office/drawing/2014/main" id="{8056B1E3-CD5A-55E2-0E00-8043B68433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4" name="Line 7">
            <a:extLst>
              <a:ext uri="{FF2B5EF4-FFF2-40B4-BE49-F238E27FC236}">
                <a16:creationId xmlns:a16="http://schemas.microsoft.com/office/drawing/2014/main" id="{98140D52-DA05-AC63-7515-36304C0BB8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5" name="Line 8">
            <a:extLst>
              <a:ext uri="{FF2B5EF4-FFF2-40B4-BE49-F238E27FC236}">
                <a16:creationId xmlns:a16="http://schemas.microsoft.com/office/drawing/2014/main" id="{997E25B7-A745-F5D7-54EB-91827BA3CB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266</xdr:row>
      <xdr:rowOff>55220</xdr:rowOff>
    </xdr:from>
    <xdr:to>
      <xdr:col>3</xdr:col>
      <xdr:colOff>1003580</xdr:colOff>
      <xdr:row>266</xdr:row>
      <xdr:rowOff>303698</xdr:rowOff>
    </xdr:to>
    <xdr:sp macro="" textlink="">
      <xdr:nvSpPr>
        <xdr:cNvPr id="4276" name="hinh15">
          <a:extLst>
            <a:ext uri="{FF2B5EF4-FFF2-40B4-BE49-F238E27FC236}">
              <a16:creationId xmlns:a16="http://schemas.microsoft.com/office/drawing/2014/main" id="{835BC94D-C32C-40E5-8B02-14B1B5B1E33C}"/>
            </a:ext>
          </a:extLst>
        </xdr:cNvPr>
        <xdr:cNvSpPr>
          <a:spLocks noChangeAspect="1"/>
        </xdr:cNvSpPr>
      </xdr:nvSpPr>
      <xdr:spPr bwMode="auto">
        <a:xfrm rot="10800000">
          <a:off x="2732279" y="670295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264</xdr:row>
      <xdr:rowOff>61296</xdr:rowOff>
    </xdr:from>
    <xdr:to>
      <xdr:col>3</xdr:col>
      <xdr:colOff>965880</xdr:colOff>
      <xdr:row>264</xdr:row>
      <xdr:rowOff>224979</xdr:rowOff>
    </xdr:to>
    <xdr:grpSp>
      <xdr:nvGrpSpPr>
        <xdr:cNvPr id="4277" name="hinh2">
          <a:extLst>
            <a:ext uri="{FF2B5EF4-FFF2-40B4-BE49-F238E27FC236}">
              <a16:creationId xmlns:a16="http://schemas.microsoft.com/office/drawing/2014/main" id="{7E66BD93-B655-4933-A215-3BB2000E4C2E}"/>
            </a:ext>
          </a:extLst>
        </xdr:cNvPr>
        <xdr:cNvGrpSpPr>
          <a:grpSpLocks noChangeAspect="1"/>
        </xdr:cNvGrpSpPr>
      </xdr:nvGrpSpPr>
      <xdr:grpSpPr bwMode="auto">
        <a:xfrm>
          <a:off x="2735410" y="82671061"/>
          <a:ext cx="875058" cy="163683"/>
          <a:chOff x="206" y="86"/>
          <a:chExt cx="73" cy="16"/>
        </a:xfrm>
      </xdr:grpSpPr>
      <xdr:sp macro="" textlink="">
        <xdr:nvSpPr>
          <xdr:cNvPr id="4278" name="Line 6">
            <a:extLst>
              <a:ext uri="{FF2B5EF4-FFF2-40B4-BE49-F238E27FC236}">
                <a16:creationId xmlns:a16="http://schemas.microsoft.com/office/drawing/2014/main" id="{1D863D5B-8ABE-0A44-201A-672A39F0F1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9" name="Line 7">
            <a:extLst>
              <a:ext uri="{FF2B5EF4-FFF2-40B4-BE49-F238E27FC236}">
                <a16:creationId xmlns:a16="http://schemas.microsoft.com/office/drawing/2014/main" id="{E646887F-C1E2-CBE6-409D-1BE6C78C8D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0" name="Line 8">
            <a:extLst>
              <a:ext uri="{FF2B5EF4-FFF2-40B4-BE49-F238E27FC236}">
                <a16:creationId xmlns:a16="http://schemas.microsoft.com/office/drawing/2014/main" id="{0ACF3053-D356-1A0E-9E78-A27FC29CC1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267</xdr:row>
      <xdr:rowOff>62196</xdr:rowOff>
    </xdr:from>
    <xdr:to>
      <xdr:col>3</xdr:col>
      <xdr:colOff>952499</xdr:colOff>
      <xdr:row>267</xdr:row>
      <xdr:rowOff>213437</xdr:rowOff>
    </xdr:to>
    <xdr:grpSp>
      <xdr:nvGrpSpPr>
        <xdr:cNvPr id="4281" name="hinh3">
          <a:extLst>
            <a:ext uri="{FF2B5EF4-FFF2-40B4-BE49-F238E27FC236}">
              <a16:creationId xmlns:a16="http://schemas.microsoft.com/office/drawing/2014/main" id="{4D2EF05B-0FF9-48F3-8CD7-5E9AC75775B4}"/>
            </a:ext>
          </a:extLst>
        </xdr:cNvPr>
        <xdr:cNvGrpSpPr>
          <a:grpSpLocks noChangeAspect="1"/>
        </xdr:cNvGrpSpPr>
      </xdr:nvGrpSpPr>
      <xdr:grpSpPr bwMode="auto">
        <a:xfrm>
          <a:off x="2735376" y="83613255"/>
          <a:ext cx="861711" cy="151241"/>
          <a:chOff x="206" y="112"/>
          <a:chExt cx="73" cy="16"/>
        </a:xfrm>
      </xdr:grpSpPr>
      <xdr:sp macro="" textlink="">
        <xdr:nvSpPr>
          <xdr:cNvPr id="4282" name="Line 3">
            <a:extLst>
              <a:ext uri="{FF2B5EF4-FFF2-40B4-BE49-F238E27FC236}">
                <a16:creationId xmlns:a16="http://schemas.microsoft.com/office/drawing/2014/main" id="{4F072C98-130B-8334-F022-C21ECB759A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3" name="Line 4">
            <a:extLst>
              <a:ext uri="{FF2B5EF4-FFF2-40B4-BE49-F238E27FC236}">
                <a16:creationId xmlns:a16="http://schemas.microsoft.com/office/drawing/2014/main" id="{0DB41072-D6FD-A471-E32E-3C6DE09E82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265</xdr:row>
      <xdr:rowOff>50652</xdr:rowOff>
    </xdr:from>
    <xdr:to>
      <xdr:col>3</xdr:col>
      <xdr:colOff>962981</xdr:colOff>
      <xdr:row>265</xdr:row>
      <xdr:rowOff>214335</xdr:rowOff>
    </xdr:to>
    <xdr:grpSp>
      <xdr:nvGrpSpPr>
        <xdr:cNvPr id="4284" name="hinh2">
          <a:extLst>
            <a:ext uri="{FF2B5EF4-FFF2-40B4-BE49-F238E27FC236}">
              <a16:creationId xmlns:a16="http://schemas.microsoft.com/office/drawing/2014/main" id="{8F22F2C2-DB1C-4B78-AA29-0C36DA9F463D}"/>
            </a:ext>
          </a:extLst>
        </xdr:cNvPr>
        <xdr:cNvGrpSpPr>
          <a:grpSpLocks noChangeAspect="1"/>
        </xdr:cNvGrpSpPr>
      </xdr:nvGrpSpPr>
      <xdr:grpSpPr bwMode="auto">
        <a:xfrm>
          <a:off x="2732511" y="82974181"/>
          <a:ext cx="875058" cy="163683"/>
          <a:chOff x="206" y="86"/>
          <a:chExt cx="73" cy="16"/>
        </a:xfrm>
      </xdr:grpSpPr>
      <xdr:sp macro="" textlink="">
        <xdr:nvSpPr>
          <xdr:cNvPr id="4285" name="Line 6">
            <a:extLst>
              <a:ext uri="{FF2B5EF4-FFF2-40B4-BE49-F238E27FC236}">
                <a16:creationId xmlns:a16="http://schemas.microsoft.com/office/drawing/2014/main" id="{61E19EFE-D2E3-F2A5-FC6E-590CC1AD83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6" name="Line 7">
            <a:extLst>
              <a:ext uri="{FF2B5EF4-FFF2-40B4-BE49-F238E27FC236}">
                <a16:creationId xmlns:a16="http://schemas.microsoft.com/office/drawing/2014/main" id="{122294B6-423C-84BC-F5A2-294988880B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7" name="Line 8">
            <a:extLst>
              <a:ext uri="{FF2B5EF4-FFF2-40B4-BE49-F238E27FC236}">
                <a16:creationId xmlns:a16="http://schemas.microsoft.com/office/drawing/2014/main" id="{16A97241-D2FF-2C6C-4AE0-62DE419872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271</xdr:row>
      <xdr:rowOff>55220</xdr:rowOff>
    </xdr:from>
    <xdr:to>
      <xdr:col>3</xdr:col>
      <xdr:colOff>1003580</xdr:colOff>
      <xdr:row>271</xdr:row>
      <xdr:rowOff>303698</xdr:rowOff>
    </xdr:to>
    <xdr:sp macro="" textlink="">
      <xdr:nvSpPr>
        <xdr:cNvPr id="4288" name="hinh15">
          <a:extLst>
            <a:ext uri="{FF2B5EF4-FFF2-40B4-BE49-F238E27FC236}">
              <a16:creationId xmlns:a16="http://schemas.microsoft.com/office/drawing/2014/main" id="{24870AEF-366F-4BF8-9438-F24A925BAB6C}"/>
            </a:ext>
          </a:extLst>
        </xdr:cNvPr>
        <xdr:cNvSpPr>
          <a:spLocks noChangeAspect="1"/>
        </xdr:cNvSpPr>
      </xdr:nvSpPr>
      <xdr:spPr bwMode="auto">
        <a:xfrm rot="10800000">
          <a:off x="2732279" y="686080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269</xdr:row>
      <xdr:rowOff>61296</xdr:rowOff>
    </xdr:from>
    <xdr:to>
      <xdr:col>3</xdr:col>
      <xdr:colOff>965880</xdr:colOff>
      <xdr:row>269</xdr:row>
      <xdr:rowOff>224979</xdr:rowOff>
    </xdr:to>
    <xdr:grpSp>
      <xdr:nvGrpSpPr>
        <xdr:cNvPr id="4289" name="hinh2">
          <a:extLst>
            <a:ext uri="{FF2B5EF4-FFF2-40B4-BE49-F238E27FC236}">
              <a16:creationId xmlns:a16="http://schemas.microsoft.com/office/drawing/2014/main" id="{5FA18549-54A7-4EE5-9EC4-231862A9CCF2}"/>
            </a:ext>
          </a:extLst>
        </xdr:cNvPr>
        <xdr:cNvGrpSpPr>
          <a:grpSpLocks noChangeAspect="1"/>
        </xdr:cNvGrpSpPr>
      </xdr:nvGrpSpPr>
      <xdr:grpSpPr bwMode="auto">
        <a:xfrm>
          <a:off x="2735410" y="84239884"/>
          <a:ext cx="875058" cy="163683"/>
          <a:chOff x="206" y="86"/>
          <a:chExt cx="73" cy="16"/>
        </a:xfrm>
      </xdr:grpSpPr>
      <xdr:sp macro="" textlink="">
        <xdr:nvSpPr>
          <xdr:cNvPr id="4290" name="Line 6">
            <a:extLst>
              <a:ext uri="{FF2B5EF4-FFF2-40B4-BE49-F238E27FC236}">
                <a16:creationId xmlns:a16="http://schemas.microsoft.com/office/drawing/2014/main" id="{2344D734-D95D-9A09-C59D-83178AB9D9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1" name="Line 7">
            <a:extLst>
              <a:ext uri="{FF2B5EF4-FFF2-40B4-BE49-F238E27FC236}">
                <a16:creationId xmlns:a16="http://schemas.microsoft.com/office/drawing/2014/main" id="{98DF996D-EB1D-E97B-67CF-FC3E520094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2" name="Line 8">
            <a:extLst>
              <a:ext uri="{FF2B5EF4-FFF2-40B4-BE49-F238E27FC236}">
                <a16:creationId xmlns:a16="http://schemas.microsoft.com/office/drawing/2014/main" id="{F30690FE-705E-07BF-5ABF-35290056DD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272</xdr:row>
      <xdr:rowOff>62196</xdr:rowOff>
    </xdr:from>
    <xdr:to>
      <xdr:col>3</xdr:col>
      <xdr:colOff>952499</xdr:colOff>
      <xdr:row>272</xdr:row>
      <xdr:rowOff>213437</xdr:rowOff>
    </xdr:to>
    <xdr:grpSp>
      <xdr:nvGrpSpPr>
        <xdr:cNvPr id="4293" name="hinh3">
          <a:extLst>
            <a:ext uri="{FF2B5EF4-FFF2-40B4-BE49-F238E27FC236}">
              <a16:creationId xmlns:a16="http://schemas.microsoft.com/office/drawing/2014/main" id="{C0E8FE9B-4896-4478-88E2-BCEDC99949CD}"/>
            </a:ext>
          </a:extLst>
        </xdr:cNvPr>
        <xdr:cNvGrpSpPr>
          <a:grpSpLocks noChangeAspect="1"/>
        </xdr:cNvGrpSpPr>
      </xdr:nvGrpSpPr>
      <xdr:grpSpPr bwMode="auto">
        <a:xfrm>
          <a:off x="2735376" y="85182078"/>
          <a:ext cx="861711" cy="151241"/>
          <a:chOff x="206" y="112"/>
          <a:chExt cx="73" cy="16"/>
        </a:xfrm>
      </xdr:grpSpPr>
      <xdr:sp macro="" textlink="">
        <xdr:nvSpPr>
          <xdr:cNvPr id="4294" name="Line 3">
            <a:extLst>
              <a:ext uri="{FF2B5EF4-FFF2-40B4-BE49-F238E27FC236}">
                <a16:creationId xmlns:a16="http://schemas.microsoft.com/office/drawing/2014/main" id="{AB25D520-6CAF-7A48-E513-A8A4307CC8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5" name="Line 4">
            <a:extLst>
              <a:ext uri="{FF2B5EF4-FFF2-40B4-BE49-F238E27FC236}">
                <a16:creationId xmlns:a16="http://schemas.microsoft.com/office/drawing/2014/main" id="{B76C76ED-DDFF-B308-E71B-EDE966D7DF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270</xdr:row>
      <xdr:rowOff>50652</xdr:rowOff>
    </xdr:from>
    <xdr:to>
      <xdr:col>3</xdr:col>
      <xdr:colOff>962981</xdr:colOff>
      <xdr:row>270</xdr:row>
      <xdr:rowOff>214335</xdr:rowOff>
    </xdr:to>
    <xdr:grpSp>
      <xdr:nvGrpSpPr>
        <xdr:cNvPr id="4296" name="hinh2">
          <a:extLst>
            <a:ext uri="{FF2B5EF4-FFF2-40B4-BE49-F238E27FC236}">
              <a16:creationId xmlns:a16="http://schemas.microsoft.com/office/drawing/2014/main" id="{4AC93DD6-3AB6-427E-9DCD-D7DBB52E16CF}"/>
            </a:ext>
          </a:extLst>
        </xdr:cNvPr>
        <xdr:cNvGrpSpPr>
          <a:grpSpLocks noChangeAspect="1"/>
        </xdr:cNvGrpSpPr>
      </xdr:nvGrpSpPr>
      <xdr:grpSpPr bwMode="auto">
        <a:xfrm>
          <a:off x="2732511" y="84543005"/>
          <a:ext cx="875058" cy="163683"/>
          <a:chOff x="206" y="86"/>
          <a:chExt cx="73" cy="16"/>
        </a:xfrm>
      </xdr:grpSpPr>
      <xdr:sp macro="" textlink="">
        <xdr:nvSpPr>
          <xdr:cNvPr id="4297" name="Line 6">
            <a:extLst>
              <a:ext uri="{FF2B5EF4-FFF2-40B4-BE49-F238E27FC236}">
                <a16:creationId xmlns:a16="http://schemas.microsoft.com/office/drawing/2014/main" id="{4F0EBB76-68F9-28C1-6003-5B81E05993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8" name="Line 7">
            <a:extLst>
              <a:ext uri="{FF2B5EF4-FFF2-40B4-BE49-F238E27FC236}">
                <a16:creationId xmlns:a16="http://schemas.microsoft.com/office/drawing/2014/main" id="{20A44071-D9FB-F08A-1D00-52DA97EDDA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9" name="Line 8">
            <a:extLst>
              <a:ext uri="{FF2B5EF4-FFF2-40B4-BE49-F238E27FC236}">
                <a16:creationId xmlns:a16="http://schemas.microsoft.com/office/drawing/2014/main" id="{BE8F0DEB-0942-711E-93F1-5D815421CB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277</xdr:row>
      <xdr:rowOff>55220</xdr:rowOff>
    </xdr:from>
    <xdr:to>
      <xdr:col>3</xdr:col>
      <xdr:colOff>1003580</xdr:colOff>
      <xdr:row>277</xdr:row>
      <xdr:rowOff>303698</xdr:rowOff>
    </xdr:to>
    <xdr:sp macro="" textlink="">
      <xdr:nvSpPr>
        <xdr:cNvPr id="4300" name="hinh15">
          <a:extLst>
            <a:ext uri="{FF2B5EF4-FFF2-40B4-BE49-F238E27FC236}">
              <a16:creationId xmlns:a16="http://schemas.microsoft.com/office/drawing/2014/main" id="{1B45ECC3-A386-42B0-A4BD-20A0D0C57B45}"/>
            </a:ext>
          </a:extLst>
        </xdr:cNvPr>
        <xdr:cNvSpPr>
          <a:spLocks noChangeAspect="1"/>
        </xdr:cNvSpPr>
      </xdr:nvSpPr>
      <xdr:spPr bwMode="auto">
        <a:xfrm rot="10800000">
          <a:off x="2732279" y="736589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275</xdr:row>
      <xdr:rowOff>61296</xdr:rowOff>
    </xdr:from>
    <xdr:to>
      <xdr:col>3</xdr:col>
      <xdr:colOff>965880</xdr:colOff>
      <xdr:row>275</xdr:row>
      <xdr:rowOff>224979</xdr:rowOff>
    </xdr:to>
    <xdr:grpSp>
      <xdr:nvGrpSpPr>
        <xdr:cNvPr id="4301" name="hinh2">
          <a:extLst>
            <a:ext uri="{FF2B5EF4-FFF2-40B4-BE49-F238E27FC236}">
              <a16:creationId xmlns:a16="http://schemas.microsoft.com/office/drawing/2014/main" id="{FAA0BA08-7878-4F55-8AAA-6978ACEE7069}"/>
            </a:ext>
          </a:extLst>
        </xdr:cNvPr>
        <xdr:cNvGrpSpPr>
          <a:grpSpLocks noChangeAspect="1"/>
        </xdr:cNvGrpSpPr>
      </xdr:nvGrpSpPr>
      <xdr:grpSpPr bwMode="auto">
        <a:xfrm>
          <a:off x="2735410" y="86122472"/>
          <a:ext cx="875058" cy="163683"/>
          <a:chOff x="206" y="86"/>
          <a:chExt cx="73" cy="16"/>
        </a:xfrm>
      </xdr:grpSpPr>
      <xdr:sp macro="" textlink="">
        <xdr:nvSpPr>
          <xdr:cNvPr id="4302" name="Line 6">
            <a:extLst>
              <a:ext uri="{FF2B5EF4-FFF2-40B4-BE49-F238E27FC236}">
                <a16:creationId xmlns:a16="http://schemas.microsoft.com/office/drawing/2014/main" id="{93BD4949-EB18-C628-13EB-03C1EA4B8E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03" name="Line 7">
            <a:extLst>
              <a:ext uri="{FF2B5EF4-FFF2-40B4-BE49-F238E27FC236}">
                <a16:creationId xmlns:a16="http://schemas.microsoft.com/office/drawing/2014/main" id="{C70DBDD7-0705-5CF9-E6D8-6B2A1C0A8D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04" name="Line 8">
            <a:extLst>
              <a:ext uri="{FF2B5EF4-FFF2-40B4-BE49-F238E27FC236}">
                <a16:creationId xmlns:a16="http://schemas.microsoft.com/office/drawing/2014/main" id="{19FD01CE-133A-1C0D-4287-F0E8F4DDF7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278</xdr:row>
      <xdr:rowOff>62196</xdr:rowOff>
    </xdr:from>
    <xdr:to>
      <xdr:col>3</xdr:col>
      <xdr:colOff>952499</xdr:colOff>
      <xdr:row>278</xdr:row>
      <xdr:rowOff>213437</xdr:rowOff>
    </xdr:to>
    <xdr:grpSp>
      <xdr:nvGrpSpPr>
        <xdr:cNvPr id="4305" name="hinh3">
          <a:extLst>
            <a:ext uri="{FF2B5EF4-FFF2-40B4-BE49-F238E27FC236}">
              <a16:creationId xmlns:a16="http://schemas.microsoft.com/office/drawing/2014/main" id="{9F2826D5-6F35-4CCD-BABB-3984F3967E45}"/>
            </a:ext>
          </a:extLst>
        </xdr:cNvPr>
        <xdr:cNvGrpSpPr>
          <a:grpSpLocks noChangeAspect="1"/>
        </xdr:cNvGrpSpPr>
      </xdr:nvGrpSpPr>
      <xdr:grpSpPr bwMode="auto">
        <a:xfrm>
          <a:off x="2735376" y="87064667"/>
          <a:ext cx="861711" cy="151241"/>
          <a:chOff x="206" y="112"/>
          <a:chExt cx="73" cy="16"/>
        </a:xfrm>
      </xdr:grpSpPr>
      <xdr:sp macro="" textlink="">
        <xdr:nvSpPr>
          <xdr:cNvPr id="4306" name="Line 3">
            <a:extLst>
              <a:ext uri="{FF2B5EF4-FFF2-40B4-BE49-F238E27FC236}">
                <a16:creationId xmlns:a16="http://schemas.microsoft.com/office/drawing/2014/main" id="{B3B7ED42-399B-ECC8-4387-B77AC17F35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07" name="Line 4">
            <a:extLst>
              <a:ext uri="{FF2B5EF4-FFF2-40B4-BE49-F238E27FC236}">
                <a16:creationId xmlns:a16="http://schemas.microsoft.com/office/drawing/2014/main" id="{D07DE4BA-0820-3F6C-8D2F-98E3053B7E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276</xdr:row>
      <xdr:rowOff>50652</xdr:rowOff>
    </xdr:from>
    <xdr:to>
      <xdr:col>3</xdr:col>
      <xdr:colOff>962981</xdr:colOff>
      <xdr:row>276</xdr:row>
      <xdr:rowOff>214335</xdr:rowOff>
    </xdr:to>
    <xdr:grpSp>
      <xdr:nvGrpSpPr>
        <xdr:cNvPr id="4308" name="hinh2">
          <a:extLst>
            <a:ext uri="{FF2B5EF4-FFF2-40B4-BE49-F238E27FC236}">
              <a16:creationId xmlns:a16="http://schemas.microsoft.com/office/drawing/2014/main" id="{61EE069E-BAB7-4079-88B1-F0B36F54091F}"/>
            </a:ext>
          </a:extLst>
        </xdr:cNvPr>
        <xdr:cNvGrpSpPr>
          <a:grpSpLocks noChangeAspect="1"/>
        </xdr:cNvGrpSpPr>
      </xdr:nvGrpSpPr>
      <xdr:grpSpPr bwMode="auto">
        <a:xfrm>
          <a:off x="2732511" y="86425593"/>
          <a:ext cx="875058" cy="163683"/>
          <a:chOff x="206" y="86"/>
          <a:chExt cx="73" cy="16"/>
        </a:xfrm>
      </xdr:grpSpPr>
      <xdr:sp macro="" textlink="">
        <xdr:nvSpPr>
          <xdr:cNvPr id="4309" name="Line 6">
            <a:extLst>
              <a:ext uri="{FF2B5EF4-FFF2-40B4-BE49-F238E27FC236}">
                <a16:creationId xmlns:a16="http://schemas.microsoft.com/office/drawing/2014/main" id="{8152D135-F75B-CD6A-DC65-509EFEF6EE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0" name="Line 7">
            <a:extLst>
              <a:ext uri="{FF2B5EF4-FFF2-40B4-BE49-F238E27FC236}">
                <a16:creationId xmlns:a16="http://schemas.microsoft.com/office/drawing/2014/main" id="{D6E86D0A-C703-54B1-8269-11DE602E0E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1" name="Line 8">
            <a:extLst>
              <a:ext uri="{FF2B5EF4-FFF2-40B4-BE49-F238E27FC236}">
                <a16:creationId xmlns:a16="http://schemas.microsoft.com/office/drawing/2014/main" id="{BCA21657-01FF-AC02-2A5D-AAE007DA89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282</xdr:row>
      <xdr:rowOff>55220</xdr:rowOff>
    </xdr:from>
    <xdr:to>
      <xdr:col>3</xdr:col>
      <xdr:colOff>1003580</xdr:colOff>
      <xdr:row>282</xdr:row>
      <xdr:rowOff>303698</xdr:rowOff>
    </xdr:to>
    <xdr:sp macro="" textlink="">
      <xdr:nvSpPr>
        <xdr:cNvPr id="4312" name="hinh15">
          <a:extLst>
            <a:ext uri="{FF2B5EF4-FFF2-40B4-BE49-F238E27FC236}">
              <a16:creationId xmlns:a16="http://schemas.microsoft.com/office/drawing/2014/main" id="{25D96634-EE09-4AC5-A2EA-5BF87FBE0458}"/>
            </a:ext>
          </a:extLst>
        </xdr:cNvPr>
        <xdr:cNvSpPr>
          <a:spLocks noChangeAspect="1"/>
        </xdr:cNvSpPr>
      </xdr:nvSpPr>
      <xdr:spPr bwMode="auto">
        <a:xfrm rot="10800000">
          <a:off x="2732279" y="752374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280</xdr:row>
      <xdr:rowOff>61296</xdr:rowOff>
    </xdr:from>
    <xdr:to>
      <xdr:col>3</xdr:col>
      <xdr:colOff>965880</xdr:colOff>
      <xdr:row>280</xdr:row>
      <xdr:rowOff>224979</xdr:rowOff>
    </xdr:to>
    <xdr:grpSp>
      <xdr:nvGrpSpPr>
        <xdr:cNvPr id="4313" name="hinh2">
          <a:extLst>
            <a:ext uri="{FF2B5EF4-FFF2-40B4-BE49-F238E27FC236}">
              <a16:creationId xmlns:a16="http://schemas.microsoft.com/office/drawing/2014/main" id="{4AAF709D-CFA0-467A-BDB1-FA074E7EE5CE}"/>
            </a:ext>
          </a:extLst>
        </xdr:cNvPr>
        <xdr:cNvGrpSpPr>
          <a:grpSpLocks noChangeAspect="1"/>
        </xdr:cNvGrpSpPr>
      </xdr:nvGrpSpPr>
      <xdr:grpSpPr bwMode="auto">
        <a:xfrm>
          <a:off x="2735410" y="87691296"/>
          <a:ext cx="875058" cy="163683"/>
          <a:chOff x="206" y="86"/>
          <a:chExt cx="73" cy="16"/>
        </a:xfrm>
      </xdr:grpSpPr>
      <xdr:sp macro="" textlink="">
        <xdr:nvSpPr>
          <xdr:cNvPr id="4314" name="Line 6">
            <a:extLst>
              <a:ext uri="{FF2B5EF4-FFF2-40B4-BE49-F238E27FC236}">
                <a16:creationId xmlns:a16="http://schemas.microsoft.com/office/drawing/2014/main" id="{421EFD2D-93A3-897C-55EA-39DDE36510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5" name="Line 7">
            <a:extLst>
              <a:ext uri="{FF2B5EF4-FFF2-40B4-BE49-F238E27FC236}">
                <a16:creationId xmlns:a16="http://schemas.microsoft.com/office/drawing/2014/main" id="{A138EEF7-BD2E-867E-2DA5-D1D917C1BF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6" name="Line 8">
            <a:extLst>
              <a:ext uri="{FF2B5EF4-FFF2-40B4-BE49-F238E27FC236}">
                <a16:creationId xmlns:a16="http://schemas.microsoft.com/office/drawing/2014/main" id="{37664558-F8DD-C420-CFEF-B89393B002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283</xdr:row>
      <xdr:rowOff>62196</xdr:rowOff>
    </xdr:from>
    <xdr:to>
      <xdr:col>3</xdr:col>
      <xdr:colOff>952499</xdr:colOff>
      <xdr:row>283</xdr:row>
      <xdr:rowOff>213437</xdr:rowOff>
    </xdr:to>
    <xdr:grpSp>
      <xdr:nvGrpSpPr>
        <xdr:cNvPr id="4317" name="hinh3">
          <a:extLst>
            <a:ext uri="{FF2B5EF4-FFF2-40B4-BE49-F238E27FC236}">
              <a16:creationId xmlns:a16="http://schemas.microsoft.com/office/drawing/2014/main" id="{82A85349-3BEF-44F7-BA63-ADC1DD1FD0A5}"/>
            </a:ext>
          </a:extLst>
        </xdr:cNvPr>
        <xdr:cNvGrpSpPr>
          <a:grpSpLocks noChangeAspect="1"/>
        </xdr:cNvGrpSpPr>
      </xdr:nvGrpSpPr>
      <xdr:grpSpPr bwMode="auto">
        <a:xfrm>
          <a:off x="2735376" y="88633490"/>
          <a:ext cx="861711" cy="151241"/>
          <a:chOff x="206" y="112"/>
          <a:chExt cx="73" cy="16"/>
        </a:xfrm>
      </xdr:grpSpPr>
      <xdr:sp macro="" textlink="">
        <xdr:nvSpPr>
          <xdr:cNvPr id="4318" name="Line 3">
            <a:extLst>
              <a:ext uri="{FF2B5EF4-FFF2-40B4-BE49-F238E27FC236}">
                <a16:creationId xmlns:a16="http://schemas.microsoft.com/office/drawing/2014/main" id="{4E04356F-612B-7839-8E51-429158011F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9" name="Line 4">
            <a:extLst>
              <a:ext uri="{FF2B5EF4-FFF2-40B4-BE49-F238E27FC236}">
                <a16:creationId xmlns:a16="http://schemas.microsoft.com/office/drawing/2014/main" id="{60E575D2-2A59-2F3E-CE11-DA9BC81F91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281</xdr:row>
      <xdr:rowOff>50652</xdr:rowOff>
    </xdr:from>
    <xdr:to>
      <xdr:col>3</xdr:col>
      <xdr:colOff>962981</xdr:colOff>
      <xdr:row>281</xdr:row>
      <xdr:rowOff>214335</xdr:rowOff>
    </xdr:to>
    <xdr:grpSp>
      <xdr:nvGrpSpPr>
        <xdr:cNvPr id="4320" name="hinh2">
          <a:extLst>
            <a:ext uri="{FF2B5EF4-FFF2-40B4-BE49-F238E27FC236}">
              <a16:creationId xmlns:a16="http://schemas.microsoft.com/office/drawing/2014/main" id="{B66DE8B6-C76C-4CE7-8D01-5691045C69A4}"/>
            </a:ext>
          </a:extLst>
        </xdr:cNvPr>
        <xdr:cNvGrpSpPr>
          <a:grpSpLocks noChangeAspect="1"/>
        </xdr:cNvGrpSpPr>
      </xdr:nvGrpSpPr>
      <xdr:grpSpPr bwMode="auto">
        <a:xfrm>
          <a:off x="2732511" y="87994417"/>
          <a:ext cx="875058" cy="163683"/>
          <a:chOff x="206" y="86"/>
          <a:chExt cx="73" cy="16"/>
        </a:xfrm>
      </xdr:grpSpPr>
      <xdr:sp macro="" textlink="">
        <xdr:nvSpPr>
          <xdr:cNvPr id="4321" name="Line 6">
            <a:extLst>
              <a:ext uri="{FF2B5EF4-FFF2-40B4-BE49-F238E27FC236}">
                <a16:creationId xmlns:a16="http://schemas.microsoft.com/office/drawing/2014/main" id="{C0AB12F0-9155-881E-4EAA-955CBB0EB0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2" name="Line 7">
            <a:extLst>
              <a:ext uri="{FF2B5EF4-FFF2-40B4-BE49-F238E27FC236}">
                <a16:creationId xmlns:a16="http://schemas.microsoft.com/office/drawing/2014/main" id="{837F15AE-FD97-7309-CDAF-3121920D51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3" name="Line 8">
            <a:extLst>
              <a:ext uri="{FF2B5EF4-FFF2-40B4-BE49-F238E27FC236}">
                <a16:creationId xmlns:a16="http://schemas.microsoft.com/office/drawing/2014/main" id="{5A535ABD-CB92-E65E-F3F4-FFEA9966EA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287</xdr:row>
      <xdr:rowOff>55220</xdr:rowOff>
    </xdr:from>
    <xdr:to>
      <xdr:col>3</xdr:col>
      <xdr:colOff>1003580</xdr:colOff>
      <xdr:row>287</xdr:row>
      <xdr:rowOff>303698</xdr:rowOff>
    </xdr:to>
    <xdr:sp macro="" textlink="">
      <xdr:nvSpPr>
        <xdr:cNvPr id="4324" name="hinh15">
          <a:extLst>
            <a:ext uri="{FF2B5EF4-FFF2-40B4-BE49-F238E27FC236}">
              <a16:creationId xmlns:a16="http://schemas.microsoft.com/office/drawing/2014/main" id="{2D7E0BFE-1025-4A5C-BC41-6DED3383CE2C}"/>
            </a:ext>
          </a:extLst>
        </xdr:cNvPr>
        <xdr:cNvSpPr>
          <a:spLocks noChangeAspect="1"/>
        </xdr:cNvSpPr>
      </xdr:nvSpPr>
      <xdr:spPr bwMode="auto">
        <a:xfrm rot="10800000">
          <a:off x="2732279" y="768158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285</xdr:row>
      <xdr:rowOff>61296</xdr:rowOff>
    </xdr:from>
    <xdr:to>
      <xdr:col>3</xdr:col>
      <xdr:colOff>965880</xdr:colOff>
      <xdr:row>285</xdr:row>
      <xdr:rowOff>224979</xdr:rowOff>
    </xdr:to>
    <xdr:grpSp>
      <xdr:nvGrpSpPr>
        <xdr:cNvPr id="4325" name="hinh2">
          <a:extLst>
            <a:ext uri="{FF2B5EF4-FFF2-40B4-BE49-F238E27FC236}">
              <a16:creationId xmlns:a16="http://schemas.microsoft.com/office/drawing/2014/main" id="{1BE4A770-8636-433C-AE79-F9E01E4C8EA7}"/>
            </a:ext>
          </a:extLst>
        </xdr:cNvPr>
        <xdr:cNvGrpSpPr>
          <a:grpSpLocks noChangeAspect="1"/>
        </xdr:cNvGrpSpPr>
      </xdr:nvGrpSpPr>
      <xdr:grpSpPr bwMode="auto">
        <a:xfrm>
          <a:off x="2735410" y="89260120"/>
          <a:ext cx="875058" cy="163683"/>
          <a:chOff x="206" y="86"/>
          <a:chExt cx="73" cy="16"/>
        </a:xfrm>
      </xdr:grpSpPr>
      <xdr:sp macro="" textlink="">
        <xdr:nvSpPr>
          <xdr:cNvPr id="4326" name="Line 6">
            <a:extLst>
              <a:ext uri="{FF2B5EF4-FFF2-40B4-BE49-F238E27FC236}">
                <a16:creationId xmlns:a16="http://schemas.microsoft.com/office/drawing/2014/main" id="{B0ECD447-85BC-7EAC-A3D0-CE4DFCF673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7" name="Line 7">
            <a:extLst>
              <a:ext uri="{FF2B5EF4-FFF2-40B4-BE49-F238E27FC236}">
                <a16:creationId xmlns:a16="http://schemas.microsoft.com/office/drawing/2014/main" id="{4C938ADB-2574-675F-8AC4-1806443155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8" name="Line 8">
            <a:extLst>
              <a:ext uri="{FF2B5EF4-FFF2-40B4-BE49-F238E27FC236}">
                <a16:creationId xmlns:a16="http://schemas.microsoft.com/office/drawing/2014/main" id="{F7B82439-981C-BBC9-F894-D15E6A1F70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288</xdr:row>
      <xdr:rowOff>62196</xdr:rowOff>
    </xdr:from>
    <xdr:to>
      <xdr:col>3</xdr:col>
      <xdr:colOff>952499</xdr:colOff>
      <xdr:row>288</xdr:row>
      <xdr:rowOff>213437</xdr:rowOff>
    </xdr:to>
    <xdr:grpSp>
      <xdr:nvGrpSpPr>
        <xdr:cNvPr id="4329" name="hinh3">
          <a:extLst>
            <a:ext uri="{FF2B5EF4-FFF2-40B4-BE49-F238E27FC236}">
              <a16:creationId xmlns:a16="http://schemas.microsoft.com/office/drawing/2014/main" id="{D5F53EE5-D2DD-4322-80C9-AD882E472010}"/>
            </a:ext>
          </a:extLst>
        </xdr:cNvPr>
        <xdr:cNvGrpSpPr>
          <a:grpSpLocks noChangeAspect="1"/>
        </xdr:cNvGrpSpPr>
      </xdr:nvGrpSpPr>
      <xdr:grpSpPr bwMode="auto">
        <a:xfrm>
          <a:off x="2735376" y="90202314"/>
          <a:ext cx="861711" cy="151241"/>
          <a:chOff x="206" y="112"/>
          <a:chExt cx="73" cy="16"/>
        </a:xfrm>
      </xdr:grpSpPr>
      <xdr:sp macro="" textlink="">
        <xdr:nvSpPr>
          <xdr:cNvPr id="4330" name="Line 3">
            <a:extLst>
              <a:ext uri="{FF2B5EF4-FFF2-40B4-BE49-F238E27FC236}">
                <a16:creationId xmlns:a16="http://schemas.microsoft.com/office/drawing/2014/main" id="{C39A3F69-6631-9222-0CB8-C612770C12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1" name="Line 4">
            <a:extLst>
              <a:ext uri="{FF2B5EF4-FFF2-40B4-BE49-F238E27FC236}">
                <a16:creationId xmlns:a16="http://schemas.microsoft.com/office/drawing/2014/main" id="{C338F23D-6C26-12C6-27EC-BEF641EE89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286</xdr:row>
      <xdr:rowOff>50652</xdr:rowOff>
    </xdr:from>
    <xdr:to>
      <xdr:col>3</xdr:col>
      <xdr:colOff>962981</xdr:colOff>
      <xdr:row>286</xdr:row>
      <xdr:rowOff>214335</xdr:rowOff>
    </xdr:to>
    <xdr:grpSp>
      <xdr:nvGrpSpPr>
        <xdr:cNvPr id="4332" name="hinh2">
          <a:extLst>
            <a:ext uri="{FF2B5EF4-FFF2-40B4-BE49-F238E27FC236}">
              <a16:creationId xmlns:a16="http://schemas.microsoft.com/office/drawing/2014/main" id="{605EEB04-C4A4-4D82-B956-FA9EAD58F242}"/>
            </a:ext>
          </a:extLst>
        </xdr:cNvPr>
        <xdr:cNvGrpSpPr>
          <a:grpSpLocks noChangeAspect="1"/>
        </xdr:cNvGrpSpPr>
      </xdr:nvGrpSpPr>
      <xdr:grpSpPr bwMode="auto">
        <a:xfrm>
          <a:off x="2732511" y="89563240"/>
          <a:ext cx="875058" cy="163683"/>
          <a:chOff x="206" y="86"/>
          <a:chExt cx="73" cy="16"/>
        </a:xfrm>
      </xdr:grpSpPr>
      <xdr:sp macro="" textlink="">
        <xdr:nvSpPr>
          <xdr:cNvPr id="4333" name="Line 6">
            <a:extLst>
              <a:ext uri="{FF2B5EF4-FFF2-40B4-BE49-F238E27FC236}">
                <a16:creationId xmlns:a16="http://schemas.microsoft.com/office/drawing/2014/main" id="{563EB93A-8761-7ACB-B263-CBAD390000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4" name="Line 7">
            <a:extLst>
              <a:ext uri="{FF2B5EF4-FFF2-40B4-BE49-F238E27FC236}">
                <a16:creationId xmlns:a16="http://schemas.microsoft.com/office/drawing/2014/main" id="{F3CFDC7B-9165-BEA1-FAC5-DCD7908074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5" name="Line 8">
            <a:extLst>
              <a:ext uri="{FF2B5EF4-FFF2-40B4-BE49-F238E27FC236}">
                <a16:creationId xmlns:a16="http://schemas.microsoft.com/office/drawing/2014/main" id="{FA8FFB3D-DDEA-9D14-C76C-2483706868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293</xdr:row>
      <xdr:rowOff>55220</xdr:rowOff>
    </xdr:from>
    <xdr:to>
      <xdr:col>3</xdr:col>
      <xdr:colOff>1003580</xdr:colOff>
      <xdr:row>293</xdr:row>
      <xdr:rowOff>303698</xdr:rowOff>
    </xdr:to>
    <xdr:sp macro="" textlink="">
      <xdr:nvSpPr>
        <xdr:cNvPr id="4342" name="hinh15">
          <a:extLst>
            <a:ext uri="{FF2B5EF4-FFF2-40B4-BE49-F238E27FC236}">
              <a16:creationId xmlns:a16="http://schemas.microsoft.com/office/drawing/2014/main" id="{2B4CD752-FE43-4EB3-B755-6DE75A74EBAB}"/>
            </a:ext>
          </a:extLst>
        </xdr:cNvPr>
        <xdr:cNvSpPr>
          <a:spLocks noChangeAspect="1"/>
        </xdr:cNvSpPr>
      </xdr:nvSpPr>
      <xdr:spPr bwMode="auto">
        <a:xfrm rot="10800000">
          <a:off x="2732279" y="787099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291</xdr:row>
      <xdr:rowOff>61296</xdr:rowOff>
    </xdr:from>
    <xdr:to>
      <xdr:col>3</xdr:col>
      <xdr:colOff>965880</xdr:colOff>
      <xdr:row>291</xdr:row>
      <xdr:rowOff>224979</xdr:rowOff>
    </xdr:to>
    <xdr:grpSp>
      <xdr:nvGrpSpPr>
        <xdr:cNvPr id="4343" name="hinh2">
          <a:extLst>
            <a:ext uri="{FF2B5EF4-FFF2-40B4-BE49-F238E27FC236}">
              <a16:creationId xmlns:a16="http://schemas.microsoft.com/office/drawing/2014/main" id="{6EB210E0-5A1A-48CA-9700-6EAC39F2466D}"/>
            </a:ext>
          </a:extLst>
        </xdr:cNvPr>
        <xdr:cNvGrpSpPr>
          <a:grpSpLocks noChangeAspect="1"/>
        </xdr:cNvGrpSpPr>
      </xdr:nvGrpSpPr>
      <xdr:grpSpPr bwMode="auto">
        <a:xfrm>
          <a:off x="2735410" y="91142708"/>
          <a:ext cx="875058" cy="163683"/>
          <a:chOff x="206" y="86"/>
          <a:chExt cx="73" cy="16"/>
        </a:xfrm>
      </xdr:grpSpPr>
      <xdr:sp macro="" textlink="">
        <xdr:nvSpPr>
          <xdr:cNvPr id="4344" name="Line 6">
            <a:extLst>
              <a:ext uri="{FF2B5EF4-FFF2-40B4-BE49-F238E27FC236}">
                <a16:creationId xmlns:a16="http://schemas.microsoft.com/office/drawing/2014/main" id="{2AEFB2B3-DA8C-F152-3223-51E3AD0746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5" name="Line 7">
            <a:extLst>
              <a:ext uri="{FF2B5EF4-FFF2-40B4-BE49-F238E27FC236}">
                <a16:creationId xmlns:a16="http://schemas.microsoft.com/office/drawing/2014/main" id="{86FD53BE-79CA-042A-5D6C-4942243FA8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6" name="Line 8">
            <a:extLst>
              <a:ext uri="{FF2B5EF4-FFF2-40B4-BE49-F238E27FC236}">
                <a16:creationId xmlns:a16="http://schemas.microsoft.com/office/drawing/2014/main" id="{C8CF61B2-750B-BCDB-6AD3-F51E5450D8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294</xdr:row>
      <xdr:rowOff>62196</xdr:rowOff>
    </xdr:from>
    <xdr:to>
      <xdr:col>3</xdr:col>
      <xdr:colOff>952499</xdr:colOff>
      <xdr:row>294</xdr:row>
      <xdr:rowOff>213437</xdr:rowOff>
    </xdr:to>
    <xdr:grpSp>
      <xdr:nvGrpSpPr>
        <xdr:cNvPr id="4347" name="hinh3">
          <a:extLst>
            <a:ext uri="{FF2B5EF4-FFF2-40B4-BE49-F238E27FC236}">
              <a16:creationId xmlns:a16="http://schemas.microsoft.com/office/drawing/2014/main" id="{97F6F19D-EF05-4ADC-ACD6-07ACF81A8CC5}"/>
            </a:ext>
          </a:extLst>
        </xdr:cNvPr>
        <xdr:cNvGrpSpPr>
          <a:grpSpLocks noChangeAspect="1"/>
        </xdr:cNvGrpSpPr>
      </xdr:nvGrpSpPr>
      <xdr:grpSpPr bwMode="auto">
        <a:xfrm>
          <a:off x="2735376" y="92084902"/>
          <a:ext cx="861711" cy="151241"/>
          <a:chOff x="206" y="112"/>
          <a:chExt cx="73" cy="16"/>
        </a:xfrm>
      </xdr:grpSpPr>
      <xdr:sp macro="" textlink="">
        <xdr:nvSpPr>
          <xdr:cNvPr id="4348" name="Line 3">
            <a:extLst>
              <a:ext uri="{FF2B5EF4-FFF2-40B4-BE49-F238E27FC236}">
                <a16:creationId xmlns:a16="http://schemas.microsoft.com/office/drawing/2014/main" id="{BA0367AA-6B24-3578-9158-EABCEA383C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5" name="Line 4">
            <a:extLst>
              <a:ext uri="{FF2B5EF4-FFF2-40B4-BE49-F238E27FC236}">
                <a16:creationId xmlns:a16="http://schemas.microsoft.com/office/drawing/2014/main" id="{DFF29E5E-EACB-4CCC-6B86-21AE2F3F04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292</xdr:row>
      <xdr:rowOff>50652</xdr:rowOff>
    </xdr:from>
    <xdr:to>
      <xdr:col>3</xdr:col>
      <xdr:colOff>962981</xdr:colOff>
      <xdr:row>292</xdr:row>
      <xdr:rowOff>214335</xdr:rowOff>
    </xdr:to>
    <xdr:grpSp>
      <xdr:nvGrpSpPr>
        <xdr:cNvPr id="4356" name="hinh2">
          <a:extLst>
            <a:ext uri="{FF2B5EF4-FFF2-40B4-BE49-F238E27FC236}">
              <a16:creationId xmlns:a16="http://schemas.microsoft.com/office/drawing/2014/main" id="{8431CAAD-F5F6-47B3-A11C-C68459B55374}"/>
            </a:ext>
          </a:extLst>
        </xdr:cNvPr>
        <xdr:cNvGrpSpPr>
          <a:grpSpLocks noChangeAspect="1"/>
        </xdr:cNvGrpSpPr>
      </xdr:nvGrpSpPr>
      <xdr:grpSpPr bwMode="auto">
        <a:xfrm>
          <a:off x="2732511" y="91445828"/>
          <a:ext cx="875058" cy="163683"/>
          <a:chOff x="206" y="86"/>
          <a:chExt cx="73" cy="16"/>
        </a:xfrm>
      </xdr:grpSpPr>
      <xdr:sp macro="" textlink="">
        <xdr:nvSpPr>
          <xdr:cNvPr id="4357" name="Line 6">
            <a:extLst>
              <a:ext uri="{FF2B5EF4-FFF2-40B4-BE49-F238E27FC236}">
                <a16:creationId xmlns:a16="http://schemas.microsoft.com/office/drawing/2014/main" id="{5E90BBB2-819C-1887-1280-12667D7E1E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8" name="Line 7">
            <a:extLst>
              <a:ext uri="{FF2B5EF4-FFF2-40B4-BE49-F238E27FC236}">
                <a16:creationId xmlns:a16="http://schemas.microsoft.com/office/drawing/2014/main" id="{91277757-E32C-222F-1C9F-7C6994C750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9" name="Line 8">
            <a:extLst>
              <a:ext uri="{FF2B5EF4-FFF2-40B4-BE49-F238E27FC236}">
                <a16:creationId xmlns:a16="http://schemas.microsoft.com/office/drawing/2014/main" id="{1C40CEFD-02B7-4DD8-9ADE-DE2B9E48A2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298</xdr:row>
      <xdr:rowOff>55220</xdr:rowOff>
    </xdr:from>
    <xdr:to>
      <xdr:col>3</xdr:col>
      <xdr:colOff>1003580</xdr:colOff>
      <xdr:row>298</xdr:row>
      <xdr:rowOff>303698</xdr:rowOff>
    </xdr:to>
    <xdr:sp macro="" textlink="">
      <xdr:nvSpPr>
        <xdr:cNvPr id="4360" name="hinh15">
          <a:extLst>
            <a:ext uri="{FF2B5EF4-FFF2-40B4-BE49-F238E27FC236}">
              <a16:creationId xmlns:a16="http://schemas.microsoft.com/office/drawing/2014/main" id="{08332C22-A496-4090-BBAE-95E3E982CEED}"/>
            </a:ext>
          </a:extLst>
        </xdr:cNvPr>
        <xdr:cNvSpPr>
          <a:spLocks noChangeAspect="1"/>
        </xdr:cNvSpPr>
      </xdr:nvSpPr>
      <xdr:spPr bwMode="auto">
        <a:xfrm rot="10800000">
          <a:off x="2732279" y="802883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296</xdr:row>
      <xdr:rowOff>61296</xdr:rowOff>
    </xdr:from>
    <xdr:to>
      <xdr:col>3</xdr:col>
      <xdr:colOff>965880</xdr:colOff>
      <xdr:row>296</xdr:row>
      <xdr:rowOff>224979</xdr:rowOff>
    </xdr:to>
    <xdr:grpSp>
      <xdr:nvGrpSpPr>
        <xdr:cNvPr id="4361" name="hinh2">
          <a:extLst>
            <a:ext uri="{FF2B5EF4-FFF2-40B4-BE49-F238E27FC236}">
              <a16:creationId xmlns:a16="http://schemas.microsoft.com/office/drawing/2014/main" id="{E0AAEC5B-D1BC-4C37-AA15-E3B27849D1CB}"/>
            </a:ext>
          </a:extLst>
        </xdr:cNvPr>
        <xdr:cNvGrpSpPr>
          <a:grpSpLocks noChangeAspect="1"/>
        </xdr:cNvGrpSpPr>
      </xdr:nvGrpSpPr>
      <xdr:grpSpPr bwMode="auto">
        <a:xfrm>
          <a:off x="2735410" y="92711531"/>
          <a:ext cx="875058" cy="163683"/>
          <a:chOff x="206" y="86"/>
          <a:chExt cx="73" cy="16"/>
        </a:xfrm>
      </xdr:grpSpPr>
      <xdr:sp macro="" textlink="">
        <xdr:nvSpPr>
          <xdr:cNvPr id="4362" name="Line 6">
            <a:extLst>
              <a:ext uri="{FF2B5EF4-FFF2-40B4-BE49-F238E27FC236}">
                <a16:creationId xmlns:a16="http://schemas.microsoft.com/office/drawing/2014/main" id="{3A023C15-4C9D-16AC-F1AA-6DD480E7EC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3" name="Line 7">
            <a:extLst>
              <a:ext uri="{FF2B5EF4-FFF2-40B4-BE49-F238E27FC236}">
                <a16:creationId xmlns:a16="http://schemas.microsoft.com/office/drawing/2014/main" id="{0C5F2DBC-7EF5-A3EB-7B59-B6C511AAC5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4" name="Line 8">
            <a:extLst>
              <a:ext uri="{FF2B5EF4-FFF2-40B4-BE49-F238E27FC236}">
                <a16:creationId xmlns:a16="http://schemas.microsoft.com/office/drawing/2014/main" id="{2BBAD983-FC1D-2990-F594-C6664006AF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299</xdr:row>
      <xdr:rowOff>62196</xdr:rowOff>
    </xdr:from>
    <xdr:to>
      <xdr:col>3</xdr:col>
      <xdr:colOff>952499</xdr:colOff>
      <xdr:row>299</xdr:row>
      <xdr:rowOff>213437</xdr:rowOff>
    </xdr:to>
    <xdr:grpSp>
      <xdr:nvGrpSpPr>
        <xdr:cNvPr id="4365" name="hinh3">
          <a:extLst>
            <a:ext uri="{FF2B5EF4-FFF2-40B4-BE49-F238E27FC236}">
              <a16:creationId xmlns:a16="http://schemas.microsoft.com/office/drawing/2014/main" id="{67F2B083-9EEA-4957-8EA3-AD886E763D89}"/>
            </a:ext>
          </a:extLst>
        </xdr:cNvPr>
        <xdr:cNvGrpSpPr>
          <a:grpSpLocks noChangeAspect="1"/>
        </xdr:cNvGrpSpPr>
      </xdr:nvGrpSpPr>
      <xdr:grpSpPr bwMode="auto">
        <a:xfrm>
          <a:off x="2735376" y="93653725"/>
          <a:ext cx="861711" cy="151241"/>
          <a:chOff x="206" y="112"/>
          <a:chExt cx="73" cy="16"/>
        </a:xfrm>
      </xdr:grpSpPr>
      <xdr:sp macro="" textlink="">
        <xdr:nvSpPr>
          <xdr:cNvPr id="4366" name="Line 3">
            <a:extLst>
              <a:ext uri="{FF2B5EF4-FFF2-40B4-BE49-F238E27FC236}">
                <a16:creationId xmlns:a16="http://schemas.microsoft.com/office/drawing/2014/main" id="{C18124ED-B824-FDAF-0F90-38115DB472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7" name="Line 4">
            <a:extLst>
              <a:ext uri="{FF2B5EF4-FFF2-40B4-BE49-F238E27FC236}">
                <a16:creationId xmlns:a16="http://schemas.microsoft.com/office/drawing/2014/main" id="{A1CF15B6-5354-254C-8DC5-E49DFE4A3F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297</xdr:row>
      <xdr:rowOff>50652</xdr:rowOff>
    </xdr:from>
    <xdr:to>
      <xdr:col>3</xdr:col>
      <xdr:colOff>962981</xdr:colOff>
      <xdr:row>297</xdr:row>
      <xdr:rowOff>214335</xdr:rowOff>
    </xdr:to>
    <xdr:grpSp>
      <xdr:nvGrpSpPr>
        <xdr:cNvPr id="4368" name="hinh2">
          <a:extLst>
            <a:ext uri="{FF2B5EF4-FFF2-40B4-BE49-F238E27FC236}">
              <a16:creationId xmlns:a16="http://schemas.microsoft.com/office/drawing/2014/main" id="{3EB5C72B-4867-4230-A86D-554B8A897F4B}"/>
            </a:ext>
          </a:extLst>
        </xdr:cNvPr>
        <xdr:cNvGrpSpPr>
          <a:grpSpLocks noChangeAspect="1"/>
        </xdr:cNvGrpSpPr>
      </xdr:nvGrpSpPr>
      <xdr:grpSpPr bwMode="auto">
        <a:xfrm>
          <a:off x="2732511" y="93014652"/>
          <a:ext cx="875058" cy="163683"/>
          <a:chOff x="206" y="86"/>
          <a:chExt cx="73" cy="16"/>
        </a:xfrm>
      </xdr:grpSpPr>
      <xdr:sp macro="" textlink="">
        <xdr:nvSpPr>
          <xdr:cNvPr id="4369" name="Line 6">
            <a:extLst>
              <a:ext uri="{FF2B5EF4-FFF2-40B4-BE49-F238E27FC236}">
                <a16:creationId xmlns:a16="http://schemas.microsoft.com/office/drawing/2014/main" id="{A4171456-ECD6-D04E-020A-1EBC33C72F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0" name="Line 7">
            <a:extLst>
              <a:ext uri="{FF2B5EF4-FFF2-40B4-BE49-F238E27FC236}">
                <a16:creationId xmlns:a16="http://schemas.microsoft.com/office/drawing/2014/main" id="{2BA1A865-C4FA-713D-68CC-92FC975B3D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1" name="Line 8">
            <a:extLst>
              <a:ext uri="{FF2B5EF4-FFF2-40B4-BE49-F238E27FC236}">
                <a16:creationId xmlns:a16="http://schemas.microsoft.com/office/drawing/2014/main" id="{8F0BF68F-3B51-5F14-D641-EEF561FFED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303</xdr:row>
      <xdr:rowOff>55220</xdr:rowOff>
    </xdr:from>
    <xdr:to>
      <xdr:col>3</xdr:col>
      <xdr:colOff>1003580</xdr:colOff>
      <xdr:row>303</xdr:row>
      <xdr:rowOff>303698</xdr:rowOff>
    </xdr:to>
    <xdr:sp macro="" textlink="">
      <xdr:nvSpPr>
        <xdr:cNvPr id="4372" name="hinh15">
          <a:extLst>
            <a:ext uri="{FF2B5EF4-FFF2-40B4-BE49-F238E27FC236}">
              <a16:creationId xmlns:a16="http://schemas.microsoft.com/office/drawing/2014/main" id="{44D084B9-1C9C-4367-A5B1-ED0590184265}"/>
            </a:ext>
          </a:extLst>
        </xdr:cNvPr>
        <xdr:cNvSpPr>
          <a:spLocks noChangeAspect="1"/>
        </xdr:cNvSpPr>
      </xdr:nvSpPr>
      <xdr:spPr bwMode="auto">
        <a:xfrm rot="10800000">
          <a:off x="2732279" y="8186680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301</xdr:row>
      <xdr:rowOff>61296</xdr:rowOff>
    </xdr:from>
    <xdr:to>
      <xdr:col>3</xdr:col>
      <xdr:colOff>965880</xdr:colOff>
      <xdr:row>301</xdr:row>
      <xdr:rowOff>224979</xdr:rowOff>
    </xdr:to>
    <xdr:grpSp>
      <xdr:nvGrpSpPr>
        <xdr:cNvPr id="4373" name="hinh2">
          <a:extLst>
            <a:ext uri="{FF2B5EF4-FFF2-40B4-BE49-F238E27FC236}">
              <a16:creationId xmlns:a16="http://schemas.microsoft.com/office/drawing/2014/main" id="{93E563EB-DDC6-462E-9156-916EDE233822}"/>
            </a:ext>
          </a:extLst>
        </xdr:cNvPr>
        <xdr:cNvGrpSpPr>
          <a:grpSpLocks noChangeAspect="1"/>
        </xdr:cNvGrpSpPr>
      </xdr:nvGrpSpPr>
      <xdr:grpSpPr bwMode="auto">
        <a:xfrm>
          <a:off x="2735410" y="94280355"/>
          <a:ext cx="875058" cy="163683"/>
          <a:chOff x="206" y="86"/>
          <a:chExt cx="73" cy="16"/>
        </a:xfrm>
      </xdr:grpSpPr>
      <xdr:sp macro="" textlink="">
        <xdr:nvSpPr>
          <xdr:cNvPr id="4374" name="Line 6">
            <a:extLst>
              <a:ext uri="{FF2B5EF4-FFF2-40B4-BE49-F238E27FC236}">
                <a16:creationId xmlns:a16="http://schemas.microsoft.com/office/drawing/2014/main" id="{751D7427-D039-71E6-9178-F93F97777B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5" name="Line 7">
            <a:extLst>
              <a:ext uri="{FF2B5EF4-FFF2-40B4-BE49-F238E27FC236}">
                <a16:creationId xmlns:a16="http://schemas.microsoft.com/office/drawing/2014/main" id="{740C5677-C8D7-D920-1036-827EDD1AEE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6" name="Line 8">
            <a:extLst>
              <a:ext uri="{FF2B5EF4-FFF2-40B4-BE49-F238E27FC236}">
                <a16:creationId xmlns:a16="http://schemas.microsoft.com/office/drawing/2014/main" id="{97172145-0D7F-A064-54D5-1A0DF7FE0A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304</xdr:row>
      <xdr:rowOff>62196</xdr:rowOff>
    </xdr:from>
    <xdr:to>
      <xdr:col>3</xdr:col>
      <xdr:colOff>952499</xdr:colOff>
      <xdr:row>304</xdr:row>
      <xdr:rowOff>213437</xdr:rowOff>
    </xdr:to>
    <xdr:grpSp>
      <xdr:nvGrpSpPr>
        <xdr:cNvPr id="4377" name="hinh3">
          <a:extLst>
            <a:ext uri="{FF2B5EF4-FFF2-40B4-BE49-F238E27FC236}">
              <a16:creationId xmlns:a16="http://schemas.microsoft.com/office/drawing/2014/main" id="{F9EB83F7-E458-4752-AA7F-0F620F90D3E3}"/>
            </a:ext>
          </a:extLst>
        </xdr:cNvPr>
        <xdr:cNvGrpSpPr>
          <a:grpSpLocks noChangeAspect="1"/>
        </xdr:cNvGrpSpPr>
      </xdr:nvGrpSpPr>
      <xdr:grpSpPr bwMode="auto">
        <a:xfrm>
          <a:off x="2735376" y="95222549"/>
          <a:ext cx="861711" cy="151241"/>
          <a:chOff x="206" y="112"/>
          <a:chExt cx="73" cy="16"/>
        </a:xfrm>
      </xdr:grpSpPr>
      <xdr:sp macro="" textlink="">
        <xdr:nvSpPr>
          <xdr:cNvPr id="4378" name="Line 3">
            <a:extLst>
              <a:ext uri="{FF2B5EF4-FFF2-40B4-BE49-F238E27FC236}">
                <a16:creationId xmlns:a16="http://schemas.microsoft.com/office/drawing/2014/main" id="{03F84356-F957-5AFF-FF4B-AB410779F0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9" name="Line 4">
            <a:extLst>
              <a:ext uri="{FF2B5EF4-FFF2-40B4-BE49-F238E27FC236}">
                <a16:creationId xmlns:a16="http://schemas.microsoft.com/office/drawing/2014/main" id="{52224DF5-DB7A-4A5C-3E2C-6BCD5C90AA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302</xdr:row>
      <xdr:rowOff>50652</xdr:rowOff>
    </xdr:from>
    <xdr:to>
      <xdr:col>3</xdr:col>
      <xdr:colOff>962981</xdr:colOff>
      <xdr:row>302</xdr:row>
      <xdr:rowOff>214335</xdr:rowOff>
    </xdr:to>
    <xdr:grpSp>
      <xdr:nvGrpSpPr>
        <xdr:cNvPr id="4380" name="hinh2">
          <a:extLst>
            <a:ext uri="{FF2B5EF4-FFF2-40B4-BE49-F238E27FC236}">
              <a16:creationId xmlns:a16="http://schemas.microsoft.com/office/drawing/2014/main" id="{9CB34D83-48C6-46D0-895F-BF988E62690A}"/>
            </a:ext>
          </a:extLst>
        </xdr:cNvPr>
        <xdr:cNvGrpSpPr>
          <a:grpSpLocks noChangeAspect="1"/>
        </xdr:cNvGrpSpPr>
      </xdr:nvGrpSpPr>
      <xdr:grpSpPr bwMode="auto">
        <a:xfrm>
          <a:off x="2732511" y="94583476"/>
          <a:ext cx="875058" cy="163683"/>
          <a:chOff x="206" y="86"/>
          <a:chExt cx="73" cy="16"/>
        </a:xfrm>
      </xdr:grpSpPr>
      <xdr:sp macro="" textlink="">
        <xdr:nvSpPr>
          <xdr:cNvPr id="4381" name="Line 6">
            <a:extLst>
              <a:ext uri="{FF2B5EF4-FFF2-40B4-BE49-F238E27FC236}">
                <a16:creationId xmlns:a16="http://schemas.microsoft.com/office/drawing/2014/main" id="{A5C3D012-EEF3-1AD8-19AE-428EEB2CFB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2" name="Line 7">
            <a:extLst>
              <a:ext uri="{FF2B5EF4-FFF2-40B4-BE49-F238E27FC236}">
                <a16:creationId xmlns:a16="http://schemas.microsoft.com/office/drawing/2014/main" id="{1918F714-C7B4-5271-7692-86AE72976E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3" name="Line 8">
            <a:extLst>
              <a:ext uri="{FF2B5EF4-FFF2-40B4-BE49-F238E27FC236}">
                <a16:creationId xmlns:a16="http://schemas.microsoft.com/office/drawing/2014/main" id="{10E5954B-F0E2-B922-0D2D-13CA8ABAE6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309</xdr:row>
      <xdr:rowOff>55220</xdr:rowOff>
    </xdr:from>
    <xdr:to>
      <xdr:col>3</xdr:col>
      <xdr:colOff>1003580</xdr:colOff>
      <xdr:row>309</xdr:row>
      <xdr:rowOff>303698</xdr:rowOff>
    </xdr:to>
    <xdr:sp macro="" textlink="">
      <xdr:nvSpPr>
        <xdr:cNvPr id="4384" name="hinh15">
          <a:extLst>
            <a:ext uri="{FF2B5EF4-FFF2-40B4-BE49-F238E27FC236}">
              <a16:creationId xmlns:a16="http://schemas.microsoft.com/office/drawing/2014/main" id="{55EC2AB3-5A31-4C47-8EE7-FEEDF6BC47BF}"/>
            </a:ext>
          </a:extLst>
        </xdr:cNvPr>
        <xdr:cNvSpPr>
          <a:spLocks noChangeAspect="1"/>
        </xdr:cNvSpPr>
      </xdr:nvSpPr>
      <xdr:spPr bwMode="auto">
        <a:xfrm rot="10800000">
          <a:off x="2732279" y="837609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307</xdr:row>
      <xdr:rowOff>61296</xdr:rowOff>
    </xdr:from>
    <xdr:to>
      <xdr:col>3</xdr:col>
      <xdr:colOff>965880</xdr:colOff>
      <xdr:row>307</xdr:row>
      <xdr:rowOff>224979</xdr:rowOff>
    </xdr:to>
    <xdr:grpSp>
      <xdr:nvGrpSpPr>
        <xdr:cNvPr id="4385" name="hinh2">
          <a:extLst>
            <a:ext uri="{FF2B5EF4-FFF2-40B4-BE49-F238E27FC236}">
              <a16:creationId xmlns:a16="http://schemas.microsoft.com/office/drawing/2014/main" id="{B57FAFDD-8795-4697-897A-5E9D315E08BA}"/>
            </a:ext>
          </a:extLst>
        </xdr:cNvPr>
        <xdr:cNvGrpSpPr>
          <a:grpSpLocks noChangeAspect="1"/>
        </xdr:cNvGrpSpPr>
      </xdr:nvGrpSpPr>
      <xdr:grpSpPr bwMode="auto">
        <a:xfrm>
          <a:off x="2735410" y="96162943"/>
          <a:ext cx="875058" cy="163683"/>
          <a:chOff x="206" y="86"/>
          <a:chExt cx="73" cy="16"/>
        </a:xfrm>
      </xdr:grpSpPr>
      <xdr:sp macro="" textlink="">
        <xdr:nvSpPr>
          <xdr:cNvPr id="4386" name="Line 6">
            <a:extLst>
              <a:ext uri="{FF2B5EF4-FFF2-40B4-BE49-F238E27FC236}">
                <a16:creationId xmlns:a16="http://schemas.microsoft.com/office/drawing/2014/main" id="{B95350C2-88F9-764D-0BE8-8D21A38289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7" name="Line 7">
            <a:extLst>
              <a:ext uri="{FF2B5EF4-FFF2-40B4-BE49-F238E27FC236}">
                <a16:creationId xmlns:a16="http://schemas.microsoft.com/office/drawing/2014/main" id="{A225D03D-F8AC-2434-F45D-98F508F02D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8" name="Line 8">
            <a:extLst>
              <a:ext uri="{FF2B5EF4-FFF2-40B4-BE49-F238E27FC236}">
                <a16:creationId xmlns:a16="http://schemas.microsoft.com/office/drawing/2014/main" id="{9C446D23-352F-7AD3-9028-FBEEEF4F70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310</xdr:row>
      <xdr:rowOff>62196</xdr:rowOff>
    </xdr:from>
    <xdr:to>
      <xdr:col>3</xdr:col>
      <xdr:colOff>952499</xdr:colOff>
      <xdr:row>310</xdr:row>
      <xdr:rowOff>213437</xdr:rowOff>
    </xdr:to>
    <xdr:grpSp>
      <xdr:nvGrpSpPr>
        <xdr:cNvPr id="4389" name="hinh3">
          <a:extLst>
            <a:ext uri="{FF2B5EF4-FFF2-40B4-BE49-F238E27FC236}">
              <a16:creationId xmlns:a16="http://schemas.microsoft.com/office/drawing/2014/main" id="{C8FC7D09-00F3-45BD-AD55-03764212D1C2}"/>
            </a:ext>
          </a:extLst>
        </xdr:cNvPr>
        <xdr:cNvGrpSpPr>
          <a:grpSpLocks noChangeAspect="1"/>
        </xdr:cNvGrpSpPr>
      </xdr:nvGrpSpPr>
      <xdr:grpSpPr bwMode="auto">
        <a:xfrm>
          <a:off x="2735376" y="97105137"/>
          <a:ext cx="861711" cy="151241"/>
          <a:chOff x="206" y="112"/>
          <a:chExt cx="73" cy="16"/>
        </a:xfrm>
      </xdr:grpSpPr>
      <xdr:sp macro="" textlink="">
        <xdr:nvSpPr>
          <xdr:cNvPr id="4390" name="Line 3">
            <a:extLst>
              <a:ext uri="{FF2B5EF4-FFF2-40B4-BE49-F238E27FC236}">
                <a16:creationId xmlns:a16="http://schemas.microsoft.com/office/drawing/2014/main" id="{022C3F8E-4301-4FE6-D078-0B1EFBBA03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1" name="Line 4">
            <a:extLst>
              <a:ext uri="{FF2B5EF4-FFF2-40B4-BE49-F238E27FC236}">
                <a16:creationId xmlns:a16="http://schemas.microsoft.com/office/drawing/2014/main" id="{593CC474-84FF-576F-5577-7A367395E0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308</xdr:row>
      <xdr:rowOff>50652</xdr:rowOff>
    </xdr:from>
    <xdr:to>
      <xdr:col>3</xdr:col>
      <xdr:colOff>962981</xdr:colOff>
      <xdr:row>308</xdr:row>
      <xdr:rowOff>214335</xdr:rowOff>
    </xdr:to>
    <xdr:grpSp>
      <xdr:nvGrpSpPr>
        <xdr:cNvPr id="4392" name="hinh2">
          <a:extLst>
            <a:ext uri="{FF2B5EF4-FFF2-40B4-BE49-F238E27FC236}">
              <a16:creationId xmlns:a16="http://schemas.microsoft.com/office/drawing/2014/main" id="{64F29583-46D8-491D-84C4-AC51D12177C9}"/>
            </a:ext>
          </a:extLst>
        </xdr:cNvPr>
        <xdr:cNvGrpSpPr>
          <a:grpSpLocks noChangeAspect="1"/>
        </xdr:cNvGrpSpPr>
      </xdr:nvGrpSpPr>
      <xdr:grpSpPr bwMode="auto">
        <a:xfrm>
          <a:off x="2732511" y="96466064"/>
          <a:ext cx="875058" cy="163683"/>
          <a:chOff x="206" y="86"/>
          <a:chExt cx="73" cy="16"/>
        </a:xfrm>
      </xdr:grpSpPr>
      <xdr:sp macro="" textlink="">
        <xdr:nvSpPr>
          <xdr:cNvPr id="4393" name="Line 6">
            <a:extLst>
              <a:ext uri="{FF2B5EF4-FFF2-40B4-BE49-F238E27FC236}">
                <a16:creationId xmlns:a16="http://schemas.microsoft.com/office/drawing/2014/main" id="{F9EFF914-490A-053C-AF75-471C13A0BF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4" name="Line 7">
            <a:extLst>
              <a:ext uri="{FF2B5EF4-FFF2-40B4-BE49-F238E27FC236}">
                <a16:creationId xmlns:a16="http://schemas.microsoft.com/office/drawing/2014/main" id="{8AF0CD1A-E941-B044-3F1C-B84FDDD19A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5" name="Line 8">
            <a:extLst>
              <a:ext uri="{FF2B5EF4-FFF2-40B4-BE49-F238E27FC236}">
                <a16:creationId xmlns:a16="http://schemas.microsoft.com/office/drawing/2014/main" id="{8006C880-4E10-8E85-FB65-AE58A6CFDB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314</xdr:row>
      <xdr:rowOff>55220</xdr:rowOff>
    </xdr:from>
    <xdr:to>
      <xdr:col>3</xdr:col>
      <xdr:colOff>1003580</xdr:colOff>
      <xdr:row>314</xdr:row>
      <xdr:rowOff>303698</xdr:rowOff>
    </xdr:to>
    <xdr:sp macro="" textlink="">
      <xdr:nvSpPr>
        <xdr:cNvPr id="4396" name="hinh15">
          <a:extLst>
            <a:ext uri="{FF2B5EF4-FFF2-40B4-BE49-F238E27FC236}">
              <a16:creationId xmlns:a16="http://schemas.microsoft.com/office/drawing/2014/main" id="{C4D50288-8599-4946-AC54-FD9478A283F0}"/>
            </a:ext>
          </a:extLst>
        </xdr:cNvPr>
        <xdr:cNvSpPr>
          <a:spLocks noChangeAspect="1"/>
        </xdr:cNvSpPr>
      </xdr:nvSpPr>
      <xdr:spPr bwMode="auto">
        <a:xfrm rot="10800000">
          <a:off x="2732279" y="853393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312</xdr:row>
      <xdr:rowOff>61296</xdr:rowOff>
    </xdr:from>
    <xdr:to>
      <xdr:col>3</xdr:col>
      <xdr:colOff>965880</xdr:colOff>
      <xdr:row>312</xdr:row>
      <xdr:rowOff>224979</xdr:rowOff>
    </xdr:to>
    <xdr:grpSp>
      <xdr:nvGrpSpPr>
        <xdr:cNvPr id="4397" name="hinh2">
          <a:extLst>
            <a:ext uri="{FF2B5EF4-FFF2-40B4-BE49-F238E27FC236}">
              <a16:creationId xmlns:a16="http://schemas.microsoft.com/office/drawing/2014/main" id="{E3F99A14-689E-4104-A15E-79EC743598B4}"/>
            </a:ext>
          </a:extLst>
        </xdr:cNvPr>
        <xdr:cNvGrpSpPr>
          <a:grpSpLocks noChangeAspect="1"/>
        </xdr:cNvGrpSpPr>
      </xdr:nvGrpSpPr>
      <xdr:grpSpPr bwMode="auto">
        <a:xfrm>
          <a:off x="2735410" y="97731767"/>
          <a:ext cx="875058" cy="163683"/>
          <a:chOff x="206" y="86"/>
          <a:chExt cx="73" cy="16"/>
        </a:xfrm>
      </xdr:grpSpPr>
      <xdr:sp macro="" textlink="">
        <xdr:nvSpPr>
          <xdr:cNvPr id="4398" name="Line 6">
            <a:extLst>
              <a:ext uri="{FF2B5EF4-FFF2-40B4-BE49-F238E27FC236}">
                <a16:creationId xmlns:a16="http://schemas.microsoft.com/office/drawing/2014/main" id="{E95803A7-6F0D-07A4-1954-DA174BACDD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9" name="Line 7">
            <a:extLst>
              <a:ext uri="{FF2B5EF4-FFF2-40B4-BE49-F238E27FC236}">
                <a16:creationId xmlns:a16="http://schemas.microsoft.com/office/drawing/2014/main" id="{A2E967C0-C92C-7038-CF58-E2B2F008CA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0" name="Line 8">
            <a:extLst>
              <a:ext uri="{FF2B5EF4-FFF2-40B4-BE49-F238E27FC236}">
                <a16:creationId xmlns:a16="http://schemas.microsoft.com/office/drawing/2014/main" id="{6BE972F9-EBE3-C703-CCB2-FDB617231F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315</xdr:row>
      <xdr:rowOff>62196</xdr:rowOff>
    </xdr:from>
    <xdr:to>
      <xdr:col>3</xdr:col>
      <xdr:colOff>952499</xdr:colOff>
      <xdr:row>315</xdr:row>
      <xdr:rowOff>213437</xdr:rowOff>
    </xdr:to>
    <xdr:grpSp>
      <xdr:nvGrpSpPr>
        <xdr:cNvPr id="4401" name="hinh3">
          <a:extLst>
            <a:ext uri="{FF2B5EF4-FFF2-40B4-BE49-F238E27FC236}">
              <a16:creationId xmlns:a16="http://schemas.microsoft.com/office/drawing/2014/main" id="{A3B90DFA-2522-4FC6-A473-19086CE25FB0}"/>
            </a:ext>
          </a:extLst>
        </xdr:cNvPr>
        <xdr:cNvGrpSpPr>
          <a:grpSpLocks noChangeAspect="1"/>
        </xdr:cNvGrpSpPr>
      </xdr:nvGrpSpPr>
      <xdr:grpSpPr bwMode="auto">
        <a:xfrm>
          <a:off x="2735376" y="98673961"/>
          <a:ext cx="861711" cy="151241"/>
          <a:chOff x="206" y="112"/>
          <a:chExt cx="73" cy="16"/>
        </a:xfrm>
      </xdr:grpSpPr>
      <xdr:sp macro="" textlink="">
        <xdr:nvSpPr>
          <xdr:cNvPr id="4402" name="Line 3">
            <a:extLst>
              <a:ext uri="{FF2B5EF4-FFF2-40B4-BE49-F238E27FC236}">
                <a16:creationId xmlns:a16="http://schemas.microsoft.com/office/drawing/2014/main" id="{A5E42B11-562E-EBF9-89D1-791F3E0515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3" name="Line 4">
            <a:extLst>
              <a:ext uri="{FF2B5EF4-FFF2-40B4-BE49-F238E27FC236}">
                <a16:creationId xmlns:a16="http://schemas.microsoft.com/office/drawing/2014/main" id="{5E4F4D32-536A-C424-27A6-48A03EA065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313</xdr:row>
      <xdr:rowOff>50652</xdr:rowOff>
    </xdr:from>
    <xdr:to>
      <xdr:col>3</xdr:col>
      <xdr:colOff>962981</xdr:colOff>
      <xdr:row>313</xdr:row>
      <xdr:rowOff>214335</xdr:rowOff>
    </xdr:to>
    <xdr:grpSp>
      <xdr:nvGrpSpPr>
        <xdr:cNvPr id="4404" name="hinh2">
          <a:extLst>
            <a:ext uri="{FF2B5EF4-FFF2-40B4-BE49-F238E27FC236}">
              <a16:creationId xmlns:a16="http://schemas.microsoft.com/office/drawing/2014/main" id="{96E2CFC0-C994-42C2-AD3C-E14BE8D91C97}"/>
            </a:ext>
          </a:extLst>
        </xdr:cNvPr>
        <xdr:cNvGrpSpPr>
          <a:grpSpLocks noChangeAspect="1"/>
        </xdr:cNvGrpSpPr>
      </xdr:nvGrpSpPr>
      <xdr:grpSpPr bwMode="auto">
        <a:xfrm>
          <a:off x="2732511" y="98034887"/>
          <a:ext cx="875058" cy="163683"/>
          <a:chOff x="206" y="86"/>
          <a:chExt cx="73" cy="16"/>
        </a:xfrm>
      </xdr:grpSpPr>
      <xdr:sp macro="" textlink="">
        <xdr:nvSpPr>
          <xdr:cNvPr id="4405" name="Line 6">
            <a:extLst>
              <a:ext uri="{FF2B5EF4-FFF2-40B4-BE49-F238E27FC236}">
                <a16:creationId xmlns:a16="http://schemas.microsoft.com/office/drawing/2014/main" id="{F15D63E2-A673-CB91-0FBB-00A42289C0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6" name="Line 7">
            <a:extLst>
              <a:ext uri="{FF2B5EF4-FFF2-40B4-BE49-F238E27FC236}">
                <a16:creationId xmlns:a16="http://schemas.microsoft.com/office/drawing/2014/main" id="{49849C62-8210-AC89-5B06-B55BD7AA4E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7" name="Line 8">
            <a:extLst>
              <a:ext uri="{FF2B5EF4-FFF2-40B4-BE49-F238E27FC236}">
                <a16:creationId xmlns:a16="http://schemas.microsoft.com/office/drawing/2014/main" id="{3B4E44E7-1DC3-8371-FA82-C5A7AF47EB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319</xdr:row>
      <xdr:rowOff>55220</xdr:rowOff>
    </xdr:from>
    <xdr:to>
      <xdr:col>3</xdr:col>
      <xdr:colOff>1003580</xdr:colOff>
      <xdr:row>319</xdr:row>
      <xdr:rowOff>303698</xdr:rowOff>
    </xdr:to>
    <xdr:sp macro="" textlink="">
      <xdr:nvSpPr>
        <xdr:cNvPr id="4408" name="hinh15">
          <a:extLst>
            <a:ext uri="{FF2B5EF4-FFF2-40B4-BE49-F238E27FC236}">
              <a16:creationId xmlns:a16="http://schemas.microsoft.com/office/drawing/2014/main" id="{B388BA7E-9962-4BD3-B6B3-8FCE20B54F30}"/>
            </a:ext>
          </a:extLst>
        </xdr:cNvPr>
        <xdr:cNvSpPr>
          <a:spLocks noChangeAspect="1"/>
        </xdr:cNvSpPr>
      </xdr:nvSpPr>
      <xdr:spPr bwMode="auto">
        <a:xfrm rot="10800000">
          <a:off x="2732279" y="869177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317</xdr:row>
      <xdr:rowOff>61296</xdr:rowOff>
    </xdr:from>
    <xdr:to>
      <xdr:col>3</xdr:col>
      <xdr:colOff>965880</xdr:colOff>
      <xdr:row>317</xdr:row>
      <xdr:rowOff>224979</xdr:rowOff>
    </xdr:to>
    <xdr:grpSp>
      <xdr:nvGrpSpPr>
        <xdr:cNvPr id="4409" name="hinh2">
          <a:extLst>
            <a:ext uri="{FF2B5EF4-FFF2-40B4-BE49-F238E27FC236}">
              <a16:creationId xmlns:a16="http://schemas.microsoft.com/office/drawing/2014/main" id="{5FEDE892-65C8-4306-8E22-15985F9086E0}"/>
            </a:ext>
          </a:extLst>
        </xdr:cNvPr>
        <xdr:cNvGrpSpPr>
          <a:grpSpLocks noChangeAspect="1"/>
        </xdr:cNvGrpSpPr>
      </xdr:nvGrpSpPr>
      <xdr:grpSpPr bwMode="auto">
        <a:xfrm>
          <a:off x="2735410" y="99300590"/>
          <a:ext cx="875058" cy="163683"/>
          <a:chOff x="206" y="86"/>
          <a:chExt cx="73" cy="16"/>
        </a:xfrm>
      </xdr:grpSpPr>
      <xdr:sp macro="" textlink="">
        <xdr:nvSpPr>
          <xdr:cNvPr id="4410" name="Line 6">
            <a:extLst>
              <a:ext uri="{FF2B5EF4-FFF2-40B4-BE49-F238E27FC236}">
                <a16:creationId xmlns:a16="http://schemas.microsoft.com/office/drawing/2014/main" id="{C51D12FC-5533-37B1-B1A5-1181993A6A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1" name="Line 7">
            <a:extLst>
              <a:ext uri="{FF2B5EF4-FFF2-40B4-BE49-F238E27FC236}">
                <a16:creationId xmlns:a16="http://schemas.microsoft.com/office/drawing/2014/main" id="{7CD0845A-8891-48A8-C200-4B055BD930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2" name="Line 8">
            <a:extLst>
              <a:ext uri="{FF2B5EF4-FFF2-40B4-BE49-F238E27FC236}">
                <a16:creationId xmlns:a16="http://schemas.microsoft.com/office/drawing/2014/main" id="{18247307-F0C4-CB8D-97B1-149B1E6175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320</xdr:row>
      <xdr:rowOff>62196</xdr:rowOff>
    </xdr:from>
    <xdr:to>
      <xdr:col>3</xdr:col>
      <xdr:colOff>952499</xdr:colOff>
      <xdr:row>320</xdr:row>
      <xdr:rowOff>213437</xdr:rowOff>
    </xdr:to>
    <xdr:grpSp>
      <xdr:nvGrpSpPr>
        <xdr:cNvPr id="4413" name="hinh3">
          <a:extLst>
            <a:ext uri="{FF2B5EF4-FFF2-40B4-BE49-F238E27FC236}">
              <a16:creationId xmlns:a16="http://schemas.microsoft.com/office/drawing/2014/main" id="{FBD6617D-4257-4615-AC68-A27851C67886}"/>
            </a:ext>
          </a:extLst>
        </xdr:cNvPr>
        <xdr:cNvGrpSpPr>
          <a:grpSpLocks noChangeAspect="1"/>
        </xdr:cNvGrpSpPr>
      </xdr:nvGrpSpPr>
      <xdr:grpSpPr bwMode="auto">
        <a:xfrm>
          <a:off x="2735376" y="100242784"/>
          <a:ext cx="861711" cy="151241"/>
          <a:chOff x="206" y="112"/>
          <a:chExt cx="73" cy="16"/>
        </a:xfrm>
      </xdr:grpSpPr>
      <xdr:sp macro="" textlink="">
        <xdr:nvSpPr>
          <xdr:cNvPr id="4414" name="Line 3">
            <a:extLst>
              <a:ext uri="{FF2B5EF4-FFF2-40B4-BE49-F238E27FC236}">
                <a16:creationId xmlns:a16="http://schemas.microsoft.com/office/drawing/2014/main" id="{0C0FCC2F-FB68-79AC-2733-0EEB6A6AAC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5" name="Line 4">
            <a:extLst>
              <a:ext uri="{FF2B5EF4-FFF2-40B4-BE49-F238E27FC236}">
                <a16:creationId xmlns:a16="http://schemas.microsoft.com/office/drawing/2014/main" id="{F35222AD-4079-65E6-9F5C-7E7E59AA6F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318</xdr:row>
      <xdr:rowOff>50652</xdr:rowOff>
    </xdr:from>
    <xdr:to>
      <xdr:col>3</xdr:col>
      <xdr:colOff>962981</xdr:colOff>
      <xdr:row>318</xdr:row>
      <xdr:rowOff>214335</xdr:rowOff>
    </xdr:to>
    <xdr:grpSp>
      <xdr:nvGrpSpPr>
        <xdr:cNvPr id="4736" name="hinh2">
          <a:extLst>
            <a:ext uri="{FF2B5EF4-FFF2-40B4-BE49-F238E27FC236}">
              <a16:creationId xmlns:a16="http://schemas.microsoft.com/office/drawing/2014/main" id="{85D08871-FF76-4ABB-A149-B7CC5F45D2C2}"/>
            </a:ext>
          </a:extLst>
        </xdr:cNvPr>
        <xdr:cNvGrpSpPr>
          <a:grpSpLocks noChangeAspect="1"/>
        </xdr:cNvGrpSpPr>
      </xdr:nvGrpSpPr>
      <xdr:grpSpPr bwMode="auto">
        <a:xfrm>
          <a:off x="2732511" y="99603711"/>
          <a:ext cx="875058" cy="163683"/>
          <a:chOff x="206" y="86"/>
          <a:chExt cx="73" cy="16"/>
        </a:xfrm>
      </xdr:grpSpPr>
      <xdr:sp macro="" textlink="">
        <xdr:nvSpPr>
          <xdr:cNvPr id="4737" name="Line 6">
            <a:extLst>
              <a:ext uri="{FF2B5EF4-FFF2-40B4-BE49-F238E27FC236}">
                <a16:creationId xmlns:a16="http://schemas.microsoft.com/office/drawing/2014/main" id="{FE5710B4-6848-AF96-D64D-8FEA925223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8" name="Line 7">
            <a:extLst>
              <a:ext uri="{FF2B5EF4-FFF2-40B4-BE49-F238E27FC236}">
                <a16:creationId xmlns:a16="http://schemas.microsoft.com/office/drawing/2014/main" id="{B085F7A9-003A-1995-44F0-52A8087951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9" name="Line 8">
            <a:extLst>
              <a:ext uri="{FF2B5EF4-FFF2-40B4-BE49-F238E27FC236}">
                <a16:creationId xmlns:a16="http://schemas.microsoft.com/office/drawing/2014/main" id="{13EA46DA-1CF3-E694-374A-75BADE66E8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325</xdr:row>
      <xdr:rowOff>55220</xdr:rowOff>
    </xdr:from>
    <xdr:to>
      <xdr:col>3</xdr:col>
      <xdr:colOff>1003580</xdr:colOff>
      <xdr:row>325</xdr:row>
      <xdr:rowOff>303698</xdr:rowOff>
    </xdr:to>
    <xdr:sp macro="" textlink="">
      <xdr:nvSpPr>
        <xdr:cNvPr id="4740" name="hinh15">
          <a:extLst>
            <a:ext uri="{FF2B5EF4-FFF2-40B4-BE49-F238E27FC236}">
              <a16:creationId xmlns:a16="http://schemas.microsoft.com/office/drawing/2014/main" id="{98A2F1B8-E959-4F6C-80A7-0E52D97A1045}"/>
            </a:ext>
          </a:extLst>
        </xdr:cNvPr>
        <xdr:cNvSpPr>
          <a:spLocks noChangeAspect="1"/>
        </xdr:cNvSpPr>
      </xdr:nvSpPr>
      <xdr:spPr bwMode="auto">
        <a:xfrm rot="10800000">
          <a:off x="2732279" y="888118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323</xdr:row>
      <xdr:rowOff>61296</xdr:rowOff>
    </xdr:from>
    <xdr:to>
      <xdr:col>3</xdr:col>
      <xdr:colOff>965880</xdr:colOff>
      <xdr:row>323</xdr:row>
      <xdr:rowOff>224979</xdr:rowOff>
    </xdr:to>
    <xdr:grpSp>
      <xdr:nvGrpSpPr>
        <xdr:cNvPr id="4741" name="hinh2">
          <a:extLst>
            <a:ext uri="{FF2B5EF4-FFF2-40B4-BE49-F238E27FC236}">
              <a16:creationId xmlns:a16="http://schemas.microsoft.com/office/drawing/2014/main" id="{AC6E4B42-6EA2-402E-B2A1-A7004F6CE767}"/>
            </a:ext>
          </a:extLst>
        </xdr:cNvPr>
        <xdr:cNvGrpSpPr>
          <a:grpSpLocks noChangeAspect="1"/>
        </xdr:cNvGrpSpPr>
      </xdr:nvGrpSpPr>
      <xdr:grpSpPr bwMode="auto">
        <a:xfrm>
          <a:off x="2735410" y="101183178"/>
          <a:ext cx="875058" cy="163683"/>
          <a:chOff x="206" y="86"/>
          <a:chExt cx="73" cy="16"/>
        </a:xfrm>
      </xdr:grpSpPr>
      <xdr:sp macro="" textlink="">
        <xdr:nvSpPr>
          <xdr:cNvPr id="4742" name="Line 6">
            <a:extLst>
              <a:ext uri="{FF2B5EF4-FFF2-40B4-BE49-F238E27FC236}">
                <a16:creationId xmlns:a16="http://schemas.microsoft.com/office/drawing/2014/main" id="{99ED6A4B-EA71-F1AB-1912-6FD3A3E0B6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3" name="Line 7">
            <a:extLst>
              <a:ext uri="{FF2B5EF4-FFF2-40B4-BE49-F238E27FC236}">
                <a16:creationId xmlns:a16="http://schemas.microsoft.com/office/drawing/2014/main" id="{EA59B1E3-DDA6-17D3-7027-6629FD5077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4" name="Line 8">
            <a:extLst>
              <a:ext uri="{FF2B5EF4-FFF2-40B4-BE49-F238E27FC236}">
                <a16:creationId xmlns:a16="http://schemas.microsoft.com/office/drawing/2014/main" id="{2B1CA15A-C25D-4F38-926E-0254912EEA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326</xdr:row>
      <xdr:rowOff>62196</xdr:rowOff>
    </xdr:from>
    <xdr:to>
      <xdr:col>3</xdr:col>
      <xdr:colOff>952499</xdr:colOff>
      <xdr:row>326</xdr:row>
      <xdr:rowOff>213437</xdr:rowOff>
    </xdr:to>
    <xdr:grpSp>
      <xdr:nvGrpSpPr>
        <xdr:cNvPr id="4745" name="hinh3">
          <a:extLst>
            <a:ext uri="{FF2B5EF4-FFF2-40B4-BE49-F238E27FC236}">
              <a16:creationId xmlns:a16="http://schemas.microsoft.com/office/drawing/2014/main" id="{326E6488-A0CE-4749-8003-8BBCADD3C4C3}"/>
            </a:ext>
          </a:extLst>
        </xdr:cNvPr>
        <xdr:cNvGrpSpPr>
          <a:grpSpLocks noChangeAspect="1"/>
        </xdr:cNvGrpSpPr>
      </xdr:nvGrpSpPr>
      <xdr:grpSpPr bwMode="auto">
        <a:xfrm>
          <a:off x="2735376" y="102125372"/>
          <a:ext cx="861711" cy="151241"/>
          <a:chOff x="206" y="112"/>
          <a:chExt cx="73" cy="16"/>
        </a:xfrm>
      </xdr:grpSpPr>
      <xdr:sp macro="" textlink="">
        <xdr:nvSpPr>
          <xdr:cNvPr id="4746" name="Line 3">
            <a:extLst>
              <a:ext uri="{FF2B5EF4-FFF2-40B4-BE49-F238E27FC236}">
                <a16:creationId xmlns:a16="http://schemas.microsoft.com/office/drawing/2014/main" id="{A85DF7C4-2388-C3C5-3AC3-B30FA94C4D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7" name="Line 4">
            <a:extLst>
              <a:ext uri="{FF2B5EF4-FFF2-40B4-BE49-F238E27FC236}">
                <a16:creationId xmlns:a16="http://schemas.microsoft.com/office/drawing/2014/main" id="{C2E736DC-902F-95F1-47A4-07512982AF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324</xdr:row>
      <xdr:rowOff>50652</xdr:rowOff>
    </xdr:from>
    <xdr:to>
      <xdr:col>3</xdr:col>
      <xdr:colOff>962981</xdr:colOff>
      <xdr:row>324</xdr:row>
      <xdr:rowOff>214335</xdr:rowOff>
    </xdr:to>
    <xdr:grpSp>
      <xdr:nvGrpSpPr>
        <xdr:cNvPr id="4748" name="hinh2">
          <a:extLst>
            <a:ext uri="{FF2B5EF4-FFF2-40B4-BE49-F238E27FC236}">
              <a16:creationId xmlns:a16="http://schemas.microsoft.com/office/drawing/2014/main" id="{0BFDE49F-0E9F-49D9-A4DC-1A0624DAA911}"/>
            </a:ext>
          </a:extLst>
        </xdr:cNvPr>
        <xdr:cNvGrpSpPr>
          <a:grpSpLocks noChangeAspect="1"/>
        </xdr:cNvGrpSpPr>
      </xdr:nvGrpSpPr>
      <xdr:grpSpPr bwMode="auto">
        <a:xfrm>
          <a:off x="2732511" y="101486299"/>
          <a:ext cx="875058" cy="163683"/>
          <a:chOff x="206" y="86"/>
          <a:chExt cx="73" cy="16"/>
        </a:xfrm>
      </xdr:grpSpPr>
      <xdr:sp macro="" textlink="">
        <xdr:nvSpPr>
          <xdr:cNvPr id="4749" name="Line 6">
            <a:extLst>
              <a:ext uri="{FF2B5EF4-FFF2-40B4-BE49-F238E27FC236}">
                <a16:creationId xmlns:a16="http://schemas.microsoft.com/office/drawing/2014/main" id="{5FB954B4-4E64-88E0-54CD-49E36CBE39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0" name="Line 7">
            <a:extLst>
              <a:ext uri="{FF2B5EF4-FFF2-40B4-BE49-F238E27FC236}">
                <a16:creationId xmlns:a16="http://schemas.microsoft.com/office/drawing/2014/main" id="{8E547341-1D4C-C921-A2A0-65DF85E0E3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1" name="Line 8">
            <a:extLst>
              <a:ext uri="{FF2B5EF4-FFF2-40B4-BE49-F238E27FC236}">
                <a16:creationId xmlns:a16="http://schemas.microsoft.com/office/drawing/2014/main" id="{6DAEF8AE-5E4A-DF94-DF06-CE344CE065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330</xdr:row>
      <xdr:rowOff>55220</xdr:rowOff>
    </xdr:from>
    <xdr:to>
      <xdr:col>3</xdr:col>
      <xdr:colOff>1003580</xdr:colOff>
      <xdr:row>330</xdr:row>
      <xdr:rowOff>303698</xdr:rowOff>
    </xdr:to>
    <xdr:sp macro="" textlink="">
      <xdr:nvSpPr>
        <xdr:cNvPr id="4752" name="hinh15">
          <a:extLst>
            <a:ext uri="{FF2B5EF4-FFF2-40B4-BE49-F238E27FC236}">
              <a16:creationId xmlns:a16="http://schemas.microsoft.com/office/drawing/2014/main" id="{CF1456C5-C863-4EAA-9773-2500559A4B7D}"/>
            </a:ext>
          </a:extLst>
        </xdr:cNvPr>
        <xdr:cNvSpPr>
          <a:spLocks noChangeAspect="1"/>
        </xdr:cNvSpPr>
      </xdr:nvSpPr>
      <xdr:spPr bwMode="auto">
        <a:xfrm rot="10800000">
          <a:off x="2732279" y="903903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328</xdr:row>
      <xdr:rowOff>61296</xdr:rowOff>
    </xdr:from>
    <xdr:to>
      <xdr:col>3</xdr:col>
      <xdr:colOff>965880</xdr:colOff>
      <xdr:row>328</xdr:row>
      <xdr:rowOff>224979</xdr:rowOff>
    </xdr:to>
    <xdr:grpSp>
      <xdr:nvGrpSpPr>
        <xdr:cNvPr id="4753" name="hinh2">
          <a:extLst>
            <a:ext uri="{FF2B5EF4-FFF2-40B4-BE49-F238E27FC236}">
              <a16:creationId xmlns:a16="http://schemas.microsoft.com/office/drawing/2014/main" id="{32629BC2-D8B4-4E5D-B6CD-96DB3D578A02}"/>
            </a:ext>
          </a:extLst>
        </xdr:cNvPr>
        <xdr:cNvGrpSpPr>
          <a:grpSpLocks noChangeAspect="1"/>
        </xdr:cNvGrpSpPr>
      </xdr:nvGrpSpPr>
      <xdr:grpSpPr bwMode="auto">
        <a:xfrm>
          <a:off x="2735410" y="102752002"/>
          <a:ext cx="875058" cy="163683"/>
          <a:chOff x="206" y="86"/>
          <a:chExt cx="73" cy="16"/>
        </a:xfrm>
      </xdr:grpSpPr>
      <xdr:sp macro="" textlink="">
        <xdr:nvSpPr>
          <xdr:cNvPr id="4754" name="Line 6">
            <a:extLst>
              <a:ext uri="{FF2B5EF4-FFF2-40B4-BE49-F238E27FC236}">
                <a16:creationId xmlns:a16="http://schemas.microsoft.com/office/drawing/2014/main" id="{F20FCE63-3CC8-C75B-BFC6-9BA5DBE6DB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5" name="Line 7">
            <a:extLst>
              <a:ext uri="{FF2B5EF4-FFF2-40B4-BE49-F238E27FC236}">
                <a16:creationId xmlns:a16="http://schemas.microsoft.com/office/drawing/2014/main" id="{4CAC7CCA-C354-3534-EE03-7A029840F2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6" name="Line 8">
            <a:extLst>
              <a:ext uri="{FF2B5EF4-FFF2-40B4-BE49-F238E27FC236}">
                <a16:creationId xmlns:a16="http://schemas.microsoft.com/office/drawing/2014/main" id="{56492236-61DC-725C-D51C-DA5DAEB3E0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331</xdr:row>
      <xdr:rowOff>62196</xdr:rowOff>
    </xdr:from>
    <xdr:to>
      <xdr:col>3</xdr:col>
      <xdr:colOff>952499</xdr:colOff>
      <xdr:row>331</xdr:row>
      <xdr:rowOff>213437</xdr:rowOff>
    </xdr:to>
    <xdr:grpSp>
      <xdr:nvGrpSpPr>
        <xdr:cNvPr id="4757" name="hinh3">
          <a:extLst>
            <a:ext uri="{FF2B5EF4-FFF2-40B4-BE49-F238E27FC236}">
              <a16:creationId xmlns:a16="http://schemas.microsoft.com/office/drawing/2014/main" id="{72F6920C-0D8B-4C29-9F84-AC9E4A17C204}"/>
            </a:ext>
          </a:extLst>
        </xdr:cNvPr>
        <xdr:cNvGrpSpPr>
          <a:grpSpLocks noChangeAspect="1"/>
        </xdr:cNvGrpSpPr>
      </xdr:nvGrpSpPr>
      <xdr:grpSpPr bwMode="auto">
        <a:xfrm>
          <a:off x="2735376" y="103694196"/>
          <a:ext cx="861711" cy="151241"/>
          <a:chOff x="206" y="112"/>
          <a:chExt cx="73" cy="16"/>
        </a:xfrm>
      </xdr:grpSpPr>
      <xdr:sp macro="" textlink="">
        <xdr:nvSpPr>
          <xdr:cNvPr id="4758" name="Line 3">
            <a:extLst>
              <a:ext uri="{FF2B5EF4-FFF2-40B4-BE49-F238E27FC236}">
                <a16:creationId xmlns:a16="http://schemas.microsoft.com/office/drawing/2014/main" id="{1006F305-3F51-4506-F9CF-7F95A14573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9" name="Line 4">
            <a:extLst>
              <a:ext uri="{FF2B5EF4-FFF2-40B4-BE49-F238E27FC236}">
                <a16:creationId xmlns:a16="http://schemas.microsoft.com/office/drawing/2014/main" id="{48787317-DBE1-1F7D-ABC9-11FB682EB5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329</xdr:row>
      <xdr:rowOff>50652</xdr:rowOff>
    </xdr:from>
    <xdr:to>
      <xdr:col>3</xdr:col>
      <xdr:colOff>962981</xdr:colOff>
      <xdr:row>329</xdr:row>
      <xdr:rowOff>214335</xdr:rowOff>
    </xdr:to>
    <xdr:grpSp>
      <xdr:nvGrpSpPr>
        <xdr:cNvPr id="4760" name="hinh2">
          <a:extLst>
            <a:ext uri="{FF2B5EF4-FFF2-40B4-BE49-F238E27FC236}">
              <a16:creationId xmlns:a16="http://schemas.microsoft.com/office/drawing/2014/main" id="{63B7296A-C939-441D-8CB0-35FB84439710}"/>
            </a:ext>
          </a:extLst>
        </xdr:cNvPr>
        <xdr:cNvGrpSpPr>
          <a:grpSpLocks noChangeAspect="1"/>
        </xdr:cNvGrpSpPr>
      </xdr:nvGrpSpPr>
      <xdr:grpSpPr bwMode="auto">
        <a:xfrm>
          <a:off x="2732511" y="103055123"/>
          <a:ext cx="875058" cy="163683"/>
          <a:chOff x="206" y="86"/>
          <a:chExt cx="73" cy="16"/>
        </a:xfrm>
      </xdr:grpSpPr>
      <xdr:sp macro="" textlink="">
        <xdr:nvSpPr>
          <xdr:cNvPr id="4761" name="Line 6">
            <a:extLst>
              <a:ext uri="{FF2B5EF4-FFF2-40B4-BE49-F238E27FC236}">
                <a16:creationId xmlns:a16="http://schemas.microsoft.com/office/drawing/2014/main" id="{4AD80B50-9B17-AAB8-5624-53C49A1C7E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2" name="Line 7">
            <a:extLst>
              <a:ext uri="{FF2B5EF4-FFF2-40B4-BE49-F238E27FC236}">
                <a16:creationId xmlns:a16="http://schemas.microsoft.com/office/drawing/2014/main" id="{DE1909CE-D6B5-77C0-75C8-35035D70E8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3" name="Line 8">
            <a:extLst>
              <a:ext uri="{FF2B5EF4-FFF2-40B4-BE49-F238E27FC236}">
                <a16:creationId xmlns:a16="http://schemas.microsoft.com/office/drawing/2014/main" id="{5BFDC774-3429-86EA-808E-361B65F247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335</xdr:row>
      <xdr:rowOff>55220</xdr:rowOff>
    </xdr:from>
    <xdr:to>
      <xdr:col>3</xdr:col>
      <xdr:colOff>1003580</xdr:colOff>
      <xdr:row>335</xdr:row>
      <xdr:rowOff>303698</xdr:rowOff>
    </xdr:to>
    <xdr:sp macro="" textlink="">
      <xdr:nvSpPr>
        <xdr:cNvPr id="4764" name="hinh15">
          <a:extLst>
            <a:ext uri="{FF2B5EF4-FFF2-40B4-BE49-F238E27FC236}">
              <a16:creationId xmlns:a16="http://schemas.microsoft.com/office/drawing/2014/main" id="{9C5B743C-5EA8-4491-B47A-F88D557CACF9}"/>
            </a:ext>
          </a:extLst>
        </xdr:cNvPr>
        <xdr:cNvSpPr>
          <a:spLocks noChangeAspect="1"/>
        </xdr:cNvSpPr>
      </xdr:nvSpPr>
      <xdr:spPr bwMode="auto">
        <a:xfrm rot="10800000">
          <a:off x="2732279" y="938628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333</xdr:row>
      <xdr:rowOff>61296</xdr:rowOff>
    </xdr:from>
    <xdr:to>
      <xdr:col>3</xdr:col>
      <xdr:colOff>965880</xdr:colOff>
      <xdr:row>333</xdr:row>
      <xdr:rowOff>224979</xdr:rowOff>
    </xdr:to>
    <xdr:grpSp>
      <xdr:nvGrpSpPr>
        <xdr:cNvPr id="4765" name="hinh2">
          <a:extLst>
            <a:ext uri="{FF2B5EF4-FFF2-40B4-BE49-F238E27FC236}">
              <a16:creationId xmlns:a16="http://schemas.microsoft.com/office/drawing/2014/main" id="{3DD52110-B632-47D8-A31A-1D0FD61D1ABE}"/>
            </a:ext>
          </a:extLst>
        </xdr:cNvPr>
        <xdr:cNvGrpSpPr>
          <a:grpSpLocks noChangeAspect="1"/>
        </xdr:cNvGrpSpPr>
      </xdr:nvGrpSpPr>
      <xdr:grpSpPr bwMode="auto">
        <a:xfrm>
          <a:off x="2735410" y="104320825"/>
          <a:ext cx="875058" cy="163683"/>
          <a:chOff x="206" y="86"/>
          <a:chExt cx="73" cy="16"/>
        </a:xfrm>
      </xdr:grpSpPr>
      <xdr:sp macro="" textlink="">
        <xdr:nvSpPr>
          <xdr:cNvPr id="4766" name="Line 6">
            <a:extLst>
              <a:ext uri="{FF2B5EF4-FFF2-40B4-BE49-F238E27FC236}">
                <a16:creationId xmlns:a16="http://schemas.microsoft.com/office/drawing/2014/main" id="{39D9A070-9A0F-E7E9-7E4F-A557E6FD36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7" name="Line 7">
            <a:extLst>
              <a:ext uri="{FF2B5EF4-FFF2-40B4-BE49-F238E27FC236}">
                <a16:creationId xmlns:a16="http://schemas.microsoft.com/office/drawing/2014/main" id="{52C53E41-9082-EA3B-72E4-CE33DBCDB7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8" name="Line 8">
            <a:extLst>
              <a:ext uri="{FF2B5EF4-FFF2-40B4-BE49-F238E27FC236}">
                <a16:creationId xmlns:a16="http://schemas.microsoft.com/office/drawing/2014/main" id="{735C8297-3E8C-CBE1-4A2D-14ECC046F3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336</xdr:row>
      <xdr:rowOff>62196</xdr:rowOff>
    </xdr:from>
    <xdr:to>
      <xdr:col>3</xdr:col>
      <xdr:colOff>952499</xdr:colOff>
      <xdr:row>336</xdr:row>
      <xdr:rowOff>213437</xdr:rowOff>
    </xdr:to>
    <xdr:grpSp>
      <xdr:nvGrpSpPr>
        <xdr:cNvPr id="4769" name="hinh3">
          <a:extLst>
            <a:ext uri="{FF2B5EF4-FFF2-40B4-BE49-F238E27FC236}">
              <a16:creationId xmlns:a16="http://schemas.microsoft.com/office/drawing/2014/main" id="{6AB763CC-911D-4EFC-B414-0496E81DBD1A}"/>
            </a:ext>
          </a:extLst>
        </xdr:cNvPr>
        <xdr:cNvGrpSpPr>
          <a:grpSpLocks noChangeAspect="1"/>
        </xdr:cNvGrpSpPr>
      </xdr:nvGrpSpPr>
      <xdr:grpSpPr bwMode="auto">
        <a:xfrm>
          <a:off x="2735376" y="105263020"/>
          <a:ext cx="861711" cy="151241"/>
          <a:chOff x="206" y="112"/>
          <a:chExt cx="73" cy="16"/>
        </a:xfrm>
      </xdr:grpSpPr>
      <xdr:sp macro="" textlink="">
        <xdr:nvSpPr>
          <xdr:cNvPr id="4770" name="Line 3">
            <a:extLst>
              <a:ext uri="{FF2B5EF4-FFF2-40B4-BE49-F238E27FC236}">
                <a16:creationId xmlns:a16="http://schemas.microsoft.com/office/drawing/2014/main" id="{A85E814A-6AFD-10DB-04AF-126DCEC36F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1" name="Line 4">
            <a:extLst>
              <a:ext uri="{FF2B5EF4-FFF2-40B4-BE49-F238E27FC236}">
                <a16:creationId xmlns:a16="http://schemas.microsoft.com/office/drawing/2014/main" id="{1326BC77-82F9-A596-87B9-6DA0E67196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334</xdr:row>
      <xdr:rowOff>50652</xdr:rowOff>
    </xdr:from>
    <xdr:to>
      <xdr:col>3</xdr:col>
      <xdr:colOff>962981</xdr:colOff>
      <xdr:row>334</xdr:row>
      <xdr:rowOff>214335</xdr:rowOff>
    </xdr:to>
    <xdr:grpSp>
      <xdr:nvGrpSpPr>
        <xdr:cNvPr id="4772" name="hinh2">
          <a:extLst>
            <a:ext uri="{FF2B5EF4-FFF2-40B4-BE49-F238E27FC236}">
              <a16:creationId xmlns:a16="http://schemas.microsoft.com/office/drawing/2014/main" id="{3291E3EE-C5CA-4B49-968E-D8C4F8C27D21}"/>
            </a:ext>
          </a:extLst>
        </xdr:cNvPr>
        <xdr:cNvGrpSpPr>
          <a:grpSpLocks noChangeAspect="1"/>
        </xdr:cNvGrpSpPr>
      </xdr:nvGrpSpPr>
      <xdr:grpSpPr bwMode="auto">
        <a:xfrm>
          <a:off x="2732511" y="104623946"/>
          <a:ext cx="875058" cy="163683"/>
          <a:chOff x="206" y="86"/>
          <a:chExt cx="73" cy="16"/>
        </a:xfrm>
      </xdr:grpSpPr>
      <xdr:sp macro="" textlink="">
        <xdr:nvSpPr>
          <xdr:cNvPr id="4773" name="Line 6">
            <a:extLst>
              <a:ext uri="{FF2B5EF4-FFF2-40B4-BE49-F238E27FC236}">
                <a16:creationId xmlns:a16="http://schemas.microsoft.com/office/drawing/2014/main" id="{FDB79D9C-44EC-7A8B-9BCD-D998FC611A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4" name="Line 7">
            <a:extLst>
              <a:ext uri="{FF2B5EF4-FFF2-40B4-BE49-F238E27FC236}">
                <a16:creationId xmlns:a16="http://schemas.microsoft.com/office/drawing/2014/main" id="{E7DB2D2D-110A-4BEF-D406-1666E7C384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5" name="Line 8">
            <a:extLst>
              <a:ext uri="{FF2B5EF4-FFF2-40B4-BE49-F238E27FC236}">
                <a16:creationId xmlns:a16="http://schemas.microsoft.com/office/drawing/2014/main" id="{9B5BDB40-7F73-A299-B0EB-02886A1756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340</xdr:row>
      <xdr:rowOff>55220</xdr:rowOff>
    </xdr:from>
    <xdr:to>
      <xdr:col>3</xdr:col>
      <xdr:colOff>1003580</xdr:colOff>
      <xdr:row>340</xdr:row>
      <xdr:rowOff>303698</xdr:rowOff>
    </xdr:to>
    <xdr:sp macro="" textlink="">
      <xdr:nvSpPr>
        <xdr:cNvPr id="4776" name="hinh15">
          <a:extLst>
            <a:ext uri="{FF2B5EF4-FFF2-40B4-BE49-F238E27FC236}">
              <a16:creationId xmlns:a16="http://schemas.microsoft.com/office/drawing/2014/main" id="{AD42D910-4902-47F3-B7B5-7788F227FCB3}"/>
            </a:ext>
          </a:extLst>
        </xdr:cNvPr>
        <xdr:cNvSpPr>
          <a:spLocks noChangeAspect="1"/>
        </xdr:cNvSpPr>
      </xdr:nvSpPr>
      <xdr:spPr bwMode="auto">
        <a:xfrm rot="10800000">
          <a:off x="2732279" y="954412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338</xdr:row>
      <xdr:rowOff>61296</xdr:rowOff>
    </xdr:from>
    <xdr:to>
      <xdr:col>3</xdr:col>
      <xdr:colOff>965880</xdr:colOff>
      <xdr:row>338</xdr:row>
      <xdr:rowOff>224979</xdr:rowOff>
    </xdr:to>
    <xdr:grpSp>
      <xdr:nvGrpSpPr>
        <xdr:cNvPr id="4782" name="hinh2">
          <a:extLst>
            <a:ext uri="{FF2B5EF4-FFF2-40B4-BE49-F238E27FC236}">
              <a16:creationId xmlns:a16="http://schemas.microsoft.com/office/drawing/2014/main" id="{FDFD6110-59B4-4DF5-A482-863C9B696227}"/>
            </a:ext>
          </a:extLst>
        </xdr:cNvPr>
        <xdr:cNvGrpSpPr>
          <a:grpSpLocks noChangeAspect="1"/>
        </xdr:cNvGrpSpPr>
      </xdr:nvGrpSpPr>
      <xdr:grpSpPr bwMode="auto">
        <a:xfrm>
          <a:off x="2735410" y="105889649"/>
          <a:ext cx="875058" cy="163683"/>
          <a:chOff x="206" y="86"/>
          <a:chExt cx="73" cy="16"/>
        </a:xfrm>
      </xdr:grpSpPr>
      <xdr:sp macro="" textlink="">
        <xdr:nvSpPr>
          <xdr:cNvPr id="4790" name="Line 6">
            <a:extLst>
              <a:ext uri="{FF2B5EF4-FFF2-40B4-BE49-F238E27FC236}">
                <a16:creationId xmlns:a16="http://schemas.microsoft.com/office/drawing/2014/main" id="{D9A47F6C-8C81-2172-41CF-52F94AE07F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1" name="Line 7">
            <a:extLst>
              <a:ext uri="{FF2B5EF4-FFF2-40B4-BE49-F238E27FC236}">
                <a16:creationId xmlns:a16="http://schemas.microsoft.com/office/drawing/2014/main" id="{6A1FA32C-5683-ADD0-FC36-5A5E4E7498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2" name="Line 8">
            <a:extLst>
              <a:ext uri="{FF2B5EF4-FFF2-40B4-BE49-F238E27FC236}">
                <a16:creationId xmlns:a16="http://schemas.microsoft.com/office/drawing/2014/main" id="{8DAC2723-8FBF-7AEE-DF60-1A02EF456B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341</xdr:row>
      <xdr:rowOff>62196</xdr:rowOff>
    </xdr:from>
    <xdr:to>
      <xdr:col>3</xdr:col>
      <xdr:colOff>952499</xdr:colOff>
      <xdr:row>341</xdr:row>
      <xdr:rowOff>213437</xdr:rowOff>
    </xdr:to>
    <xdr:grpSp>
      <xdr:nvGrpSpPr>
        <xdr:cNvPr id="4793" name="hinh3">
          <a:extLst>
            <a:ext uri="{FF2B5EF4-FFF2-40B4-BE49-F238E27FC236}">
              <a16:creationId xmlns:a16="http://schemas.microsoft.com/office/drawing/2014/main" id="{7795FC9B-BBDD-44E0-9BD9-E91A594945EC}"/>
            </a:ext>
          </a:extLst>
        </xdr:cNvPr>
        <xdr:cNvGrpSpPr>
          <a:grpSpLocks noChangeAspect="1"/>
        </xdr:cNvGrpSpPr>
      </xdr:nvGrpSpPr>
      <xdr:grpSpPr bwMode="auto">
        <a:xfrm>
          <a:off x="2735376" y="106831843"/>
          <a:ext cx="861711" cy="151241"/>
          <a:chOff x="206" y="112"/>
          <a:chExt cx="73" cy="16"/>
        </a:xfrm>
      </xdr:grpSpPr>
      <xdr:sp macro="" textlink="">
        <xdr:nvSpPr>
          <xdr:cNvPr id="4794" name="Line 3">
            <a:extLst>
              <a:ext uri="{FF2B5EF4-FFF2-40B4-BE49-F238E27FC236}">
                <a16:creationId xmlns:a16="http://schemas.microsoft.com/office/drawing/2014/main" id="{2622A4F5-6569-D574-A168-2A6B9BE8ED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5" name="Line 4">
            <a:extLst>
              <a:ext uri="{FF2B5EF4-FFF2-40B4-BE49-F238E27FC236}">
                <a16:creationId xmlns:a16="http://schemas.microsoft.com/office/drawing/2014/main" id="{654356F9-A2D7-507D-9584-5FA324C8B4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339</xdr:row>
      <xdr:rowOff>50652</xdr:rowOff>
    </xdr:from>
    <xdr:to>
      <xdr:col>3</xdr:col>
      <xdr:colOff>962981</xdr:colOff>
      <xdr:row>339</xdr:row>
      <xdr:rowOff>214335</xdr:rowOff>
    </xdr:to>
    <xdr:grpSp>
      <xdr:nvGrpSpPr>
        <xdr:cNvPr id="4862" name="hinh2">
          <a:extLst>
            <a:ext uri="{FF2B5EF4-FFF2-40B4-BE49-F238E27FC236}">
              <a16:creationId xmlns:a16="http://schemas.microsoft.com/office/drawing/2014/main" id="{53D5AC58-539A-4F12-B359-544A78DAA27C}"/>
            </a:ext>
          </a:extLst>
        </xdr:cNvPr>
        <xdr:cNvGrpSpPr>
          <a:grpSpLocks noChangeAspect="1"/>
        </xdr:cNvGrpSpPr>
      </xdr:nvGrpSpPr>
      <xdr:grpSpPr bwMode="auto">
        <a:xfrm>
          <a:off x="2732511" y="106192770"/>
          <a:ext cx="875058" cy="163683"/>
          <a:chOff x="206" y="86"/>
          <a:chExt cx="73" cy="16"/>
        </a:xfrm>
      </xdr:grpSpPr>
      <xdr:sp macro="" textlink="">
        <xdr:nvSpPr>
          <xdr:cNvPr id="4863" name="Line 6">
            <a:extLst>
              <a:ext uri="{FF2B5EF4-FFF2-40B4-BE49-F238E27FC236}">
                <a16:creationId xmlns:a16="http://schemas.microsoft.com/office/drawing/2014/main" id="{0D15F03A-7E22-80B6-0C8E-DE804D9057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4" name="Line 7">
            <a:extLst>
              <a:ext uri="{FF2B5EF4-FFF2-40B4-BE49-F238E27FC236}">
                <a16:creationId xmlns:a16="http://schemas.microsoft.com/office/drawing/2014/main" id="{ECB05EAE-C14E-6EC7-126E-9D0B275324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5" name="Line 8">
            <a:extLst>
              <a:ext uri="{FF2B5EF4-FFF2-40B4-BE49-F238E27FC236}">
                <a16:creationId xmlns:a16="http://schemas.microsoft.com/office/drawing/2014/main" id="{561D74A3-61E3-5E77-D120-F7A8920AE5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346</xdr:row>
      <xdr:rowOff>55220</xdr:rowOff>
    </xdr:from>
    <xdr:to>
      <xdr:col>3</xdr:col>
      <xdr:colOff>1003580</xdr:colOff>
      <xdr:row>346</xdr:row>
      <xdr:rowOff>303698</xdr:rowOff>
    </xdr:to>
    <xdr:sp macro="" textlink="">
      <xdr:nvSpPr>
        <xdr:cNvPr id="4869" name="hinh15">
          <a:extLst>
            <a:ext uri="{FF2B5EF4-FFF2-40B4-BE49-F238E27FC236}">
              <a16:creationId xmlns:a16="http://schemas.microsoft.com/office/drawing/2014/main" id="{A475928B-ECE5-4AD4-8F4E-FA3E5F08BECB}"/>
            </a:ext>
          </a:extLst>
        </xdr:cNvPr>
        <xdr:cNvSpPr>
          <a:spLocks noChangeAspect="1"/>
        </xdr:cNvSpPr>
      </xdr:nvSpPr>
      <xdr:spPr bwMode="auto">
        <a:xfrm rot="10800000">
          <a:off x="2732279" y="938628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344</xdr:row>
      <xdr:rowOff>61296</xdr:rowOff>
    </xdr:from>
    <xdr:to>
      <xdr:col>3</xdr:col>
      <xdr:colOff>965880</xdr:colOff>
      <xdr:row>344</xdr:row>
      <xdr:rowOff>224979</xdr:rowOff>
    </xdr:to>
    <xdr:grpSp>
      <xdr:nvGrpSpPr>
        <xdr:cNvPr id="4870" name="hinh2">
          <a:extLst>
            <a:ext uri="{FF2B5EF4-FFF2-40B4-BE49-F238E27FC236}">
              <a16:creationId xmlns:a16="http://schemas.microsoft.com/office/drawing/2014/main" id="{C0640FC7-D148-4567-A609-B50362CC33F9}"/>
            </a:ext>
          </a:extLst>
        </xdr:cNvPr>
        <xdr:cNvGrpSpPr>
          <a:grpSpLocks noChangeAspect="1"/>
        </xdr:cNvGrpSpPr>
      </xdr:nvGrpSpPr>
      <xdr:grpSpPr bwMode="auto">
        <a:xfrm>
          <a:off x="2735410" y="107772237"/>
          <a:ext cx="875058" cy="163683"/>
          <a:chOff x="206" y="86"/>
          <a:chExt cx="73" cy="16"/>
        </a:xfrm>
      </xdr:grpSpPr>
      <xdr:sp macro="" textlink="">
        <xdr:nvSpPr>
          <xdr:cNvPr id="4871" name="Line 6">
            <a:extLst>
              <a:ext uri="{FF2B5EF4-FFF2-40B4-BE49-F238E27FC236}">
                <a16:creationId xmlns:a16="http://schemas.microsoft.com/office/drawing/2014/main" id="{0F8278DE-F15E-5DD0-7EB4-15670948B9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2" name="Line 7">
            <a:extLst>
              <a:ext uri="{FF2B5EF4-FFF2-40B4-BE49-F238E27FC236}">
                <a16:creationId xmlns:a16="http://schemas.microsoft.com/office/drawing/2014/main" id="{3C379D84-94F3-D241-E4AC-20A2983D77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58" name="Line 8">
            <a:extLst>
              <a:ext uri="{FF2B5EF4-FFF2-40B4-BE49-F238E27FC236}">
                <a16:creationId xmlns:a16="http://schemas.microsoft.com/office/drawing/2014/main" id="{4FB0AEA3-FED9-7CA5-90E4-361961700B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347</xdr:row>
      <xdr:rowOff>62196</xdr:rowOff>
    </xdr:from>
    <xdr:to>
      <xdr:col>3</xdr:col>
      <xdr:colOff>952499</xdr:colOff>
      <xdr:row>347</xdr:row>
      <xdr:rowOff>213437</xdr:rowOff>
    </xdr:to>
    <xdr:grpSp>
      <xdr:nvGrpSpPr>
        <xdr:cNvPr id="4959" name="hinh3">
          <a:extLst>
            <a:ext uri="{FF2B5EF4-FFF2-40B4-BE49-F238E27FC236}">
              <a16:creationId xmlns:a16="http://schemas.microsoft.com/office/drawing/2014/main" id="{CD270832-2A54-427F-8936-8FBEB1F6A37E}"/>
            </a:ext>
          </a:extLst>
        </xdr:cNvPr>
        <xdr:cNvGrpSpPr>
          <a:grpSpLocks noChangeAspect="1"/>
        </xdr:cNvGrpSpPr>
      </xdr:nvGrpSpPr>
      <xdr:grpSpPr bwMode="auto">
        <a:xfrm>
          <a:off x="2735376" y="108714431"/>
          <a:ext cx="861711" cy="151241"/>
          <a:chOff x="206" y="112"/>
          <a:chExt cx="73" cy="16"/>
        </a:xfrm>
      </xdr:grpSpPr>
      <xdr:sp macro="" textlink="">
        <xdr:nvSpPr>
          <xdr:cNvPr id="4960" name="Line 3">
            <a:extLst>
              <a:ext uri="{FF2B5EF4-FFF2-40B4-BE49-F238E27FC236}">
                <a16:creationId xmlns:a16="http://schemas.microsoft.com/office/drawing/2014/main" id="{1C480813-F046-E987-333B-1ED3D538B8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61" name="Line 4">
            <a:extLst>
              <a:ext uri="{FF2B5EF4-FFF2-40B4-BE49-F238E27FC236}">
                <a16:creationId xmlns:a16="http://schemas.microsoft.com/office/drawing/2014/main" id="{90763D07-5EB1-A775-D97F-53BA204258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345</xdr:row>
      <xdr:rowOff>50652</xdr:rowOff>
    </xdr:from>
    <xdr:to>
      <xdr:col>3</xdr:col>
      <xdr:colOff>962981</xdr:colOff>
      <xdr:row>345</xdr:row>
      <xdr:rowOff>214335</xdr:rowOff>
    </xdr:to>
    <xdr:grpSp>
      <xdr:nvGrpSpPr>
        <xdr:cNvPr id="4965" name="hinh2">
          <a:extLst>
            <a:ext uri="{FF2B5EF4-FFF2-40B4-BE49-F238E27FC236}">
              <a16:creationId xmlns:a16="http://schemas.microsoft.com/office/drawing/2014/main" id="{D548AF7C-5513-408F-8A6F-5FBC265BE9CC}"/>
            </a:ext>
          </a:extLst>
        </xdr:cNvPr>
        <xdr:cNvGrpSpPr>
          <a:grpSpLocks noChangeAspect="1"/>
        </xdr:cNvGrpSpPr>
      </xdr:nvGrpSpPr>
      <xdr:grpSpPr bwMode="auto">
        <a:xfrm>
          <a:off x="2732511" y="108075358"/>
          <a:ext cx="875058" cy="163683"/>
          <a:chOff x="206" y="86"/>
          <a:chExt cx="73" cy="16"/>
        </a:xfrm>
      </xdr:grpSpPr>
      <xdr:sp macro="" textlink="">
        <xdr:nvSpPr>
          <xdr:cNvPr id="4966" name="Line 6">
            <a:extLst>
              <a:ext uri="{FF2B5EF4-FFF2-40B4-BE49-F238E27FC236}">
                <a16:creationId xmlns:a16="http://schemas.microsoft.com/office/drawing/2014/main" id="{26F71ED7-4BE5-1931-F29C-14EF370B08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67" name="Line 7">
            <a:extLst>
              <a:ext uri="{FF2B5EF4-FFF2-40B4-BE49-F238E27FC236}">
                <a16:creationId xmlns:a16="http://schemas.microsoft.com/office/drawing/2014/main" id="{33B4E984-C237-E8FF-1D05-6A24B592EB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68" name="Line 8">
            <a:extLst>
              <a:ext uri="{FF2B5EF4-FFF2-40B4-BE49-F238E27FC236}">
                <a16:creationId xmlns:a16="http://schemas.microsoft.com/office/drawing/2014/main" id="{B7783EA1-C465-820E-4D11-0C1ABC0ED2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351</xdr:row>
      <xdr:rowOff>55220</xdr:rowOff>
    </xdr:from>
    <xdr:to>
      <xdr:col>3</xdr:col>
      <xdr:colOff>1003580</xdr:colOff>
      <xdr:row>351</xdr:row>
      <xdr:rowOff>303698</xdr:rowOff>
    </xdr:to>
    <xdr:sp macro="" textlink="">
      <xdr:nvSpPr>
        <xdr:cNvPr id="4970" name="hinh15">
          <a:extLst>
            <a:ext uri="{FF2B5EF4-FFF2-40B4-BE49-F238E27FC236}">
              <a16:creationId xmlns:a16="http://schemas.microsoft.com/office/drawing/2014/main" id="{AA27C535-36ED-4A09-AAB8-8648CB7A4A79}"/>
            </a:ext>
          </a:extLst>
        </xdr:cNvPr>
        <xdr:cNvSpPr>
          <a:spLocks noChangeAspect="1"/>
        </xdr:cNvSpPr>
      </xdr:nvSpPr>
      <xdr:spPr bwMode="auto">
        <a:xfrm rot="10800000">
          <a:off x="2732279" y="954412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349</xdr:row>
      <xdr:rowOff>61296</xdr:rowOff>
    </xdr:from>
    <xdr:to>
      <xdr:col>3</xdr:col>
      <xdr:colOff>965880</xdr:colOff>
      <xdr:row>349</xdr:row>
      <xdr:rowOff>224979</xdr:rowOff>
    </xdr:to>
    <xdr:grpSp>
      <xdr:nvGrpSpPr>
        <xdr:cNvPr id="4971" name="hinh2">
          <a:extLst>
            <a:ext uri="{FF2B5EF4-FFF2-40B4-BE49-F238E27FC236}">
              <a16:creationId xmlns:a16="http://schemas.microsoft.com/office/drawing/2014/main" id="{C6556419-0559-4D58-A73A-B842BA24B024}"/>
            </a:ext>
          </a:extLst>
        </xdr:cNvPr>
        <xdr:cNvGrpSpPr>
          <a:grpSpLocks noChangeAspect="1"/>
        </xdr:cNvGrpSpPr>
      </xdr:nvGrpSpPr>
      <xdr:grpSpPr bwMode="auto">
        <a:xfrm>
          <a:off x="2735410" y="109341061"/>
          <a:ext cx="875058" cy="163683"/>
          <a:chOff x="206" y="86"/>
          <a:chExt cx="73" cy="16"/>
        </a:xfrm>
      </xdr:grpSpPr>
      <xdr:sp macro="" textlink="">
        <xdr:nvSpPr>
          <xdr:cNvPr id="4972" name="Line 6">
            <a:extLst>
              <a:ext uri="{FF2B5EF4-FFF2-40B4-BE49-F238E27FC236}">
                <a16:creationId xmlns:a16="http://schemas.microsoft.com/office/drawing/2014/main" id="{F3134ABB-63B4-E37D-7CAA-F6CAA20534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73" name="Line 7">
            <a:extLst>
              <a:ext uri="{FF2B5EF4-FFF2-40B4-BE49-F238E27FC236}">
                <a16:creationId xmlns:a16="http://schemas.microsoft.com/office/drawing/2014/main" id="{29738C20-4434-5828-AFB5-974A9A6A2A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77" name="Line 8">
            <a:extLst>
              <a:ext uri="{FF2B5EF4-FFF2-40B4-BE49-F238E27FC236}">
                <a16:creationId xmlns:a16="http://schemas.microsoft.com/office/drawing/2014/main" id="{03E07329-8CFE-67A6-6C73-99C649660F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352</xdr:row>
      <xdr:rowOff>62196</xdr:rowOff>
    </xdr:from>
    <xdr:to>
      <xdr:col>3</xdr:col>
      <xdr:colOff>952499</xdr:colOff>
      <xdr:row>352</xdr:row>
      <xdr:rowOff>213437</xdr:rowOff>
    </xdr:to>
    <xdr:grpSp>
      <xdr:nvGrpSpPr>
        <xdr:cNvPr id="4978" name="hinh3">
          <a:extLst>
            <a:ext uri="{FF2B5EF4-FFF2-40B4-BE49-F238E27FC236}">
              <a16:creationId xmlns:a16="http://schemas.microsoft.com/office/drawing/2014/main" id="{85929871-112C-4767-AB46-3512FFC9DD4A}"/>
            </a:ext>
          </a:extLst>
        </xdr:cNvPr>
        <xdr:cNvGrpSpPr>
          <a:grpSpLocks noChangeAspect="1"/>
        </xdr:cNvGrpSpPr>
      </xdr:nvGrpSpPr>
      <xdr:grpSpPr bwMode="auto">
        <a:xfrm>
          <a:off x="2735376" y="110283255"/>
          <a:ext cx="861711" cy="151241"/>
          <a:chOff x="206" y="112"/>
          <a:chExt cx="73" cy="16"/>
        </a:xfrm>
      </xdr:grpSpPr>
      <xdr:sp macro="" textlink="">
        <xdr:nvSpPr>
          <xdr:cNvPr id="4979" name="Line 3">
            <a:extLst>
              <a:ext uri="{FF2B5EF4-FFF2-40B4-BE49-F238E27FC236}">
                <a16:creationId xmlns:a16="http://schemas.microsoft.com/office/drawing/2014/main" id="{AC501E5C-73AD-C291-D9BD-A69AFA473D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0" name="Line 4">
            <a:extLst>
              <a:ext uri="{FF2B5EF4-FFF2-40B4-BE49-F238E27FC236}">
                <a16:creationId xmlns:a16="http://schemas.microsoft.com/office/drawing/2014/main" id="{D487A613-6621-124C-8F9D-7A0F377693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350</xdr:row>
      <xdr:rowOff>50652</xdr:rowOff>
    </xdr:from>
    <xdr:to>
      <xdr:col>3</xdr:col>
      <xdr:colOff>962981</xdr:colOff>
      <xdr:row>350</xdr:row>
      <xdr:rowOff>214335</xdr:rowOff>
    </xdr:to>
    <xdr:grpSp>
      <xdr:nvGrpSpPr>
        <xdr:cNvPr id="4981" name="hinh2">
          <a:extLst>
            <a:ext uri="{FF2B5EF4-FFF2-40B4-BE49-F238E27FC236}">
              <a16:creationId xmlns:a16="http://schemas.microsoft.com/office/drawing/2014/main" id="{376699A9-8F36-4D64-9B5B-FA1374236C40}"/>
            </a:ext>
          </a:extLst>
        </xdr:cNvPr>
        <xdr:cNvGrpSpPr>
          <a:grpSpLocks noChangeAspect="1"/>
        </xdr:cNvGrpSpPr>
      </xdr:nvGrpSpPr>
      <xdr:grpSpPr bwMode="auto">
        <a:xfrm>
          <a:off x="2732511" y="109644181"/>
          <a:ext cx="875058" cy="163683"/>
          <a:chOff x="206" y="86"/>
          <a:chExt cx="73" cy="16"/>
        </a:xfrm>
      </xdr:grpSpPr>
      <xdr:sp macro="" textlink="">
        <xdr:nvSpPr>
          <xdr:cNvPr id="4982" name="Line 6">
            <a:extLst>
              <a:ext uri="{FF2B5EF4-FFF2-40B4-BE49-F238E27FC236}">
                <a16:creationId xmlns:a16="http://schemas.microsoft.com/office/drawing/2014/main" id="{41B39C7F-1F34-384C-249F-6031C67642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3" name="Line 7">
            <a:extLst>
              <a:ext uri="{FF2B5EF4-FFF2-40B4-BE49-F238E27FC236}">
                <a16:creationId xmlns:a16="http://schemas.microsoft.com/office/drawing/2014/main" id="{941C7AE8-F074-7478-EDA6-45B7AF0585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4" name="Line 8">
            <a:extLst>
              <a:ext uri="{FF2B5EF4-FFF2-40B4-BE49-F238E27FC236}">
                <a16:creationId xmlns:a16="http://schemas.microsoft.com/office/drawing/2014/main" id="{A1013E32-C9C1-BF4D-D0C4-472A18D604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356</xdr:row>
      <xdr:rowOff>55220</xdr:rowOff>
    </xdr:from>
    <xdr:to>
      <xdr:col>3</xdr:col>
      <xdr:colOff>1003580</xdr:colOff>
      <xdr:row>356</xdr:row>
      <xdr:rowOff>303698</xdr:rowOff>
    </xdr:to>
    <xdr:sp macro="" textlink="">
      <xdr:nvSpPr>
        <xdr:cNvPr id="4985" name="hinh15">
          <a:extLst>
            <a:ext uri="{FF2B5EF4-FFF2-40B4-BE49-F238E27FC236}">
              <a16:creationId xmlns:a16="http://schemas.microsoft.com/office/drawing/2014/main" id="{9C8754CB-7585-4641-9799-64034C99554C}"/>
            </a:ext>
          </a:extLst>
        </xdr:cNvPr>
        <xdr:cNvSpPr>
          <a:spLocks noChangeAspect="1"/>
        </xdr:cNvSpPr>
      </xdr:nvSpPr>
      <xdr:spPr bwMode="auto">
        <a:xfrm rot="10800000">
          <a:off x="2732279" y="970197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354</xdr:row>
      <xdr:rowOff>61296</xdr:rowOff>
    </xdr:from>
    <xdr:to>
      <xdr:col>3</xdr:col>
      <xdr:colOff>965880</xdr:colOff>
      <xdr:row>354</xdr:row>
      <xdr:rowOff>224979</xdr:rowOff>
    </xdr:to>
    <xdr:grpSp>
      <xdr:nvGrpSpPr>
        <xdr:cNvPr id="4986" name="hinh2">
          <a:extLst>
            <a:ext uri="{FF2B5EF4-FFF2-40B4-BE49-F238E27FC236}">
              <a16:creationId xmlns:a16="http://schemas.microsoft.com/office/drawing/2014/main" id="{A1B8C6F8-E833-45A4-B98B-261D425CD21C}"/>
            </a:ext>
          </a:extLst>
        </xdr:cNvPr>
        <xdr:cNvGrpSpPr>
          <a:grpSpLocks noChangeAspect="1"/>
        </xdr:cNvGrpSpPr>
      </xdr:nvGrpSpPr>
      <xdr:grpSpPr bwMode="auto">
        <a:xfrm>
          <a:off x="2735410" y="110909884"/>
          <a:ext cx="875058" cy="163683"/>
          <a:chOff x="206" y="86"/>
          <a:chExt cx="73" cy="16"/>
        </a:xfrm>
      </xdr:grpSpPr>
      <xdr:sp macro="" textlink="">
        <xdr:nvSpPr>
          <xdr:cNvPr id="4987" name="Line 6">
            <a:extLst>
              <a:ext uri="{FF2B5EF4-FFF2-40B4-BE49-F238E27FC236}">
                <a16:creationId xmlns:a16="http://schemas.microsoft.com/office/drawing/2014/main" id="{B2EC0B56-610F-5505-3125-E0D99A0C93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8" name="Line 7">
            <a:extLst>
              <a:ext uri="{FF2B5EF4-FFF2-40B4-BE49-F238E27FC236}">
                <a16:creationId xmlns:a16="http://schemas.microsoft.com/office/drawing/2014/main" id="{124AADC0-6AC9-C98F-0DBB-A4B8B0E4FC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89" name="Line 8">
            <a:extLst>
              <a:ext uri="{FF2B5EF4-FFF2-40B4-BE49-F238E27FC236}">
                <a16:creationId xmlns:a16="http://schemas.microsoft.com/office/drawing/2014/main" id="{012EFA24-5B81-57A2-4DA0-1D653B349B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357</xdr:row>
      <xdr:rowOff>62196</xdr:rowOff>
    </xdr:from>
    <xdr:to>
      <xdr:col>3</xdr:col>
      <xdr:colOff>952499</xdr:colOff>
      <xdr:row>357</xdr:row>
      <xdr:rowOff>213437</xdr:rowOff>
    </xdr:to>
    <xdr:grpSp>
      <xdr:nvGrpSpPr>
        <xdr:cNvPr id="4990" name="hinh3">
          <a:extLst>
            <a:ext uri="{FF2B5EF4-FFF2-40B4-BE49-F238E27FC236}">
              <a16:creationId xmlns:a16="http://schemas.microsoft.com/office/drawing/2014/main" id="{526F9AC2-C86D-4A8F-8303-E8F0EE809AB1}"/>
            </a:ext>
          </a:extLst>
        </xdr:cNvPr>
        <xdr:cNvGrpSpPr>
          <a:grpSpLocks noChangeAspect="1"/>
        </xdr:cNvGrpSpPr>
      </xdr:nvGrpSpPr>
      <xdr:grpSpPr bwMode="auto">
        <a:xfrm>
          <a:off x="2735376" y="111852078"/>
          <a:ext cx="861711" cy="151241"/>
          <a:chOff x="206" y="112"/>
          <a:chExt cx="73" cy="16"/>
        </a:xfrm>
      </xdr:grpSpPr>
      <xdr:sp macro="" textlink="">
        <xdr:nvSpPr>
          <xdr:cNvPr id="4991" name="Line 3">
            <a:extLst>
              <a:ext uri="{FF2B5EF4-FFF2-40B4-BE49-F238E27FC236}">
                <a16:creationId xmlns:a16="http://schemas.microsoft.com/office/drawing/2014/main" id="{E5B3F8D5-734E-2A20-1CF0-3848B357C3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92" name="Line 4">
            <a:extLst>
              <a:ext uri="{FF2B5EF4-FFF2-40B4-BE49-F238E27FC236}">
                <a16:creationId xmlns:a16="http://schemas.microsoft.com/office/drawing/2014/main" id="{8A6996D4-560E-05EE-289E-36A6D8ADB8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355</xdr:row>
      <xdr:rowOff>50652</xdr:rowOff>
    </xdr:from>
    <xdr:to>
      <xdr:col>3</xdr:col>
      <xdr:colOff>962981</xdr:colOff>
      <xdr:row>355</xdr:row>
      <xdr:rowOff>214335</xdr:rowOff>
    </xdr:to>
    <xdr:grpSp>
      <xdr:nvGrpSpPr>
        <xdr:cNvPr id="4994" name="hinh2">
          <a:extLst>
            <a:ext uri="{FF2B5EF4-FFF2-40B4-BE49-F238E27FC236}">
              <a16:creationId xmlns:a16="http://schemas.microsoft.com/office/drawing/2014/main" id="{2F25F9B2-CC2E-40F9-8BD8-FDA099F7C0B9}"/>
            </a:ext>
          </a:extLst>
        </xdr:cNvPr>
        <xdr:cNvGrpSpPr>
          <a:grpSpLocks noChangeAspect="1"/>
        </xdr:cNvGrpSpPr>
      </xdr:nvGrpSpPr>
      <xdr:grpSpPr bwMode="auto">
        <a:xfrm>
          <a:off x="2732511" y="111213005"/>
          <a:ext cx="875058" cy="163683"/>
          <a:chOff x="206" y="86"/>
          <a:chExt cx="73" cy="16"/>
        </a:xfrm>
      </xdr:grpSpPr>
      <xdr:sp macro="" textlink="">
        <xdr:nvSpPr>
          <xdr:cNvPr id="4995" name="Line 6">
            <a:extLst>
              <a:ext uri="{FF2B5EF4-FFF2-40B4-BE49-F238E27FC236}">
                <a16:creationId xmlns:a16="http://schemas.microsoft.com/office/drawing/2014/main" id="{63AC1BA4-F362-8AEF-3FE2-0B603C508F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96" name="Line 7">
            <a:extLst>
              <a:ext uri="{FF2B5EF4-FFF2-40B4-BE49-F238E27FC236}">
                <a16:creationId xmlns:a16="http://schemas.microsoft.com/office/drawing/2014/main" id="{A5B19672-E0CD-90C5-DC19-8DB13BC211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97" name="Line 8">
            <a:extLst>
              <a:ext uri="{FF2B5EF4-FFF2-40B4-BE49-F238E27FC236}">
                <a16:creationId xmlns:a16="http://schemas.microsoft.com/office/drawing/2014/main" id="{FDE53964-C1B9-D8C7-3D7D-CB70B75544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361</xdr:row>
      <xdr:rowOff>55220</xdr:rowOff>
    </xdr:from>
    <xdr:to>
      <xdr:col>3</xdr:col>
      <xdr:colOff>1003580</xdr:colOff>
      <xdr:row>361</xdr:row>
      <xdr:rowOff>303698</xdr:rowOff>
    </xdr:to>
    <xdr:sp macro="" textlink="">
      <xdr:nvSpPr>
        <xdr:cNvPr id="5001" name="hinh15">
          <a:extLst>
            <a:ext uri="{FF2B5EF4-FFF2-40B4-BE49-F238E27FC236}">
              <a16:creationId xmlns:a16="http://schemas.microsoft.com/office/drawing/2014/main" id="{AEE0C1D0-4175-4E95-95BC-AEC888A434D3}"/>
            </a:ext>
          </a:extLst>
        </xdr:cNvPr>
        <xdr:cNvSpPr>
          <a:spLocks noChangeAspect="1"/>
        </xdr:cNvSpPr>
      </xdr:nvSpPr>
      <xdr:spPr bwMode="auto">
        <a:xfrm rot="10800000">
          <a:off x="2732279" y="985981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359</xdr:row>
      <xdr:rowOff>61296</xdr:rowOff>
    </xdr:from>
    <xdr:to>
      <xdr:col>3</xdr:col>
      <xdr:colOff>965880</xdr:colOff>
      <xdr:row>359</xdr:row>
      <xdr:rowOff>224979</xdr:rowOff>
    </xdr:to>
    <xdr:grpSp>
      <xdr:nvGrpSpPr>
        <xdr:cNvPr id="5002" name="hinh2">
          <a:extLst>
            <a:ext uri="{FF2B5EF4-FFF2-40B4-BE49-F238E27FC236}">
              <a16:creationId xmlns:a16="http://schemas.microsoft.com/office/drawing/2014/main" id="{7E17C921-36B2-4930-BA5D-1ED5C5F6116F}"/>
            </a:ext>
          </a:extLst>
        </xdr:cNvPr>
        <xdr:cNvGrpSpPr>
          <a:grpSpLocks noChangeAspect="1"/>
        </xdr:cNvGrpSpPr>
      </xdr:nvGrpSpPr>
      <xdr:grpSpPr bwMode="auto">
        <a:xfrm>
          <a:off x="2735410" y="112478708"/>
          <a:ext cx="875058" cy="163683"/>
          <a:chOff x="206" y="86"/>
          <a:chExt cx="73" cy="16"/>
        </a:xfrm>
      </xdr:grpSpPr>
      <xdr:sp macro="" textlink="">
        <xdr:nvSpPr>
          <xdr:cNvPr id="5003" name="Line 6">
            <a:extLst>
              <a:ext uri="{FF2B5EF4-FFF2-40B4-BE49-F238E27FC236}">
                <a16:creationId xmlns:a16="http://schemas.microsoft.com/office/drawing/2014/main" id="{FA043933-EFE3-362A-F553-493607483B5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4" name="Line 7">
            <a:extLst>
              <a:ext uri="{FF2B5EF4-FFF2-40B4-BE49-F238E27FC236}">
                <a16:creationId xmlns:a16="http://schemas.microsoft.com/office/drawing/2014/main" id="{A9E083E8-F7F4-BADB-E8D0-234A9B612D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6" name="Line 8">
            <a:extLst>
              <a:ext uri="{FF2B5EF4-FFF2-40B4-BE49-F238E27FC236}">
                <a16:creationId xmlns:a16="http://schemas.microsoft.com/office/drawing/2014/main" id="{10082CD5-44F5-0734-0CB2-0D0F2A3C55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362</xdr:row>
      <xdr:rowOff>62196</xdr:rowOff>
    </xdr:from>
    <xdr:to>
      <xdr:col>3</xdr:col>
      <xdr:colOff>952499</xdr:colOff>
      <xdr:row>362</xdr:row>
      <xdr:rowOff>213437</xdr:rowOff>
    </xdr:to>
    <xdr:grpSp>
      <xdr:nvGrpSpPr>
        <xdr:cNvPr id="5007" name="hinh3">
          <a:extLst>
            <a:ext uri="{FF2B5EF4-FFF2-40B4-BE49-F238E27FC236}">
              <a16:creationId xmlns:a16="http://schemas.microsoft.com/office/drawing/2014/main" id="{74537241-C5B9-4BF2-B797-0626AA63C1AE}"/>
            </a:ext>
          </a:extLst>
        </xdr:cNvPr>
        <xdr:cNvGrpSpPr>
          <a:grpSpLocks noChangeAspect="1"/>
        </xdr:cNvGrpSpPr>
      </xdr:nvGrpSpPr>
      <xdr:grpSpPr bwMode="auto">
        <a:xfrm>
          <a:off x="2735376" y="113420902"/>
          <a:ext cx="861711" cy="151241"/>
          <a:chOff x="206" y="112"/>
          <a:chExt cx="73" cy="16"/>
        </a:xfrm>
      </xdr:grpSpPr>
      <xdr:sp macro="" textlink="">
        <xdr:nvSpPr>
          <xdr:cNvPr id="5008" name="Line 3">
            <a:extLst>
              <a:ext uri="{FF2B5EF4-FFF2-40B4-BE49-F238E27FC236}">
                <a16:creationId xmlns:a16="http://schemas.microsoft.com/office/drawing/2014/main" id="{301D0A99-8A7D-D5F7-9716-D173A56512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9" name="Line 4">
            <a:extLst>
              <a:ext uri="{FF2B5EF4-FFF2-40B4-BE49-F238E27FC236}">
                <a16:creationId xmlns:a16="http://schemas.microsoft.com/office/drawing/2014/main" id="{B02B8A5A-745E-5FEC-CA42-17945FA06F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360</xdr:row>
      <xdr:rowOff>50652</xdr:rowOff>
    </xdr:from>
    <xdr:to>
      <xdr:col>3</xdr:col>
      <xdr:colOff>962981</xdr:colOff>
      <xdr:row>360</xdr:row>
      <xdr:rowOff>214335</xdr:rowOff>
    </xdr:to>
    <xdr:grpSp>
      <xdr:nvGrpSpPr>
        <xdr:cNvPr id="5013" name="hinh2">
          <a:extLst>
            <a:ext uri="{FF2B5EF4-FFF2-40B4-BE49-F238E27FC236}">
              <a16:creationId xmlns:a16="http://schemas.microsoft.com/office/drawing/2014/main" id="{92503479-24DC-4290-A096-F85E34C08B67}"/>
            </a:ext>
          </a:extLst>
        </xdr:cNvPr>
        <xdr:cNvGrpSpPr>
          <a:grpSpLocks noChangeAspect="1"/>
        </xdr:cNvGrpSpPr>
      </xdr:nvGrpSpPr>
      <xdr:grpSpPr bwMode="auto">
        <a:xfrm>
          <a:off x="2732511" y="112781828"/>
          <a:ext cx="875058" cy="163683"/>
          <a:chOff x="206" y="86"/>
          <a:chExt cx="73" cy="16"/>
        </a:xfrm>
      </xdr:grpSpPr>
      <xdr:sp macro="" textlink="">
        <xdr:nvSpPr>
          <xdr:cNvPr id="5014" name="Line 6">
            <a:extLst>
              <a:ext uri="{FF2B5EF4-FFF2-40B4-BE49-F238E27FC236}">
                <a16:creationId xmlns:a16="http://schemas.microsoft.com/office/drawing/2014/main" id="{DCEBC1B1-F62E-EAF1-508B-34E302E6C7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5" name="Line 7">
            <a:extLst>
              <a:ext uri="{FF2B5EF4-FFF2-40B4-BE49-F238E27FC236}">
                <a16:creationId xmlns:a16="http://schemas.microsoft.com/office/drawing/2014/main" id="{7058DEDE-E09B-AF69-B6FD-3F4BDEC23F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6" name="Line 8">
            <a:extLst>
              <a:ext uri="{FF2B5EF4-FFF2-40B4-BE49-F238E27FC236}">
                <a16:creationId xmlns:a16="http://schemas.microsoft.com/office/drawing/2014/main" id="{CF7C5504-618F-3E4C-4620-AFC5B90263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367</xdr:row>
      <xdr:rowOff>55220</xdr:rowOff>
    </xdr:from>
    <xdr:to>
      <xdr:col>3</xdr:col>
      <xdr:colOff>1003580</xdr:colOff>
      <xdr:row>367</xdr:row>
      <xdr:rowOff>303698</xdr:rowOff>
    </xdr:to>
    <xdr:sp macro="" textlink="">
      <xdr:nvSpPr>
        <xdr:cNvPr id="5138" name="hinh15">
          <a:extLst>
            <a:ext uri="{FF2B5EF4-FFF2-40B4-BE49-F238E27FC236}">
              <a16:creationId xmlns:a16="http://schemas.microsoft.com/office/drawing/2014/main" id="{F9815873-99C5-4F7C-9D5E-07A694DA0A46}"/>
            </a:ext>
          </a:extLst>
        </xdr:cNvPr>
        <xdr:cNvSpPr>
          <a:spLocks noChangeAspect="1"/>
        </xdr:cNvSpPr>
      </xdr:nvSpPr>
      <xdr:spPr bwMode="auto">
        <a:xfrm rot="10800000">
          <a:off x="2732279" y="1004922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365</xdr:row>
      <xdr:rowOff>61296</xdr:rowOff>
    </xdr:from>
    <xdr:to>
      <xdr:col>3</xdr:col>
      <xdr:colOff>965880</xdr:colOff>
      <xdr:row>365</xdr:row>
      <xdr:rowOff>224979</xdr:rowOff>
    </xdr:to>
    <xdr:grpSp>
      <xdr:nvGrpSpPr>
        <xdr:cNvPr id="5139" name="hinh2">
          <a:extLst>
            <a:ext uri="{FF2B5EF4-FFF2-40B4-BE49-F238E27FC236}">
              <a16:creationId xmlns:a16="http://schemas.microsoft.com/office/drawing/2014/main" id="{B65E08A3-81C6-46D3-9118-77C84C51011E}"/>
            </a:ext>
          </a:extLst>
        </xdr:cNvPr>
        <xdr:cNvGrpSpPr>
          <a:grpSpLocks noChangeAspect="1"/>
        </xdr:cNvGrpSpPr>
      </xdr:nvGrpSpPr>
      <xdr:grpSpPr bwMode="auto">
        <a:xfrm>
          <a:off x="2735410" y="114361296"/>
          <a:ext cx="875058" cy="163683"/>
          <a:chOff x="206" y="86"/>
          <a:chExt cx="73" cy="16"/>
        </a:xfrm>
      </xdr:grpSpPr>
      <xdr:sp macro="" textlink="">
        <xdr:nvSpPr>
          <xdr:cNvPr id="5140" name="Line 6">
            <a:extLst>
              <a:ext uri="{FF2B5EF4-FFF2-40B4-BE49-F238E27FC236}">
                <a16:creationId xmlns:a16="http://schemas.microsoft.com/office/drawing/2014/main" id="{F51C6088-8060-3C8A-7C53-2184710C89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41" name="Line 7">
            <a:extLst>
              <a:ext uri="{FF2B5EF4-FFF2-40B4-BE49-F238E27FC236}">
                <a16:creationId xmlns:a16="http://schemas.microsoft.com/office/drawing/2014/main" id="{4A803D38-207A-4E21-D389-F23E8383E3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45" name="Line 8">
            <a:extLst>
              <a:ext uri="{FF2B5EF4-FFF2-40B4-BE49-F238E27FC236}">
                <a16:creationId xmlns:a16="http://schemas.microsoft.com/office/drawing/2014/main" id="{FD4C0770-0C89-ABC4-A1B1-D8194143F9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368</xdr:row>
      <xdr:rowOff>62196</xdr:rowOff>
    </xdr:from>
    <xdr:to>
      <xdr:col>3</xdr:col>
      <xdr:colOff>952499</xdr:colOff>
      <xdr:row>368</xdr:row>
      <xdr:rowOff>213437</xdr:rowOff>
    </xdr:to>
    <xdr:grpSp>
      <xdr:nvGrpSpPr>
        <xdr:cNvPr id="5146" name="hinh3">
          <a:extLst>
            <a:ext uri="{FF2B5EF4-FFF2-40B4-BE49-F238E27FC236}">
              <a16:creationId xmlns:a16="http://schemas.microsoft.com/office/drawing/2014/main" id="{B9F1A9DE-D58A-4B86-B8D2-FF2D22D9CED7}"/>
            </a:ext>
          </a:extLst>
        </xdr:cNvPr>
        <xdr:cNvGrpSpPr>
          <a:grpSpLocks noChangeAspect="1"/>
        </xdr:cNvGrpSpPr>
      </xdr:nvGrpSpPr>
      <xdr:grpSpPr bwMode="auto">
        <a:xfrm>
          <a:off x="2735376" y="115303490"/>
          <a:ext cx="861711" cy="151241"/>
          <a:chOff x="206" y="112"/>
          <a:chExt cx="73" cy="16"/>
        </a:xfrm>
      </xdr:grpSpPr>
      <xdr:sp macro="" textlink="">
        <xdr:nvSpPr>
          <xdr:cNvPr id="5147" name="Line 3">
            <a:extLst>
              <a:ext uri="{FF2B5EF4-FFF2-40B4-BE49-F238E27FC236}">
                <a16:creationId xmlns:a16="http://schemas.microsoft.com/office/drawing/2014/main" id="{F9B915A1-B824-79EC-F464-34AB0CD330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48" name="Line 4">
            <a:extLst>
              <a:ext uri="{FF2B5EF4-FFF2-40B4-BE49-F238E27FC236}">
                <a16:creationId xmlns:a16="http://schemas.microsoft.com/office/drawing/2014/main" id="{6C98C928-7A53-4D69-77F8-E2ABFDC35C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366</xdr:row>
      <xdr:rowOff>50652</xdr:rowOff>
    </xdr:from>
    <xdr:to>
      <xdr:col>3</xdr:col>
      <xdr:colOff>962981</xdr:colOff>
      <xdr:row>366</xdr:row>
      <xdr:rowOff>214335</xdr:rowOff>
    </xdr:to>
    <xdr:grpSp>
      <xdr:nvGrpSpPr>
        <xdr:cNvPr id="5150" name="hinh2">
          <a:extLst>
            <a:ext uri="{FF2B5EF4-FFF2-40B4-BE49-F238E27FC236}">
              <a16:creationId xmlns:a16="http://schemas.microsoft.com/office/drawing/2014/main" id="{F03187FC-A8F1-4438-9DBB-5A1C8F1174D6}"/>
            </a:ext>
          </a:extLst>
        </xdr:cNvPr>
        <xdr:cNvGrpSpPr>
          <a:grpSpLocks noChangeAspect="1"/>
        </xdr:cNvGrpSpPr>
      </xdr:nvGrpSpPr>
      <xdr:grpSpPr bwMode="auto">
        <a:xfrm>
          <a:off x="2732511" y="114664417"/>
          <a:ext cx="875058" cy="163683"/>
          <a:chOff x="206" y="86"/>
          <a:chExt cx="73" cy="16"/>
        </a:xfrm>
      </xdr:grpSpPr>
      <xdr:sp macro="" textlink="">
        <xdr:nvSpPr>
          <xdr:cNvPr id="5151" name="Line 6">
            <a:extLst>
              <a:ext uri="{FF2B5EF4-FFF2-40B4-BE49-F238E27FC236}">
                <a16:creationId xmlns:a16="http://schemas.microsoft.com/office/drawing/2014/main" id="{6B8874D3-4E76-2599-FE1B-309EC38E9A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52" name="Line 7">
            <a:extLst>
              <a:ext uri="{FF2B5EF4-FFF2-40B4-BE49-F238E27FC236}">
                <a16:creationId xmlns:a16="http://schemas.microsoft.com/office/drawing/2014/main" id="{A80DA06F-04C0-B117-D7F5-A68349F921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53" name="Line 8">
            <a:extLst>
              <a:ext uri="{FF2B5EF4-FFF2-40B4-BE49-F238E27FC236}">
                <a16:creationId xmlns:a16="http://schemas.microsoft.com/office/drawing/2014/main" id="{4836A396-B548-07E0-8FC3-B14C82836D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372</xdr:row>
      <xdr:rowOff>55220</xdr:rowOff>
    </xdr:from>
    <xdr:to>
      <xdr:col>3</xdr:col>
      <xdr:colOff>1003580</xdr:colOff>
      <xdr:row>372</xdr:row>
      <xdr:rowOff>303698</xdr:rowOff>
    </xdr:to>
    <xdr:sp macro="" textlink="">
      <xdr:nvSpPr>
        <xdr:cNvPr id="5157" name="hinh15">
          <a:extLst>
            <a:ext uri="{FF2B5EF4-FFF2-40B4-BE49-F238E27FC236}">
              <a16:creationId xmlns:a16="http://schemas.microsoft.com/office/drawing/2014/main" id="{2C7592B8-0652-458D-ACB6-BD4C899EC393}"/>
            </a:ext>
          </a:extLst>
        </xdr:cNvPr>
        <xdr:cNvSpPr>
          <a:spLocks noChangeAspect="1"/>
        </xdr:cNvSpPr>
      </xdr:nvSpPr>
      <xdr:spPr bwMode="auto">
        <a:xfrm rot="10800000">
          <a:off x="2732279" y="1020706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370</xdr:row>
      <xdr:rowOff>61296</xdr:rowOff>
    </xdr:from>
    <xdr:to>
      <xdr:col>3</xdr:col>
      <xdr:colOff>965880</xdr:colOff>
      <xdr:row>370</xdr:row>
      <xdr:rowOff>224979</xdr:rowOff>
    </xdr:to>
    <xdr:grpSp>
      <xdr:nvGrpSpPr>
        <xdr:cNvPr id="5158" name="hinh2">
          <a:extLst>
            <a:ext uri="{FF2B5EF4-FFF2-40B4-BE49-F238E27FC236}">
              <a16:creationId xmlns:a16="http://schemas.microsoft.com/office/drawing/2014/main" id="{54A1964E-4D46-46E7-A173-5BFA790066E2}"/>
            </a:ext>
          </a:extLst>
        </xdr:cNvPr>
        <xdr:cNvGrpSpPr>
          <a:grpSpLocks noChangeAspect="1"/>
        </xdr:cNvGrpSpPr>
      </xdr:nvGrpSpPr>
      <xdr:grpSpPr bwMode="auto">
        <a:xfrm>
          <a:off x="2735410" y="115930120"/>
          <a:ext cx="875058" cy="163683"/>
          <a:chOff x="206" y="86"/>
          <a:chExt cx="73" cy="16"/>
        </a:xfrm>
      </xdr:grpSpPr>
      <xdr:sp macro="" textlink="">
        <xdr:nvSpPr>
          <xdr:cNvPr id="5159" name="Line 6">
            <a:extLst>
              <a:ext uri="{FF2B5EF4-FFF2-40B4-BE49-F238E27FC236}">
                <a16:creationId xmlns:a16="http://schemas.microsoft.com/office/drawing/2014/main" id="{3D847572-B2D7-D77B-DADC-0012D25B92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0" name="Line 7">
            <a:extLst>
              <a:ext uri="{FF2B5EF4-FFF2-40B4-BE49-F238E27FC236}">
                <a16:creationId xmlns:a16="http://schemas.microsoft.com/office/drawing/2014/main" id="{58113AC5-DF89-0C9C-0070-20A37AD38B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6" name="Line 8">
            <a:extLst>
              <a:ext uri="{FF2B5EF4-FFF2-40B4-BE49-F238E27FC236}">
                <a16:creationId xmlns:a16="http://schemas.microsoft.com/office/drawing/2014/main" id="{A7A283C2-E35B-B09E-68FC-F53AABF36C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373</xdr:row>
      <xdr:rowOff>62196</xdr:rowOff>
    </xdr:from>
    <xdr:to>
      <xdr:col>3</xdr:col>
      <xdr:colOff>952499</xdr:colOff>
      <xdr:row>373</xdr:row>
      <xdr:rowOff>213437</xdr:rowOff>
    </xdr:to>
    <xdr:grpSp>
      <xdr:nvGrpSpPr>
        <xdr:cNvPr id="5167" name="hinh3">
          <a:extLst>
            <a:ext uri="{FF2B5EF4-FFF2-40B4-BE49-F238E27FC236}">
              <a16:creationId xmlns:a16="http://schemas.microsoft.com/office/drawing/2014/main" id="{8A2E4245-53AD-43CE-8287-716A6ED57EB2}"/>
            </a:ext>
          </a:extLst>
        </xdr:cNvPr>
        <xdr:cNvGrpSpPr>
          <a:grpSpLocks noChangeAspect="1"/>
        </xdr:cNvGrpSpPr>
      </xdr:nvGrpSpPr>
      <xdr:grpSpPr bwMode="auto">
        <a:xfrm>
          <a:off x="2735376" y="116872314"/>
          <a:ext cx="861711" cy="151241"/>
          <a:chOff x="206" y="112"/>
          <a:chExt cx="73" cy="16"/>
        </a:xfrm>
      </xdr:grpSpPr>
      <xdr:sp macro="" textlink="">
        <xdr:nvSpPr>
          <xdr:cNvPr id="5168" name="Line 3">
            <a:extLst>
              <a:ext uri="{FF2B5EF4-FFF2-40B4-BE49-F238E27FC236}">
                <a16:creationId xmlns:a16="http://schemas.microsoft.com/office/drawing/2014/main" id="{3B83D4E5-D3DA-79A2-A125-B679ABAE04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3" name="Line 4">
            <a:extLst>
              <a:ext uri="{FF2B5EF4-FFF2-40B4-BE49-F238E27FC236}">
                <a16:creationId xmlns:a16="http://schemas.microsoft.com/office/drawing/2014/main" id="{AA76FDEE-0BD7-3724-F758-596FEFA37F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371</xdr:row>
      <xdr:rowOff>50652</xdr:rowOff>
    </xdr:from>
    <xdr:to>
      <xdr:col>3</xdr:col>
      <xdr:colOff>962981</xdr:colOff>
      <xdr:row>371</xdr:row>
      <xdr:rowOff>214335</xdr:rowOff>
    </xdr:to>
    <xdr:grpSp>
      <xdr:nvGrpSpPr>
        <xdr:cNvPr id="5174" name="hinh2">
          <a:extLst>
            <a:ext uri="{FF2B5EF4-FFF2-40B4-BE49-F238E27FC236}">
              <a16:creationId xmlns:a16="http://schemas.microsoft.com/office/drawing/2014/main" id="{B0E68038-B237-4364-BC21-A4CEEC13F73E}"/>
            </a:ext>
          </a:extLst>
        </xdr:cNvPr>
        <xdr:cNvGrpSpPr>
          <a:grpSpLocks noChangeAspect="1"/>
        </xdr:cNvGrpSpPr>
      </xdr:nvGrpSpPr>
      <xdr:grpSpPr bwMode="auto">
        <a:xfrm>
          <a:off x="2732511" y="116233240"/>
          <a:ext cx="875058" cy="163683"/>
          <a:chOff x="206" y="86"/>
          <a:chExt cx="73" cy="16"/>
        </a:xfrm>
      </xdr:grpSpPr>
      <xdr:sp macro="" textlink="">
        <xdr:nvSpPr>
          <xdr:cNvPr id="5175" name="Line 6">
            <a:extLst>
              <a:ext uri="{FF2B5EF4-FFF2-40B4-BE49-F238E27FC236}">
                <a16:creationId xmlns:a16="http://schemas.microsoft.com/office/drawing/2014/main" id="{63923BB3-E90C-B59A-5114-BE49D2733F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6" name="Line 7">
            <a:extLst>
              <a:ext uri="{FF2B5EF4-FFF2-40B4-BE49-F238E27FC236}">
                <a16:creationId xmlns:a16="http://schemas.microsoft.com/office/drawing/2014/main" id="{708108BE-C792-ED3A-C9B0-1CE639B70D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7" name="Line 8">
            <a:extLst>
              <a:ext uri="{FF2B5EF4-FFF2-40B4-BE49-F238E27FC236}">
                <a16:creationId xmlns:a16="http://schemas.microsoft.com/office/drawing/2014/main" id="{30A460AA-024F-18BA-1E89-D3EF96A569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378</xdr:row>
      <xdr:rowOff>55220</xdr:rowOff>
    </xdr:from>
    <xdr:to>
      <xdr:col>3</xdr:col>
      <xdr:colOff>1003580</xdr:colOff>
      <xdr:row>378</xdr:row>
      <xdr:rowOff>303698</xdr:rowOff>
    </xdr:to>
    <xdr:sp macro="" textlink="">
      <xdr:nvSpPr>
        <xdr:cNvPr id="5178" name="hinh15">
          <a:extLst>
            <a:ext uri="{FF2B5EF4-FFF2-40B4-BE49-F238E27FC236}">
              <a16:creationId xmlns:a16="http://schemas.microsoft.com/office/drawing/2014/main" id="{18CA5CA4-4777-467C-84B3-7F6522A04D05}"/>
            </a:ext>
          </a:extLst>
        </xdr:cNvPr>
        <xdr:cNvSpPr>
          <a:spLocks noChangeAspect="1"/>
        </xdr:cNvSpPr>
      </xdr:nvSpPr>
      <xdr:spPr bwMode="auto">
        <a:xfrm rot="10800000">
          <a:off x="2732279" y="10049226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376</xdr:row>
      <xdr:rowOff>61296</xdr:rowOff>
    </xdr:from>
    <xdr:to>
      <xdr:col>3</xdr:col>
      <xdr:colOff>965880</xdr:colOff>
      <xdr:row>376</xdr:row>
      <xdr:rowOff>224979</xdr:rowOff>
    </xdr:to>
    <xdr:grpSp>
      <xdr:nvGrpSpPr>
        <xdr:cNvPr id="5179" name="hinh2">
          <a:extLst>
            <a:ext uri="{FF2B5EF4-FFF2-40B4-BE49-F238E27FC236}">
              <a16:creationId xmlns:a16="http://schemas.microsoft.com/office/drawing/2014/main" id="{B83106A6-CCC7-4BD2-AEB6-278CB743CE22}"/>
            </a:ext>
          </a:extLst>
        </xdr:cNvPr>
        <xdr:cNvGrpSpPr>
          <a:grpSpLocks noChangeAspect="1"/>
        </xdr:cNvGrpSpPr>
      </xdr:nvGrpSpPr>
      <xdr:grpSpPr bwMode="auto">
        <a:xfrm>
          <a:off x="2735410" y="117812708"/>
          <a:ext cx="875058" cy="163683"/>
          <a:chOff x="206" y="86"/>
          <a:chExt cx="73" cy="16"/>
        </a:xfrm>
      </xdr:grpSpPr>
      <xdr:sp macro="" textlink="">
        <xdr:nvSpPr>
          <xdr:cNvPr id="5180" name="Line 6">
            <a:extLst>
              <a:ext uri="{FF2B5EF4-FFF2-40B4-BE49-F238E27FC236}">
                <a16:creationId xmlns:a16="http://schemas.microsoft.com/office/drawing/2014/main" id="{7AAA53E0-CE46-BEBB-972A-FDF17737CF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1" name="Line 7">
            <a:extLst>
              <a:ext uri="{FF2B5EF4-FFF2-40B4-BE49-F238E27FC236}">
                <a16:creationId xmlns:a16="http://schemas.microsoft.com/office/drawing/2014/main" id="{EB1CAFC2-303B-4384-1E35-0CCC87D33D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2" name="Line 8">
            <a:extLst>
              <a:ext uri="{FF2B5EF4-FFF2-40B4-BE49-F238E27FC236}">
                <a16:creationId xmlns:a16="http://schemas.microsoft.com/office/drawing/2014/main" id="{CDBB50CF-663D-435E-73AC-D13126BBFC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379</xdr:row>
      <xdr:rowOff>62196</xdr:rowOff>
    </xdr:from>
    <xdr:to>
      <xdr:col>3</xdr:col>
      <xdr:colOff>952499</xdr:colOff>
      <xdr:row>379</xdr:row>
      <xdr:rowOff>213437</xdr:rowOff>
    </xdr:to>
    <xdr:grpSp>
      <xdr:nvGrpSpPr>
        <xdr:cNvPr id="5183" name="hinh3">
          <a:extLst>
            <a:ext uri="{FF2B5EF4-FFF2-40B4-BE49-F238E27FC236}">
              <a16:creationId xmlns:a16="http://schemas.microsoft.com/office/drawing/2014/main" id="{A15174FA-2103-4FF9-ACFA-496DA462F6B6}"/>
            </a:ext>
          </a:extLst>
        </xdr:cNvPr>
        <xdr:cNvGrpSpPr>
          <a:grpSpLocks noChangeAspect="1"/>
        </xdr:cNvGrpSpPr>
      </xdr:nvGrpSpPr>
      <xdr:grpSpPr bwMode="auto">
        <a:xfrm>
          <a:off x="2735376" y="118754902"/>
          <a:ext cx="861711" cy="151241"/>
          <a:chOff x="206" y="112"/>
          <a:chExt cx="73" cy="16"/>
        </a:xfrm>
      </xdr:grpSpPr>
      <xdr:sp macro="" textlink="">
        <xdr:nvSpPr>
          <xdr:cNvPr id="5184" name="Line 3">
            <a:extLst>
              <a:ext uri="{FF2B5EF4-FFF2-40B4-BE49-F238E27FC236}">
                <a16:creationId xmlns:a16="http://schemas.microsoft.com/office/drawing/2014/main" id="{CCBC7DC5-7494-EF7C-5C27-FCC6F501BA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5" name="Line 4">
            <a:extLst>
              <a:ext uri="{FF2B5EF4-FFF2-40B4-BE49-F238E27FC236}">
                <a16:creationId xmlns:a16="http://schemas.microsoft.com/office/drawing/2014/main" id="{DA343934-1414-C4C2-7C30-6687898B25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377</xdr:row>
      <xdr:rowOff>50652</xdr:rowOff>
    </xdr:from>
    <xdr:to>
      <xdr:col>3</xdr:col>
      <xdr:colOff>962981</xdr:colOff>
      <xdr:row>377</xdr:row>
      <xdr:rowOff>214335</xdr:rowOff>
    </xdr:to>
    <xdr:grpSp>
      <xdr:nvGrpSpPr>
        <xdr:cNvPr id="5186" name="hinh2">
          <a:extLst>
            <a:ext uri="{FF2B5EF4-FFF2-40B4-BE49-F238E27FC236}">
              <a16:creationId xmlns:a16="http://schemas.microsoft.com/office/drawing/2014/main" id="{39F9CEC9-3016-463D-ACB7-C64D2527707D}"/>
            </a:ext>
          </a:extLst>
        </xdr:cNvPr>
        <xdr:cNvGrpSpPr>
          <a:grpSpLocks noChangeAspect="1"/>
        </xdr:cNvGrpSpPr>
      </xdr:nvGrpSpPr>
      <xdr:grpSpPr bwMode="auto">
        <a:xfrm>
          <a:off x="2732511" y="118115828"/>
          <a:ext cx="875058" cy="163683"/>
          <a:chOff x="206" y="86"/>
          <a:chExt cx="73" cy="16"/>
        </a:xfrm>
      </xdr:grpSpPr>
      <xdr:sp macro="" textlink="">
        <xdr:nvSpPr>
          <xdr:cNvPr id="5187" name="Line 6">
            <a:extLst>
              <a:ext uri="{FF2B5EF4-FFF2-40B4-BE49-F238E27FC236}">
                <a16:creationId xmlns:a16="http://schemas.microsoft.com/office/drawing/2014/main" id="{CE964BD7-4112-4A47-54F7-6C0991D22D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8" name="Line 7">
            <a:extLst>
              <a:ext uri="{FF2B5EF4-FFF2-40B4-BE49-F238E27FC236}">
                <a16:creationId xmlns:a16="http://schemas.microsoft.com/office/drawing/2014/main" id="{78A3CAC1-27EA-5AFB-B642-D32458E160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9" name="Line 8">
            <a:extLst>
              <a:ext uri="{FF2B5EF4-FFF2-40B4-BE49-F238E27FC236}">
                <a16:creationId xmlns:a16="http://schemas.microsoft.com/office/drawing/2014/main" id="{52570279-D3BB-A47E-C6DF-24DB2125FE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383</xdr:row>
      <xdr:rowOff>55220</xdr:rowOff>
    </xdr:from>
    <xdr:to>
      <xdr:col>3</xdr:col>
      <xdr:colOff>1003580</xdr:colOff>
      <xdr:row>383</xdr:row>
      <xdr:rowOff>303698</xdr:rowOff>
    </xdr:to>
    <xdr:sp macro="" textlink="">
      <xdr:nvSpPr>
        <xdr:cNvPr id="5190" name="hinh15">
          <a:extLst>
            <a:ext uri="{FF2B5EF4-FFF2-40B4-BE49-F238E27FC236}">
              <a16:creationId xmlns:a16="http://schemas.microsoft.com/office/drawing/2014/main" id="{F4675A36-EBC1-4DBE-96B7-02AE5778ED6D}"/>
            </a:ext>
          </a:extLst>
        </xdr:cNvPr>
        <xdr:cNvSpPr>
          <a:spLocks noChangeAspect="1"/>
        </xdr:cNvSpPr>
      </xdr:nvSpPr>
      <xdr:spPr bwMode="auto">
        <a:xfrm rot="10800000">
          <a:off x="2732279" y="1020706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381</xdr:row>
      <xdr:rowOff>61296</xdr:rowOff>
    </xdr:from>
    <xdr:to>
      <xdr:col>3</xdr:col>
      <xdr:colOff>965880</xdr:colOff>
      <xdr:row>381</xdr:row>
      <xdr:rowOff>224979</xdr:rowOff>
    </xdr:to>
    <xdr:grpSp>
      <xdr:nvGrpSpPr>
        <xdr:cNvPr id="5191" name="hinh2">
          <a:extLst>
            <a:ext uri="{FF2B5EF4-FFF2-40B4-BE49-F238E27FC236}">
              <a16:creationId xmlns:a16="http://schemas.microsoft.com/office/drawing/2014/main" id="{A4C2AC52-7D95-46EC-AF50-FDAF3370AC28}"/>
            </a:ext>
          </a:extLst>
        </xdr:cNvPr>
        <xdr:cNvGrpSpPr>
          <a:grpSpLocks noChangeAspect="1"/>
        </xdr:cNvGrpSpPr>
      </xdr:nvGrpSpPr>
      <xdr:grpSpPr bwMode="auto">
        <a:xfrm>
          <a:off x="2735410" y="119381531"/>
          <a:ext cx="875058" cy="163683"/>
          <a:chOff x="206" y="86"/>
          <a:chExt cx="73" cy="16"/>
        </a:xfrm>
      </xdr:grpSpPr>
      <xdr:sp macro="" textlink="">
        <xdr:nvSpPr>
          <xdr:cNvPr id="5192" name="Line 6">
            <a:extLst>
              <a:ext uri="{FF2B5EF4-FFF2-40B4-BE49-F238E27FC236}">
                <a16:creationId xmlns:a16="http://schemas.microsoft.com/office/drawing/2014/main" id="{BC11866C-AEEE-2918-353E-B77D888A4E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3" name="Line 7">
            <a:extLst>
              <a:ext uri="{FF2B5EF4-FFF2-40B4-BE49-F238E27FC236}">
                <a16:creationId xmlns:a16="http://schemas.microsoft.com/office/drawing/2014/main" id="{AD3DB432-10EB-34CC-DB87-E061D8D517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4" name="Line 8">
            <a:extLst>
              <a:ext uri="{FF2B5EF4-FFF2-40B4-BE49-F238E27FC236}">
                <a16:creationId xmlns:a16="http://schemas.microsoft.com/office/drawing/2014/main" id="{7FFB3F85-D0DA-0EFC-38D6-9A82CB039A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384</xdr:row>
      <xdr:rowOff>62196</xdr:rowOff>
    </xdr:from>
    <xdr:to>
      <xdr:col>3</xdr:col>
      <xdr:colOff>952499</xdr:colOff>
      <xdr:row>384</xdr:row>
      <xdr:rowOff>213437</xdr:rowOff>
    </xdr:to>
    <xdr:grpSp>
      <xdr:nvGrpSpPr>
        <xdr:cNvPr id="5195" name="hinh3">
          <a:extLst>
            <a:ext uri="{FF2B5EF4-FFF2-40B4-BE49-F238E27FC236}">
              <a16:creationId xmlns:a16="http://schemas.microsoft.com/office/drawing/2014/main" id="{D4133140-B7F7-4D22-B3D7-B22FEEEBE88F}"/>
            </a:ext>
          </a:extLst>
        </xdr:cNvPr>
        <xdr:cNvGrpSpPr>
          <a:grpSpLocks noChangeAspect="1"/>
        </xdr:cNvGrpSpPr>
      </xdr:nvGrpSpPr>
      <xdr:grpSpPr bwMode="auto">
        <a:xfrm>
          <a:off x="2735376" y="120323725"/>
          <a:ext cx="861711" cy="151241"/>
          <a:chOff x="206" y="112"/>
          <a:chExt cx="73" cy="16"/>
        </a:xfrm>
      </xdr:grpSpPr>
      <xdr:sp macro="" textlink="">
        <xdr:nvSpPr>
          <xdr:cNvPr id="5196" name="Line 3">
            <a:extLst>
              <a:ext uri="{FF2B5EF4-FFF2-40B4-BE49-F238E27FC236}">
                <a16:creationId xmlns:a16="http://schemas.microsoft.com/office/drawing/2014/main" id="{7897F423-7BF3-E441-34E5-2EB25A4FB1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7" name="Line 4">
            <a:extLst>
              <a:ext uri="{FF2B5EF4-FFF2-40B4-BE49-F238E27FC236}">
                <a16:creationId xmlns:a16="http://schemas.microsoft.com/office/drawing/2014/main" id="{18F40E2A-1CA9-3A4E-3FEC-1055091EB2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382</xdr:row>
      <xdr:rowOff>50652</xdr:rowOff>
    </xdr:from>
    <xdr:to>
      <xdr:col>3</xdr:col>
      <xdr:colOff>962981</xdr:colOff>
      <xdr:row>382</xdr:row>
      <xdr:rowOff>214335</xdr:rowOff>
    </xdr:to>
    <xdr:grpSp>
      <xdr:nvGrpSpPr>
        <xdr:cNvPr id="5198" name="hinh2">
          <a:extLst>
            <a:ext uri="{FF2B5EF4-FFF2-40B4-BE49-F238E27FC236}">
              <a16:creationId xmlns:a16="http://schemas.microsoft.com/office/drawing/2014/main" id="{B3E61618-711A-40C8-92D2-CD2E0ACA46CC}"/>
            </a:ext>
          </a:extLst>
        </xdr:cNvPr>
        <xdr:cNvGrpSpPr>
          <a:grpSpLocks noChangeAspect="1"/>
        </xdr:cNvGrpSpPr>
      </xdr:nvGrpSpPr>
      <xdr:grpSpPr bwMode="auto">
        <a:xfrm>
          <a:off x="2732511" y="119684652"/>
          <a:ext cx="875058" cy="163683"/>
          <a:chOff x="206" y="86"/>
          <a:chExt cx="73" cy="16"/>
        </a:xfrm>
      </xdr:grpSpPr>
      <xdr:sp macro="" textlink="">
        <xdr:nvSpPr>
          <xdr:cNvPr id="5199" name="Line 6">
            <a:extLst>
              <a:ext uri="{FF2B5EF4-FFF2-40B4-BE49-F238E27FC236}">
                <a16:creationId xmlns:a16="http://schemas.microsoft.com/office/drawing/2014/main" id="{E6C8F142-E092-EDA0-0EBC-2769909130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0" name="Line 7">
            <a:extLst>
              <a:ext uri="{FF2B5EF4-FFF2-40B4-BE49-F238E27FC236}">
                <a16:creationId xmlns:a16="http://schemas.microsoft.com/office/drawing/2014/main" id="{C4F24379-FE6F-9A27-D28F-C3440985DC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1" name="Line 8">
            <a:extLst>
              <a:ext uri="{FF2B5EF4-FFF2-40B4-BE49-F238E27FC236}">
                <a16:creationId xmlns:a16="http://schemas.microsoft.com/office/drawing/2014/main" id="{0DBD2273-56F9-1337-66F3-708FD3D058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388</xdr:row>
      <xdr:rowOff>55220</xdr:rowOff>
    </xdr:from>
    <xdr:to>
      <xdr:col>3</xdr:col>
      <xdr:colOff>1003580</xdr:colOff>
      <xdr:row>388</xdr:row>
      <xdr:rowOff>303698</xdr:rowOff>
    </xdr:to>
    <xdr:sp macro="" textlink="">
      <xdr:nvSpPr>
        <xdr:cNvPr id="5202" name="hinh15">
          <a:extLst>
            <a:ext uri="{FF2B5EF4-FFF2-40B4-BE49-F238E27FC236}">
              <a16:creationId xmlns:a16="http://schemas.microsoft.com/office/drawing/2014/main" id="{8A323633-EFA9-4E7B-9E79-997B3BCE8296}"/>
            </a:ext>
          </a:extLst>
        </xdr:cNvPr>
        <xdr:cNvSpPr>
          <a:spLocks noChangeAspect="1"/>
        </xdr:cNvSpPr>
      </xdr:nvSpPr>
      <xdr:spPr bwMode="auto">
        <a:xfrm rot="10800000">
          <a:off x="2732279" y="1121726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386</xdr:row>
      <xdr:rowOff>61296</xdr:rowOff>
    </xdr:from>
    <xdr:to>
      <xdr:col>3</xdr:col>
      <xdr:colOff>965880</xdr:colOff>
      <xdr:row>386</xdr:row>
      <xdr:rowOff>224979</xdr:rowOff>
    </xdr:to>
    <xdr:grpSp>
      <xdr:nvGrpSpPr>
        <xdr:cNvPr id="5203" name="hinh2">
          <a:extLst>
            <a:ext uri="{FF2B5EF4-FFF2-40B4-BE49-F238E27FC236}">
              <a16:creationId xmlns:a16="http://schemas.microsoft.com/office/drawing/2014/main" id="{7795B8E1-3D77-4C4B-9F64-3B4C77A92921}"/>
            </a:ext>
          </a:extLst>
        </xdr:cNvPr>
        <xdr:cNvGrpSpPr>
          <a:grpSpLocks noChangeAspect="1"/>
        </xdr:cNvGrpSpPr>
      </xdr:nvGrpSpPr>
      <xdr:grpSpPr bwMode="auto">
        <a:xfrm>
          <a:off x="2735410" y="120950355"/>
          <a:ext cx="875058" cy="163683"/>
          <a:chOff x="206" y="86"/>
          <a:chExt cx="73" cy="16"/>
        </a:xfrm>
      </xdr:grpSpPr>
      <xdr:sp macro="" textlink="">
        <xdr:nvSpPr>
          <xdr:cNvPr id="5204" name="Line 6">
            <a:extLst>
              <a:ext uri="{FF2B5EF4-FFF2-40B4-BE49-F238E27FC236}">
                <a16:creationId xmlns:a16="http://schemas.microsoft.com/office/drawing/2014/main" id="{C8484488-C7EE-7231-A3E0-E94139DB85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5" name="Line 7">
            <a:extLst>
              <a:ext uri="{FF2B5EF4-FFF2-40B4-BE49-F238E27FC236}">
                <a16:creationId xmlns:a16="http://schemas.microsoft.com/office/drawing/2014/main" id="{1F3B3505-427E-8B87-5926-11DF572522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6" name="Line 8">
            <a:extLst>
              <a:ext uri="{FF2B5EF4-FFF2-40B4-BE49-F238E27FC236}">
                <a16:creationId xmlns:a16="http://schemas.microsoft.com/office/drawing/2014/main" id="{D5199FC2-2E44-685A-881F-A1D69D8450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389</xdr:row>
      <xdr:rowOff>62196</xdr:rowOff>
    </xdr:from>
    <xdr:to>
      <xdr:col>3</xdr:col>
      <xdr:colOff>952499</xdr:colOff>
      <xdr:row>389</xdr:row>
      <xdr:rowOff>213437</xdr:rowOff>
    </xdr:to>
    <xdr:grpSp>
      <xdr:nvGrpSpPr>
        <xdr:cNvPr id="5207" name="hinh3">
          <a:extLst>
            <a:ext uri="{FF2B5EF4-FFF2-40B4-BE49-F238E27FC236}">
              <a16:creationId xmlns:a16="http://schemas.microsoft.com/office/drawing/2014/main" id="{30F37500-D856-464F-9A73-2CD312442634}"/>
            </a:ext>
          </a:extLst>
        </xdr:cNvPr>
        <xdr:cNvGrpSpPr>
          <a:grpSpLocks noChangeAspect="1"/>
        </xdr:cNvGrpSpPr>
      </xdr:nvGrpSpPr>
      <xdr:grpSpPr bwMode="auto">
        <a:xfrm>
          <a:off x="2735376" y="121892549"/>
          <a:ext cx="861711" cy="151241"/>
          <a:chOff x="206" y="112"/>
          <a:chExt cx="73" cy="16"/>
        </a:xfrm>
      </xdr:grpSpPr>
      <xdr:sp macro="" textlink="">
        <xdr:nvSpPr>
          <xdr:cNvPr id="5208" name="Line 3">
            <a:extLst>
              <a:ext uri="{FF2B5EF4-FFF2-40B4-BE49-F238E27FC236}">
                <a16:creationId xmlns:a16="http://schemas.microsoft.com/office/drawing/2014/main" id="{E3C31192-0B41-67E9-3F29-8562B9050E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9" name="Line 4">
            <a:extLst>
              <a:ext uri="{FF2B5EF4-FFF2-40B4-BE49-F238E27FC236}">
                <a16:creationId xmlns:a16="http://schemas.microsoft.com/office/drawing/2014/main" id="{3C89DCD7-2936-7971-5C92-6CA94C5221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387</xdr:row>
      <xdr:rowOff>50652</xdr:rowOff>
    </xdr:from>
    <xdr:to>
      <xdr:col>3</xdr:col>
      <xdr:colOff>962981</xdr:colOff>
      <xdr:row>387</xdr:row>
      <xdr:rowOff>214335</xdr:rowOff>
    </xdr:to>
    <xdr:grpSp>
      <xdr:nvGrpSpPr>
        <xdr:cNvPr id="5210" name="hinh2">
          <a:extLst>
            <a:ext uri="{FF2B5EF4-FFF2-40B4-BE49-F238E27FC236}">
              <a16:creationId xmlns:a16="http://schemas.microsoft.com/office/drawing/2014/main" id="{C0480AFF-9EB0-459A-8895-0E83B3A819D3}"/>
            </a:ext>
          </a:extLst>
        </xdr:cNvPr>
        <xdr:cNvGrpSpPr>
          <a:grpSpLocks noChangeAspect="1"/>
        </xdr:cNvGrpSpPr>
      </xdr:nvGrpSpPr>
      <xdr:grpSpPr bwMode="auto">
        <a:xfrm>
          <a:off x="2732511" y="121253476"/>
          <a:ext cx="875058" cy="163683"/>
          <a:chOff x="206" y="86"/>
          <a:chExt cx="73" cy="16"/>
        </a:xfrm>
      </xdr:grpSpPr>
      <xdr:sp macro="" textlink="">
        <xdr:nvSpPr>
          <xdr:cNvPr id="5211" name="Line 6">
            <a:extLst>
              <a:ext uri="{FF2B5EF4-FFF2-40B4-BE49-F238E27FC236}">
                <a16:creationId xmlns:a16="http://schemas.microsoft.com/office/drawing/2014/main" id="{A2994D31-DC09-ABA8-4A9A-A7096FC18F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12" name="Line 7">
            <a:extLst>
              <a:ext uri="{FF2B5EF4-FFF2-40B4-BE49-F238E27FC236}">
                <a16:creationId xmlns:a16="http://schemas.microsoft.com/office/drawing/2014/main" id="{F97CE8F5-699F-9286-7FE4-4463C7FF71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13" name="Line 8">
            <a:extLst>
              <a:ext uri="{FF2B5EF4-FFF2-40B4-BE49-F238E27FC236}">
                <a16:creationId xmlns:a16="http://schemas.microsoft.com/office/drawing/2014/main" id="{7B2C9875-61F2-0E74-F85B-BE0FB91087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394</xdr:row>
      <xdr:rowOff>55220</xdr:rowOff>
    </xdr:from>
    <xdr:to>
      <xdr:col>3</xdr:col>
      <xdr:colOff>1003580</xdr:colOff>
      <xdr:row>394</xdr:row>
      <xdr:rowOff>303698</xdr:rowOff>
    </xdr:to>
    <xdr:sp macro="" textlink="">
      <xdr:nvSpPr>
        <xdr:cNvPr id="10" name="hinh15">
          <a:extLst>
            <a:ext uri="{FF2B5EF4-FFF2-40B4-BE49-F238E27FC236}">
              <a16:creationId xmlns:a16="http://schemas.microsoft.com/office/drawing/2014/main" id="{58CC466E-AF3F-4F9D-AF04-4A4F81F0A8B2}"/>
            </a:ext>
          </a:extLst>
        </xdr:cNvPr>
        <xdr:cNvSpPr>
          <a:spLocks noChangeAspect="1"/>
        </xdr:cNvSpPr>
      </xdr:nvSpPr>
      <xdr:spPr bwMode="auto">
        <a:xfrm rot="10800000">
          <a:off x="2737081" y="10996251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392</xdr:row>
      <xdr:rowOff>61296</xdr:rowOff>
    </xdr:from>
    <xdr:to>
      <xdr:col>3</xdr:col>
      <xdr:colOff>965880</xdr:colOff>
      <xdr:row>392</xdr:row>
      <xdr:rowOff>224979</xdr:rowOff>
    </xdr:to>
    <xdr:grpSp>
      <xdr:nvGrpSpPr>
        <xdr:cNvPr id="11" name="hinh2">
          <a:extLst>
            <a:ext uri="{FF2B5EF4-FFF2-40B4-BE49-F238E27FC236}">
              <a16:creationId xmlns:a16="http://schemas.microsoft.com/office/drawing/2014/main" id="{C99FEACE-1373-4DC6-8C7C-1034088D4D14}"/>
            </a:ext>
          </a:extLst>
        </xdr:cNvPr>
        <xdr:cNvGrpSpPr>
          <a:grpSpLocks noChangeAspect="1"/>
        </xdr:cNvGrpSpPr>
      </xdr:nvGrpSpPr>
      <xdr:grpSpPr bwMode="auto">
        <a:xfrm>
          <a:off x="2735410" y="122832943"/>
          <a:ext cx="875058" cy="163683"/>
          <a:chOff x="206" y="86"/>
          <a:chExt cx="73" cy="16"/>
        </a:xfrm>
      </xdr:grpSpPr>
      <xdr:sp macro="" textlink="">
        <xdr:nvSpPr>
          <xdr:cNvPr id="12" name="Line 6">
            <a:extLst>
              <a:ext uri="{FF2B5EF4-FFF2-40B4-BE49-F238E27FC236}">
                <a16:creationId xmlns:a16="http://schemas.microsoft.com/office/drawing/2014/main" id="{EA8D4F03-0A62-6EC7-694A-B1AABEB753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7">
            <a:extLst>
              <a:ext uri="{FF2B5EF4-FFF2-40B4-BE49-F238E27FC236}">
                <a16:creationId xmlns:a16="http://schemas.microsoft.com/office/drawing/2014/main" id="{5E021D2E-A913-3226-C119-9BB1B6BFF8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">
            <a:extLst>
              <a:ext uri="{FF2B5EF4-FFF2-40B4-BE49-F238E27FC236}">
                <a16:creationId xmlns:a16="http://schemas.microsoft.com/office/drawing/2014/main" id="{6D71828D-4765-1C28-05F1-2A64AAFF9F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395</xdr:row>
      <xdr:rowOff>62196</xdr:rowOff>
    </xdr:from>
    <xdr:to>
      <xdr:col>3</xdr:col>
      <xdr:colOff>952499</xdr:colOff>
      <xdr:row>395</xdr:row>
      <xdr:rowOff>213437</xdr:rowOff>
    </xdr:to>
    <xdr:grpSp>
      <xdr:nvGrpSpPr>
        <xdr:cNvPr id="15" name="hinh3">
          <a:extLst>
            <a:ext uri="{FF2B5EF4-FFF2-40B4-BE49-F238E27FC236}">
              <a16:creationId xmlns:a16="http://schemas.microsoft.com/office/drawing/2014/main" id="{4E35ADA2-0587-4A0D-886F-236F5E113236}"/>
            </a:ext>
          </a:extLst>
        </xdr:cNvPr>
        <xdr:cNvGrpSpPr>
          <a:grpSpLocks noChangeAspect="1"/>
        </xdr:cNvGrpSpPr>
      </xdr:nvGrpSpPr>
      <xdr:grpSpPr bwMode="auto">
        <a:xfrm>
          <a:off x="2735376" y="123775137"/>
          <a:ext cx="861711" cy="151241"/>
          <a:chOff x="206" y="112"/>
          <a:chExt cx="73" cy="16"/>
        </a:xfrm>
      </xdr:grpSpPr>
      <xdr:sp macro="" textlink="">
        <xdr:nvSpPr>
          <xdr:cNvPr id="16" name="Line 3">
            <a:extLst>
              <a:ext uri="{FF2B5EF4-FFF2-40B4-BE49-F238E27FC236}">
                <a16:creationId xmlns:a16="http://schemas.microsoft.com/office/drawing/2014/main" id="{B3EF5B2B-597E-0826-DDD2-A4F814EF94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">
            <a:extLst>
              <a:ext uri="{FF2B5EF4-FFF2-40B4-BE49-F238E27FC236}">
                <a16:creationId xmlns:a16="http://schemas.microsoft.com/office/drawing/2014/main" id="{A8B52B20-2697-4997-C63B-0B1EC1A76A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393</xdr:row>
      <xdr:rowOff>50652</xdr:rowOff>
    </xdr:from>
    <xdr:to>
      <xdr:col>3</xdr:col>
      <xdr:colOff>962981</xdr:colOff>
      <xdr:row>393</xdr:row>
      <xdr:rowOff>214335</xdr:rowOff>
    </xdr:to>
    <xdr:grpSp>
      <xdr:nvGrpSpPr>
        <xdr:cNvPr id="18" name="hinh2">
          <a:extLst>
            <a:ext uri="{FF2B5EF4-FFF2-40B4-BE49-F238E27FC236}">
              <a16:creationId xmlns:a16="http://schemas.microsoft.com/office/drawing/2014/main" id="{3B09FF82-818C-4C29-9798-F823A38E8AEF}"/>
            </a:ext>
          </a:extLst>
        </xdr:cNvPr>
        <xdr:cNvGrpSpPr>
          <a:grpSpLocks noChangeAspect="1"/>
        </xdr:cNvGrpSpPr>
      </xdr:nvGrpSpPr>
      <xdr:grpSpPr bwMode="auto">
        <a:xfrm>
          <a:off x="2732511" y="123136064"/>
          <a:ext cx="875058" cy="163683"/>
          <a:chOff x="206" y="86"/>
          <a:chExt cx="73" cy="16"/>
        </a:xfrm>
      </xdr:grpSpPr>
      <xdr:sp macro="" textlink="">
        <xdr:nvSpPr>
          <xdr:cNvPr id="19" name="Line 6">
            <a:extLst>
              <a:ext uri="{FF2B5EF4-FFF2-40B4-BE49-F238E27FC236}">
                <a16:creationId xmlns:a16="http://schemas.microsoft.com/office/drawing/2014/main" id="{CACD20EE-15C5-F7BE-2EFE-60A0EB202D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">
            <a:extLst>
              <a:ext uri="{FF2B5EF4-FFF2-40B4-BE49-F238E27FC236}">
                <a16:creationId xmlns:a16="http://schemas.microsoft.com/office/drawing/2014/main" id="{B808A7DA-E580-8F53-BF1D-831454ACF7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8">
            <a:extLst>
              <a:ext uri="{FF2B5EF4-FFF2-40B4-BE49-F238E27FC236}">
                <a16:creationId xmlns:a16="http://schemas.microsoft.com/office/drawing/2014/main" id="{F5D333FF-81D2-A757-4B5F-D930B8888B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399</xdr:row>
      <xdr:rowOff>55220</xdr:rowOff>
    </xdr:from>
    <xdr:to>
      <xdr:col>3</xdr:col>
      <xdr:colOff>1003580</xdr:colOff>
      <xdr:row>399</xdr:row>
      <xdr:rowOff>303698</xdr:rowOff>
    </xdr:to>
    <xdr:sp macro="" textlink="">
      <xdr:nvSpPr>
        <xdr:cNvPr id="22" name="hinh15">
          <a:extLst>
            <a:ext uri="{FF2B5EF4-FFF2-40B4-BE49-F238E27FC236}">
              <a16:creationId xmlns:a16="http://schemas.microsoft.com/office/drawing/2014/main" id="{230D66DD-DB8D-419C-9469-07AA1504D19F}"/>
            </a:ext>
          </a:extLst>
        </xdr:cNvPr>
        <xdr:cNvSpPr>
          <a:spLocks noChangeAspect="1"/>
        </xdr:cNvSpPr>
      </xdr:nvSpPr>
      <xdr:spPr bwMode="auto">
        <a:xfrm rot="10800000">
          <a:off x="2737081" y="114982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397</xdr:row>
      <xdr:rowOff>61296</xdr:rowOff>
    </xdr:from>
    <xdr:to>
      <xdr:col>3</xdr:col>
      <xdr:colOff>965880</xdr:colOff>
      <xdr:row>397</xdr:row>
      <xdr:rowOff>224979</xdr:rowOff>
    </xdr:to>
    <xdr:grpSp>
      <xdr:nvGrpSpPr>
        <xdr:cNvPr id="23" name="hinh2">
          <a:extLst>
            <a:ext uri="{FF2B5EF4-FFF2-40B4-BE49-F238E27FC236}">
              <a16:creationId xmlns:a16="http://schemas.microsoft.com/office/drawing/2014/main" id="{7D203FB6-18A4-489B-8CCE-16A667B43EBF}"/>
            </a:ext>
          </a:extLst>
        </xdr:cNvPr>
        <xdr:cNvGrpSpPr>
          <a:grpSpLocks noChangeAspect="1"/>
        </xdr:cNvGrpSpPr>
      </xdr:nvGrpSpPr>
      <xdr:grpSpPr bwMode="auto">
        <a:xfrm>
          <a:off x="2735410" y="124401767"/>
          <a:ext cx="875058" cy="163683"/>
          <a:chOff x="206" y="86"/>
          <a:chExt cx="73" cy="16"/>
        </a:xfrm>
      </xdr:grpSpPr>
      <xdr:sp macro="" textlink="">
        <xdr:nvSpPr>
          <xdr:cNvPr id="24" name="Line 6">
            <a:extLst>
              <a:ext uri="{FF2B5EF4-FFF2-40B4-BE49-F238E27FC236}">
                <a16:creationId xmlns:a16="http://schemas.microsoft.com/office/drawing/2014/main" id="{EE329FD6-F31B-3538-AE28-0AAEFB0F3D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">
            <a:extLst>
              <a:ext uri="{FF2B5EF4-FFF2-40B4-BE49-F238E27FC236}">
                <a16:creationId xmlns:a16="http://schemas.microsoft.com/office/drawing/2014/main" id="{612BF8E3-0385-27A4-DA97-596B39BAB3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">
            <a:extLst>
              <a:ext uri="{FF2B5EF4-FFF2-40B4-BE49-F238E27FC236}">
                <a16:creationId xmlns:a16="http://schemas.microsoft.com/office/drawing/2014/main" id="{7A6F036B-67DA-FC6B-4E83-1C25F6AC78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400</xdr:row>
      <xdr:rowOff>62196</xdr:rowOff>
    </xdr:from>
    <xdr:to>
      <xdr:col>3</xdr:col>
      <xdr:colOff>952499</xdr:colOff>
      <xdr:row>400</xdr:row>
      <xdr:rowOff>213437</xdr:rowOff>
    </xdr:to>
    <xdr:grpSp>
      <xdr:nvGrpSpPr>
        <xdr:cNvPr id="27" name="hinh3">
          <a:extLst>
            <a:ext uri="{FF2B5EF4-FFF2-40B4-BE49-F238E27FC236}">
              <a16:creationId xmlns:a16="http://schemas.microsoft.com/office/drawing/2014/main" id="{0A54F21C-0A7D-4D6D-B5F1-8A73BF422E70}"/>
            </a:ext>
          </a:extLst>
        </xdr:cNvPr>
        <xdr:cNvGrpSpPr>
          <a:grpSpLocks noChangeAspect="1"/>
        </xdr:cNvGrpSpPr>
      </xdr:nvGrpSpPr>
      <xdr:grpSpPr bwMode="auto">
        <a:xfrm>
          <a:off x="2735376" y="125343961"/>
          <a:ext cx="861711" cy="151241"/>
          <a:chOff x="206" y="112"/>
          <a:chExt cx="73" cy="16"/>
        </a:xfrm>
      </xdr:grpSpPr>
      <xdr:sp macro="" textlink="">
        <xdr:nvSpPr>
          <xdr:cNvPr id="28" name="Line 3">
            <a:extLst>
              <a:ext uri="{FF2B5EF4-FFF2-40B4-BE49-F238E27FC236}">
                <a16:creationId xmlns:a16="http://schemas.microsoft.com/office/drawing/2014/main" id="{076AD7F7-5A78-EB59-A0D3-9C2C2C7B36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">
            <a:extLst>
              <a:ext uri="{FF2B5EF4-FFF2-40B4-BE49-F238E27FC236}">
                <a16:creationId xmlns:a16="http://schemas.microsoft.com/office/drawing/2014/main" id="{0F8241AA-E157-C686-85E5-3F06813F4F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398</xdr:row>
      <xdr:rowOff>50652</xdr:rowOff>
    </xdr:from>
    <xdr:to>
      <xdr:col>3</xdr:col>
      <xdr:colOff>962981</xdr:colOff>
      <xdr:row>398</xdr:row>
      <xdr:rowOff>214335</xdr:rowOff>
    </xdr:to>
    <xdr:grpSp>
      <xdr:nvGrpSpPr>
        <xdr:cNvPr id="30" name="hinh2">
          <a:extLst>
            <a:ext uri="{FF2B5EF4-FFF2-40B4-BE49-F238E27FC236}">
              <a16:creationId xmlns:a16="http://schemas.microsoft.com/office/drawing/2014/main" id="{15650C1B-3D82-44E2-A939-86E5D4C369D2}"/>
            </a:ext>
          </a:extLst>
        </xdr:cNvPr>
        <xdr:cNvGrpSpPr>
          <a:grpSpLocks noChangeAspect="1"/>
        </xdr:cNvGrpSpPr>
      </xdr:nvGrpSpPr>
      <xdr:grpSpPr bwMode="auto">
        <a:xfrm>
          <a:off x="2732511" y="124704887"/>
          <a:ext cx="875058" cy="163683"/>
          <a:chOff x="206" y="86"/>
          <a:chExt cx="73" cy="16"/>
        </a:xfrm>
      </xdr:grpSpPr>
      <xdr:sp macro="" textlink="">
        <xdr:nvSpPr>
          <xdr:cNvPr id="31" name="Line 6">
            <a:extLst>
              <a:ext uri="{FF2B5EF4-FFF2-40B4-BE49-F238E27FC236}">
                <a16:creationId xmlns:a16="http://schemas.microsoft.com/office/drawing/2014/main" id="{F3B54305-C755-C135-3440-F4C00207C6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7">
            <a:extLst>
              <a:ext uri="{FF2B5EF4-FFF2-40B4-BE49-F238E27FC236}">
                <a16:creationId xmlns:a16="http://schemas.microsoft.com/office/drawing/2014/main" id="{F3294E6C-A4A3-1831-F642-3737BF8320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">
            <a:extLst>
              <a:ext uri="{FF2B5EF4-FFF2-40B4-BE49-F238E27FC236}">
                <a16:creationId xmlns:a16="http://schemas.microsoft.com/office/drawing/2014/main" id="{4F223872-55DF-A415-8697-4890A6FAFD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404</xdr:row>
      <xdr:rowOff>55220</xdr:rowOff>
    </xdr:from>
    <xdr:to>
      <xdr:col>3</xdr:col>
      <xdr:colOff>1003580</xdr:colOff>
      <xdr:row>404</xdr:row>
      <xdr:rowOff>303698</xdr:rowOff>
    </xdr:to>
    <xdr:sp macro="" textlink="">
      <xdr:nvSpPr>
        <xdr:cNvPr id="34" name="hinh15">
          <a:extLst>
            <a:ext uri="{FF2B5EF4-FFF2-40B4-BE49-F238E27FC236}">
              <a16:creationId xmlns:a16="http://schemas.microsoft.com/office/drawing/2014/main" id="{05A29419-99EB-43E2-9EAA-E17FF25CE0C9}"/>
            </a:ext>
          </a:extLst>
        </xdr:cNvPr>
        <xdr:cNvSpPr>
          <a:spLocks noChangeAspect="1"/>
        </xdr:cNvSpPr>
      </xdr:nvSpPr>
      <xdr:spPr bwMode="auto">
        <a:xfrm rot="10800000">
          <a:off x="2737081" y="114982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402</xdr:row>
      <xdr:rowOff>61296</xdr:rowOff>
    </xdr:from>
    <xdr:to>
      <xdr:col>3</xdr:col>
      <xdr:colOff>965880</xdr:colOff>
      <xdr:row>402</xdr:row>
      <xdr:rowOff>224979</xdr:rowOff>
    </xdr:to>
    <xdr:grpSp>
      <xdr:nvGrpSpPr>
        <xdr:cNvPr id="35" name="hinh2">
          <a:extLst>
            <a:ext uri="{FF2B5EF4-FFF2-40B4-BE49-F238E27FC236}">
              <a16:creationId xmlns:a16="http://schemas.microsoft.com/office/drawing/2014/main" id="{1440CB05-AE07-4609-AC32-664EBB09835C}"/>
            </a:ext>
          </a:extLst>
        </xdr:cNvPr>
        <xdr:cNvGrpSpPr>
          <a:grpSpLocks noChangeAspect="1"/>
        </xdr:cNvGrpSpPr>
      </xdr:nvGrpSpPr>
      <xdr:grpSpPr bwMode="auto">
        <a:xfrm>
          <a:off x="2735410" y="125970590"/>
          <a:ext cx="875058" cy="163683"/>
          <a:chOff x="206" y="86"/>
          <a:chExt cx="73" cy="16"/>
        </a:xfrm>
      </xdr:grpSpPr>
      <xdr:sp macro="" textlink="">
        <xdr:nvSpPr>
          <xdr:cNvPr id="36" name="Line 6">
            <a:extLst>
              <a:ext uri="{FF2B5EF4-FFF2-40B4-BE49-F238E27FC236}">
                <a16:creationId xmlns:a16="http://schemas.microsoft.com/office/drawing/2014/main" id="{658EAC22-0763-2DAC-FF32-FA8E096BD4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7">
            <a:extLst>
              <a:ext uri="{FF2B5EF4-FFF2-40B4-BE49-F238E27FC236}">
                <a16:creationId xmlns:a16="http://schemas.microsoft.com/office/drawing/2014/main" id="{BB4CBC34-A707-5807-476C-2720EFA60A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8">
            <a:extLst>
              <a:ext uri="{FF2B5EF4-FFF2-40B4-BE49-F238E27FC236}">
                <a16:creationId xmlns:a16="http://schemas.microsoft.com/office/drawing/2014/main" id="{053407D8-7827-381D-11FC-D6813E48E9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405</xdr:row>
      <xdr:rowOff>62196</xdr:rowOff>
    </xdr:from>
    <xdr:to>
      <xdr:col>3</xdr:col>
      <xdr:colOff>952499</xdr:colOff>
      <xdr:row>405</xdr:row>
      <xdr:rowOff>213437</xdr:rowOff>
    </xdr:to>
    <xdr:grpSp>
      <xdr:nvGrpSpPr>
        <xdr:cNvPr id="39" name="hinh3">
          <a:extLst>
            <a:ext uri="{FF2B5EF4-FFF2-40B4-BE49-F238E27FC236}">
              <a16:creationId xmlns:a16="http://schemas.microsoft.com/office/drawing/2014/main" id="{D41233AB-699F-4B9D-A4E2-DF58B3A4784A}"/>
            </a:ext>
          </a:extLst>
        </xdr:cNvPr>
        <xdr:cNvGrpSpPr>
          <a:grpSpLocks noChangeAspect="1"/>
        </xdr:cNvGrpSpPr>
      </xdr:nvGrpSpPr>
      <xdr:grpSpPr bwMode="auto">
        <a:xfrm>
          <a:off x="2735376" y="126912784"/>
          <a:ext cx="861711" cy="151241"/>
          <a:chOff x="206" y="112"/>
          <a:chExt cx="73" cy="16"/>
        </a:xfrm>
      </xdr:grpSpPr>
      <xdr:sp macro="" textlink="">
        <xdr:nvSpPr>
          <xdr:cNvPr id="40" name="Line 3">
            <a:extLst>
              <a:ext uri="{FF2B5EF4-FFF2-40B4-BE49-F238E27FC236}">
                <a16:creationId xmlns:a16="http://schemas.microsoft.com/office/drawing/2014/main" id="{DC3ED1AE-61A5-055C-1A1E-F42FE8FF90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">
            <a:extLst>
              <a:ext uri="{FF2B5EF4-FFF2-40B4-BE49-F238E27FC236}">
                <a16:creationId xmlns:a16="http://schemas.microsoft.com/office/drawing/2014/main" id="{8C3C8C8E-4EB5-17E6-4455-721052DDF1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403</xdr:row>
      <xdr:rowOff>50652</xdr:rowOff>
    </xdr:from>
    <xdr:to>
      <xdr:col>3</xdr:col>
      <xdr:colOff>962981</xdr:colOff>
      <xdr:row>403</xdr:row>
      <xdr:rowOff>214335</xdr:rowOff>
    </xdr:to>
    <xdr:grpSp>
      <xdr:nvGrpSpPr>
        <xdr:cNvPr id="42" name="hinh2">
          <a:extLst>
            <a:ext uri="{FF2B5EF4-FFF2-40B4-BE49-F238E27FC236}">
              <a16:creationId xmlns:a16="http://schemas.microsoft.com/office/drawing/2014/main" id="{EF3E1389-6B34-490C-ABA0-166BA233FFDE}"/>
            </a:ext>
          </a:extLst>
        </xdr:cNvPr>
        <xdr:cNvGrpSpPr>
          <a:grpSpLocks noChangeAspect="1"/>
        </xdr:cNvGrpSpPr>
      </xdr:nvGrpSpPr>
      <xdr:grpSpPr bwMode="auto">
        <a:xfrm>
          <a:off x="2732511" y="126273711"/>
          <a:ext cx="875058" cy="163683"/>
          <a:chOff x="206" y="86"/>
          <a:chExt cx="73" cy="16"/>
        </a:xfrm>
      </xdr:grpSpPr>
      <xdr:sp macro="" textlink="">
        <xdr:nvSpPr>
          <xdr:cNvPr id="43" name="Line 6">
            <a:extLst>
              <a:ext uri="{FF2B5EF4-FFF2-40B4-BE49-F238E27FC236}">
                <a16:creationId xmlns:a16="http://schemas.microsoft.com/office/drawing/2014/main" id="{85C47B84-C528-1241-9B9D-7A2B6D35F2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7">
            <a:extLst>
              <a:ext uri="{FF2B5EF4-FFF2-40B4-BE49-F238E27FC236}">
                <a16:creationId xmlns:a16="http://schemas.microsoft.com/office/drawing/2014/main" id="{6E7EE456-8966-08B1-CFEA-3D3BAAE4E4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8">
            <a:extLst>
              <a:ext uri="{FF2B5EF4-FFF2-40B4-BE49-F238E27FC236}">
                <a16:creationId xmlns:a16="http://schemas.microsoft.com/office/drawing/2014/main" id="{C933FEE8-A31E-C355-4D80-472B355014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409</xdr:row>
      <xdr:rowOff>55220</xdr:rowOff>
    </xdr:from>
    <xdr:to>
      <xdr:col>3</xdr:col>
      <xdr:colOff>1003580</xdr:colOff>
      <xdr:row>409</xdr:row>
      <xdr:rowOff>303698</xdr:rowOff>
    </xdr:to>
    <xdr:sp macro="" textlink="">
      <xdr:nvSpPr>
        <xdr:cNvPr id="50" name="hinh15">
          <a:extLst>
            <a:ext uri="{FF2B5EF4-FFF2-40B4-BE49-F238E27FC236}">
              <a16:creationId xmlns:a16="http://schemas.microsoft.com/office/drawing/2014/main" id="{4436BA11-D82B-4535-B3B5-F67ECD9F2C7E}"/>
            </a:ext>
          </a:extLst>
        </xdr:cNvPr>
        <xdr:cNvSpPr>
          <a:spLocks noChangeAspect="1"/>
        </xdr:cNvSpPr>
      </xdr:nvSpPr>
      <xdr:spPr bwMode="auto">
        <a:xfrm rot="10800000">
          <a:off x="2737081" y="11655157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407</xdr:row>
      <xdr:rowOff>61296</xdr:rowOff>
    </xdr:from>
    <xdr:to>
      <xdr:col>3</xdr:col>
      <xdr:colOff>965880</xdr:colOff>
      <xdr:row>407</xdr:row>
      <xdr:rowOff>224979</xdr:rowOff>
    </xdr:to>
    <xdr:grpSp>
      <xdr:nvGrpSpPr>
        <xdr:cNvPr id="51" name="hinh2">
          <a:extLst>
            <a:ext uri="{FF2B5EF4-FFF2-40B4-BE49-F238E27FC236}">
              <a16:creationId xmlns:a16="http://schemas.microsoft.com/office/drawing/2014/main" id="{7CB88B1B-EFE0-46BC-ADC3-CB8DC4FCC217}"/>
            </a:ext>
          </a:extLst>
        </xdr:cNvPr>
        <xdr:cNvGrpSpPr>
          <a:grpSpLocks noChangeAspect="1"/>
        </xdr:cNvGrpSpPr>
      </xdr:nvGrpSpPr>
      <xdr:grpSpPr bwMode="auto">
        <a:xfrm>
          <a:off x="2735410" y="127539414"/>
          <a:ext cx="875058" cy="163683"/>
          <a:chOff x="206" y="86"/>
          <a:chExt cx="73" cy="16"/>
        </a:xfrm>
      </xdr:grpSpPr>
      <xdr:sp macro="" textlink="">
        <xdr:nvSpPr>
          <xdr:cNvPr id="52" name="Line 6">
            <a:extLst>
              <a:ext uri="{FF2B5EF4-FFF2-40B4-BE49-F238E27FC236}">
                <a16:creationId xmlns:a16="http://schemas.microsoft.com/office/drawing/2014/main" id="{1B62FD8C-8A79-992B-A93D-3A408A2597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7">
            <a:extLst>
              <a:ext uri="{FF2B5EF4-FFF2-40B4-BE49-F238E27FC236}">
                <a16:creationId xmlns:a16="http://schemas.microsoft.com/office/drawing/2014/main" id="{A848ECD7-AA8A-37B5-FF44-4EF382CB9D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8">
            <a:extLst>
              <a:ext uri="{FF2B5EF4-FFF2-40B4-BE49-F238E27FC236}">
                <a16:creationId xmlns:a16="http://schemas.microsoft.com/office/drawing/2014/main" id="{CD0C2E89-BB0F-CD65-8481-F48BF25E05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410</xdr:row>
      <xdr:rowOff>62196</xdr:rowOff>
    </xdr:from>
    <xdr:to>
      <xdr:col>3</xdr:col>
      <xdr:colOff>952499</xdr:colOff>
      <xdr:row>410</xdr:row>
      <xdr:rowOff>213437</xdr:rowOff>
    </xdr:to>
    <xdr:grpSp>
      <xdr:nvGrpSpPr>
        <xdr:cNvPr id="55" name="hinh3">
          <a:extLst>
            <a:ext uri="{FF2B5EF4-FFF2-40B4-BE49-F238E27FC236}">
              <a16:creationId xmlns:a16="http://schemas.microsoft.com/office/drawing/2014/main" id="{9AE032FB-479B-4014-B50E-CC8948B65A79}"/>
            </a:ext>
          </a:extLst>
        </xdr:cNvPr>
        <xdr:cNvGrpSpPr>
          <a:grpSpLocks noChangeAspect="1"/>
        </xdr:cNvGrpSpPr>
      </xdr:nvGrpSpPr>
      <xdr:grpSpPr bwMode="auto">
        <a:xfrm>
          <a:off x="2735376" y="128481608"/>
          <a:ext cx="861711" cy="151241"/>
          <a:chOff x="206" y="112"/>
          <a:chExt cx="73" cy="16"/>
        </a:xfrm>
      </xdr:grpSpPr>
      <xdr:sp macro="" textlink="">
        <xdr:nvSpPr>
          <xdr:cNvPr id="56" name="Line 3">
            <a:extLst>
              <a:ext uri="{FF2B5EF4-FFF2-40B4-BE49-F238E27FC236}">
                <a16:creationId xmlns:a16="http://schemas.microsoft.com/office/drawing/2014/main" id="{A0F75B6C-F5CD-3938-96C0-73167B3B7C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">
            <a:extLst>
              <a:ext uri="{FF2B5EF4-FFF2-40B4-BE49-F238E27FC236}">
                <a16:creationId xmlns:a16="http://schemas.microsoft.com/office/drawing/2014/main" id="{5ACCE201-EFEA-3A65-5D28-04B308D292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408</xdr:row>
      <xdr:rowOff>50652</xdr:rowOff>
    </xdr:from>
    <xdr:to>
      <xdr:col>3</xdr:col>
      <xdr:colOff>962981</xdr:colOff>
      <xdr:row>408</xdr:row>
      <xdr:rowOff>214335</xdr:rowOff>
    </xdr:to>
    <xdr:grpSp>
      <xdr:nvGrpSpPr>
        <xdr:cNvPr id="58" name="hinh2">
          <a:extLst>
            <a:ext uri="{FF2B5EF4-FFF2-40B4-BE49-F238E27FC236}">
              <a16:creationId xmlns:a16="http://schemas.microsoft.com/office/drawing/2014/main" id="{0DD6E55A-5A95-42DD-96F4-6CB9080754E7}"/>
            </a:ext>
          </a:extLst>
        </xdr:cNvPr>
        <xdr:cNvGrpSpPr>
          <a:grpSpLocks noChangeAspect="1"/>
        </xdr:cNvGrpSpPr>
      </xdr:nvGrpSpPr>
      <xdr:grpSpPr bwMode="auto">
        <a:xfrm>
          <a:off x="2732511" y="127842534"/>
          <a:ext cx="875058" cy="163683"/>
          <a:chOff x="206" y="86"/>
          <a:chExt cx="73" cy="16"/>
        </a:xfrm>
      </xdr:grpSpPr>
      <xdr:sp macro="" textlink="">
        <xdr:nvSpPr>
          <xdr:cNvPr id="59" name="Line 6">
            <a:extLst>
              <a:ext uri="{FF2B5EF4-FFF2-40B4-BE49-F238E27FC236}">
                <a16:creationId xmlns:a16="http://schemas.microsoft.com/office/drawing/2014/main" id="{12B1572E-3A4A-9BF2-AD4A-3D5C9330D1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7">
            <a:extLst>
              <a:ext uri="{FF2B5EF4-FFF2-40B4-BE49-F238E27FC236}">
                <a16:creationId xmlns:a16="http://schemas.microsoft.com/office/drawing/2014/main" id="{CBEA7DF0-4518-EAA0-C412-677654EEBC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8">
            <a:extLst>
              <a:ext uri="{FF2B5EF4-FFF2-40B4-BE49-F238E27FC236}">
                <a16:creationId xmlns:a16="http://schemas.microsoft.com/office/drawing/2014/main" id="{0DAE6AD6-9566-C574-123F-71C776C557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414</xdr:row>
      <xdr:rowOff>55220</xdr:rowOff>
    </xdr:from>
    <xdr:to>
      <xdr:col>3</xdr:col>
      <xdr:colOff>1003580</xdr:colOff>
      <xdr:row>414</xdr:row>
      <xdr:rowOff>303698</xdr:rowOff>
    </xdr:to>
    <xdr:sp macro="" textlink="">
      <xdr:nvSpPr>
        <xdr:cNvPr id="62" name="hinh15">
          <a:extLst>
            <a:ext uri="{FF2B5EF4-FFF2-40B4-BE49-F238E27FC236}">
              <a16:creationId xmlns:a16="http://schemas.microsoft.com/office/drawing/2014/main" id="{39550390-4162-4255-8B90-2406B466F68E}"/>
            </a:ext>
          </a:extLst>
        </xdr:cNvPr>
        <xdr:cNvSpPr>
          <a:spLocks noChangeAspect="1"/>
        </xdr:cNvSpPr>
      </xdr:nvSpPr>
      <xdr:spPr bwMode="auto">
        <a:xfrm rot="10800000">
          <a:off x="2737081" y="114982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412</xdr:row>
      <xdr:rowOff>61296</xdr:rowOff>
    </xdr:from>
    <xdr:to>
      <xdr:col>3</xdr:col>
      <xdr:colOff>965880</xdr:colOff>
      <xdr:row>412</xdr:row>
      <xdr:rowOff>224979</xdr:rowOff>
    </xdr:to>
    <xdr:grpSp>
      <xdr:nvGrpSpPr>
        <xdr:cNvPr id="63" name="hinh2">
          <a:extLst>
            <a:ext uri="{FF2B5EF4-FFF2-40B4-BE49-F238E27FC236}">
              <a16:creationId xmlns:a16="http://schemas.microsoft.com/office/drawing/2014/main" id="{618C2510-4C35-466A-9C2C-6CC2BDA54F03}"/>
            </a:ext>
          </a:extLst>
        </xdr:cNvPr>
        <xdr:cNvGrpSpPr>
          <a:grpSpLocks noChangeAspect="1"/>
        </xdr:cNvGrpSpPr>
      </xdr:nvGrpSpPr>
      <xdr:grpSpPr bwMode="auto">
        <a:xfrm>
          <a:off x="2735410" y="129108237"/>
          <a:ext cx="875058" cy="163683"/>
          <a:chOff x="206" y="86"/>
          <a:chExt cx="73" cy="16"/>
        </a:xfrm>
      </xdr:grpSpPr>
      <xdr:sp macro="" textlink="">
        <xdr:nvSpPr>
          <xdr:cNvPr id="448" name="Line 6">
            <a:extLst>
              <a:ext uri="{FF2B5EF4-FFF2-40B4-BE49-F238E27FC236}">
                <a16:creationId xmlns:a16="http://schemas.microsoft.com/office/drawing/2014/main" id="{5473D8DE-067F-8CC7-4B51-0C73B13F32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" name="Line 7">
            <a:extLst>
              <a:ext uri="{FF2B5EF4-FFF2-40B4-BE49-F238E27FC236}">
                <a16:creationId xmlns:a16="http://schemas.microsoft.com/office/drawing/2014/main" id="{A687CF78-FA22-FD37-110C-96D0C5EFC8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" name="Line 8">
            <a:extLst>
              <a:ext uri="{FF2B5EF4-FFF2-40B4-BE49-F238E27FC236}">
                <a16:creationId xmlns:a16="http://schemas.microsoft.com/office/drawing/2014/main" id="{CC051D3B-5F42-D770-EDF3-AD62CC210F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415</xdr:row>
      <xdr:rowOff>62196</xdr:rowOff>
    </xdr:from>
    <xdr:to>
      <xdr:col>3</xdr:col>
      <xdr:colOff>952499</xdr:colOff>
      <xdr:row>415</xdr:row>
      <xdr:rowOff>213437</xdr:rowOff>
    </xdr:to>
    <xdr:grpSp>
      <xdr:nvGrpSpPr>
        <xdr:cNvPr id="451" name="hinh3">
          <a:extLst>
            <a:ext uri="{FF2B5EF4-FFF2-40B4-BE49-F238E27FC236}">
              <a16:creationId xmlns:a16="http://schemas.microsoft.com/office/drawing/2014/main" id="{D7C3A400-E426-4A0B-80F0-F2CE5FF6FF4F}"/>
            </a:ext>
          </a:extLst>
        </xdr:cNvPr>
        <xdr:cNvGrpSpPr>
          <a:grpSpLocks noChangeAspect="1"/>
        </xdr:cNvGrpSpPr>
      </xdr:nvGrpSpPr>
      <xdr:grpSpPr bwMode="auto">
        <a:xfrm>
          <a:off x="2735376" y="130050431"/>
          <a:ext cx="861711" cy="151241"/>
          <a:chOff x="206" y="112"/>
          <a:chExt cx="73" cy="16"/>
        </a:xfrm>
      </xdr:grpSpPr>
      <xdr:sp macro="" textlink="">
        <xdr:nvSpPr>
          <xdr:cNvPr id="452" name="Line 3">
            <a:extLst>
              <a:ext uri="{FF2B5EF4-FFF2-40B4-BE49-F238E27FC236}">
                <a16:creationId xmlns:a16="http://schemas.microsoft.com/office/drawing/2014/main" id="{969B6A64-5B15-4681-BD61-E91955FDB7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" name="Line 4">
            <a:extLst>
              <a:ext uri="{FF2B5EF4-FFF2-40B4-BE49-F238E27FC236}">
                <a16:creationId xmlns:a16="http://schemas.microsoft.com/office/drawing/2014/main" id="{7ED7188E-C93A-FA03-3085-12B1E47A17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413</xdr:row>
      <xdr:rowOff>50652</xdr:rowOff>
    </xdr:from>
    <xdr:to>
      <xdr:col>3</xdr:col>
      <xdr:colOff>962981</xdr:colOff>
      <xdr:row>413</xdr:row>
      <xdr:rowOff>214335</xdr:rowOff>
    </xdr:to>
    <xdr:grpSp>
      <xdr:nvGrpSpPr>
        <xdr:cNvPr id="454" name="hinh2">
          <a:extLst>
            <a:ext uri="{FF2B5EF4-FFF2-40B4-BE49-F238E27FC236}">
              <a16:creationId xmlns:a16="http://schemas.microsoft.com/office/drawing/2014/main" id="{FCB745A6-96F5-4060-B812-46B01E9F496F}"/>
            </a:ext>
          </a:extLst>
        </xdr:cNvPr>
        <xdr:cNvGrpSpPr>
          <a:grpSpLocks noChangeAspect="1"/>
        </xdr:cNvGrpSpPr>
      </xdr:nvGrpSpPr>
      <xdr:grpSpPr bwMode="auto">
        <a:xfrm>
          <a:off x="2732511" y="129411358"/>
          <a:ext cx="875058" cy="163683"/>
          <a:chOff x="206" y="86"/>
          <a:chExt cx="73" cy="16"/>
        </a:xfrm>
      </xdr:grpSpPr>
      <xdr:sp macro="" textlink="">
        <xdr:nvSpPr>
          <xdr:cNvPr id="455" name="Line 6">
            <a:extLst>
              <a:ext uri="{FF2B5EF4-FFF2-40B4-BE49-F238E27FC236}">
                <a16:creationId xmlns:a16="http://schemas.microsoft.com/office/drawing/2014/main" id="{7133C0F6-9CD7-B5A7-3D3A-AFD7206BE1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" name="Line 7">
            <a:extLst>
              <a:ext uri="{FF2B5EF4-FFF2-40B4-BE49-F238E27FC236}">
                <a16:creationId xmlns:a16="http://schemas.microsoft.com/office/drawing/2014/main" id="{D00D7DC6-35DF-33E7-0150-F27701553E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" name="Line 8">
            <a:extLst>
              <a:ext uri="{FF2B5EF4-FFF2-40B4-BE49-F238E27FC236}">
                <a16:creationId xmlns:a16="http://schemas.microsoft.com/office/drawing/2014/main" id="{0F319FCB-971C-8783-C595-38C62FDA2C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419</xdr:row>
      <xdr:rowOff>55220</xdr:rowOff>
    </xdr:from>
    <xdr:to>
      <xdr:col>3</xdr:col>
      <xdr:colOff>1003580</xdr:colOff>
      <xdr:row>419</xdr:row>
      <xdr:rowOff>303698</xdr:rowOff>
    </xdr:to>
    <xdr:sp macro="" textlink="">
      <xdr:nvSpPr>
        <xdr:cNvPr id="458" name="hinh15">
          <a:extLst>
            <a:ext uri="{FF2B5EF4-FFF2-40B4-BE49-F238E27FC236}">
              <a16:creationId xmlns:a16="http://schemas.microsoft.com/office/drawing/2014/main" id="{DAC73C98-8AC6-4946-98CD-CBED157BE675}"/>
            </a:ext>
          </a:extLst>
        </xdr:cNvPr>
        <xdr:cNvSpPr>
          <a:spLocks noChangeAspect="1"/>
        </xdr:cNvSpPr>
      </xdr:nvSpPr>
      <xdr:spPr bwMode="auto">
        <a:xfrm rot="10800000">
          <a:off x="2737081" y="11655157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417</xdr:row>
      <xdr:rowOff>61296</xdr:rowOff>
    </xdr:from>
    <xdr:to>
      <xdr:col>3</xdr:col>
      <xdr:colOff>965880</xdr:colOff>
      <xdr:row>417</xdr:row>
      <xdr:rowOff>224979</xdr:rowOff>
    </xdr:to>
    <xdr:grpSp>
      <xdr:nvGrpSpPr>
        <xdr:cNvPr id="459" name="hinh2">
          <a:extLst>
            <a:ext uri="{FF2B5EF4-FFF2-40B4-BE49-F238E27FC236}">
              <a16:creationId xmlns:a16="http://schemas.microsoft.com/office/drawing/2014/main" id="{31B59558-ABF8-48CC-A7B2-9182CAE0C578}"/>
            </a:ext>
          </a:extLst>
        </xdr:cNvPr>
        <xdr:cNvGrpSpPr>
          <a:grpSpLocks noChangeAspect="1"/>
        </xdr:cNvGrpSpPr>
      </xdr:nvGrpSpPr>
      <xdr:grpSpPr bwMode="auto">
        <a:xfrm>
          <a:off x="2735410" y="130677061"/>
          <a:ext cx="875058" cy="163683"/>
          <a:chOff x="206" y="86"/>
          <a:chExt cx="73" cy="16"/>
        </a:xfrm>
      </xdr:grpSpPr>
      <xdr:sp macro="" textlink="">
        <xdr:nvSpPr>
          <xdr:cNvPr id="460" name="Line 6">
            <a:extLst>
              <a:ext uri="{FF2B5EF4-FFF2-40B4-BE49-F238E27FC236}">
                <a16:creationId xmlns:a16="http://schemas.microsoft.com/office/drawing/2014/main" id="{A0B4545B-8447-8C9C-6020-A198325E97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" name="Line 7">
            <a:extLst>
              <a:ext uri="{FF2B5EF4-FFF2-40B4-BE49-F238E27FC236}">
                <a16:creationId xmlns:a16="http://schemas.microsoft.com/office/drawing/2014/main" id="{AD00C189-6018-6DDC-0494-A0F8FF0F33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" name="Line 8">
            <a:extLst>
              <a:ext uri="{FF2B5EF4-FFF2-40B4-BE49-F238E27FC236}">
                <a16:creationId xmlns:a16="http://schemas.microsoft.com/office/drawing/2014/main" id="{D12B8DF9-249E-31AC-64DC-4D772ACDD8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420</xdr:row>
      <xdr:rowOff>62196</xdr:rowOff>
    </xdr:from>
    <xdr:to>
      <xdr:col>3</xdr:col>
      <xdr:colOff>952499</xdr:colOff>
      <xdr:row>420</xdr:row>
      <xdr:rowOff>213437</xdr:rowOff>
    </xdr:to>
    <xdr:grpSp>
      <xdr:nvGrpSpPr>
        <xdr:cNvPr id="463" name="hinh3">
          <a:extLst>
            <a:ext uri="{FF2B5EF4-FFF2-40B4-BE49-F238E27FC236}">
              <a16:creationId xmlns:a16="http://schemas.microsoft.com/office/drawing/2014/main" id="{31510187-4CC1-4C47-B3D0-6FD116B20E6A}"/>
            </a:ext>
          </a:extLst>
        </xdr:cNvPr>
        <xdr:cNvGrpSpPr>
          <a:grpSpLocks noChangeAspect="1"/>
        </xdr:cNvGrpSpPr>
      </xdr:nvGrpSpPr>
      <xdr:grpSpPr bwMode="auto">
        <a:xfrm>
          <a:off x="2735376" y="131619255"/>
          <a:ext cx="861711" cy="151241"/>
          <a:chOff x="206" y="112"/>
          <a:chExt cx="73" cy="16"/>
        </a:xfrm>
      </xdr:grpSpPr>
      <xdr:sp macro="" textlink="">
        <xdr:nvSpPr>
          <xdr:cNvPr id="464" name="Line 3">
            <a:extLst>
              <a:ext uri="{FF2B5EF4-FFF2-40B4-BE49-F238E27FC236}">
                <a16:creationId xmlns:a16="http://schemas.microsoft.com/office/drawing/2014/main" id="{24E2AB06-2B31-D5EB-1921-0FAD17D687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" name="Line 4">
            <a:extLst>
              <a:ext uri="{FF2B5EF4-FFF2-40B4-BE49-F238E27FC236}">
                <a16:creationId xmlns:a16="http://schemas.microsoft.com/office/drawing/2014/main" id="{F040D122-ACFF-AE16-0383-F1AA74C361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418</xdr:row>
      <xdr:rowOff>50652</xdr:rowOff>
    </xdr:from>
    <xdr:to>
      <xdr:col>3</xdr:col>
      <xdr:colOff>962981</xdr:colOff>
      <xdr:row>418</xdr:row>
      <xdr:rowOff>214335</xdr:rowOff>
    </xdr:to>
    <xdr:grpSp>
      <xdr:nvGrpSpPr>
        <xdr:cNvPr id="466" name="hinh2">
          <a:extLst>
            <a:ext uri="{FF2B5EF4-FFF2-40B4-BE49-F238E27FC236}">
              <a16:creationId xmlns:a16="http://schemas.microsoft.com/office/drawing/2014/main" id="{4EAF5440-A786-4A15-8723-4B6EB381C636}"/>
            </a:ext>
          </a:extLst>
        </xdr:cNvPr>
        <xdr:cNvGrpSpPr>
          <a:grpSpLocks noChangeAspect="1"/>
        </xdr:cNvGrpSpPr>
      </xdr:nvGrpSpPr>
      <xdr:grpSpPr bwMode="auto">
        <a:xfrm>
          <a:off x="2732511" y="130980181"/>
          <a:ext cx="875058" cy="163683"/>
          <a:chOff x="206" y="86"/>
          <a:chExt cx="73" cy="16"/>
        </a:xfrm>
      </xdr:grpSpPr>
      <xdr:sp macro="" textlink="">
        <xdr:nvSpPr>
          <xdr:cNvPr id="467" name="Line 6">
            <a:extLst>
              <a:ext uri="{FF2B5EF4-FFF2-40B4-BE49-F238E27FC236}">
                <a16:creationId xmlns:a16="http://schemas.microsoft.com/office/drawing/2014/main" id="{89416F38-DD26-B973-7C55-B088543932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" name="Line 7">
            <a:extLst>
              <a:ext uri="{FF2B5EF4-FFF2-40B4-BE49-F238E27FC236}">
                <a16:creationId xmlns:a16="http://schemas.microsoft.com/office/drawing/2014/main" id="{E8A9CD85-36C4-CC83-7D5D-95C34ECB16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" name="Line 8">
            <a:extLst>
              <a:ext uri="{FF2B5EF4-FFF2-40B4-BE49-F238E27FC236}">
                <a16:creationId xmlns:a16="http://schemas.microsoft.com/office/drawing/2014/main" id="{5A49B3E2-C5E8-4E1B-F5F4-05591088A9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424</xdr:row>
      <xdr:rowOff>55220</xdr:rowOff>
    </xdr:from>
    <xdr:to>
      <xdr:col>3</xdr:col>
      <xdr:colOff>1003580</xdr:colOff>
      <xdr:row>424</xdr:row>
      <xdr:rowOff>303698</xdr:rowOff>
    </xdr:to>
    <xdr:sp macro="" textlink="">
      <xdr:nvSpPr>
        <xdr:cNvPr id="508" name="hinh15">
          <a:extLst>
            <a:ext uri="{FF2B5EF4-FFF2-40B4-BE49-F238E27FC236}">
              <a16:creationId xmlns:a16="http://schemas.microsoft.com/office/drawing/2014/main" id="{392D3DC5-90BE-46A5-B361-EBE54A24AD49}"/>
            </a:ext>
          </a:extLst>
        </xdr:cNvPr>
        <xdr:cNvSpPr>
          <a:spLocks noChangeAspect="1"/>
        </xdr:cNvSpPr>
      </xdr:nvSpPr>
      <xdr:spPr bwMode="auto">
        <a:xfrm rot="10800000">
          <a:off x="2737081" y="11812039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422</xdr:row>
      <xdr:rowOff>61296</xdr:rowOff>
    </xdr:from>
    <xdr:to>
      <xdr:col>3</xdr:col>
      <xdr:colOff>965880</xdr:colOff>
      <xdr:row>422</xdr:row>
      <xdr:rowOff>224979</xdr:rowOff>
    </xdr:to>
    <xdr:grpSp>
      <xdr:nvGrpSpPr>
        <xdr:cNvPr id="515" name="hinh2">
          <a:extLst>
            <a:ext uri="{FF2B5EF4-FFF2-40B4-BE49-F238E27FC236}">
              <a16:creationId xmlns:a16="http://schemas.microsoft.com/office/drawing/2014/main" id="{85C7310E-2D31-4521-81BC-754162A4BFE6}"/>
            </a:ext>
          </a:extLst>
        </xdr:cNvPr>
        <xdr:cNvGrpSpPr>
          <a:grpSpLocks noChangeAspect="1"/>
        </xdr:cNvGrpSpPr>
      </xdr:nvGrpSpPr>
      <xdr:grpSpPr bwMode="auto">
        <a:xfrm>
          <a:off x="2735410" y="132245884"/>
          <a:ext cx="875058" cy="163683"/>
          <a:chOff x="206" y="86"/>
          <a:chExt cx="73" cy="16"/>
        </a:xfrm>
      </xdr:grpSpPr>
      <xdr:sp macro="" textlink="">
        <xdr:nvSpPr>
          <xdr:cNvPr id="522" name="Line 6">
            <a:extLst>
              <a:ext uri="{FF2B5EF4-FFF2-40B4-BE49-F238E27FC236}">
                <a16:creationId xmlns:a16="http://schemas.microsoft.com/office/drawing/2014/main" id="{C4D9E24B-F5DC-E5B4-6B42-8A778977E5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3" name="Line 7">
            <a:extLst>
              <a:ext uri="{FF2B5EF4-FFF2-40B4-BE49-F238E27FC236}">
                <a16:creationId xmlns:a16="http://schemas.microsoft.com/office/drawing/2014/main" id="{45039592-3E19-65E4-F3C8-41E880E988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" name="Line 8">
            <a:extLst>
              <a:ext uri="{FF2B5EF4-FFF2-40B4-BE49-F238E27FC236}">
                <a16:creationId xmlns:a16="http://schemas.microsoft.com/office/drawing/2014/main" id="{569CE66A-3BB4-45C3-B4C7-1073BB26A8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425</xdr:row>
      <xdr:rowOff>62196</xdr:rowOff>
    </xdr:from>
    <xdr:to>
      <xdr:col>3</xdr:col>
      <xdr:colOff>952499</xdr:colOff>
      <xdr:row>425</xdr:row>
      <xdr:rowOff>213437</xdr:rowOff>
    </xdr:to>
    <xdr:grpSp>
      <xdr:nvGrpSpPr>
        <xdr:cNvPr id="531" name="hinh3">
          <a:extLst>
            <a:ext uri="{FF2B5EF4-FFF2-40B4-BE49-F238E27FC236}">
              <a16:creationId xmlns:a16="http://schemas.microsoft.com/office/drawing/2014/main" id="{C8440706-9B8F-4160-A31D-A876DAFB2496}"/>
            </a:ext>
          </a:extLst>
        </xdr:cNvPr>
        <xdr:cNvGrpSpPr>
          <a:grpSpLocks noChangeAspect="1"/>
        </xdr:cNvGrpSpPr>
      </xdr:nvGrpSpPr>
      <xdr:grpSpPr bwMode="auto">
        <a:xfrm>
          <a:off x="2735376" y="133188078"/>
          <a:ext cx="861711" cy="151241"/>
          <a:chOff x="206" y="112"/>
          <a:chExt cx="73" cy="16"/>
        </a:xfrm>
      </xdr:grpSpPr>
      <xdr:sp macro="" textlink="">
        <xdr:nvSpPr>
          <xdr:cNvPr id="538" name="Line 3">
            <a:extLst>
              <a:ext uri="{FF2B5EF4-FFF2-40B4-BE49-F238E27FC236}">
                <a16:creationId xmlns:a16="http://schemas.microsoft.com/office/drawing/2014/main" id="{98915CBD-24C9-C820-74A5-E77A45FF9F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9" name="Line 4">
            <a:extLst>
              <a:ext uri="{FF2B5EF4-FFF2-40B4-BE49-F238E27FC236}">
                <a16:creationId xmlns:a16="http://schemas.microsoft.com/office/drawing/2014/main" id="{C6EAE60D-D27D-578F-66DC-2A7892039B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423</xdr:row>
      <xdr:rowOff>50652</xdr:rowOff>
    </xdr:from>
    <xdr:to>
      <xdr:col>3</xdr:col>
      <xdr:colOff>962981</xdr:colOff>
      <xdr:row>423</xdr:row>
      <xdr:rowOff>214335</xdr:rowOff>
    </xdr:to>
    <xdr:grpSp>
      <xdr:nvGrpSpPr>
        <xdr:cNvPr id="545" name="hinh2">
          <a:extLst>
            <a:ext uri="{FF2B5EF4-FFF2-40B4-BE49-F238E27FC236}">
              <a16:creationId xmlns:a16="http://schemas.microsoft.com/office/drawing/2014/main" id="{9DF67C35-9519-44FA-9883-A588F5E9A184}"/>
            </a:ext>
          </a:extLst>
        </xdr:cNvPr>
        <xdr:cNvGrpSpPr>
          <a:grpSpLocks noChangeAspect="1"/>
        </xdr:cNvGrpSpPr>
      </xdr:nvGrpSpPr>
      <xdr:grpSpPr bwMode="auto">
        <a:xfrm>
          <a:off x="2732511" y="132549005"/>
          <a:ext cx="875058" cy="163683"/>
          <a:chOff x="206" y="86"/>
          <a:chExt cx="73" cy="16"/>
        </a:xfrm>
      </xdr:grpSpPr>
      <xdr:sp macro="" textlink="">
        <xdr:nvSpPr>
          <xdr:cNvPr id="547" name="Line 6">
            <a:extLst>
              <a:ext uri="{FF2B5EF4-FFF2-40B4-BE49-F238E27FC236}">
                <a16:creationId xmlns:a16="http://schemas.microsoft.com/office/drawing/2014/main" id="{32A49241-A87A-973B-C7BB-BFEB5ED1F0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" name="Line 7">
            <a:extLst>
              <a:ext uri="{FF2B5EF4-FFF2-40B4-BE49-F238E27FC236}">
                <a16:creationId xmlns:a16="http://schemas.microsoft.com/office/drawing/2014/main" id="{618A4100-200C-8D53-D51B-C484522580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" name="Line 8">
            <a:extLst>
              <a:ext uri="{FF2B5EF4-FFF2-40B4-BE49-F238E27FC236}">
                <a16:creationId xmlns:a16="http://schemas.microsoft.com/office/drawing/2014/main" id="{3B8F8042-BE10-6434-C835-1EAE372550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429</xdr:row>
      <xdr:rowOff>55220</xdr:rowOff>
    </xdr:from>
    <xdr:to>
      <xdr:col>3</xdr:col>
      <xdr:colOff>1003580</xdr:colOff>
      <xdr:row>429</xdr:row>
      <xdr:rowOff>303698</xdr:rowOff>
    </xdr:to>
    <xdr:sp macro="" textlink="">
      <xdr:nvSpPr>
        <xdr:cNvPr id="559" name="hinh15">
          <a:extLst>
            <a:ext uri="{FF2B5EF4-FFF2-40B4-BE49-F238E27FC236}">
              <a16:creationId xmlns:a16="http://schemas.microsoft.com/office/drawing/2014/main" id="{4FF333CC-7807-4821-B3BB-0DD4323A233A}"/>
            </a:ext>
          </a:extLst>
        </xdr:cNvPr>
        <xdr:cNvSpPr>
          <a:spLocks noChangeAspect="1"/>
        </xdr:cNvSpPr>
      </xdr:nvSpPr>
      <xdr:spPr bwMode="auto">
        <a:xfrm rot="10800000">
          <a:off x="2737081" y="1196892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427</xdr:row>
      <xdr:rowOff>61296</xdr:rowOff>
    </xdr:from>
    <xdr:to>
      <xdr:col>3</xdr:col>
      <xdr:colOff>965880</xdr:colOff>
      <xdr:row>427</xdr:row>
      <xdr:rowOff>224979</xdr:rowOff>
    </xdr:to>
    <xdr:grpSp>
      <xdr:nvGrpSpPr>
        <xdr:cNvPr id="560" name="hinh2">
          <a:extLst>
            <a:ext uri="{FF2B5EF4-FFF2-40B4-BE49-F238E27FC236}">
              <a16:creationId xmlns:a16="http://schemas.microsoft.com/office/drawing/2014/main" id="{3A682650-BA12-4FEC-8E24-54802BF874A6}"/>
            </a:ext>
          </a:extLst>
        </xdr:cNvPr>
        <xdr:cNvGrpSpPr>
          <a:grpSpLocks noChangeAspect="1"/>
        </xdr:cNvGrpSpPr>
      </xdr:nvGrpSpPr>
      <xdr:grpSpPr bwMode="auto">
        <a:xfrm>
          <a:off x="2735410" y="133814708"/>
          <a:ext cx="875058" cy="163683"/>
          <a:chOff x="206" y="86"/>
          <a:chExt cx="73" cy="16"/>
        </a:xfrm>
      </xdr:grpSpPr>
      <xdr:sp macro="" textlink="">
        <xdr:nvSpPr>
          <xdr:cNvPr id="561" name="Line 6">
            <a:extLst>
              <a:ext uri="{FF2B5EF4-FFF2-40B4-BE49-F238E27FC236}">
                <a16:creationId xmlns:a16="http://schemas.microsoft.com/office/drawing/2014/main" id="{50EF736A-CAB5-C121-D4B3-17F6C3C267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" name="Line 7">
            <a:extLst>
              <a:ext uri="{FF2B5EF4-FFF2-40B4-BE49-F238E27FC236}">
                <a16:creationId xmlns:a16="http://schemas.microsoft.com/office/drawing/2014/main" id="{ED2A8A35-5943-FD7E-4EEB-DBEC9FA6BA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" name="Line 8">
            <a:extLst>
              <a:ext uri="{FF2B5EF4-FFF2-40B4-BE49-F238E27FC236}">
                <a16:creationId xmlns:a16="http://schemas.microsoft.com/office/drawing/2014/main" id="{6B0677CF-C9A3-386A-50EF-E022DB5A8F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430</xdr:row>
      <xdr:rowOff>62196</xdr:rowOff>
    </xdr:from>
    <xdr:to>
      <xdr:col>3</xdr:col>
      <xdr:colOff>952499</xdr:colOff>
      <xdr:row>430</xdr:row>
      <xdr:rowOff>213437</xdr:rowOff>
    </xdr:to>
    <xdr:grpSp>
      <xdr:nvGrpSpPr>
        <xdr:cNvPr id="573" name="hinh3">
          <a:extLst>
            <a:ext uri="{FF2B5EF4-FFF2-40B4-BE49-F238E27FC236}">
              <a16:creationId xmlns:a16="http://schemas.microsoft.com/office/drawing/2014/main" id="{D1012242-6477-4881-96FC-154BFED74012}"/>
            </a:ext>
          </a:extLst>
        </xdr:cNvPr>
        <xdr:cNvGrpSpPr>
          <a:grpSpLocks noChangeAspect="1"/>
        </xdr:cNvGrpSpPr>
      </xdr:nvGrpSpPr>
      <xdr:grpSpPr bwMode="auto">
        <a:xfrm>
          <a:off x="2735376" y="134756902"/>
          <a:ext cx="861711" cy="151241"/>
          <a:chOff x="206" y="112"/>
          <a:chExt cx="73" cy="16"/>
        </a:xfrm>
      </xdr:grpSpPr>
      <xdr:sp macro="" textlink="">
        <xdr:nvSpPr>
          <xdr:cNvPr id="574" name="Line 3">
            <a:extLst>
              <a:ext uri="{FF2B5EF4-FFF2-40B4-BE49-F238E27FC236}">
                <a16:creationId xmlns:a16="http://schemas.microsoft.com/office/drawing/2014/main" id="{E2F4059E-916C-C13C-315F-0A82AEEA9D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" name="Line 4">
            <a:extLst>
              <a:ext uri="{FF2B5EF4-FFF2-40B4-BE49-F238E27FC236}">
                <a16:creationId xmlns:a16="http://schemas.microsoft.com/office/drawing/2014/main" id="{825CD95F-2777-E0A6-60F8-53C36145AF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428</xdr:row>
      <xdr:rowOff>50652</xdr:rowOff>
    </xdr:from>
    <xdr:to>
      <xdr:col>3</xdr:col>
      <xdr:colOff>962981</xdr:colOff>
      <xdr:row>428</xdr:row>
      <xdr:rowOff>214335</xdr:rowOff>
    </xdr:to>
    <xdr:grpSp>
      <xdr:nvGrpSpPr>
        <xdr:cNvPr id="581" name="hinh2">
          <a:extLst>
            <a:ext uri="{FF2B5EF4-FFF2-40B4-BE49-F238E27FC236}">
              <a16:creationId xmlns:a16="http://schemas.microsoft.com/office/drawing/2014/main" id="{387F8353-A3FC-43B8-8477-3873BA3608BD}"/>
            </a:ext>
          </a:extLst>
        </xdr:cNvPr>
        <xdr:cNvGrpSpPr>
          <a:grpSpLocks noChangeAspect="1"/>
        </xdr:cNvGrpSpPr>
      </xdr:nvGrpSpPr>
      <xdr:grpSpPr bwMode="auto">
        <a:xfrm>
          <a:off x="2732511" y="134117828"/>
          <a:ext cx="875058" cy="163683"/>
          <a:chOff x="206" y="86"/>
          <a:chExt cx="73" cy="16"/>
        </a:xfrm>
      </xdr:grpSpPr>
      <xdr:sp macro="" textlink="">
        <xdr:nvSpPr>
          <xdr:cNvPr id="582" name="Line 6">
            <a:extLst>
              <a:ext uri="{FF2B5EF4-FFF2-40B4-BE49-F238E27FC236}">
                <a16:creationId xmlns:a16="http://schemas.microsoft.com/office/drawing/2014/main" id="{6518E8C9-1AD4-D545-3AE7-7A1CAC80DF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" name="Line 7">
            <a:extLst>
              <a:ext uri="{FF2B5EF4-FFF2-40B4-BE49-F238E27FC236}">
                <a16:creationId xmlns:a16="http://schemas.microsoft.com/office/drawing/2014/main" id="{807FD920-37E6-426E-A629-98D1430283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4" name="Line 8">
            <a:extLst>
              <a:ext uri="{FF2B5EF4-FFF2-40B4-BE49-F238E27FC236}">
                <a16:creationId xmlns:a16="http://schemas.microsoft.com/office/drawing/2014/main" id="{7C99BFE0-26FD-29CE-C0A8-B50F16CD80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434</xdr:row>
      <xdr:rowOff>55220</xdr:rowOff>
    </xdr:from>
    <xdr:to>
      <xdr:col>3</xdr:col>
      <xdr:colOff>1003580</xdr:colOff>
      <xdr:row>434</xdr:row>
      <xdr:rowOff>303698</xdr:rowOff>
    </xdr:to>
    <xdr:sp macro="" textlink="">
      <xdr:nvSpPr>
        <xdr:cNvPr id="585" name="hinh15">
          <a:extLst>
            <a:ext uri="{FF2B5EF4-FFF2-40B4-BE49-F238E27FC236}">
              <a16:creationId xmlns:a16="http://schemas.microsoft.com/office/drawing/2014/main" id="{832AABBD-5E4C-4A78-98EF-A0A707E6D056}"/>
            </a:ext>
          </a:extLst>
        </xdr:cNvPr>
        <xdr:cNvSpPr>
          <a:spLocks noChangeAspect="1"/>
        </xdr:cNvSpPr>
      </xdr:nvSpPr>
      <xdr:spPr bwMode="auto">
        <a:xfrm rot="10800000">
          <a:off x="2737081" y="1243956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432</xdr:row>
      <xdr:rowOff>61296</xdr:rowOff>
    </xdr:from>
    <xdr:to>
      <xdr:col>3</xdr:col>
      <xdr:colOff>965880</xdr:colOff>
      <xdr:row>432</xdr:row>
      <xdr:rowOff>224979</xdr:rowOff>
    </xdr:to>
    <xdr:grpSp>
      <xdr:nvGrpSpPr>
        <xdr:cNvPr id="586" name="hinh2">
          <a:extLst>
            <a:ext uri="{FF2B5EF4-FFF2-40B4-BE49-F238E27FC236}">
              <a16:creationId xmlns:a16="http://schemas.microsoft.com/office/drawing/2014/main" id="{705C3B0E-A1AA-4D26-A6D2-57B0CA0FB78B}"/>
            </a:ext>
          </a:extLst>
        </xdr:cNvPr>
        <xdr:cNvGrpSpPr>
          <a:grpSpLocks noChangeAspect="1"/>
        </xdr:cNvGrpSpPr>
      </xdr:nvGrpSpPr>
      <xdr:grpSpPr bwMode="auto">
        <a:xfrm>
          <a:off x="2735410" y="135383531"/>
          <a:ext cx="875058" cy="163683"/>
          <a:chOff x="206" y="86"/>
          <a:chExt cx="73" cy="16"/>
        </a:xfrm>
      </xdr:grpSpPr>
      <xdr:sp macro="" textlink="">
        <xdr:nvSpPr>
          <xdr:cNvPr id="587" name="Line 6">
            <a:extLst>
              <a:ext uri="{FF2B5EF4-FFF2-40B4-BE49-F238E27FC236}">
                <a16:creationId xmlns:a16="http://schemas.microsoft.com/office/drawing/2014/main" id="{936199DB-2F76-D02D-AA99-5852734FDB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" name="Line 7">
            <a:extLst>
              <a:ext uri="{FF2B5EF4-FFF2-40B4-BE49-F238E27FC236}">
                <a16:creationId xmlns:a16="http://schemas.microsoft.com/office/drawing/2014/main" id="{64193EAE-7EAC-AB07-14B7-D11DF39948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" name="Line 8">
            <a:extLst>
              <a:ext uri="{FF2B5EF4-FFF2-40B4-BE49-F238E27FC236}">
                <a16:creationId xmlns:a16="http://schemas.microsoft.com/office/drawing/2014/main" id="{1E2DC8D0-A919-16D3-6556-B9963CD673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435</xdr:row>
      <xdr:rowOff>62196</xdr:rowOff>
    </xdr:from>
    <xdr:to>
      <xdr:col>3</xdr:col>
      <xdr:colOff>952499</xdr:colOff>
      <xdr:row>435</xdr:row>
      <xdr:rowOff>213437</xdr:rowOff>
    </xdr:to>
    <xdr:grpSp>
      <xdr:nvGrpSpPr>
        <xdr:cNvPr id="591" name="hinh3">
          <a:extLst>
            <a:ext uri="{FF2B5EF4-FFF2-40B4-BE49-F238E27FC236}">
              <a16:creationId xmlns:a16="http://schemas.microsoft.com/office/drawing/2014/main" id="{71BE8575-9C08-4FA7-8FA4-E8ABAE5D48E9}"/>
            </a:ext>
          </a:extLst>
        </xdr:cNvPr>
        <xdr:cNvGrpSpPr>
          <a:grpSpLocks noChangeAspect="1"/>
        </xdr:cNvGrpSpPr>
      </xdr:nvGrpSpPr>
      <xdr:grpSpPr bwMode="auto">
        <a:xfrm>
          <a:off x="2735376" y="136325725"/>
          <a:ext cx="861711" cy="151241"/>
          <a:chOff x="206" y="112"/>
          <a:chExt cx="73" cy="16"/>
        </a:xfrm>
      </xdr:grpSpPr>
      <xdr:sp macro="" textlink="">
        <xdr:nvSpPr>
          <xdr:cNvPr id="592" name="Line 3">
            <a:extLst>
              <a:ext uri="{FF2B5EF4-FFF2-40B4-BE49-F238E27FC236}">
                <a16:creationId xmlns:a16="http://schemas.microsoft.com/office/drawing/2014/main" id="{4C4C2C69-844A-21F8-D53A-53D0420AAC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3" name="Line 4">
            <a:extLst>
              <a:ext uri="{FF2B5EF4-FFF2-40B4-BE49-F238E27FC236}">
                <a16:creationId xmlns:a16="http://schemas.microsoft.com/office/drawing/2014/main" id="{5EC7AE51-5C26-AAF5-FD22-0D29E3F829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433</xdr:row>
      <xdr:rowOff>50652</xdr:rowOff>
    </xdr:from>
    <xdr:to>
      <xdr:col>3</xdr:col>
      <xdr:colOff>962981</xdr:colOff>
      <xdr:row>433</xdr:row>
      <xdr:rowOff>214335</xdr:rowOff>
    </xdr:to>
    <xdr:grpSp>
      <xdr:nvGrpSpPr>
        <xdr:cNvPr id="594" name="hinh2">
          <a:extLst>
            <a:ext uri="{FF2B5EF4-FFF2-40B4-BE49-F238E27FC236}">
              <a16:creationId xmlns:a16="http://schemas.microsoft.com/office/drawing/2014/main" id="{C81755E8-1222-4C01-848E-FC40FF1AC96F}"/>
            </a:ext>
          </a:extLst>
        </xdr:cNvPr>
        <xdr:cNvGrpSpPr>
          <a:grpSpLocks noChangeAspect="1"/>
        </xdr:cNvGrpSpPr>
      </xdr:nvGrpSpPr>
      <xdr:grpSpPr bwMode="auto">
        <a:xfrm>
          <a:off x="2732511" y="135686652"/>
          <a:ext cx="875058" cy="163683"/>
          <a:chOff x="206" y="86"/>
          <a:chExt cx="73" cy="16"/>
        </a:xfrm>
      </xdr:grpSpPr>
      <xdr:sp macro="" textlink="">
        <xdr:nvSpPr>
          <xdr:cNvPr id="595" name="Line 6">
            <a:extLst>
              <a:ext uri="{FF2B5EF4-FFF2-40B4-BE49-F238E27FC236}">
                <a16:creationId xmlns:a16="http://schemas.microsoft.com/office/drawing/2014/main" id="{0AE22053-D125-0C14-C8D5-937D2E9E57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" name="Line 7">
            <a:extLst>
              <a:ext uri="{FF2B5EF4-FFF2-40B4-BE49-F238E27FC236}">
                <a16:creationId xmlns:a16="http://schemas.microsoft.com/office/drawing/2014/main" id="{0995628F-9D3E-F625-9558-E4A234CCFE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7" name="Line 8">
            <a:extLst>
              <a:ext uri="{FF2B5EF4-FFF2-40B4-BE49-F238E27FC236}">
                <a16:creationId xmlns:a16="http://schemas.microsoft.com/office/drawing/2014/main" id="{4431D4D7-CA3F-6EA2-8304-2E353B11AB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439</xdr:row>
      <xdr:rowOff>55220</xdr:rowOff>
    </xdr:from>
    <xdr:to>
      <xdr:col>3</xdr:col>
      <xdr:colOff>1003580</xdr:colOff>
      <xdr:row>439</xdr:row>
      <xdr:rowOff>303698</xdr:rowOff>
    </xdr:to>
    <xdr:sp macro="" textlink="">
      <xdr:nvSpPr>
        <xdr:cNvPr id="598" name="hinh15">
          <a:extLst>
            <a:ext uri="{FF2B5EF4-FFF2-40B4-BE49-F238E27FC236}">
              <a16:creationId xmlns:a16="http://schemas.microsoft.com/office/drawing/2014/main" id="{710D3C8B-901E-49A0-A49B-AE2025184A3A}"/>
            </a:ext>
          </a:extLst>
        </xdr:cNvPr>
        <xdr:cNvSpPr>
          <a:spLocks noChangeAspect="1"/>
        </xdr:cNvSpPr>
      </xdr:nvSpPr>
      <xdr:spPr bwMode="auto">
        <a:xfrm rot="10800000">
          <a:off x="2737081" y="12596451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437</xdr:row>
      <xdr:rowOff>61296</xdr:rowOff>
    </xdr:from>
    <xdr:to>
      <xdr:col>3</xdr:col>
      <xdr:colOff>965880</xdr:colOff>
      <xdr:row>437</xdr:row>
      <xdr:rowOff>224979</xdr:rowOff>
    </xdr:to>
    <xdr:grpSp>
      <xdr:nvGrpSpPr>
        <xdr:cNvPr id="599" name="hinh2">
          <a:extLst>
            <a:ext uri="{FF2B5EF4-FFF2-40B4-BE49-F238E27FC236}">
              <a16:creationId xmlns:a16="http://schemas.microsoft.com/office/drawing/2014/main" id="{842AF1B2-6817-4F9C-9CB8-26DC6C299C97}"/>
            </a:ext>
          </a:extLst>
        </xdr:cNvPr>
        <xdr:cNvGrpSpPr>
          <a:grpSpLocks noChangeAspect="1"/>
        </xdr:cNvGrpSpPr>
      </xdr:nvGrpSpPr>
      <xdr:grpSpPr bwMode="auto">
        <a:xfrm>
          <a:off x="2735410" y="136952355"/>
          <a:ext cx="875058" cy="163683"/>
          <a:chOff x="206" y="86"/>
          <a:chExt cx="73" cy="16"/>
        </a:xfrm>
      </xdr:grpSpPr>
      <xdr:sp macro="" textlink="">
        <xdr:nvSpPr>
          <xdr:cNvPr id="600" name="Line 6">
            <a:extLst>
              <a:ext uri="{FF2B5EF4-FFF2-40B4-BE49-F238E27FC236}">
                <a16:creationId xmlns:a16="http://schemas.microsoft.com/office/drawing/2014/main" id="{956F5120-A251-CFAD-FE72-3A5F70FE63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1" name="Line 7">
            <a:extLst>
              <a:ext uri="{FF2B5EF4-FFF2-40B4-BE49-F238E27FC236}">
                <a16:creationId xmlns:a16="http://schemas.microsoft.com/office/drawing/2014/main" id="{8F1E5038-23B0-923E-FE14-0D1CE34D6A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2" name="Line 8">
            <a:extLst>
              <a:ext uri="{FF2B5EF4-FFF2-40B4-BE49-F238E27FC236}">
                <a16:creationId xmlns:a16="http://schemas.microsoft.com/office/drawing/2014/main" id="{92643C81-7048-6380-FF5D-8340FE7907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440</xdr:row>
      <xdr:rowOff>62196</xdr:rowOff>
    </xdr:from>
    <xdr:to>
      <xdr:col>3</xdr:col>
      <xdr:colOff>952499</xdr:colOff>
      <xdr:row>440</xdr:row>
      <xdr:rowOff>213437</xdr:rowOff>
    </xdr:to>
    <xdr:grpSp>
      <xdr:nvGrpSpPr>
        <xdr:cNvPr id="603" name="hinh3">
          <a:extLst>
            <a:ext uri="{FF2B5EF4-FFF2-40B4-BE49-F238E27FC236}">
              <a16:creationId xmlns:a16="http://schemas.microsoft.com/office/drawing/2014/main" id="{FC351C16-1969-441D-911E-94CA0A15E6C1}"/>
            </a:ext>
          </a:extLst>
        </xdr:cNvPr>
        <xdr:cNvGrpSpPr>
          <a:grpSpLocks noChangeAspect="1"/>
        </xdr:cNvGrpSpPr>
      </xdr:nvGrpSpPr>
      <xdr:grpSpPr bwMode="auto">
        <a:xfrm>
          <a:off x="2735376" y="137894549"/>
          <a:ext cx="861711" cy="151241"/>
          <a:chOff x="206" y="112"/>
          <a:chExt cx="73" cy="16"/>
        </a:xfrm>
      </xdr:grpSpPr>
      <xdr:sp macro="" textlink="">
        <xdr:nvSpPr>
          <xdr:cNvPr id="604" name="Line 3">
            <a:extLst>
              <a:ext uri="{FF2B5EF4-FFF2-40B4-BE49-F238E27FC236}">
                <a16:creationId xmlns:a16="http://schemas.microsoft.com/office/drawing/2014/main" id="{4FAE5538-5665-9E54-317B-9170B65C46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5" name="Line 4">
            <a:extLst>
              <a:ext uri="{FF2B5EF4-FFF2-40B4-BE49-F238E27FC236}">
                <a16:creationId xmlns:a16="http://schemas.microsoft.com/office/drawing/2014/main" id="{A2E8A919-A73E-BC62-1C8C-A353642195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438</xdr:row>
      <xdr:rowOff>50652</xdr:rowOff>
    </xdr:from>
    <xdr:to>
      <xdr:col>3</xdr:col>
      <xdr:colOff>962981</xdr:colOff>
      <xdr:row>438</xdr:row>
      <xdr:rowOff>214335</xdr:rowOff>
    </xdr:to>
    <xdr:grpSp>
      <xdr:nvGrpSpPr>
        <xdr:cNvPr id="607" name="hinh2">
          <a:extLst>
            <a:ext uri="{FF2B5EF4-FFF2-40B4-BE49-F238E27FC236}">
              <a16:creationId xmlns:a16="http://schemas.microsoft.com/office/drawing/2014/main" id="{B89E330E-A60F-49FD-AE63-308638F7495B}"/>
            </a:ext>
          </a:extLst>
        </xdr:cNvPr>
        <xdr:cNvGrpSpPr>
          <a:grpSpLocks noChangeAspect="1"/>
        </xdr:cNvGrpSpPr>
      </xdr:nvGrpSpPr>
      <xdr:grpSpPr bwMode="auto">
        <a:xfrm>
          <a:off x="2732511" y="137255476"/>
          <a:ext cx="875058" cy="163683"/>
          <a:chOff x="206" y="86"/>
          <a:chExt cx="73" cy="16"/>
        </a:xfrm>
      </xdr:grpSpPr>
      <xdr:sp macro="" textlink="">
        <xdr:nvSpPr>
          <xdr:cNvPr id="608" name="Line 6">
            <a:extLst>
              <a:ext uri="{FF2B5EF4-FFF2-40B4-BE49-F238E27FC236}">
                <a16:creationId xmlns:a16="http://schemas.microsoft.com/office/drawing/2014/main" id="{820B2A4D-12D0-C886-2A0B-E82AF73C1B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9" name="Line 7">
            <a:extLst>
              <a:ext uri="{FF2B5EF4-FFF2-40B4-BE49-F238E27FC236}">
                <a16:creationId xmlns:a16="http://schemas.microsoft.com/office/drawing/2014/main" id="{ED8283F1-60D9-B25F-7747-CA78DFE1D2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0" name="Line 8">
            <a:extLst>
              <a:ext uri="{FF2B5EF4-FFF2-40B4-BE49-F238E27FC236}">
                <a16:creationId xmlns:a16="http://schemas.microsoft.com/office/drawing/2014/main" id="{19C4677A-0772-954A-BE06-A92FFD04DD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445</xdr:row>
      <xdr:rowOff>55220</xdr:rowOff>
    </xdr:from>
    <xdr:to>
      <xdr:col>3</xdr:col>
      <xdr:colOff>1003580</xdr:colOff>
      <xdr:row>445</xdr:row>
      <xdr:rowOff>303698</xdr:rowOff>
    </xdr:to>
    <xdr:sp macro="" textlink="">
      <xdr:nvSpPr>
        <xdr:cNvPr id="611" name="hinh15">
          <a:extLst>
            <a:ext uri="{FF2B5EF4-FFF2-40B4-BE49-F238E27FC236}">
              <a16:creationId xmlns:a16="http://schemas.microsoft.com/office/drawing/2014/main" id="{F91C8ECC-5883-4787-8466-F82C5C97E059}"/>
            </a:ext>
          </a:extLst>
        </xdr:cNvPr>
        <xdr:cNvSpPr>
          <a:spLocks noChangeAspect="1"/>
        </xdr:cNvSpPr>
      </xdr:nvSpPr>
      <xdr:spPr bwMode="auto">
        <a:xfrm rot="10800000">
          <a:off x="2737081" y="114982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443</xdr:row>
      <xdr:rowOff>61296</xdr:rowOff>
    </xdr:from>
    <xdr:to>
      <xdr:col>3</xdr:col>
      <xdr:colOff>965880</xdr:colOff>
      <xdr:row>443</xdr:row>
      <xdr:rowOff>224979</xdr:rowOff>
    </xdr:to>
    <xdr:grpSp>
      <xdr:nvGrpSpPr>
        <xdr:cNvPr id="612" name="hinh2">
          <a:extLst>
            <a:ext uri="{FF2B5EF4-FFF2-40B4-BE49-F238E27FC236}">
              <a16:creationId xmlns:a16="http://schemas.microsoft.com/office/drawing/2014/main" id="{CABF78B2-AA8C-4589-9B26-76055843E74E}"/>
            </a:ext>
          </a:extLst>
        </xdr:cNvPr>
        <xdr:cNvGrpSpPr>
          <a:grpSpLocks noChangeAspect="1"/>
        </xdr:cNvGrpSpPr>
      </xdr:nvGrpSpPr>
      <xdr:grpSpPr bwMode="auto">
        <a:xfrm>
          <a:off x="2735410" y="138834943"/>
          <a:ext cx="875058" cy="163683"/>
          <a:chOff x="206" y="86"/>
          <a:chExt cx="73" cy="16"/>
        </a:xfrm>
      </xdr:grpSpPr>
      <xdr:sp macro="" textlink="">
        <xdr:nvSpPr>
          <xdr:cNvPr id="613" name="Line 6">
            <a:extLst>
              <a:ext uri="{FF2B5EF4-FFF2-40B4-BE49-F238E27FC236}">
                <a16:creationId xmlns:a16="http://schemas.microsoft.com/office/drawing/2014/main" id="{139C638F-E166-649D-9295-75B6B87CF2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" name="Line 7">
            <a:extLst>
              <a:ext uri="{FF2B5EF4-FFF2-40B4-BE49-F238E27FC236}">
                <a16:creationId xmlns:a16="http://schemas.microsoft.com/office/drawing/2014/main" id="{CCB359F8-204F-C810-6C5A-6CA5F2568F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" name="Line 8">
            <a:extLst>
              <a:ext uri="{FF2B5EF4-FFF2-40B4-BE49-F238E27FC236}">
                <a16:creationId xmlns:a16="http://schemas.microsoft.com/office/drawing/2014/main" id="{06F75523-664E-510F-91CB-8D90962C1B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446</xdr:row>
      <xdr:rowOff>62196</xdr:rowOff>
    </xdr:from>
    <xdr:to>
      <xdr:col>3</xdr:col>
      <xdr:colOff>952499</xdr:colOff>
      <xdr:row>446</xdr:row>
      <xdr:rowOff>213437</xdr:rowOff>
    </xdr:to>
    <xdr:grpSp>
      <xdr:nvGrpSpPr>
        <xdr:cNvPr id="616" name="hinh3">
          <a:extLst>
            <a:ext uri="{FF2B5EF4-FFF2-40B4-BE49-F238E27FC236}">
              <a16:creationId xmlns:a16="http://schemas.microsoft.com/office/drawing/2014/main" id="{009A67E7-A2D1-4354-96F3-D6ECC9DACF35}"/>
            </a:ext>
          </a:extLst>
        </xdr:cNvPr>
        <xdr:cNvGrpSpPr>
          <a:grpSpLocks noChangeAspect="1"/>
        </xdr:cNvGrpSpPr>
      </xdr:nvGrpSpPr>
      <xdr:grpSpPr bwMode="auto">
        <a:xfrm>
          <a:off x="2735376" y="139777137"/>
          <a:ext cx="861711" cy="151241"/>
          <a:chOff x="206" y="112"/>
          <a:chExt cx="73" cy="16"/>
        </a:xfrm>
      </xdr:grpSpPr>
      <xdr:sp macro="" textlink="">
        <xdr:nvSpPr>
          <xdr:cNvPr id="617" name="Line 3">
            <a:extLst>
              <a:ext uri="{FF2B5EF4-FFF2-40B4-BE49-F238E27FC236}">
                <a16:creationId xmlns:a16="http://schemas.microsoft.com/office/drawing/2014/main" id="{A246D48C-A0A4-90F5-9912-4FEE96BCB1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4" name="Line 4">
            <a:extLst>
              <a:ext uri="{FF2B5EF4-FFF2-40B4-BE49-F238E27FC236}">
                <a16:creationId xmlns:a16="http://schemas.microsoft.com/office/drawing/2014/main" id="{87C85B04-042C-AC25-BD62-761B439CD3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444</xdr:row>
      <xdr:rowOff>50652</xdr:rowOff>
    </xdr:from>
    <xdr:to>
      <xdr:col>3</xdr:col>
      <xdr:colOff>962981</xdr:colOff>
      <xdr:row>444</xdr:row>
      <xdr:rowOff>214335</xdr:rowOff>
    </xdr:to>
    <xdr:grpSp>
      <xdr:nvGrpSpPr>
        <xdr:cNvPr id="886" name="hinh2">
          <a:extLst>
            <a:ext uri="{FF2B5EF4-FFF2-40B4-BE49-F238E27FC236}">
              <a16:creationId xmlns:a16="http://schemas.microsoft.com/office/drawing/2014/main" id="{6B0BF621-2C81-4EA3-A004-074E64987FE2}"/>
            </a:ext>
          </a:extLst>
        </xdr:cNvPr>
        <xdr:cNvGrpSpPr>
          <a:grpSpLocks noChangeAspect="1"/>
        </xdr:cNvGrpSpPr>
      </xdr:nvGrpSpPr>
      <xdr:grpSpPr bwMode="auto">
        <a:xfrm>
          <a:off x="2732511" y="139138064"/>
          <a:ext cx="875058" cy="163683"/>
          <a:chOff x="206" y="86"/>
          <a:chExt cx="73" cy="16"/>
        </a:xfrm>
      </xdr:grpSpPr>
      <xdr:sp macro="" textlink="">
        <xdr:nvSpPr>
          <xdr:cNvPr id="888" name="Line 6">
            <a:extLst>
              <a:ext uri="{FF2B5EF4-FFF2-40B4-BE49-F238E27FC236}">
                <a16:creationId xmlns:a16="http://schemas.microsoft.com/office/drawing/2014/main" id="{74763810-ADE4-42FA-82D8-356E42C5F2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0" name="Line 7">
            <a:extLst>
              <a:ext uri="{FF2B5EF4-FFF2-40B4-BE49-F238E27FC236}">
                <a16:creationId xmlns:a16="http://schemas.microsoft.com/office/drawing/2014/main" id="{76D09D66-9791-194E-3E50-54FA25EDCF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2" name="Line 8">
            <a:extLst>
              <a:ext uri="{FF2B5EF4-FFF2-40B4-BE49-F238E27FC236}">
                <a16:creationId xmlns:a16="http://schemas.microsoft.com/office/drawing/2014/main" id="{A505D4B2-51BA-6BBB-7201-D0AFAA743E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450</xdr:row>
      <xdr:rowOff>55220</xdr:rowOff>
    </xdr:from>
    <xdr:to>
      <xdr:col>3</xdr:col>
      <xdr:colOff>1003580</xdr:colOff>
      <xdr:row>450</xdr:row>
      <xdr:rowOff>303698</xdr:rowOff>
    </xdr:to>
    <xdr:sp macro="" textlink="">
      <xdr:nvSpPr>
        <xdr:cNvPr id="894" name="hinh15">
          <a:extLst>
            <a:ext uri="{FF2B5EF4-FFF2-40B4-BE49-F238E27FC236}">
              <a16:creationId xmlns:a16="http://schemas.microsoft.com/office/drawing/2014/main" id="{C7D67621-2083-44DE-85C0-EB8BCC274B62}"/>
            </a:ext>
          </a:extLst>
        </xdr:cNvPr>
        <xdr:cNvSpPr>
          <a:spLocks noChangeAspect="1"/>
        </xdr:cNvSpPr>
      </xdr:nvSpPr>
      <xdr:spPr bwMode="auto">
        <a:xfrm rot="10800000">
          <a:off x="2737081" y="11655157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448</xdr:row>
      <xdr:rowOff>61296</xdr:rowOff>
    </xdr:from>
    <xdr:to>
      <xdr:col>3</xdr:col>
      <xdr:colOff>965880</xdr:colOff>
      <xdr:row>448</xdr:row>
      <xdr:rowOff>224979</xdr:rowOff>
    </xdr:to>
    <xdr:grpSp>
      <xdr:nvGrpSpPr>
        <xdr:cNvPr id="896" name="hinh2">
          <a:extLst>
            <a:ext uri="{FF2B5EF4-FFF2-40B4-BE49-F238E27FC236}">
              <a16:creationId xmlns:a16="http://schemas.microsoft.com/office/drawing/2014/main" id="{558D2451-B82B-4ACC-A1C0-E9D27805E1D1}"/>
            </a:ext>
          </a:extLst>
        </xdr:cNvPr>
        <xdr:cNvGrpSpPr>
          <a:grpSpLocks noChangeAspect="1"/>
        </xdr:cNvGrpSpPr>
      </xdr:nvGrpSpPr>
      <xdr:grpSpPr bwMode="auto">
        <a:xfrm>
          <a:off x="2735410" y="140403767"/>
          <a:ext cx="875058" cy="163683"/>
          <a:chOff x="206" y="86"/>
          <a:chExt cx="73" cy="16"/>
        </a:xfrm>
      </xdr:grpSpPr>
      <xdr:sp macro="" textlink="">
        <xdr:nvSpPr>
          <xdr:cNvPr id="898" name="Line 6">
            <a:extLst>
              <a:ext uri="{FF2B5EF4-FFF2-40B4-BE49-F238E27FC236}">
                <a16:creationId xmlns:a16="http://schemas.microsoft.com/office/drawing/2014/main" id="{89B6A62D-2BEB-1735-8384-0357DFA687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0" name="Line 7">
            <a:extLst>
              <a:ext uri="{FF2B5EF4-FFF2-40B4-BE49-F238E27FC236}">
                <a16:creationId xmlns:a16="http://schemas.microsoft.com/office/drawing/2014/main" id="{B4782E44-ED7E-97A6-68A4-F82DDABFA9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2" name="Line 8">
            <a:extLst>
              <a:ext uri="{FF2B5EF4-FFF2-40B4-BE49-F238E27FC236}">
                <a16:creationId xmlns:a16="http://schemas.microsoft.com/office/drawing/2014/main" id="{8223EE2D-9FB9-FABE-7286-61460910DD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451</xdr:row>
      <xdr:rowOff>62196</xdr:rowOff>
    </xdr:from>
    <xdr:to>
      <xdr:col>3</xdr:col>
      <xdr:colOff>952499</xdr:colOff>
      <xdr:row>451</xdr:row>
      <xdr:rowOff>213437</xdr:rowOff>
    </xdr:to>
    <xdr:grpSp>
      <xdr:nvGrpSpPr>
        <xdr:cNvPr id="904" name="hinh3">
          <a:extLst>
            <a:ext uri="{FF2B5EF4-FFF2-40B4-BE49-F238E27FC236}">
              <a16:creationId xmlns:a16="http://schemas.microsoft.com/office/drawing/2014/main" id="{207BD9C4-F675-4012-9BEC-7ADAF5DB74D5}"/>
            </a:ext>
          </a:extLst>
        </xdr:cNvPr>
        <xdr:cNvGrpSpPr>
          <a:grpSpLocks noChangeAspect="1"/>
        </xdr:cNvGrpSpPr>
      </xdr:nvGrpSpPr>
      <xdr:grpSpPr bwMode="auto">
        <a:xfrm>
          <a:off x="2735376" y="141345961"/>
          <a:ext cx="861711" cy="151241"/>
          <a:chOff x="206" y="112"/>
          <a:chExt cx="73" cy="16"/>
        </a:xfrm>
      </xdr:grpSpPr>
      <xdr:sp macro="" textlink="">
        <xdr:nvSpPr>
          <xdr:cNvPr id="905" name="Line 3">
            <a:extLst>
              <a:ext uri="{FF2B5EF4-FFF2-40B4-BE49-F238E27FC236}">
                <a16:creationId xmlns:a16="http://schemas.microsoft.com/office/drawing/2014/main" id="{D659DA3E-9014-87F0-0EE8-959C91E3F5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6" name="Line 4">
            <a:extLst>
              <a:ext uri="{FF2B5EF4-FFF2-40B4-BE49-F238E27FC236}">
                <a16:creationId xmlns:a16="http://schemas.microsoft.com/office/drawing/2014/main" id="{55194459-1879-EB22-887A-1EA128B303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449</xdr:row>
      <xdr:rowOff>50652</xdr:rowOff>
    </xdr:from>
    <xdr:to>
      <xdr:col>3</xdr:col>
      <xdr:colOff>962981</xdr:colOff>
      <xdr:row>449</xdr:row>
      <xdr:rowOff>214335</xdr:rowOff>
    </xdr:to>
    <xdr:grpSp>
      <xdr:nvGrpSpPr>
        <xdr:cNvPr id="907" name="hinh2">
          <a:extLst>
            <a:ext uri="{FF2B5EF4-FFF2-40B4-BE49-F238E27FC236}">
              <a16:creationId xmlns:a16="http://schemas.microsoft.com/office/drawing/2014/main" id="{FBFB48F9-6FF4-4830-8F17-15B52C8CDC91}"/>
            </a:ext>
          </a:extLst>
        </xdr:cNvPr>
        <xdr:cNvGrpSpPr>
          <a:grpSpLocks noChangeAspect="1"/>
        </xdr:cNvGrpSpPr>
      </xdr:nvGrpSpPr>
      <xdr:grpSpPr bwMode="auto">
        <a:xfrm>
          <a:off x="2732511" y="140706887"/>
          <a:ext cx="875058" cy="163683"/>
          <a:chOff x="206" y="86"/>
          <a:chExt cx="73" cy="16"/>
        </a:xfrm>
      </xdr:grpSpPr>
      <xdr:sp macro="" textlink="">
        <xdr:nvSpPr>
          <xdr:cNvPr id="910" name="Line 6">
            <a:extLst>
              <a:ext uri="{FF2B5EF4-FFF2-40B4-BE49-F238E27FC236}">
                <a16:creationId xmlns:a16="http://schemas.microsoft.com/office/drawing/2014/main" id="{59C9B3C1-F3C5-C0EB-0536-7025EE1F89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2" name="Line 7">
            <a:extLst>
              <a:ext uri="{FF2B5EF4-FFF2-40B4-BE49-F238E27FC236}">
                <a16:creationId xmlns:a16="http://schemas.microsoft.com/office/drawing/2014/main" id="{BEC711E0-614F-26BE-B2EA-D4FE87ADB3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4" name="Line 8">
            <a:extLst>
              <a:ext uri="{FF2B5EF4-FFF2-40B4-BE49-F238E27FC236}">
                <a16:creationId xmlns:a16="http://schemas.microsoft.com/office/drawing/2014/main" id="{EAAE60BF-E68A-E2A0-BFF1-6AE90D750B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455</xdr:row>
      <xdr:rowOff>55220</xdr:rowOff>
    </xdr:from>
    <xdr:to>
      <xdr:col>3</xdr:col>
      <xdr:colOff>1003580</xdr:colOff>
      <xdr:row>455</xdr:row>
      <xdr:rowOff>303698</xdr:rowOff>
    </xdr:to>
    <xdr:sp macro="" textlink="">
      <xdr:nvSpPr>
        <xdr:cNvPr id="916" name="hinh15">
          <a:extLst>
            <a:ext uri="{FF2B5EF4-FFF2-40B4-BE49-F238E27FC236}">
              <a16:creationId xmlns:a16="http://schemas.microsoft.com/office/drawing/2014/main" id="{EC7C60A3-26F2-4143-8BEB-E61BA86A4ED2}"/>
            </a:ext>
          </a:extLst>
        </xdr:cNvPr>
        <xdr:cNvSpPr>
          <a:spLocks noChangeAspect="1"/>
        </xdr:cNvSpPr>
      </xdr:nvSpPr>
      <xdr:spPr bwMode="auto">
        <a:xfrm rot="10800000">
          <a:off x="2737081" y="11812039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453</xdr:row>
      <xdr:rowOff>61296</xdr:rowOff>
    </xdr:from>
    <xdr:to>
      <xdr:col>3</xdr:col>
      <xdr:colOff>965880</xdr:colOff>
      <xdr:row>453</xdr:row>
      <xdr:rowOff>224979</xdr:rowOff>
    </xdr:to>
    <xdr:grpSp>
      <xdr:nvGrpSpPr>
        <xdr:cNvPr id="918" name="hinh2">
          <a:extLst>
            <a:ext uri="{FF2B5EF4-FFF2-40B4-BE49-F238E27FC236}">
              <a16:creationId xmlns:a16="http://schemas.microsoft.com/office/drawing/2014/main" id="{061814FF-F2A8-465C-8F56-91794F3EF8B5}"/>
            </a:ext>
          </a:extLst>
        </xdr:cNvPr>
        <xdr:cNvGrpSpPr>
          <a:grpSpLocks noChangeAspect="1"/>
        </xdr:cNvGrpSpPr>
      </xdr:nvGrpSpPr>
      <xdr:grpSpPr bwMode="auto">
        <a:xfrm>
          <a:off x="2735410" y="141972590"/>
          <a:ext cx="875058" cy="163683"/>
          <a:chOff x="206" y="86"/>
          <a:chExt cx="73" cy="16"/>
        </a:xfrm>
      </xdr:grpSpPr>
      <xdr:sp macro="" textlink="">
        <xdr:nvSpPr>
          <xdr:cNvPr id="920" name="Line 6">
            <a:extLst>
              <a:ext uri="{FF2B5EF4-FFF2-40B4-BE49-F238E27FC236}">
                <a16:creationId xmlns:a16="http://schemas.microsoft.com/office/drawing/2014/main" id="{3B7E7F4B-2EAC-9306-F8A5-492E24EF2A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" name="Line 7">
            <a:extLst>
              <a:ext uri="{FF2B5EF4-FFF2-40B4-BE49-F238E27FC236}">
                <a16:creationId xmlns:a16="http://schemas.microsoft.com/office/drawing/2014/main" id="{16AFD10C-0915-CBE1-033E-426E10DCC2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" name="Line 8">
            <a:extLst>
              <a:ext uri="{FF2B5EF4-FFF2-40B4-BE49-F238E27FC236}">
                <a16:creationId xmlns:a16="http://schemas.microsoft.com/office/drawing/2014/main" id="{6E2A41C8-E6DF-9033-683A-CC6C4D9196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456</xdr:row>
      <xdr:rowOff>62196</xdr:rowOff>
    </xdr:from>
    <xdr:to>
      <xdr:col>3</xdr:col>
      <xdr:colOff>952499</xdr:colOff>
      <xdr:row>456</xdr:row>
      <xdr:rowOff>213437</xdr:rowOff>
    </xdr:to>
    <xdr:grpSp>
      <xdr:nvGrpSpPr>
        <xdr:cNvPr id="926" name="hinh3">
          <a:extLst>
            <a:ext uri="{FF2B5EF4-FFF2-40B4-BE49-F238E27FC236}">
              <a16:creationId xmlns:a16="http://schemas.microsoft.com/office/drawing/2014/main" id="{F9E5B5EE-293D-4066-91BD-27FB6BB9E2BC}"/>
            </a:ext>
          </a:extLst>
        </xdr:cNvPr>
        <xdr:cNvGrpSpPr>
          <a:grpSpLocks noChangeAspect="1"/>
        </xdr:cNvGrpSpPr>
      </xdr:nvGrpSpPr>
      <xdr:grpSpPr bwMode="auto">
        <a:xfrm>
          <a:off x="2735376" y="142914784"/>
          <a:ext cx="861711" cy="151241"/>
          <a:chOff x="206" y="112"/>
          <a:chExt cx="73" cy="16"/>
        </a:xfrm>
      </xdr:grpSpPr>
      <xdr:sp macro="" textlink="">
        <xdr:nvSpPr>
          <xdr:cNvPr id="928" name="Line 3">
            <a:extLst>
              <a:ext uri="{FF2B5EF4-FFF2-40B4-BE49-F238E27FC236}">
                <a16:creationId xmlns:a16="http://schemas.microsoft.com/office/drawing/2014/main" id="{22C2A085-FEF4-6726-8627-8ACDC5BBC5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0" name="Line 4">
            <a:extLst>
              <a:ext uri="{FF2B5EF4-FFF2-40B4-BE49-F238E27FC236}">
                <a16:creationId xmlns:a16="http://schemas.microsoft.com/office/drawing/2014/main" id="{7C9AFB03-E079-8815-3395-212AD7983E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454</xdr:row>
      <xdr:rowOff>50652</xdr:rowOff>
    </xdr:from>
    <xdr:to>
      <xdr:col>3</xdr:col>
      <xdr:colOff>962981</xdr:colOff>
      <xdr:row>454</xdr:row>
      <xdr:rowOff>214335</xdr:rowOff>
    </xdr:to>
    <xdr:grpSp>
      <xdr:nvGrpSpPr>
        <xdr:cNvPr id="932" name="hinh2">
          <a:extLst>
            <a:ext uri="{FF2B5EF4-FFF2-40B4-BE49-F238E27FC236}">
              <a16:creationId xmlns:a16="http://schemas.microsoft.com/office/drawing/2014/main" id="{DE481DE5-7DA5-4431-90A9-B6383C1C8FE2}"/>
            </a:ext>
          </a:extLst>
        </xdr:cNvPr>
        <xdr:cNvGrpSpPr>
          <a:grpSpLocks noChangeAspect="1"/>
        </xdr:cNvGrpSpPr>
      </xdr:nvGrpSpPr>
      <xdr:grpSpPr bwMode="auto">
        <a:xfrm>
          <a:off x="2732511" y="142275711"/>
          <a:ext cx="875058" cy="163683"/>
          <a:chOff x="206" y="86"/>
          <a:chExt cx="73" cy="16"/>
        </a:xfrm>
      </xdr:grpSpPr>
      <xdr:sp macro="" textlink="">
        <xdr:nvSpPr>
          <xdr:cNvPr id="934" name="Line 6">
            <a:extLst>
              <a:ext uri="{FF2B5EF4-FFF2-40B4-BE49-F238E27FC236}">
                <a16:creationId xmlns:a16="http://schemas.microsoft.com/office/drawing/2014/main" id="{382C11B0-BF26-4B77-FE16-6CBDA97552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6" name="Line 7">
            <a:extLst>
              <a:ext uri="{FF2B5EF4-FFF2-40B4-BE49-F238E27FC236}">
                <a16:creationId xmlns:a16="http://schemas.microsoft.com/office/drawing/2014/main" id="{064F38C2-C501-486D-4CFB-160684DB9A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8" name="Line 8">
            <a:extLst>
              <a:ext uri="{FF2B5EF4-FFF2-40B4-BE49-F238E27FC236}">
                <a16:creationId xmlns:a16="http://schemas.microsoft.com/office/drawing/2014/main" id="{EF5AEDDB-12DC-6F01-2D5D-838F080009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460</xdr:row>
      <xdr:rowOff>55220</xdr:rowOff>
    </xdr:from>
    <xdr:to>
      <xdr:col>3</xdr:col>
      <xdr:colOff>1003580</xdr:colOff>
      <xdr:row>460</xdr:row>
      <xdr:rowOff>303698</xdr:rowOff>
    </xdr:to>
    <xdr:sp macro="" textlink="">
      <xdr:nvSpPr>
        <xdr:cNvPr id="940" name="hinh15">
          <a:extLst>
            <a:ext uri="{FF2B5EF4-FFF2-40B4-BE49-F238E27FC236}">
              <a16:creationId xmlns:a16="http://schemas.microsoft.com/office/drawing/2014/main" id="{D53A791F-44AF-4A2F-AC33-B2AF38B616CC}"/>
            </a:ext>
          </a:extLst>
        </xdr:cNvPr>
        <xdr:cNvSpPr>
          <a:spLocks noChangeAspect="1"/>
        </xdr:cNvSpPr>
      </xdr:nvSpPr>
      <xdr:spPr bwMode="auto">
        <a:xfrm rot="10800000">
          <a:off x="2737081" y="1196892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458</xdr:row>
      <xdr:rowOff>61296</xdr:rowOff>
    </xdr:from>
    <xdr:to>
      <xdr:col>3</xdr:col>
      <xdr:colOff>965880</xdr:colOff>
      <xdr:row>458</xdr:row>
      <xdr:rowOff>224979</xdr:rowOff>
    </xdr:to>
    <xdr:grpSp>
      <xdr:nvGrpSpPr>
        <xdr:cNvPr id="942" name="hinh2">
          <a:extLst>
            <a:ext uri="{FF2B5EF4-FFF2-40B4-BE49-F238E27FC236}">
              <a16:creationId xmlns:a16="http://schemas.microsoft.com/office/drawing/2014/main" id="{615F4953-6C06-4A00-85FF-71C85A48BFB7}"/>
            </a:ext>
          </a:extLst>
        </xdr:cNvPr>
        <xdr:cNvGrpSpPr>
          <a:grpSpLocks noChangeAspect="1"/>
        </xdr:cNvGrpSpPr>
      </xdr:nvGrpSpPr>
      <xdr:grpSpPr bwMode="auto">
        <a:xfrm>
          <a:off x="2735410" y="143541414"/>
          <a:ext cx="875058" cy="163683"/>
          <a:chOff x="206" y="86"/>
          <a:chExt cx="73" cy="16"/>
        </a:xfrm>
      </xdr:grpSpPr>
      <xdr:sp macro="" textlink="">
        <xdr:nvSpPr>
          <xdr:cNvPr id="943" name="Line 6">
            <a:extLst>
              <a:ext uri="{FF2B5EF4-FFF2-40B4-BE49-F238E27FC236}">
                <a16:creationId xmlns:a16="http://schemas.microsoft.com/office/drawing/2014/main" id="{D8233634-D495-DF6F-3D2F-A2D6C6C9A8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4" name="Line 7">
            <a:extLst>
              <a:ext uri="{FF2B5EF4-FFF2-40B4-BE49-F238E27FC236}">
                <a16:creationId xmlns:a16="http://schemas.microsoft.com/office/drawing/2014/main" id="{0208D493-10EB-2117-3B6E-706A4B75E2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5" name="Line 8">
            <a:extLst>
              <a:ext uri="{FF2B5EF4-FFF2-40B4-BE49-F238E27FC236}">
                <a16:creationId xmlns:a16="http://schemas.microsoft.com/office/drawing/2014/main" id="{06A29DAF-202C-5577-004A-C51D17B221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461</xdr:row>
      <xdr:rowOff>62196</xdr:rowOff>
    </xdr:from>
    <xdr:to>
      <xdr:col>3</xdr:col>
      <xdr:colOff>952499</xdr:colOff>
      <xdr:row>461</xdr:row>
      <xdr:rowOff>213437</xdr:rowOff>
    </xdr:to>
    <xdr:grpSp>
      <xdr:nvGrpSpPr>
        <xdr:cNvPr id="948" name="hinh3">
          <a:extLst>
            <a:ext uri="{FF2B5EF4-FFF2-40B4-BE49-F238E27FC236}">
              <a16:creationId xmlns:a16="http://schemas.microsoft.com/office/drawing/2014/main" id="{D8DE81A6-4E8E-4021-88BD-15539BB1AAB4}"/>
            </a:ext>
          </a:extLst>
        </xdr:cNvPr>
        <xdr:cNvGrpSpPr>
          <a:grpSpLocks noChangeAspect="1"/>
        </xdr:cNvGrpSpPr>
      </xdr:nvGrpSpPr>
      <xdr:grpSpPr bwMode="auto">
        <a:xfrm>
          <a:off x="2735376" y="144483608"/>
          <a:ext cx="861711" cy="151241"/>
          <a:chOff x="206" y="112"/>
          <a:chExt cx="73" cy="16"/>
        </a:xfrm>
      </xdr:grpSpPr>
      <xdr:sp macro="" textlink="">
        <xdr:nvSpPr>
          <xdr:cNvPr id="950" name="Line 3">
            <a:extLst>
              <a:ext uri="{FF2B5EF4-FFF2-40B4-BE49-F238E27FC236}">
                <a16:creationId xmlns:a16="http://schemas.microsoft.com/office/drawing/2014/main" id="{AB604D30-A642-60DE-C837-D0E3CE47BF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2" name="Line 4">
            <a:extLst>
              <a:ext uri="{FF2B5EF4-FFF2-40B4-BE49-F238E27FC236}">
                <a16:creationId xmlns:a16="http://schemas.microsoft.com/office/drawing/2014/main" id="{FE5C4947-A82B-E70D-8D67-2C03A73E43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459</xdr:row>
      <xdr:rowOff>50652</xdr:rowOff>
    </xdr:from>
    <xdr:to>
      <xdr:col>3</xdr:col>
      <xdr:colOff>962981</xdr:colOff>
      <xdr:row>459</xdr:row>
      <xdr:rowOff>214335</xdr:rowOff>
    </xdr:to>
    <xdr:grpSp>
      <xdr:nvGrpSpPr>
        <xdr:cNvPr id="954" name="hinh2">
          <a:extLst>
            <a:ext uri="{FF2B5EF4-FFF2-40B4-BE49-F238E27FC236}">
              <a16:creationId xmlns:a16="http://schemas.microsoft.com/office/drawing/2014/main" id="{DD7CD6DA-395B-4E58-9D1A-812F60A3DCDB}"/>
            </a:ext>
          </a:extLst>
        </xdr:cNvPr>
        <xdr:cNvGrpSpPr>
          <a:grpSpLocks noChangeAspect="1"/>
        </xdr:cNvGrpSpPr>
      </xdr:nvGrpSpPr>
      <xdr:grpSpPr bwMode="auto">
        <a:xfrm>
          <a:off x="2732511" y="143844534"/>
          <a:ext cx="875058" cy="163683"/>
          <a:chOff x="206" y="86"/>
          <a:chExt cx="73" cy="16"/>
        </a:xfrm>
      </xdr:grpSpPr>
      <xdr:sp macro="" textlink="">
        <xdr:nvSpPr>
          <xdr:cNvPr id="956" name="Line 6">
            <a:extLst>
              <a:ext uri="{FF2B5EF4-FFF2-40B4-BE49-F238E27FC236}">
                <a16:creationId xmlns:a16="http://schemas.microsoft.com/office/drawing/2014/main" id="{A9BB1915-702A-2066-D372-8854A31FCF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8" name="Line 7">
            <a:extLst>
              <a:ext uri="{FF2B5EF4-FFF2-40B4-BE49-F238E27FC236}">
                <a16:creationId xmlns:a16="http://schemas.microsoft.com/office/drawing/2014/main" id="{7569D70A-FBA7-F248-7AB1-C53403FAC3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0" name="Line 8">
            <a:extLst>
              <a:ext uri="{FF2B5EF4-FFF2-40B4-BE49-F238E27FC236}">
                <a16:creationId xmlns:a16="http://schemas.microsoft.com/office/drawing/2014/main" id="{FBBC274B-94C7-B489-CDD7-265F1CB5A5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465</xdr:row>
      <xdr:rowOff>55220</xdr:rowOff>
    </xdr:from>
    <xdr:to>
      <xdr:col>3</xdr:col>
      <xdr:colOff>1003580</xdr:colOff>
      <xdr:row>465</xdr:row>
      <xdr:rowOff>303698</xdr:rowOff>
    </xdr:to>
    <xdr:sp macro="" textlink="">
      <xdr:nvSpPr>
        <xdr:cNvPr id="962" name="hinh15">
          <a:extLst>
            <a:ext uri="{FF2B5EF4-FFF2-40B4-BE49-F238E27FC236}">
              <a16:creationId xmlns:a16="http://schemas.microsoft.com/office/drawing/2014/main" id="{3E775969-7161-487E-A6BE-43BDD4B0D0A0}"/>
            </a:ext>
          </a:extLst>
        </xdr:cNvPr>
        <xdr:cNvSpPr>
          <a:spLocks noChangeAspect="1"/>
        </xdr:cNvSpPr>
      </xdr:nvSpPr>
      <xdr:spPr bwMode="auto">
        <a:xfrm rot="10800000">
          <a:off x="2737081" y="12125804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463</xdr:row>
      <xdr:rowOff>61296</xdr:rowOff>
    </xdr:from>
    <xdr:to>
      <xdr:col>3</xdr:col>
      <xdr:colOff>965880</xdr:colOff>
      <xdr:row>463</xdr:row>
      <xdr:rowOff>224979</xdr:rowOff>
    </xdr:to>
    <xdr:grpSp>
      <xdr:nvGrpSpPr>
        <xdr:cNvPr id="964" name="hinh2">
          <a:extLst>
            <a:ext uri="{FF2B5EF4-FFF2-40B4-BE49-F238E27FC236}">
              <a16:creationId xmlns:a16="http://schemas.microsoft.com/office/drawing/2014/main" id="{B107AD7D-1808-4D33-B38F-1442F35AA715}"/>
            </a:ext>
          </a:extLst>
        </xdr:cNvPr>
        <xdr:cNvGrpSpPr>
          <a:grpSpLocks noChangeAspect="1"/>
        </xdr:cNvGrpSpPr>
      </xdr:nvGrpSpPr>
      <xdr:grpSpPr bwMode="auto">
        <a:xfrm>
          <a:off x="2735410" y="145110237"/>
          <a:ext cx="875058" cy="163683"/>
          <a:chOff x="206" y="86"/>
          <a:chExt cx="73" cy="16"/>
        </a:xfrm>
      </xdr:grpSpPr>
      <xdr:sp macro="" textlink="">
        <xdr:nvSpPr>
          <xdr:cNvPr id="966" name="Line 6">
            <a:extLst>
              <a:ext uri="{FF2B5EF4-FFF2-40B4-BE49-F238E27FC236}">
                <a16:creationId xmlns:a16="http://schemas.microsoft.com/office/drawing/2014/main" id="{A13DB5D7-232D-1E93-99FF-73C90E8222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8" name="Line 7">
            <a:extLst>
              <a:ext uri="{FF2B5EF4-FFF2-40B4-BE49-F238E27FC236}">
                <a16:creationId xmlns:a16="http://schemas.microsoft.com/office/drawing/2014/main" id="{CA23204B-AD8C-00A9-83B8-DE6B704C8E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0" name="Line 8">
            <a:extLst>
              <a:ext uri="{FF2B5EF4-FFF2-40B4-BE49-F238E27FC236}">
                <a16:creationId xmlns:a16="http://schemas.microsoft.com/office/drawing/2014/main" id="{E3A8635C-2587-C92E-4C54-48A4E93D1A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466</xdr:row>
      <xdr:rowOff>62196</xdr:rowOff>
    </xdr:from>
    <xdr:to>
      <xdr:col>3</xdr:col>
      <xdr:colOff>952499</xdr:colOff>
      <xdr:row>466</xdr:row>
      <xdr:rowOff>213437</xdr:rowOff>
    </xdr:to>
    <xdr:grpSp>
      <xdr:nvGrpSpPr>
        <xdr:cNvPr id="972" name="hinh3">
          <a:extLst>
            <a:ext uri="{FF2B5EF4-FFF2-40B4-BE49-F238E27FC236}">
              <a16:creationId xmlns:a16="http://schemas.microsoft.com/office/drawing/2014/main" id="{A42CB082-C9EE-466A-82C5-E5A15672555A}"/>
            </a:ext>
          </a:extLst>
        </xdr:cNvPr>
        <xdr:cNvGrpSpPr>
          <a:grpSpLocks noChangeAspect="1"/>
        </xdr:cNvGrpSpPr>
      </xdr:nvGrpSpPr>
      <xdr:grpSpPr bwMode="auto">
        <a:xfrm>
          <a:off x="2735376" y="146052431"/>
          <a:ext cx="861711" cy="151241"/>
          <a:chOff x="206" y="112"/>
          <a:chExt cx="73" cy="16"/>
        </a:xfrm>
      </xdr:grpSpPr>
      <xdr:sp macro="" textlink="">
        <xdr:nvSpPr>
          <xdr:cNvPr id="974" name="Line 3">
            <a:extLst>
              <a:ext uri="{FF2B5EF4-FFF2-40B4-BE49-F238E27FC236}">
                <a16:creationId xmlns:a16="http://schemas.microsoft.com/office/drawing/2014/main" id="{D07C9481-112D-AC18-9302-1A52E6C1D5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6" name="Line 4">
            <a:extLst>
              <a:ext uri="{FF2B5EF4-FFF2-40B4-BE49-F238E27FC236}">
                <a16:creationId xmlns:a16="http://schemas.microsoft.com/office/drawing/2014/main" id="{A01FA45A-4805-4739-3D2D-C853092A63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464</xdr:row>
      <xdr:rowOff>50652</xdr:rowOff>
    </xdr:from>
    <xdr:to>
      <xdr:col>3</xdr:col>
      <xdr:colOff>962981</xdr:colOff>
      <xdr:row>464</xdr:row>
      <xdr:rowOff>214335</xdr:rowOff>
    </xdr:to>
    <xdr:grpSp>
      <xdr:nvGrpSpPr>
        <xdr:cNvPr id="978" name="hinh2">
          <a:extLst>
            <a:ext uri="{FF2B5EF4-FFF2-40B4-BE49-F238E27FC236}">
              <a16:creationId xmlns:a16="http://schemas.microsoft.com/office/drawing/2014/main" id="{4FD3CD54-A039-4EA8-89C1-DE02B685EF63}"/>
            </a:ext>
          </a:extLst>
        </xdr:cNvPr>
        <xdr:cNvGrpSpPr>
          <a:grpSpLocks noChangeAspect="1"/>
        </xdr:cNvGrpSpPr>
      </xdr:nvGrpSpPr>
      <xdr:grpSpPr bwMode="auto">
        <a:xfrm>
          <a:off x="2732511" y="145413358"/>
          <a:ext cx="875058" cy="163683"/>
          <a:chOff x="206" y="86"/>
          <a:chExt cx="73" cy="16"/>
        </a:xfrm>
      </xdr:grpSpPr>
      <xdr:sp macro="" textlink="">
        <xdr:nvSpPr>
          <xdr:cNvPr id="980" name="Line 6">
            <a:extLst>
              <a:ext uri="{FF2B5EF4-FFF2-40B4-BE49-F238E27FC236}">
                <a16:creationId xmlns:a16="http://schemas.microsoft.com/office/drawing/2014/main" id="{96A4E5D5-1064-CF34-A1A8-411F2EB7A3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2" name="Line 7">
            <a:extLst>
              <a:ext uri="{FF2B5EF4-FFF2-40B4-BE49-F238E27FC236}">
                <a16:creationId xmlns:a16="http://schemas.microsoft.com/office/drawing/2014/main" id="{AA77A454-8F87-089F-ED1A-C6D63CEFF6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3" name="Line 8">
            <a:extLst>
              <a:ext uri="{FF2B5EF4-FFF2-40B4-BE49-F238E27FC236}">
                <a16:creationId xmlns:a16="http://schemas.microsoft.com/office/drawing/2014/main" id="{7F77BE0E-48F6-C129-E6D6-6D544B3A30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470</xdr:row>
      <xdr:rowOff>55220</xdr:rowOff>
    </xdr:from>
    <xdr:to>
      <xdr:col>3</xdr:col>
      <xdr:colOff>1003580</xdr:colOff>
      <xdr:row>470</xdr:row>
      <xdr:rowOff>303698</xdr:rowOff>
    </xdr:to>
    <xdr:sp macro="" textlink="">
      <xdr:nvSpPr>
        <xdr:cNvPr id="984" name="hinh15">
          <a:extLst>
            <a:ext uri="{FF2B5EF4-FFF2-40B4-BE49-F238E27FC236}">
              <a16:creationId xmlns:a16="http://schemas.microsoft.com/office/drawing/2014/main" id="{C4D3E7DE-34ED-4A3C-960C-041DA6C0463F}"/>
            </a:ext>
          </a:extLst>
        </xdr:cNvPr>
        <xdr:cNvSpPr>
          <a:spLocks noChangeAspect="1"/>
        </xdr:cNvSpPr>
      </xdr:nvSpPr>
      <xdr:spPr bwMode="auto">
        <a:xfrm rot="10800000">
          <a:off x="2737081" y="13726004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468</xdr:row>
      <xdr:rowOff>61296</xdr:rowOff>
    </xdr:from>
    <xdr:to>
      <xdr:col>3</xdr:col>
      <xdr:colOff>965880</xdr:colOff>
      <xdr:row>468</xdr:row>
      <xdr:rowOff>224979</xdr:rowOff>
    </xdr:to>
    <xdr:grpSp>
      <xdr:nvGrpSpPr>
        <xdr:cNvPr id="985" name="hinh2">
          <a:extLst>
            <a:ext uri="{FF2B5EF4-FFF2-40B4-BE49-F238E27FC236}">
              <a16:creationId xmlns:a16="http://schemas.microsoft.com/office/drawing/2014/main" id="{35BCFD32-F8BB-46AB-BBEB-4AC41697EE7D}"/>
            </a:ext>
          </a:extLst>
        </xdr:cNvPr>
        <xdr:cNvGrpSpPr>
          <a:grpSpLocks noChangeAspect="1"/>
        </xdr:cNvGrpSpPr>
      </xdr:nvGrpSpPr>
      <xdr:grpSpPr bwMode="auto">
        <a:xfrm>
          <a:off x="2735410" y="146679061"/>
          <a:ext cx="875058" cy="163683"/>
          <a:chOff x="206" y="86"/>
          <a:chExt cx="73" cy="16"/>
        </a:xfrm>
      </xdr:grpSpPr>
      <xdr:sp macro="" textlink="">
        <xdr:nvSpPr>
          <xdr:cNvPr id="988" name="Line 6">
            <a:extLst>
              <a:ext uri="{FF2B5EF4-FFF2-40B4-BE49-F238E27FC236}">
                <a16:creationId xmlns:a16="http://schemas.microsoft.com/office/drawing/2014/main" id="{976A7CE7-3035-B17D-F267-9E445850F2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0" name="Line 7">
            <a:extLst>
              <a:ext uri="{FF2B5EF4-FFF2-40B4-BE49-F238E27FC236}">
                <a16:creationId xmlns:a16="http://schemas.microsoft.com/office/drawing/2014/main" id="{B4CFD846-9422-C087-65CF-BA48D7CE4A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2" name="Line 8">
            <a:extLst>
              <a:ext uri="{FF2B5EF4-FFF2-40B4-BE49-F238E27FC236}">
                <a16:creationId xmlns:a16="http://schemas.microsoft.com/office/drawing/2014/main" id="{5C76B34F-A96E-C8EA-2652-426D7963C9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471</xdr:row>
      <xdr:rowOff>62196</xdr:rowOff>
    </xdr:from>
    <xdr:to>
      <xdr:col>3</xdr:col>
      <xdr:colOff>952499</xdr:colOff>
      <xdr:row>471</xdr:row>
      <xdr:rowOff>213437</xdr:rowOff>
    </xdr:to>
    <xdr:grpSp>
      <xdr:nvGrpSpPr>
        <xdr:cNvPr id="994" name="hinh3">
          <a:extLst>
            <a:ext uri="{FF2B5EF4-FFF2-40B4-BE49-F238E27FC236}">
              <a16:creationId xmlns:a16="http://schemas.microsoft.com/office/drawing/2014/main" id="{82BB6FA7-82BC-40FB-AD16-FEBABF299C11}"/>
            </a:ext>
          </a:extLst>
        </xdr:cNvPr>
        <xdr:cNvGrpSpPr>
          <a:grpSpLocks noChangeAspect="1"/>
        </xdr:cNvGrpSpPr>
      </xdr:nvGrpSpPr>
      <xdr:grpSpPr bwMode="auto">
        <a:xfrm>
          <a:off x="2735376" y="147621255"/>
          <a:ext cx="861711" cy="151241"/>
          <a:chOff x="206" y="112"/>
          <a:chExt cx="73" cy="16"/>
        </a:xfrm>
      </xdr:grpSpPr>
      <xdr:sp macro="" textlink="">
        <xdr:nvSpPr>
          <xdr:cNvPr id="996" name="Line 3">
            <a:extLst>
              <a:ext uri="{FF2B5EF4-FFF2-40B4-BE49-F238E27FC236}">
                <a16:creationId xmlns:a16="http://schemas.microsoft.com/office/drawing/2014/main" id="{BFFEFF6C-B264-3297-4626-D9BAE0D6A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8" name="Line 4">
            <a:extLst>
              <a:ext uri="{FF2B5EF4-FFF2-40B4-BE49-F238E27FC236}">
                <a16:creationId xmlns:a16="http://schemas.microsoft.com/office/drawing/2014/main" id="{FC151C63-9A6B-3921-9BBB-890BEB53EC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469</xdr:row>
      <xdr:rowOff>50652</xdr:rowOff>
    </xdr:from>
    <xdr:to>
      <xdr:col>3</xdr:col>
      <xdr:colOff>962981</xdr:colOff>
      <xdr:row>469</xdr:row>
      <xdr:rowOff>214335</xdr:rowOff>
    </xdr:to>
    <xdr:grpSp>
      <xdr:nvGrpSpPr>
        <xdr:cNvPr id="1000" name="hinh2">
          <a:extLst>
            <a:ext uri="{FF2B5EF4-FFF2-40B4-BE49-F238E27FC236}">
              <a16:creationId xmlns:a16="http://schemas.microsoft.com/office/drawing/2014/main" id="{D979D6DE-ADF2-4340-A415-F5C4FF4C873F}"/>
            </a:ext>
          </a:extLst>
        </xdr:cNvPr>
        <xdr:cNvGrpSpPr>
          <a:grpSpLocks noChangeAspect="1"/>
        </xdr:cNvGrpSpPr>
      </xdr:nvGrpSpPr>
      <xdr:grpSpPr bwMode="auto">
        <a:xfrm>
          <a:off x="2732511" y="146982181"/>
          <a:ext cx="875058" cy="163683"/>
          <a:chOff x="206" y="86"/>
          <a:chExt cx="73" cy="16"/>
        </a:xfrm>
      </xdr:grpSpPr>
      <xdr:sp macro="" textlink="">
        <xdr:nvSpPr>
          <xdr:cNvPr id="1002" name="Line 6">
            <a:extLst>
              <a:ext uri="{FF2B5EF4-FFF2-40B4-BE49-F238E27FC236}">
                <a16:creationId xmlns:a16="http://schemas.microsoft.com/office/drawing/2014/main" id="{083D2BB0-4973-6BC3-1E1E-2190DDFB82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4" name="Line 7">
            <a:extLst>
              <a:ext uri="{FF2B5EF4-FFF2-40B4-BE49-F238E27FC236}">
                <a16:creationId xmlns:a16="http://schemas.microsoft.com/office/drawing/2014/main" id="{3E79E8E1-9010-BFAE-2CEB-B16332D8F9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" name="Line 8">
            <a:extLst>
              <a:ext uri="{FF2B5EF4-FFF2-40B4-BE49-F238E27FC236}">
                <a16:creationId xmlns:a16="http://schemas.microsoft.com/office/drawing/2014/main" id="{EA4A680B-9511-98F4-48B7-35F4E8D796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476</xdr:row>
      <xdr:rowOff>55220</xdr:rowOff>
    </xdr:from>
    <xdr:to>
      <xdr:col>3</xdr:col>
      <xdr:colOff>1003580</xdr:colOff>
      <xdr:row>476</xdr:row>
      <xdr:rowOff>303698</xdr:rowOff>
    </xdr:to>
    <xdr:sp macro="" textlink="">
      <xdr:nvSpPr>
        <xdr:cNvPr id="1008" name="hinh15">
          <a:extLst>
            <a:ext uri="{FF2B5EF4-FFF2-40B4-BE49-F238E27FC236}">
              <a16:creationId xmlns:a16="http://schemas.microsoft.com/office/drawing/2014/main" id="{291FEE49-6135-4112-8A5C-DE416F825D5E}"/>
            </a:ext>
          </a:extLst>
        </xdr:cNvPr>
        <xdr:cNvSpPr>
          <a:spLocks noChangeAspect="1"/>
        </xdr:cNvSpPr>
      </xdr:nvSpPr>
      <xdr:spPr bwMode="auto">
        <a:xfrm rot="10800000">
          <a:off x="2737081" y="130984749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474</xdr:row>
      <xdr:rowOff>61296</xdr:rowOff>
    </xdr:from>
    <xdr:to>
      <xdr:col>3</xdr:col>
      <xdr:colOff>965880</xdr:colOff>
      <xdr:row>474</xdr:row>
      <xdr:rowOff>224979</xdr:rowOff>
    </xdr:to>
    <xdr:grpSp>
      <xdr:nvGrpSpPr>
        <xdr:cNvPr id="1010" name="hinh2">
          <a:extLst>
            <a:ext uri="{FF2B5EF4-FFF2-40B4-BE49-F238E27FC236}">
              <a16:creationId xmlns:a16="http://schemas.microsoft.com/office/drawing/2014/main" id="{26A57390-9573-45D0-AE26-BF8B4215E13D}"/>
            </a:ext>
          </a:extLst>
        </xdr:cNvPr>
        <xdr:cNvGrpSpPr>
          <a:grpSpLocks noChangeAspect="1"/>
        </xdr:cNvGrpSpPr>
      </xdr:nvGrpSpPr>
      <xdr:grpSpPr bwMode="auto">
        <a:xfrm>
          <a:off x="2735410" y="148561649"/>
          <a:ext cx="875058" cy="163683"/>
          <a:chOff x="206" y="86"/>
          <a:chExt cx="73" cy="16"/>
        </a:xfrm>
      </xdr:grpSpPr>
      <xdr:sp macro="" textlink="">
        <xdr:nvSpPr>
          <xdr:cNvPr id="1012" name="Line 6">
            <a:extLst>
              <a:ext uri="{FF2B5EF4-FFF2-40B4-BE49-F238E27FC236}">
                <a16:creationId xmlns:a16="http://schemas.microsoft.com/office/drawing/2014/main" id="{9119D88C-F4BB-0AEC-17E1-29E1E4F209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4" name="Line 7">
            <a:extLst>
              <a:ext uri="{FF2B5EF4-FFF2-40B4-BE49-F238E27FC236}">
                <a16:creationId xmlns:a16="http://schemas.microsoft.com/office/drawing/2014/main" id="{06245DC7-42A6-6C1C-07BB-27F45A658C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6" name="Line 8">
            <a:extLst>
              <a:ext uri="{FF2B5EF4-FFF2-40B4-BE49-F238E27FC236}">
                <a16:creationId xmlns:a16="http://schemas.microsoft.com/office/drawing/2014/main" id="{AA9D4CE8-AFC1-D830-E93B-3174FB6992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477</xdr:row>
      <xdr:rowOff>62196</xdr:rowOff>
    </xdr:from>
    <xdr:to>
      <xdr:col>3</xdr:col>
      <xdr:colOff>952499</xdr:colOff>
      <xdr:row>477</xdr:row>
      <xdr:rowOff>213437</xdr:rowOff>
    </xdr:to>
    <xdr:grpSp>
      <xdr:nvGrpSpPr>
        <xdr:cNvPr id="1018" name="hinh3">
          <a:extLst>
            <a:ext uri="{FF2B5EF4-FFF2-40B4-BE49-F238E27FC236}">
              <a16:creationId xmlns:a16="http://schemas.microsoft.com/office/drawing/2014/main" id="{A949C0B0-4BD3-42AD-8389-9246EFC4D2B3}"/>
            </a:ext>
          </a:extLst>
        </xdr:cNvPr>
        <xdr:cNvGrpSpPr>
          <a:grpSpLocks noChangeAspect="1"/>
        </xdr:cNvGrpSpPr>
      </xdr:nvGrpSpPr>
      <xdr:grpSpPr bwMode="auto">
        <a:xfrm>
          <a:off x="2735376" y="149503843"/>
          <a:ext cx="861711" cy="151241"/>
          <a:chOff x="206" y="112"/>
          <a:chExt cx="73" cy="16"/>
        </a:xfrm>
      </xdr:grpSpPr>
      <xdr:sp macro="" textlink="">
        <xdr:nvSpPr>
          <xdr:cNvPr id="1020" name="Line 3">
            <a:extLst>
              <a:ext uri="{FF2B5EF4-FFF2-40B4-BE49-F238E27FC236}">
                <a16:creationId xmlns:a16="http://schemas.microsoft.com/office/drawing/2014/main" id="{4065EDE4-04E8-856B-080B-7EAE8EA22B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1" name="Line 4">
            <a:extLst>
              <a:ext uri="{FF2B5EF4-FFF2-40B4-BE49-F238E27FC236}">
                <a16:creationId xmlns:a16="http://schemas.microsoft.com/office/drawing/2014/main" id="{E0DD38D2-338F-6751-1776-363A6FD2B4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475</xdr:row>
      <xdr:rowOff>50652</xdr:rowOff>
    </xdr:from>
    <xdr:to>
      <xdr:col>3</xdr:col>
      <xdr:colOff>962981</xdr:colOff>
      <xdr:row>475</xdr:row>
      <xdr:rowOff>214335</xdr:rowOff>
    </xdr:to>
    <xdr:grpSp>
      <xdr:nvGrpSpPr>
        <xdr:cNvPr id="1022" name="hinh2">
          <a:extLst>
            <a:ext uri="{FF2B5EF4-FFF2-40B4-BE49-F238E27FC236}">
              <a16:creationId xmlns:a16="http://schemas.microsoft.com/office/drawing/2014/main" id="{2BF3AEFC-7DAC-4AAA-8EE8-9E17213F8912}"/>
            </a:ext>
          </a:extLst>
        </xdr:cNvPr>
        <xdr:cNvGrpSpPr>
          <a:grpSpLocks noChangeAspect="1"/>
        </xdr:cNvGrpSpPr>
      </xdr:nvGrpSpPr>
      <xdr:grpSpPr bwMode="auto">
        <a:xfrm>
          <a:off x="2732511" y="148864770"/>
          <a:ext cx="875058" cy="163683"/>
          <a:chOff x="206" y="86"/>
          <a:chExt cx="73" cy="16"/>
        </a:xfrm>
      </xdr:grpSpPr>
      <xdr:sp macro="" textlink="">
        <xdr:nvSpPr>
          <xdr:cNvPr id="1023" name="Line 6">
            <a:extLst>
              <a:ext uri="{FF2B5EF4-FFF2-40B4-BE49-F238E27FC236}">
                <a16:creationId xmlns:a16="http://schemas.microsoft.com/office/drawing/2014/main" id="{597ABFA9-D352-70FA-1BCA-413ACB44FF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4" name="Line 7">
            <a:extLst>
              <a:ext uri="{FF2B5EF4-FFF2-40B4-BE49-F238E27FC236}">
                <a16:creationId xmlns:a16="http://schemas.microsoft.com/office/drawing/2014/main" id="{469B415E-4DC8-9414-B2BA-A30E407565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5" name="Line 8">
            <a:extLst>
              <a:ext uri="{FF2B5EF4-FFF2-40B4-BE49-F238E27FC236}">
                <a16:creationId xmlns:a16="http://schemas.microsoft.com/office/drawing/2014/main" id="{C72B1847-90CC-8645-E122-E99FEB1B9E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59</xdr:row>
      <xdr:rowOff>55220</xdr:rowOff>
    </xdr:from>
    <xdr:to>
      <xdr:col>3</xdr:col>
      <xdr:colOff>1003580</xdr:colOff>
      <xdr:row>59</xdr:row>
      <xdr:rowOff>303698</xdr:rowOff>
    </xdr:to>
    <xdr:sp macro="" textlink="">
      <xdr:nvSpPr>
        <xdr:cNvPr id="1028" name="hinh15">
          <a:extLst>
            <a:ext uri="{FF2B5EF4-FFF2-40B4-BE49-F238E27FC236}">
              <a16:creationId xmlns:a16="http://schemas.microsoft.com/office/drawing/2014/main" id="{E60BBF92-6906-4BD6-BB2D-2ED34634583E}"/>
            </a:ext>
          </a:extLst>
        </xdr:cNvPr>
        <xdr:cNvSpPr>
          <a:spLocks noChangeAspect="1"/>
        </xdr:cNvSpPr>
      </xdr:nvSpPr>
      <xdr:spPr bwMode="auto">
        <a:xfrm rot="10800000">
          <a:off x="2737081" y="13322985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57</xdr:row>
      <xdr:rowOff>61296</xdr:rowOff>
    </xdr:from>
    <xdr:to>
      <xdr:col>3</xdr:col>
      <xdr:colOff>965880</xdr:colOff>
      <xdr:row>57</xdr:row>
      <xdr:rowOff>224979</xdr:rowOff>
    </xdr:to>
    <xdr:grpSp>
      <xdr:nvGrpSpPr>
        <xdr:cNvPr id="1030" name="hinh2">
          <a:extLst>
            <a:ext uri="{FF2B5EF4-FFF2-40B4-BE49-F238E27FC236}">
              <a16:creationId xmlns:a16="http://schemas.microsoft.com/office/drawing/2014/main" id="{85A0883A-727C-41C2-8613-BAFFF212448B}"/>
            </a:ext>
          </a:extLst>
        </xdr:cNvPr>
        <xdr:cNvGrpSpPr>
          <a:grpSpLocks noChangeAspect="1"/>
        </xdr:cNvGrpSpPr>
      </xdr:nvGrpSpPr>
      <xdr:grpSpPr bwMode="auto">
        <a:xfrm>
          <a:off x="2735410" y="17721767"/>
          <a:ext cx="875058" cy="163683"/>
          <a:chOff x="206" y="86"/>
          <a:chExt cx="73" cy="16"/>
        </a:xfrm>
      </xdr:grpSpPr>
      <xdr:sp macro="" textlink="">
        <xdr:nvSpPr>
          <xdr:cNvPr id="1032" name="Line 6">
            <a:extLst>
              <a:ext uri="{FF2B5EF4-FFF2-40B4-BE49-F238E27FC236}">
                <a16:creationId xmlns:a16="http://schemas.microsoft.com/office/drawing/2014/main" id="{CF436427-AF80-0358-7B79-B51275195A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Line 7">
            <a:extLst>
              <a:ext uri="{FF2B5EF4-FFF2-40B4-BE49-F238E27FC236}">
                <a16:creationId xmlns:a16="http://schemas.microsoft.com/office/drawing/2014/main" id="{C5157F76-4048-A276-8125-C8578BBF2E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8">
            <a:extLst>
              <a:ext uri="{FF2B5EF4-FFF2-40B4-BE49-F238E27FC236}">
                <a16:creationId xmlns:a16="http://schemas.microsoft.com/office/drawing/2014/main" id="{C79250DF-D809-4CE4-B39D-B6ED18E7DC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60</xdr:row>
      <xdr:rowOff>62196</xdr:rowOff>
    </xdr:from>
    <xdr:to>
      <xdr:col>3</xdr:col>
      <xdr:colOff>952499</xdr:colOff>
      <xdr:row>60</xdr:row>
      <xdr:rowOff>213437</xdr:rowOff>
    </xdr:to>
    <xdr:grpSp>
      <xdr:nvGrpSpPr>
        <xdr:cNvPr id="1038" name="hinh3">
          <a:extLst>
            <a:ext uri="{FF2B5EF4-FFF2-40B4-BE49-F238E27FC236}">
              <a16:creationId xmlns:a16="http://schemas.microsoft.com/office/drawing/2014/main" id="{2F7F6BB5-FCC1-4A59-8D95-5E12AFFAD38A}"/>
            </a:ext>
          </a:extLst>
        </xdr:cNvPr>
        <xdr:cNvGrpSpPr>
          <a:grpSpLocks noChangeAspect="1"/>
        </xdr:cNvGrpSpPr>
      </xdr:nvGrpSpPr>
      <xdr:grpSpPr bwMode="auto">
        <a:xfrm>
          <a:off x="2735376" y="18663961"/>
          <a:ext cx="861711" cy="151241"/>
          <a:chOff x="206" y="112"/>
          <a:chExt cx="73" cy="16"/>
        </a:xfrm>
      </xdr:grpSpPr>
      <xdr:sp macro="" textlink="">
        <xdr:nvSpPr>
          <xdr:cNvPr id="1040" name="Line 3">
            <a:extLst>
              <a:ext uri="{FF2B5EF4-FFF2-40B4-BE49-F238E27FC236}">
                <a16:creationId xmlns:a16="http://schemas.microsoft.com/office/drawing/2014/main" id="{0E4EA78C-513F-FAD9-A682-6511837D51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2" name="Line 4">
            <a:extLst>
              <a:ext uri="{FF2B5EF4-FFF2-40B4-BE49-F238E27FC236}">
                <a16:creationId xmlns:a16="http://schemas.microsoft.com/office/drawing/2014/main" id="{45E2B3B9-79EC-B3F6-AE01-8D1EEF840C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58</xdr:row>
      <xdr:rowOff>50652</xdr:rowOff>
    </xdr:from>
    <xdr:to>
      <xdr:col>3</xdr:col>
      <xdr:colOff>962981</xdr:colOff>
      <xdr:row>58</xdr:row>
      <xdr:rowOff>214335</xdr:rowOff>
    </xdr:to>
    <xdr:grpSp>
      <xdr:nvGrpSpPr>
        <xdr:cNvPr id="1044" name="hinh2">
          <a:extLst>
            <a:ext uri="{FF2B5EF4-FFF2-40B4-BE49-F238E27FC236}">
              <a16:creationId xmlns:a16="http://schemas.microsoft.com/office/drawing/2014/main" id="{15AC4BAD-65A4-407E-87EB-A381A90F96AF}"/>
            </a:ext>
          </a:extLst>
        </xdr:cNvPr>
        <xdr:cNvGrpSpPr>
          <a:grpSpLocks noChangeAspect="1"/>
        </xdr:cNvGrpSpPr>
      </xdr:nvGrpSpPr>
      <xdr:grpSpPr bwMode="auto">
        <a:xfrm>
          <a:off x="2732511" y="18024887"/>
          <a:ext cx="875058" cy="163683"/>
          <a:chOff x="206" y="86"/>
          <a:chExt cx="73" cy="16"/>
        </a:xfrm>
      </xdr:grpSpPr>
      <xdr:sp macro="" textlink="">
        <xdr:nvSpPr>
          <xdr:cNvPr id="1046" name="Line 6">
            <a:extLst>
              <a:ext uri="{FF2B5EF4-FFF2-40B4-BE49-F238E27FC236}">
                <a16:creationId xmlns:a16="http://schemas.microsoft.com/office/drawing/2014/main" id="{6AD5D866-E469-AF56-39EF-46A2600FDC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7">
            <a:extLst>
              <a:ext uri="{FF2B5EF4-FFF2-40B4-BE49-F238E27FC236}">
                <a16:creationId xmlns:a16="http://schemas.microsoft.com/office/drawing/2014/main" id="{7BBADBF9-CB70-3737-99C3-3EC56B6E85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Line 8">
            <a:extLst>
              <a:ext uri="{FF2B5EF4-FFF2-40B4-BE49-F238E27FC236}">
                <a16:creationId xmlns:a16="http://schemas.microsoft.com/office/drawing/2014/main" id="{9D2F6591-7340-4C6B-2EF0-457C21A3A8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64</xdr:row>
      <xdr:rowOff>55220</xdr:rowOff>
    </xdr:from>
    <xdr:to>
      <xdr:col>3</xdr:col>
      <xdr:colOff>1003580</xdr:colOff>
      <xdr:row>64</xdr:row>
      <xdr:rowOff>303698</xdr:rowOff>
    </xdr:to>
    <xdr:sp macro="" textlink="">
      <xdr:nvSpPr>
        <xdr:cNvPr id="1052" name="hinh15">
          <a:extLst>
            <a:ext uri="{FF2B5EF4-FFF2-40B4-BE49-F238E27FC236}">
              <a16:creationId xmlns:a16="http://schemas.microsoft.com/office/drawing/2014/main" id="{8660CB55-5F7D-48EA-AC1F-D43D0EC029C4}"/>
            </a:ext>
          </a:extLst>
        </xdr:cNvPr>
        <xdr:cNvSpPr>
          <a:spLocks noChangeAspect="1"/>
        </xdr:cNvSpPr>
      </xdr:nvSpPr>
      <xdr:spPr bwMode="auto">
        <a:xfrm rot="10800000">
          <a:off x="2737081" y="14891808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62</xdr:row>
      <xdr:rowOff>61296</xdr:rowOff>
    </xdr:from>
    <xdr:to>
      <xdr:col>3</xdr:col>
      <xdr:colOff>965880</xdr:colOff>
      <xdr:row>62</xdr:row>
      <xdr:rowOff>224979</xdr:rowOff>
    </xdr:to>
    <xdr:grpSp>
      <xdr:nvGrpSpPr>
        <xdr:cNvPr id="1054" name="hinh2">
          <a:extLst>
            <a:ext uri="{FF2B5EF4-FFF2-40B4-BE49-F238E27FC236}">
              <a16:creationId xmlns:a16="http://schemas.microsoft.com/office/drawing/2014/main" id="{746459F7-04F5-4D5F-AA76-F148DC1EBA88}"/>
            </a:ext>
          </a:extLst>
        </xdr:cNvPr>
        <xdr:cNvGrpSpPr>
          <a:grpSpLocks noChangeAspect="1"/>
        </xdr:cNvGrpSpPr>
      </xdr:nvGrpSpPr>
      <xdr:grpSpPr bwMode="auto">
        <a:xfrm>
          <a:off x="2735410" y="19290590"/>
          <a:ext cx="875058" cy="163683"/>
          <a:chOff x="206" y="86"/>
          <a:chExt cx="73" cy="16"/>
        </a:xfrm>
      </xdr:grpSpPr>
      <xdr:sp macro="" textlink="">
        <xdr:nvSpPr>
          <xdr:cNvPr id="1056" name="Line 6">
            <a:extLst>
              <a:ext uri="{FF2B5EF4-FFF2-40B4-BE49-F238E27FC236}">
                <a16:creationId xmlns:a16="http://schemas.microsoft.com/office/drawing/2014/main" id="{9812C035-D7D5-22D7-7DA9-A2ED9CA447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Line 7">
            <a:extLst>
              <a:ext uri="{FF2B5EF4-FFF2-40B4-BE49-F238E27FC236}">
                <a16:creationId xmlns:a16="http://schemas.microsoft.com/office/drawing/2014/main" id="{209EDCD0-1C01-463E-849B-21C9A24D1F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Line 8">
            <a:extLst>
              <a:ext uri="{FF2B5EF4-FFF2-40B4-BE49-F238E27FC236}">
                <a16:creationId xmlns:a16="http://schemas.microsoft.com/office/drawing/2014/main" id="{9A69D459-67A9-4C82-61F8-EA475CD288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65</xdr:row>
      <xdr:rowOff>62196</xdr:rowOff>
    </xdr:from>
    <xdr:to>
      <xdr:col>3</xdr:col>
      <xdr:colOff>952499</xdr:colOff>
      <xdr:row>65</xdr:row>
      <xdr:rowOff>213437</xdr:rowOff>
    </xdr:to>
    <xdr:grpSp>
      <xdr:nvGrpSpPr>
        <xdr:cNvPr id="1061" name="hinh3">
          <a:extLst>
            <a:ext uri="{FF2B5EF4-FFF2-40B4-BE49-F238E27FC236}">
              <a16:creationId xmlns:a16="http://schemas.microsoft.com/office/drawing/2014/main" id="{1EBB1366-C6A1-4EBE-9AFE-ADF5B7F6E20B}"/>
            </a:ext>
          </a:extLst>
        </xdr:cNvPr>
        <xdr:cNvGrpSpPr>
          <a:grpSpLocks noChangeAspect="1"/>
        </xdr:cNvGrpSpPr>
      </xdr:nvGrpSpPr>
      <xdr:grpSpPr bwMode="auto">
        <a:xfrm>
          <a:off x="2735376" y="20232784"/>
          <a:ext cx="861711" cy="151241"/>
          <a:chOff x="206" y="112"/>
          <a:chExt cx="73" cy="16"/>
        </a:xfrm>
      </xdr:grpSpPr>
      <xdr:sp macro="" textlink="">
        <xdr:nvSpPr>
          <xdr:cNvPr id="1062" name="Line 3">
            <a:extLst>
              <a:ext uri="{FF2B5EF4-FFF2-40B4-BE49-F238E27FC236}">
                <a16:creationId xmlns:a16="http://schemas.microsoft.com/office/drawing/2014/main" id="{A3DCD8EA-05CF-E69D-069A-40C00D85E6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Line 4">
            <a:extLst>
              <a:ext uri="{FF2B5EF4-FFF2-40B4-BE49-F238E27FC236}">
                <a16:creationId xmlns:a16="http://schemas.microsoft.com/office/drawing/2014/main" id="{FD352748-19DC-E12A-618F-879DA5C235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63</xdr:row>
      <xdr:rowOff>50652</xdr:rowOff>
    </xdr:from>
    <xdr:to>
      <xdr:col>3</xdr:col>
      <xdr:colOff>962981</xdr:colOff>
      <xdr:row>63</xdr:row>
      <xdr:rowOff>214335</xdr:rowOff>
    </xdr:to>
    <xdr:grpSp>
      <xdr:nvGrpSpPr>
        <xdr:cNvPr id="1064" name="hinh2">
          <a:extLst>
            <a:ext uri="{FF2B5EF4-FFF2-40B4-BE49-F238E27FC236}">
              <a16:creationId xmlns:a16="http://schemas.microsoft.com/office/drawing/2014/main" id="{1906302C-7CF9-4814-BCA9-A1414F27D5F0}"/>
            </a:ext>
          </a:extLst>
        </xdr:cNvPr>
        <xdr:cNvGrpSpPr>
          <a:grpSpLocks noChangeAspect="1"/>
        </xdr:cNvGrpSpPr>
      </xdr:nvGrpSpPr>
      <xdr:grpSpPr bwMode="auto">
        <a:xfrm>
          <a:off x="2732511" y="19593711"/>
          <a:ext cx="875058" cy="163683"/>
          <a:chOff x="206" y="86"/>
          <a:chExt cx="73" cy="16"/>
        </a:xfrm>
      </xdr:grpSpPr>
      <xdr:sp macro="" textlink="">
        <xdr:nvSpPr>
          <xdr:cNvPr id="1065" name="Line 6">
            <a:extLst>
              <a:ext uri="{FF2B5EF4-FFF2-40B4-BE49-F238E27FC236}">
                <a16:creationId xmlns:a16="http://schemas.microsoft.com/office/drawing/2014/main" id="{DD7BB8EA-2C22-2EBF-A04B-6288BCFFD0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6" name="Line 7">
            <a:extLst>
              <a:ext uri="{FF2B5EF4-FFF2-40B4-BE49-F238E27FC236}">
                <a16:creationId xmlns:a16="http://schemas.microsoft.com/office/drawing/2014/main" id="{FAC9724B-A15E-FA97-1406-29350CEDFF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8">
            <a:extLst>
              <a:ext uri="{FF2B5EF4-FFF2-40B4-BE49-F238E27FC236}">
                <a16:creationId xmlns:a16="http://schemas.microsoft.com/office/drawing/2014/main" id="{99304C01-479E-4952-DF1A-9BAD6CD4F2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69</xdr:row>
      <xdr:rowOff>55220</xdr:rowOff>
    </xdr:from>
    <xdr:to>
      <xdr:col>3</xdr:col>
      <xdr:colOff>1003580</xdr:colOff>
      <xdr:row>69</xdr:row>
      <xdr:rowOff>303698</xdr:rowOff>
    </xdr:to>
    <xdr:sp macro="" textlink="">
      <xdr:nvSpPr>
        <xdr:cNvPr id="1071" name="hinh15">
          <a:extLst>
            <a:ext uri="{FF2B5EF4-FFF2-40B4-BE49-F238E27FC236}">
              <a16:creationId xmlns:a16="http://schemas.microsoft.com/office/drawing/2014/main" id="{E23ACB33-79BD-4171-BF59-87C719D5FB99}"/>
            </a:ext>
          </a:extLst>
        </xdr:cNvPr>
        <xdr:cNvSpPr>
          <a:spLocks noChangeAspect="1"/>
        </xdr:cNvSpPr>
      </xdr:nvSpPr>
      <xdr:spPr bwMode="auto">
        <a:xfrm rot="10800000">
          <a:off x="2737081" y="16460632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67</xdr:row>
      <xdr:rowOff>61296</xdr:rowOff>
    </xdr:from>
    <xdr:to>
      <xdr:col>3</xdr:col>
      <xdr:colOff>965880</xdr:colOff>
      <xdr:row>67</xdr:row>
      <xdr:rowOff>224979</xdr:rowOff>
    </xdr:to>
    <xdr:grpSp>
      <xdr:nvGrpSpPr>
        <xdr:cNvPr id="1073" name="hinh2">
          <a:extLst>
            <a:ext uri="{FF2B5EF4-FFF2-40B4-BE49-F238E27FC236}">
              <a16:creationId xmlns:a16="http://schemas.microsoft.com/office/drawing/2014/main" id="{A18C198E-3A0E-41AE-9985-C099559BEDBA}"/>
            </a:ext>
          </a:extLst>
        </xdr:cNvPr>
        <xdr:cNvGrpSpPr>
          <a:grpSpLocks noChangeAspect="1"/>
        </xdr:cNvGrpSpPr>
      </xdr:nvGrpSpPr>
      <xdr:grpSpPr bwMode="auto">
        <a:xfrm>
          <a:off x="2735410" y="20859414"/>
          <a:ext cx="875058" cy="163683"/>
          <a:chOff x="206" y="86"/>
          <a:chExt cx="73" cy="16"/>
        </a:xfrm>
      </xdr:grpSpPr>
      <xdr:sp macro="" textlink="">
        <xdr:nvSpPr>
          <xdr:cNvPr id="1075" name="Line 6">
            <a:extLst>
              <a:ext uri="{FF2B5EF4-FFF2-40B4-BE49-F238E27FC236}">
                <a16:creationId xmlns:a16="http://schemas.microsoft.com/office/drawing/2014/main" id="{224B3AFC-AB0E-7A5D-DDBD-7DC3F7530B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Line 7">
            <a:extLst>
              <a:ext uri="{FF2B5EF4-FFF2-40B4-BE49-F238E27FC236}">
                <a16:creationId xmlns:a16="http://schemas.microsoft.com/office/drawing/2014/main" id="{250B36BF-4223-C133-B6FB-E4CC78DDD4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" name="Line 8">
            <a:extLst>
              <a:ext uri="{FF2B5EF4-FFF2-40B4-BE49-F238E27FC236}">
                <a16:creationId xmlns:a16="http://schemas.microsoft.com/office/drawing/2014/main" id="{C9F41298-D02B-0C69-E060-0CEAA17687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70</xdr:row>
      <xdr:rowOff>62196</xdr:rowOff>
    </xdr:from>
    <xdr:to>
      <xdr:col>3</xdr:col>
      <xdr:colOff>952499</xdr:colOff>
      <xdr:row>70</xdr:row>
      <xdr:rowOff>213437</xdr:rowOff>
    </xdr:to>
    <xdr:grpSp>
      <xdr:nvGrpSpPr>
        <xdr:cNvPr id="1081" name="hinh3">
          <a:extLst>
            <a:ext uri="{FF2B5EF4-FFF2-40B4-BE49-F238E27FC236}">
              <a16:creationId xmlns:a16="http://schemas.microsoft.com/office/drawing/2014/main" id="{DB54B1C5-C8FC-428E-A2C6-633C06E19FFE}"/>
            </a:ext>
          </a:extLst>
        </xdr:cNvPr>
        <xdr:cNvGrpSpPr>
          <a:grpSpLocks noChangeAspect="1"/>
        </xdr:cNvGrpSpPr>
      </xdr:nvGrpSpPr>
      <xdr:grpSpPr bwMode="auto">
        <a:xfrm>
          <a:off x="2735376" y="21801608"/>
          <a:ext cx="861711" cy="151241"/>
          <a:chOff x="206" y="112"/>
          <a:chExt cx="73" cy="16"/>
        </a:xfrm>
      </xdr:grpSpPr>
      <xdr:sp macro="" textlink="">
        <xdr:nvSpPr>
          <xdr:cNvPr id="1083" name="Line 3">
            <a:extLst>
              <a:ext uri="{FF2B5EF4-FFF2-40B4-BE49-F238E27FC236}">
                <a16:creationId xmlns:a16="http://schemas.microsoft.com/office/drawing/2014/main" id="{E550BB8B-5794-D773-F01C-720FE5C1E1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" name="Line 4">
            <a:extLst>
              <a:ext uri="{FF2B5EF4-FFF2-40B4-BE49-F238E27FC236}">
                <a16:creationId xmlns:a16="http://schemas.microsoft.com/office/drawing/2014/main" id="{9F4B8739-A2E9-693F-C67B-21178862B0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68</xdr:row>
      <xdr:rowOff>50652</xdr:rowOff>
    </xdr:from>
    <xdr:to>
      <xdr:col>3</xdr:col>
      <xdr:colOff>962981</xdr:colOff>
      <xdr:row>68</xdr:row>
      <xdr:rowOff>214335</xdr:rowOff>
    </xdr:to>
    <xdr:grpSp>
      <xdr:nvGrpSpPr>
        <xdr:cNvPr id="1087" name="hinh2">
          <a:extLst>
            <a:ext uri="{FF2B5EF4-FFF2-40B4-BE49-F238E27FC236}">
              <a16:creationId xmlns:a16="http://schemas.microsoft.com/office/drawing/2014/main" id="{E747D976-89BF-4023-BCBC-09B227E6B59F}"/>
            </a:ext>
          </a:extLst>
        </xdr:cNvPr>
        <xdr:cNvGrpSpPr>
          <a:grpSpLocks noChangeAspect="1"/>
        </xdr:cNvGrpSpPr>
      </xdr:nvGrpSpPr>
      <xdr:grpSpPr bwMode="auto">
        <a:xfrm>
          <a:off x="2732511" y="21162534"/>
          <a:ext cx="875058" cy="163683"/>
          <a:chOff x="206" y="86"/>
          <a:chExt cx="73" cy="16"/>
        </a:xfrm>
      </xdr:grpSpPr>
      <xdr:sp macro="" textlink="">
        <xdr:nvSpPr>
          <xdr:cNvPr id="1089" name="Line 6">
            <a:extLst>
              <a:ext uri="{FF2B5EF4-FFF2-40B4-BE49-F238E27FC236}">
                <a16:creationId xmlns:a16="http://schemas.microsoft.com/office/drawing/2014/main" id="{2FFE5866-039D-AB74-3BB9-8818534C64A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7">
            <a:extLst>
              <a:ext uri="{FF2B5EF4-FFF2-40B4-BE49-F238E27FC236}">
                <a16:creationId xmlns:a16="http://schemas.microsoft.com/office/drawing/2014/main" id="{CAB82250-0FDD-1C0C-E24E-7FCE157D1F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8">
            <a:extLst>
              <a:ext uri="{FF2B5EF4-FFF2-40B4-BE49-F238E27FC236}">
                <a16:creationId xmlns:a16="http://schemas.microsoft.com/office/drawing/2014/main" id="{119DDB35-6BC9-96FF-C751-D3B4903B81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75</xdr:row>
      <xdr:rowOff>55220</xdr:rowOff>
    </xdr:from>
    <xdr:to>
      <xdr:col>3</xdr:col>
      <xdr:colOff>1003580</xdr:colOff>
      <xdr:row>75</xdr:row>
      <xdr:rowOff>303698</xdr:rowOff>
    </xdr:to>
    <xdr:sp macro="" textlink="">
      <xdr:nvSpPr>
        <xdr:cNvPr id="1095" name="hinh15">
          <a:extLst>
            <a:ext uri="{FF2B5EF4-FFF2-40B4-BE49-F238E27FC236}">
              <a16:creationId xmlns:a16="http://schemas.microsoft.com/office/drawing/2014/main" id="{5B91EE03-82F9-4563-A5FF-A08183B820D1}"/>
            </a:ext>
          </a:extLst>
        </xdr:cNvPr>
        <xdr:cNvSpPr>
          <a:spLocks noChangeAspect="1"/>
        </xdr:cNvSpPr>
      </xdr:nvSpPr>
      <xdr:spPr bwMode="auto">
        <a:xfrm rot="10800000">
          <a:off x="2737081" y="1834322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73</xdr:row>
      <xdr:rowOff>61296</xdr:rowOff>
    </xdr:from>
    <xdr:to>
      <xdr:col>3</xdr:col>
      <xdr:colOff>965880</xdr:colOff>
      <xdr:row>73</xdr:row>
      <xdr:rowOff>224979</xdr:rowOff>
    </xdr:to>
    <xdr:grpSp>
      <xdr:nvGrpSpPr>
        <xdr:cNvPr id="1097" name="hinh2">
          <a:extLst>
            <a:ext uri="{FF2B5EF4-FFF2-40B4-BE49-F238E27FC236}">
              <a16:creationId xmlns:a16="http://schemas.microsoft.com/office/drawing/2014/main" id="{BE10EEB9-75A1-410E-AA7E-5FC7B00F66BF}"/>
            </a:ext>
          </a:extLst>
        </xdr:cNvPr>
        <xdr:cNvGrpSpPr>
          <a:grpSpLocks noChangeAspect="1"/>
        </xdr:cNvGrpSpPr>
      </xdr:nvGrpSpPr>
      <xdr:grpSpPr bwMode="auto">
        <a:xfrm>
          <a:off x="2735410" y="22742002"/>
          <a:ext cx="875058" cy="163683"/>
          <a:chOff x="206" y="86"/>
          <a:chExt cx="73" cy="16"/>
        </a:xfrm>
      </xdr:grpSpPr>
      <xdr:sp macro="" textlink="">
        <xdr:nvSpPr>
          <xdr:cNvPr id="1099" name="Line 6">
            <a:extLst>
              <a:ext uri="{FF2B5EF4-FFF2-40B4-BE49-F238E27FC236}">
                <a16:creationId xmlns:a16="http://schemas.microsoft.com/office/drawing/2014/main" id="{2145B751-FC20-B7A0-FF12-3B7EF4FCE9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" name="Line 7">
            <a:extLst>
              <a:ext uri="{FF2B5EF4-FFF2-40B4-BE49-F238E27FC236}">
                <a16:creationId xmlns:a16="http://schemas.microsoft.com/office/drawing/2014/main" id="{D0CA9659-C656-B1FD-3C81-847FE85260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Line 8">
            <a:extLst>
              <a:ext uri="{FF2B5EF4-FFF2-40B4-BE49-F238E27FC236}">
                <a16:creationId xmlns:a16="http://schemas.microsoft.com/office/drawing/2014/main" id="{7A1E2643-B13E-35DD-075C-D118F1D30A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76</xdr:row>
      <xdr:rowOff>62196</xdr:rowOff>
    </xdr:from>
    <xdr:to>
      <xdr:col>3</xdr:col>
      <xdr:colOff>952499</xdr:colOff>
      <xdr:row>76</xdr:row>
      <xdr:rowOff>213437</xdr:rowOff>
    </xdr:to>
    <xdr:grpSp>
      <xdr:nvGrpSpPr>
        <xdr:cNvPr id="1104" name="hinh3">
          <a:extLst>
            <a:ext uri="{FF2B5EF4-FFF2-40B4-BE49-F238E27FC236}">
              <a16:creationId xmlns:a16="http://schemas.microsoft.com/office/drawing/2014/main" id="{558B1B51-2D21-41D6-B1A7-576AA10EB5A8}"/>
            </a:ext>
          </a:extLst>
        </xdr:cNvPr>
        <xdr:cNvGrpSpPr>
          <a:grpSpLocks noChangeAspect="1"/>
        </xdr:cNvGrpSpPr>
      </xdr:nvGrpSpPr>
      <xdr:grpSpPr bwMode="auto">
        <a:xfrm>
          <a:off x="2735376" y="23684196"/>
          <a:ext cx="861711" cy="151241"/>
          <a:chOff x="206" y="112"/>
          <a:chExt cx="73" cy="16"/>
        </a:xfrm>
      </xdr:grpSpPr>
      <xdr:sp macro="" textlink="">
        <xdr:nvSpPr>
          <xdr:cNvPr id="1105" name="Line 3">
            <a:extLst>
              <a:ext uri="{FF2B5EF4-FFF2-40B4-BE49-F238E27FC236}">
                <a16:creationId xmlns:a16="http://schemas.microsoft.com/office/drawing/2014/main" id="{565889C6-816B-A004-2BEE-E6775D973C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" name="Line 4">
            <a:extLst>
              <a:ext uri="{FF2B5EF4-FFF2-40B4-BE49-F238E27FC236}">
                <a16:creationId xmlns:a16="http://schemas.microsoft.com/office/drawing/2014/main" id="{41DB44CC-93A5-8829-2536-F2D5E41E1B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74</xdr:row>
      <xdr:rowOff>50652</xdr:rowOff>
    </xdr:from>
    <xdr:to>
      <xdr:col>3</xdr:col>
      <xdr:colOff>962981</xdr:colOff>
      <xdr:row>74</xdr:row>
      <xdr:rowOff>214335</xdr:rowOff>
    </xdr:to>
    <xdr:grpSp>
      <xdr:nvGrpSpPr>
        <xdr:cNvPr id="1107" name="hinh2">
          <a:extLst>
            <a:ext uri="{FF2B5EF4-FFF2-40B4-BE49-F238E27FC236}">
              <a16:creationId xmlns:a16="http://schemas.microsoft.com/office/drawing/2014/main" id="{7FF7D056-13F5-4619-85BB-C7983CCF83FE}"/>
            </a:ext>
          </a:extLst>
        </xdr:cNvPr>
        <xdr:cNvGrpSpPr>
          <a:grpSpLocks noChangeAspect="1"/>
        </xdr:cNvGrpSpPr>
      </xdr:nvGrpSpPr>
      <xdr:grpSpPr bwMode="auto">
        <a:xfrm>
          <a:off x="2732511" y="23045123"/>
          <a:ext cx="875058" cy="163683"/>
          <a:chOff x="206" y="86"/>
          <a:chExt cx="73" cy="16"/>
        </a:xfrm>
      </xdr:grpSpPr>
      <xdr:sp macro="" textlink="">
        <xdr:nvSpPr>
          <xdr:cNvPr id="1108" name="Line 6">
            <a:extLst>
              <a:ext uri="{FF2B5EF4-FFF2-40B4-BE49-F238E27FC236}">
                <a16:creationId xmlns:a16="http://schemas.microsoft.com/office/drawing/2014/main" id="{4B1C1EA1-B7BB-7160-5141-A6FA04A72D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9" name="Line 7">
            <a:extLst>
              <a:ext uri="{FF2B5EF4-FFF2-40B4-BE49-F238E27FC236}">
                <a16:creationId xmlns:a16="http://schemas.microsoft.com/office/drawing/2014/main" id="{054E83CF-C99E-DF9C-AC77-6BDF672FE8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2" name="Line 8">
            <a:extLst>
              <a:ext uri="{FF2B5EF4-FFF2-40B4-BE49-F238E27FC236}">
                <a16:creationId xmlns:a16="http://schemas.microsoft.com/office/drawing/2014/main" id="{E7DB2F2C-9504-44B9-1C13-C1CD39C684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80</xdr:row>
      <xdr:rowOff>55220</xdr:rowOff>
    </xdr:from>
    <xdr:to>
      <xdr:col>3</xdr:col>
      <xdr:colOff>1003580</xdr:colOff>
      <xdr:row>80</xdr:row>
      <xdr:rowOff>303698</xdr:rowOff>
    </xdr:to>
    <xdr:sp macro="" textlink="">
      <xdr:nvSpPr>
        <xdr:cNvPr id="1114" name="hinh15">
          <a:extLst>
            <a:ext uri="{FF2B5EF4-FFF2-40B4-BE49-F238E27FC236}">
              <a16:creationId xmlns:a16="http://schemas.microsoft.com/office/drawing/2014/main" id="{D326D1DC-8257-4624-8F38-5B5ECC9876B4}"/>
            </a:ext>
          </a:extLst>
        </xdr:cNvPr>
        <xdr:cNvSpPr>
          <a:spLocks noChangeAspect="1"/>
        </xdr:cNvSpPr>
      </xdr:nvSpPr>
      <xdr:spPr bwMode="auto">
        <a:xfrm rot="10800000">
          <a:off x="2737081" y="1991204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78</xdr:row>
      <xdr:rowOff>61296</xdr:rowOff>
    </xdr:from>
    <xdr:to>
      <xdr:col>3</xdr:col>
      <xdr:colOff>965880</xdr:colOff>
      <xdr:row>78</xdr:row>
      <xdr:rowOff>224979</xdr:rowOff>
    </xdr:to>
    <xdr:grpSp>
      <xdr:nvGrpSpPr>
        <xdr:cNvPr id="1116" name="hinh2">
          <a:extLst>
            <a:ext uri="{FF2B5EF4-FFF2-40B4-BE49-F238E27FC236}">
              <a16:creationId xmlns:a16="http://schemas.microsoft.com/office/drawing/2014/main" id="{F702E9C3-7CFD-4C4C-838A-059EF286E867}"/>
            </a:ext>
          </a:extLst>
        </xdr:cNvPr>
        <xdr:cNvGrpSpPr>
          <a:grpSpLocks noChangeAspect="1"/>
        </xdr:cNvGrpSpPr>
      </xdr:nvGrpSpPr>
      <xdr:grpSpPr bwMode="auto">
        <a:xfrm>
          <a:off x="2735410" y="24310825"/>
          <a:ext cx="875058" cy="163683"/>
          <a:chOff x="206" y="86"/>
          <a:chExt cx="73" cy="16"/>
        </a:xfrm>
      </xdr:grpSpPr>
      <xdr:sp macro="" textlink="">
        <xdr:nvSpPr>
          <xdr:cNvPr id="1118" name="Line 6">
            <a:extLst>
              <a:ext uri="{FF2B5EF4-FFF2-40B4-BE49-F238E27FC236}">
                <a16:creationId xmlns:a16="http://schemas.microsoft.com/office/drawing/2014/main" id="{BEEE9BDC-C396-4C52-5B2B-5B133793ED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Line 7">
            <a:extLst>
              <a:ext uri="{FF2B5EF4-FFF2-40B4-BE49-F238E27FC236}">
                <a16:creationId xmlns:a16="http://schemas.microsoft.com/office/drawing/2014/main" id="{97292E50-08CC-6E47-DB0C-6AC1CEEA74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2" name="Line 8">
            <a:extLst>
              <a:ext uri="{FF2B5EF4-FFF2-40B4-BE49-F238E27FC236}">
                <a16:creationId xmlns:a16="http://schemas.microsoft.com/office/drawing/2014/main" id="{5F6F2188-B53C-F4AC-6E52-3F0014B303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81</xdr:row>
      <xdr:rowOff>62196</xdr:rowOff>
    </xdr:from>
    <xdr:to>
      <xdr:col>3</xdr:col>
      <xdr:colOff>952499</xdr:colOff>
      <xdr:row>81</xdr:row>
      <xdr:rowOff>213437</xdr:rowOff>
    </xdr:to>
    <xdr:grpSp>
      <xdr:nvGrpSpPr>
        <xdr:cNvPr id="1124" name="hinh3">
          <a:extLst>
            <a:ext uri="{FF2B5EF4-FFF2-40B4-BE49-F238E27FC236}">
              <a16:creationId xmlns:a16="http://schemas.microsoft.com/office/drawing/2014/main" id="{A06AF821-2E53-455B-8275-245611DA7BFE}"/>
            </a:ext>
          </a:extLst>
        </xdr:cNvPr>
        <xdr:cNvGrpSpPr>
          <a:grpSpLocks noChangeAspect="1"/>
        </xdr:cNvGrpSpPr>
      </xdr:nvGrpSpPr>
      <xdr:grpSpPr bwMode="auto">
        <a:xfrm>
          <a:off x="2735376" y="25253020"/>
          <a:ext cx="861711" cy="151241"/>
          <a:chOff x="206" y="112"/>
          <a:chExt cx="73" cy="16"/>
        </a:xfrm>
      </xdr:grpSpPr>
      <xdr:sp macro="" textlink="">
        <xdr:nvSpPr>
          <xdr:cNvPr id="1126" name="Line 3">
            <a:extLst>
              <a:ext uri="{FF2B5EF4-FFF2-40B4-BE49-F238E27FC236}">
                <a16:creationId xmlns:a16="http://schemas.microsoft.com/office/drawing/2014/main" id="{5D1A5831-64EE-1FE8-8B41-E0D8DEF0E4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8" name="Line 4">
            <a:extLst>
              <a:ext uri="{FF2B5EF4-FFF2-40B4-BE49-F238E27FC236}">
                <a16:creationId xmlns:a16="http://schemas.microsoft.com/office/drawing/2014/main" id="{DE0285C8-59D0-B739-BBD7-8D740988CD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79</xdr:row>
      <xdr:rowOff>50652</xdr:rowOff>
    </xdr:from>
    <xdr:to>
      <xdr:col>3</xdr:col>
      <xdr:colOff>962981</xdr:colOff>
      <xdr:row>79</xdr:row>
      <xdr:rowOff>214335</xdr:rowOff>
    </xdr:to>
    <xdr:grpSp>
      <xdr:nvGrpSpPr>
        <xdr:cNvPr id="1130" name="hinh2">
          <a:extLst>
            <a:ext uri="{FF2B5EF4-FFF2-40B4-BE49-F238E27FC236}">
              <a16:creationId xmlns:a16="http://schemas.microsoft.com/office/drawing/2014/main" id="{0BED925F-4E17-41B9-9654-BC85F440D7A3}"/>
            </a:ext>
          </a:extLst>
        </xdr:cNvPr>
        <xdr:cNvGrpSpPr>
          <a:grpSpLocks noChangeAspect="1"/>
        </xdr:cNvGrpSpPr>
      </xdr:nvGrpSpPr>
      <xdr:grpSpPr bwMode="auto">
        <a:xfrm>
          <a:off x="2732511" y="24613946"/>
          <a:ext cx="875058" cy="163683"/>
          <a:chOff x="206" y="86"/>
          <a:chExt cx="73" cy="16"/>
        </a:xfrm>
      </xdr:grpSpPr>
      <xdr:sp macro="" textlink="">
        <xdr:nvSpPr>
          <xdr:cNvPr id="1132" name="Line 6">
            <a:extLst>
              <a:ext uri="{FF2B5EF4-FFF2-40B4-BE49-F238E27FC236}">
                <a16:creationId xmlns:a16="http://schemas.microsoft.com/office/drawing/2014/main" id="{9ECE011E-E4E4-AA03-9317-533B323086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4" name="Line 7">
            <a:extLst>
              <a:ext uri="{FF2B5EF4-FFF2-40B4-BE49-F238E27FC236}">
                <a16:creationId xmlns:a16="http://schemas.microsoft.com/office/drawing/2014/main" id="{266C5EB4-F07A-2D06-9123-B4F67A6A67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6" name="Line 8">
            <a:extLst>
              <a:ext uri="{FF2B5EF4-FFF2-40B4-BE49-F238E27FC236}">
                <a16:creationId xmlns:a16="http://schemas.microsoft.com/office/drawing/2014/main" id="{E9BFDEA7-C395-B748-BAE5-F917AE0557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12</xdr:row>
      <xdr:rowOff>58615</xdr:rowOff>
    </xdr:from>
    <xdr:to>
      <xdr:col>3</xdr:col>
      <xdr:colOff>956961</xdr:colOff>
      <xdr:row>12</xdr:row>
      <xdr:rowOff>209856</xdr:rowOff>
    </xdr:to>
    <xdr:grpSp>
      <xdr:nvGrpSpPr>
        <xdr:cNvPr id="6" name="hinh3">
          <a:extLst>
            <a:ext uri="{FF2B5EF4-FFF2-40B4-BE49-F238E27FC236}">
              <a16:creationId xmlns:a16="http://schemas.microsoft.com/office/drawing/2014/main" id="{B68F83B4-1958-40C3-9BED-4E2744903A52}"/>
            </a:ext>
          </a:extLst>
        </xdr:cNvPr>
        <xdr:cNvGrpSpPr>
          <a:grpSpLocks noChangeAspect="1"/>
        </xdr:cNvGrpSpPr>
      </xdr:nvGrpSpPr>
      <xdr:grpSpPr bwMode="auto">
        <a:xfrm>
          <a:off x="2095500" y="3487615"/>
          <a:ext cx="861711" cy="151241"/>
          <a:chOff x="206" y="112"/>
          <a:chExt cx="73" cy="16"/>
        </a:xfrm>
      </xdr:grpSpPr>
      <xdr:sp macro="" textlink="">
        <xdr:nvSpPr>
          <xdr:cNvPr id="7" name="Line 3">
            <a:extLst>
              <a:ext uri="{FF2B5EF4-FFF2-40B4-BE49-F238E27FC236}">
                <a16:creationId xmlns:a16="http://schemas.microsoft.com/office/drawing/2014/main" id="{11646B4D-B468-A9FF-B844-6BE7E36342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">
            <a:extLst>
              <a:ext uri="{FF2B5EF4-FFF2-40B4-BE49-F238E27FC236}">
                <a16:creationId xmlns:a16="http://schemas.microsoft.com/office/drawing/2014/main" id="{78738550-DD0B-4318-28BF-37BE7F46A8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</xdr:row>
      <xdr:rowOff>271096</xdr:rowOff>
    </xdr:from>
    <xdr:to>
      <xdr:col>3</xdr:col>
      <xdr:colOff>930519</xdr:colOff>
      <xdr:row>9</xdr:row>
      <xdr:rowOff>271096</xdr:rowOff>
    </xdr:to>
    <xdr:cxnSp macro="">
      <xdr:nvCxnSpPr>
        <xdr:cNvPr id="9" name="hinh1">
          <a:extLst>
            <a:ext uri="{FF2B5EF4-FFF2-40B4-BE49-F238E27FC236}">
              <a16:creationId xmlns:a16="http://schemas.microsoft.com/office/drawing/2014/main" id="{A592BF5D-974B-4C23-A031-8ADEC25FA082}"/>
            </a:ext>
          </a:extLst>
        </xdr:cNvPr>
        <xdr:cNvCxnSpPr/>
      </xdr:nvCxnSpPr>
      <xdr:spPr>
        <a:xfrm>
          <a:off x="2066829" y="2747596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11</xdr:row>
      <xdr:rowOff>194570</xdr:rowOff>
    </xdr:from>
    <xdr:to>
      <xdr:col>3</xdr:col>
      <xdr:colOff>916476</xdr:colOff>
      <xdr:row>11</xdr:row>
      <xdr:rowOff>273398</xdr:rowOff>
    </xdr:to>
    <xdr:grpSp>
      <xdr:nvGrpSpPr>
        <xdr:cNvPr id="10" name="hinh23">
          <a:extLst>
            <a:ext uri="{FF2B5EF4-FFF2-40B4-BE49-F238E27FC236}">
              <a16:creationId xmlns:a16="http://schemas.microsoft.com/office/drawing/2014/main" id="{D35BB55C-E907-477F-8028-84159E6CD76F}"/>
            </a:ext>
          </a:extLst>
        </xdr:cNvPr>
        <xdr:cNvGrpSpPr>
          <a:grpSpLocks noChangeAspect="1"/>
        </xdr:cNvGrpSpPr>
      </xdr:nvGrpSpPr>
      <xdr:grpSpPr bwMode="auto">
        <a:xfrm>
          <a:off x="2051539" y="3310606"/>
          <a:ext cx="865187" cy="78828"/>
          <a:chOff x="181" y="372"/>
          <a:chExt cx="129" cy="5"/>
        </a:xfrm>
      </xdr:grpSpPr>
      <xdr:sp macro="" textlink="">
        <xdr:nvSpPr>
          <xdr:cNvPr id="11" name="Line 29">
            <a:extLst>
              <a:ext uri="{FF2B5EF4-FFF2-40B4-BE49-F238E27FC236}">
                <a16:creationId xmlns:a16="http://schemas.microsoft.com/office/drawing/2014/main" id="{11C28412-CA6C-38C6-6898-2B88C12AE7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0">
            <a:extLst>
              <a:ext uri="{FF2B5EF4-FFF2-40B4-BE49-F238E27FC236}">
                <a16:creationId xmlns:a16="http://schemas.microsoft.com/office/drawing/2014/main" id="{92607589-73F5-D41E-633C-D49D20F545B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>
            <a:extLst>
              <a:ext uri="{FF2B5EF4-FFF2-40B4-BE49-F238E27FC236}">
                <a16:creationId xmlns:a16="http://schemas.microsoft.com/office/drawing/2014/main" id="{109BC980-0168-F00B-ED1C-F9E8FF6D7C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>
            <a:extLst>
              <a:ext uri="{FF2B5EF4-FFF2-40B4-BE49-F238E27FC236}">
                <a16:creationId xmlns:a16="http://schemas.microsoft.com/office/drawing/2014/main" id="{E8F4EBA9-B37B-71A9-1144-1FE3D69D12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>
            <a:extLst>
              <a:ext uri="{FF2B5EF4-FFF2-40B4-BE49-F238E27FC236}">
                <a16:creationId xmlns:a16="http://schemas.microsoft.com/office/drawing/2014/main" id="{E6388E87-FCF7-8FC3-9EA0-CA30996CE988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8</xdr:row>
      <xdr:rowOff>58615</xdr:rowOff>
    </xdr:from>
    <xdr:to>
      <xdr:col>3</xdr:col>
      <xdr:colOff>956961</xdr:colOff>
      <xdr:row>8</xdr:row>
      <xdr:rowOff>209856</xdr:rowOff>
    </xdr:to>
    <xdr:grpSp>
      <xdr:nvGrpSpPr>
        <xdr:cNvPr id="506" name="hinh3">
          <a:extLst>
            <a:ext uri="{FF2B5EF4-FFF2-40B4-BE49-F238E27FC236}">
              <a16:creationId xmlns:a16="http://schemas.microsoft.com/office/drawing/2014/main" id="{E5785065-B262-405F-B887-946C21AC97FD}"/>
            </a:ext>
          </a:extLst>
        </xdr:cNvPr>
        <xdr:cNvGrpSpPr>
          <a:grpSpLocks noChangeAspect="1"/>
        </xdr:cNvGrpSpPr>
      </xdr:nvGrpSpPr>
      <xdr:grpSpPr bwMode="auto">
        <a:xfrm>
          <a:off x="2095500" y="2235758"/>
          <a:ext cx="861711" cy="151241"/>
          <a:chOff x="206" y="112"/>
          <a:chExt cx="73" cy="16"/>
        </a:xfrm>
      </xdr:grpSpPr>
      <xdr:sp macro="" textlink="">
        <xdr:nvSpPr>
          <xdr:cNvPr id="507" name="Line 3">
            <a:extLst>
              <a:ext uri="{FF2B5EF4-FFF2-40B4-BE49-F238E27FC236}">
                <a16:creationId xmlns:a16="http://schemas.microsoft.com/office/drawing/2014/main" id="{042ABE87-7102-7033-4A54-3B472707CC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" name="Line 4">
            <a:extLst>
              <a:ext uri="{FF2B5EF4-FFF2-40B4-BE49-F238E27FC236}">
                <a16:creationId xmlns:a16="http://schemas.microsoft.com/office/drawing/2014/main" id="{486F0652-AF65-4424-525B-F87BDD0B41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10</xdr:row>
      <xdr:rowOff>271096</xdr:rowOff>
    </xdr:from>
    <xdr:to>
      <xdr:col>3</xdr:col>
      <xdr:colOff>930519</xdr:colOff>
      <xdr:row>10</xdr:row>
      <xdr:rowOff>271096</xdr:rowOff>
    </xdr:to>
    <xdr:cxnSp macro="">
      <xdr:nvCxnSpPr>
        <xdr:cNvPr id="509" name="hinh1">
          <a:extLst>
            <a:ext uri="{FF2B5EF4-FFF2-40B4-BE49-F238E27FC236}">
              <a16:creationId xmlns:a16="http://schemas.microsoft.com/office/drawing/2014/main" id="{C8E45DC1-D8CC-49B9-8BF8-A61C3A140E0B}"/>
            </a:ext>
          </a:extLst>
        </xdr:cNvPr>
        <xdr:cNvCxnSpPr/>
      </xdr:nvCxnSpPr>
      <xdr:spPr>
        <a:xfrm>
          <a:off x="2066829" y="276120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</xdr:row>
      <xdr:rowOff>58615</xdr:rowOff>
    </xdr:from>
    <xdr:to>
      <xdr:col>3</xdr:col>
      <xdr:colOff>956961</xdr:colOff>
      <xdr:row>18</xdr:row>
      <xdr:rowOff>209856</xdr:rowOff>
    </xdr:to>
    <xdr:grpSp>
      <xdr:nvGrpSpPr>
        <xdr:cNvPr id="510" name="hinh3">
          <a:extLst>
            <a:ext uri="{FF2B5EF4-FFF2-40B4-BE49-F238E27FC236}">
              <a16:creationId xmlns:a16="http://schemas.microsoft.com/office/drawing/2014/main" id="{D05665E5-F1C3-437A-A848-080AF4504A0F}"/>
            </a:ext>
          </a:extLst>
        </xdr:cNvPr>
        <xdr:cNvGrpSpPr>
          <a:grpSpLocks noChangeAspect="1"/>
        </xdr:cNvGrpSpPr>
      </xdr:nvGrpSpPr>
      <xdr:grpSpPr bwMode="auto">
        <a:xfrm>
          <a:off x="2095500" y="5256544"/>
          <a:ext cx="861711" cy="151241"/>
          <a:chOff x="206" y="112"/>
          <a:chExt cx="73" cy="16"/>
        </a:xfrm>
      </xdr:grpSpPr>
      <xdr:sp macro="" textlink="">
        <xdr:nvSpPr>
          <xdr:cNvPr id="511" name="Line 3">
            <a:extLst>
              <a:ext uri="{FF2B5EF4-FFF2-40B4-BE49-F238E27FC236}">
                <a16:creationId xmlns:a16="http://schemas.microsoft.com/office/drawing/2014/main" id="{67E8BF27-FB30-3B39-53C0-E3F46D439F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4">
            <a:extLst>
              <a:ext uri="{FF2B5EF4-FFF2-40B4-BE49-F238E27FC236}">
                <a16:creationId xmlns:a16="http://schemas.microsoft.com/office/drawing/2014/main" id="{8289D251-1A0C-D579-B7D7-E6D8D63F3D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15</xdr:row>
      <xdr:rowOff>271096</xdr:rowOff>
    </xdr:from>
    <xdr:to>
      <xdr:col>3</xdr:col>
      <xdr:colOff>930519</xdr:colOff>
      <xdr:row>15</xdr:row>
      <xdr:rowOff>271096</xdr:rowOff>
    </xdr:to>
    <xdr:cxnSp macro="">
      <xdr:nvCxnSpPr>
        <xdr:cNvPr id="513" name="hinh1">
          <a:extLst>
            <a:ext uri="{FF2B5EF4-FFF2-40B4-BE49-F238E27FC236}">
              <a16:creationId xmlns:a16="http://schemas.microsoft.com/office/drawing/2014/main" id="{81B98749-2772-4DF7-A970-A696D4FAB3C0}"/>
            </a:ext>
          </a:extLst>
        </xdr:cNvPr>
        <xdr:cNvCxnSpPr/>
      </xdr:nvCxnSpPr>
      <xdr:spPr>
        <a:xfrm>
          <a:off x="2066829" y="276120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17</xdr:row>
      <xdr:rowOff>194570</xdr:rowOff>
    </xdr:from>
    <xdr:to>
      <xdr:col>3</xdr:col>
      <xdr:colOff>916476</xdr:colOff>
      <xdr:row>17</xdr:row>
      <xdr:rowOff>273398</xdr:rowOff>
    </xdr:to>
    <xdr:grpSp>
      <xdr:nvGrpSpPr>
        <xdr:cNvPr id="514" name="hinh23">
          <a:extLst>
            <a:ext uri="{FF2B5EF4-FFF2-40B4-BE49-F238E27FC236}">
              <a16:creationId xmlns:a16="http://schemas.microsoft.com/office/drawing/2014/main" id="{C7B3B9C9-A9B6-492D-93CF-70D0AF14008D}"/>
            </a:ext>
          </a:extLst>
        </xdr:cNvPr>
        <xdr:cNvGrpSpPr>
          <a:grpSpLocks noChangeAspect="1"/>
        </xdr:cNvGrpSpPr>
      </xdr:nvGrpSpPr>
      <xdr:grpSpPr bwMode="auto">
        <a:xfrm>
          <a:off x="2051539" y="5079534"/>
          <a:ext cx="865187" cy="78828"/>
          <a:chOff x="181" y="372"/>
          <a:chExt cx="129" cy="5"/>
        </a:xfrm>
      </xdr:grpSpPr>
      <xdr:sp macro="" textlink="">
        <xdr:nvSpPr>
          <xdr:cNvPr id="515" name="Line 29">
            <a:extLst>
              <a:ext uri="{FF2B5EF4-FFF2-40B4-BE49-F238E27FC236}">
                <a16:creationId xmlns:a16="http://schemas.microsoft.com/office/drawing/2014/main" id="{1282D097-8B42-99B5-0665-B5CBB76268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" name="Line 30">
            <a:extLst>
              <a:ext uri="{FF2B5EF4-FFF2-40B4-BE49-F238E27FC236}">
                <a16:creationId xmlns:a16="http://schemas.microsoft.com/office/drawing/2014/main" id="{E520A092-35BA-735D-1395-01050F405973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" name="Line 31">
            <a:extLst>
              <a:ext uri="{FF2B5EF4-FFF2-40B4-BE49-F238E27FC236}">
                <a16:creationId xmlns:a16="http://schemas.microsoft.com/office/drawing/2014/main" id="{601ED353-1539-7FF2-B5F1-36171F6079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" name="Line 32">
            <a:extLst>
              <a:ext uri="{FF2B5EF4-FFF2-40B4-BE49-F238E27FC236}">
                <a16:creationId xmlns:a16="http://schemas.microsoft.com/office/drawing/2014/main" id="{3F9C4FEE-FD6D-341B-A7B0-78AA1A9501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" name="Line 33">
            <a:extLst>
              <a:ext uri="{FF2B5EF4-FFF2-40B4-BE49-F238E27FC236}">
                <a16:creationId xmlns:a16="http://schemas.microsoft.com/office/drawing/2014/main" id="{99679211-0A92-7E77-CBD9-2147CFE8774B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14</xdr:row>
      <xdr:rowOff>58615</xdr:rowOff>
    </xdr:from>
    <xdr:to>
      <xdr:col>3</xdr:col>
      <xdr:colOff>956961</xdr:colOff>
      <xdr:row>14</xdr:row>
      <xdr:rowOff>209856</xdr:rowOff>
    </xdr:to>
    <xdr:grpSp>
      <xdr:nvGrpSpPr>
        <xdr:cNvPr id="520" name="hinh3">
          <a:extLst>
            <a:ext uri="{FF2B5EF4-FFF2-40B4-BE49-F238E27FC236}">
              <a16:creationId xmlns:a16="http://schemas.microsoft.com/office/drawing/2014/main" id="{17D3B371-36BC-4444-AE44-C9CEE5923301}"/>
            </a:ext>
          </a:extLst>
        </xdr:cNvPr>
        <xdr:cNvGrpSpPr>
          <a:grpSpLocks noChangeAspect="1"/>
        </xdr:cNvGrpSpPr>
      </xdr:nvGrpSpPr>
      <xdr:grpSpPr bwMode="auto">
        <a:xfrm>
          <a:off x="2095500" y="4004686"/>
          <a:ext cx="861711" cy="151241"/>
          <a:chOff x="206" y="112"/>
          <a:chExt cx="73" cy="16"/>
        </a:xfrm>
      </xdr:grpSpPr>
      <xdr:sp macro="" textlink="">
        <xdr:nvSpPr>
          <xdr:cNvPr id="521" name="Line 3">
            <a:extLst>
              <a:ext uri="{FF2B5EF4-FFF2-40B4-BE49-F238E27FC236}">
                <a16:creationId xmlns:a16="http://schemas.microsoft.com/office/drawing/2014/main" id="{13841C6F-2221-1B1B-9040-7B7D0F39C4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2" name="Line 4">
            <a:extLst>
              <a:ext uri="{FF2B5EF4-FFF2-40B4-BE49-F238E27FC236}">
                <a16:creationId xmlns:a16="http://schemas.microsoft.com/office/drawing/2014/main" id="{F6C5A278-848F-E372-8355-BD6964A8D3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16</xdr:row>
      <xdr:rowOff>271096</xdr:rowOff>
    </xdr:from>
    <xdr:to>
      <xdr:col>3</xdr:col>
      <xdr:colOff>930519</xdr:colOff>
      <xdr:row>16</xdr:row>
      <xdr:rowOff>271096</xdr:rowOff>
    </xdr:to>
    <xdr:cxnSp macro="">
      <xdr:nvCxnSpPr>
        <xdr:cNvPr id="523" name="hinh1">
          <a:extLst>
            <a:ext uri="{FF2B5EF4-FFF2-40B4-BE49-F238E27FC236}">
              <a16:creationId xmlns:a16="http://schemas.microsoft.com/office/drawing/2014/main" id="{54A26898-D6F1-4900-8740-CE5EA7DD09F8}"/>
            </a:ext>
          </a:extLst>
        </xdr:cNvPr>
        <xdr:cNvCxnSpPr/>
      </xdr:nvCxnSpPr>
      <xdr:spPr>
        <a:xfrm>
          <a:off x="2066829" y="307416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</xdr:row>
      <xdr:rowOff>58615</xdr:rowOff>
    </xdr:from>
    <xdr:to>
      <xdr:col>3</xdr:col>
      <xdr:colOff>956961</xdr:colOff>
      <xdr:row>24</xdr:row>
      <xdr:rowOff>209856</xdr:rowOff>
    </xdr:to>
    <xdr:grpSp>
      <xdr:nvGrpSpPr>
        <xdr:cNvPr id="524" name="hinh3">
          <a:extLst>
            <a:ext uri="{FF2B5EF4-FFF2-40B4-BE49-F238E27FC236}">
              <a16:creationId xmlns:a16="http://schemas.microsoft.com/office/drawing/2014/main" id="{CA9FBF68-E410-4817-89FA-7426BD1D42E7}"/>
            </a:ext>
          </a:extLst>
        </xdr:cNvPr>
        <xdr:cNvGrpSpPr>
          <a:grpSpLocks noChangeAspect="1"/>
        </xdr:cNvGrpSpPr>
      </xdr:nvGrpSpPr>
      <xdr:grpSpPr bwMode="auto">
        <a:xfrm>
          <a:off x="2095500" y="7025472"/>
          <a:ext cx="861711" cy="151241"/>
          <a:chOff x="206" y="112"/>
          <a:chExt cx="73" cy="16"/>
        </a:xfrm>
      </xdr:grpSpPr>
      <xdr:sp macro="" textlink="">
        <xdr:nvSpPr>
          <xdr:cNvPr id="525" name="Line 3">
            <a:extLst>
              <a:ext uri="{FF2B5EF4-FFF2-40B4-BE49-F238E27FC236}">
                <a16:creationId xmlns:a16="http://schemas.microsoft.com/office/drawing/2014/main" id="{5173B13A-10DF-DE82-C1DF-F2F7F00206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6" name="Line 4">
            <a:extLst>
              <a:ext uri="{FF2B5EF4-FFF2-40B4-BE49-F238E27FC236}">
                <a16:creationId xmlns:a16="http://schemas.microsoft.com/office/drawing/2014/main" id="{C0A90812-07AF-EE51-DB64-2321BF7996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21</xdr:row>
      <xdr:rowOff>271096</xdr:rowOff>
    </xdr:from>
    <xdr:to>
      <xdr:col>3</xdr:col>
      <xdr:colOff>930519</xdr:colOff>
      <xdr:row>21</xdr:row>
      <xdr:rowOff>271096</xdr:rowOff>
    </xdr:to>
    <xdr:cxnSp macro="">
      <xdr:nvCxnSpPr>
        <xdr:cNvPr id="527" name="hinh1">
          <a:extLst>
            <a:ext uri="{FF2B5EF4-FFF2-40B4-BE49-F238E27FC236}">
              <a16:creationId xmlns:a16="http://schemas.microsoft.com/office/drawing/2014/main" id="{B9BBC46D-12CA-443B-BD1B-60162243272C}"/>
            </a:ext>
          </a:extLst>
        </xdr:cNvPr>
        <xdr:cNvCxnSpPr/>
      </xdr:nvCxnSpPr>
      <xdr:spPr>
        <a:xfrm>
          <a:off x="2066829" y="453013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23</xdr:row>
      <xdr:rowOff>194570</xdr:rowOff>
    </xdr:from>
    <xdr:to>
      <xdr:col>3</xdr:col>
      <xdr:colOff>916476</xdr:colOff>
      <xdr:row>23</xdr:row>
      <xdr:rowOff>273398</xdr:rowOff>
    </xdr:to>
    <xdr:grpSp>
      <xdr:nvGrpSpPr>
        <xdr:cNvPr id="528" name="hinh23">
          <a:extLst>
            <a:ext uri="{FF2B5EF4-FFF2-40B4-BE49-F238E27FC236}">
              <a16:creationId xmlns:a16="http://schemas.microsoft.com/office/drawing/2014/main" id="{19DE2E2C-9510-4FA6-AEB2-608958C613FB}"/>
            </a:ext>
          </a:extLst>
        </xdr:cNvPr>
        <xdr:cNvGrpSpPr>
          <a:grpSpLocks noChangeAspect="1"/>
        </xdr:cNvGrpSpPr>
      </xdr:nvGrpSpPr>
      <xdr:grpSpPr bwMode="auto">
        <a:xfrm>
          <a:off x="2051539" y="6848463"/>
          <a:ext cx="865187" cy="78828"/>
          <a:chOff x="181" y="372"/>
          <a:chExt cx="129" cy="5"/>
        </a:xfrm>
      </xdr:grpSpPr>
      <xdr:sp macro="" textlink="">
        <xdr:nvSpPr>
          <xdr:cNvPr id="529" name="Line 29">
            <a:extLst>
              <a:ext uri="{FF2B5EF4-FFF2-40B4-BE49-F238E27FC236}">
                <a16:creationId xmlns:a16="http://schemas.microsoft.com/office/drawing/2014/main" id="{21983C00-B84A-7A7B-CDB6-34A45C3E7F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" name="Line 30">
            <a:extLst>
              <a:ext uri="{FF2B5EF4-FFF2-40B4-BE49-F238E27FC236}">
                <a16:creationId xmlns:a16="http://schemas.microsoft.com/office/drawing/2014/main" id="{B49A1F0B-6A46-DA33-9F72-0514AC48BAD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" name="Line 31">
            <a:extLst>
              <a:ext uri="{FF2B5EF4-FFF2-40B4-BE49-F238E27FC236}">
                <a16:creationId xmlns:a16="http://schemas.microsoft.com/office/drawing/2014/main" id="{575EA0C7-AEC8-E277-2AAF-75BC53A4C7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" name="Line 32">
            <a:extLst>
              <a:ext uri="{FF2B5EF4-FFF2-40B4-BE49-F238E27FC236}">
                <a16:creationId xmlns:a16="http://schemas.microsoft.com/office/drawing/2014/main" id="{7CB0AF2A-E961-1F11-DC48-97BCDFCFC4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" name="Line 33">
            <a:extLst>
              <a:ext uri="{FF2B5EF4-FFF2-40B4-BE49-F238E27FC236}">
                <a16:creationId xmlns:a16="http://schemas.microsoft.com/office/drawing/2014/main" id="{9D8817C8-5E4D-27D8-C620-E6460CCAF84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20</xdr:row>
      <xdr:rowOff>58615</xdr:rowOff>
    </xdr:from>
    <xdr:to>
      <xdr:col>3</xdr:col>
      <xdr:colOff>956961</xdr:colOff>
      <xdr:row>20</xdr:row>
      <xdr:rowOff>209856</xdr:rowOff>
    </xdr:to>
    <xdr:grpSp>
      <xdr:nvGrpSpPr>
        <xdr:cNvPr id="534" name="hinh3">
          <a:extLst>
            <a:ext uri="{FF2B5EF4-FFF2-40B4-BE49-F238E27FC236}">
              <a16:creationId xmlns:a16="http://schemas.microsoft.com/office/drawing/2014/main" id="{CE9FF21C-2AD1-4547-A788-60EE3B1AF41A}"/>
            </a:ext>
          </a:extLst>
        </xdr:cNvPr>
        <xdr:cNvGrpSpPr>
          <a:grpSpLocks noChangeAspect="1"/>
        </xdr:cNvGrpSpPr>
      </xdr:nvGrpSpPr>
      <xdr:grpSpPr bwMode="auto">
        <a:xfrm>
          <a:off x="2095500" y="5773615"/>
          <a:ext cx="861711" cy="151241"/>
          <a:chOff x="206" y="112"/>
          <a:chExt cx="73" cy="16"/>
        </a:xfrm>
      </xdr:grpSpPr>
      <xdr:sp macro="" textlink="">
        <xdr:nvSpPr>
          <xdr:cNvPr id="535" name="Line 3">
            <a:extLst>
              <a:ext uri="{FF2B5EF4-FFF2-40B4-BE49-F238E27FC236}">
                <a16:creationId xmlns:a16="http://schemas.microsoft.com/office/drawing/2014/main" id="{9B95027E-0062-F1A9-D174-9B5B7B7997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6" name="Line 4">
            <a:extLst>
              <a:ext uri="{FF2B5EF4-FFF2-40B4-BE49-F238E27FC236}">
                <a16:creationId xmlns:a16="http://schemas.microsoft.com/office/drawing/2014/main" id="{D9C3D57C-61B4-D9E1-5DE3-A2569D31F8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22</xdr:row>
      <xdr:rowOff>271096</xdr:rowOff>
    </xdr:from>
    <xdr:to>
      <xdr:col>3</xdr:col>
      <xdr:colOff>930519</xdr:colOff>
      <xdr:row>22</xdr:row>
      <xdr:rowOff>271096</xdr:rowOff>
    </xdr:to>
    <xdr:cxnSp macro="">
      <xdr:nvCxnSpPr>
        <xdr:cNvPr id="537" name="hinh1">
          <a:extLst>
            <a:ext uri="{FF2B5EF4-FFF2-40B4-BE49-F238E27FC236}">
              <a16:creationId xmlns:a16="http://schemas.microsoft.com/office/drawing/2014/main" id="{8485CBDD-3420-4D16-BFCC-8510DBF4ED96}"/>
            </a:ext>
          </a:extLst>
        </xdr:cNvPr>
        <xdr:cNvCxnSpPr/>
      </xdr:nvCxnSpPr>
      <xdr:spPr>
        <a:xfrm>
          <a:off x="2066829" y="4843096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83495</xdr:colOff>
      <xdr:row>8</xdr:row>
      <xdr:rowOff>65943</xdr:rowOff>
    </xdr:from>
    <xdr:to>
      <xdr:col>3</xdr:col>
      <xdr:colOff>958553</xdr:colOff>
      <xdr:row>8</xdr:row>
      <xdr:rowOff>229626</xdr:rowOff>
    </xdr:to>
    <xdr:grpSp>
      <xdr:nvGrpSpPr>
        <xdr:cNvPr id="815" name="hinh2">
          <a:extLst>
            <a:ext uri="{FF2B5EF4-FFF2-40B4-BE49-F238E27FC236}">
              <a16:creationId xmlns:a16="http://schemas.microsoft.com/office/drawing/2014/main" id="{F0A3D8C9-C289-4977-9EC8-410AF695B464}"/>
            </a:ext>
          </a:extLst>
        </xdr:cNvPr>
        <xdr:cNvGrpSpPr>
          <a:grpSpLocks noChangeAspect="1"/>
        </xdr:cNvGrpSpPr>
      </xdr:nvGrpSpPr>
      <xdr:grpSpPr bwMode="auto">
        <a:xfrm>
          <a:off x="2083745" y="2243086"/>
          <a:ext cx="875058" cy="163683"/>
          <a:chOff x="206" y="86"/>
          <a:chExt cx="73" cy="16"/>
        </a:xfrm>
      </xdr:grpSpPr>
      <xdr:sp macro="" textlink="">
        <xdr:nvSpPr>
          <xdr:cNvPr id="816" name="Line 6">
            <a:extLst>
              <a:ext uri="{FF2B5EF4-FFF2-40B4-BE49-F238E27FC236}">
                <a16:creationId xmlns:a16="http://schemas.microsoft.com/office/drawing/2014/main" id="{6ECD77DF-179C-2F74-78D8-D6E2FE850E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7" name="Line 7">
            <a:extLst>
              <a:ext uri="{FF2B5EF4-FFF2-40B4-BE49-F238E27FC236}">
                <a16:creationId xmlns:a16="http://schemas.microsoft.com/office/drawing/2014/main" id="{D472B7E9-9331-372B-45D8-47A7234C21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8" name="Line 8">
            <a:extLst>
              <a:ext uri="{FF2B5EF4-FFF2-40B4-BE49-F238E27FC236}">
                <a16:creationId xmlns:a16="http://schemas.microsoft.com/office/drawing/2014/main" id="{3B8F0807-78D7-A7D3-DE0A-8AC27132E3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</xdr:row>
      <xdr:rowOff>58615</xdr:rowOff>
    </xdr:from>
    <xdr:to>
      <xdr:col>3</xdr:col>
      <xdr:colOff>956961</xdr:colOff>
      <xdr:row>11</xdr:row>
      <xdr:rowOff>209856</xdr:rowOff>
    </xdr:to>
    <xdr:grpSp>
      <xdr:nvGrpSpPr>
        <xdr:cNvPr id="823" name="hinh3">
          <a:extLst>
            <a:ext uri="{FF2B5EF4-FFF2-40B4-BE49-F238E27FC236}">
              <a16:creationId xmlns:a16="http://schemas.microsoft.com/office/drawing/2014/main" id="{1E71739C-D8D9-4154-82C9-51FCF79A39FD}"/>
            </a:ext>
          </a:extLst>
        </xdr:cNvPr>
        <xdr:cNvGrpSpPr>
          <a:grpSpLocks noChangeAspect="1"/>
        </xdr:cNvGrpSpPr>
      </xdr:nvGrpSpPr>
      <xdr:grpSpPr bwMode="auto">
        <a:xfrm>
          <a:off x="2095500" y="3174651"/>
          <a:ext cx="861711" cy="151241"/>
          <a:chOff x="206" y="112"/>
          <a:chExt cx="73" cy="16"/>
        </a:xfrm>
      </xdr:grpSpPr>
      <xdr:sp macro="" textlink="">
        <xdr:nvSpPr>
          <xdr:cNvPr id="824" name="Line 3">
            <a:extLst>
              <a:ext uri="{FF2B5EF4-FFF2-40B4-BE49-F238E27FC236}">
                <a16:creationId xmlns:a16="http://schemas.microsoft.com/office/drawing/2014/main" id="{BD060204-0664-317A-D388-C2630151F3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5" name="Line 4">
            <a:extLst>
              <a:ext uri="{FF2B5EF4-FFF2-40B4-BE49-F238E27FC236}">
                <a16:creationId xmlns:a16="http://schemas.microsoft.com/office/drawing/2014/main" id="{12314913-444F-8E05-257D-B364AE11EC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</xdr:row>
      <xdr:rowOff>271096</xdr:rowOff>
    </xdr:from>
    <xdr:to>
      <xdr:col>3</xdr:col>
      <xdr:colOff>930519</xdr:colOff>
      <xdr:row>9</xdr:row>
      <xdr:rowOff>271096</xdr:rowOff>
    </xdr:to>
    <xdr:cxnSp macro="">
      <xdr:nvCxnSpPr>
        <xdr:cNvPr id="826" name="hinh1">
          <a:extLst>
            <a:ext uri="{FF2B5EF4-FFF2-40B4-BE49-F238E27FC236}">
              <a16:creationId xmlns:a16="http://schemas.microsoft.com/office/drawing/2014/main" id="{C6821EE8-C5A8-454D-A22E-0248D9B7C5C0}"/>
            </a:ext>
          </a:extLst>
        </xdr:cNvPr>
        <xdr:cNvCxnSpPr/>
      </xdr:nvCxnSpPr>
      <xdr:spPr>
        <a:xfrm>
          <a:off x="2266854" y="10534137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10</xdr:row>
      <xdr:rowOff>194570</xdr:rowOff>
    </xdr:from>
    <xdr:to>
      <xdr:col>3</xdr:col>
      <xdr:colOff>916476</xdr:colOff>
      <xdr:row>10</xdr:row>
      <xdr:rowOff>273398</xdr:rowOff>
    </xdr:to>
    <xdr:grpSp>
      <xdr:nvGrpSpPr>
        <xdr:cNvPr id="2" name="hinh23">
          <a:extLst>
            <a:ext uri="{FF2B5EF4-FFF2-40B4-BE49-F238E27FC236}">
              <a16:creationId xmlns:a16="http://schemas.microsoft.com/office/drawing/2014/main" id="{DED4D076-8F58-47E9-8D77-D8A75E56A1DC}"/>
            </a:ext>
          </a:extLst>
        </xdr:cNvPr>
        <xdr:cNvGrpSpPr>
          <a:grpSpLocks noChangeAspect="1"/>
        </xdr:cNvGrpSpPr>
      </xdr:nvGrpSpPr>
      <xdr:grpSpPr bwMode="auto">
        <a:xfrm>
          <a:off x="2051539" y="2997641"/>
          <a:ext cx="865187" cy="78828"/>
          <a:chOff x="181" y="372"/>
          <a:chExt cx="129" cy="5"/>
        </a:xfrm>
      </xdr:grpSpPr>
      <xdr:sp macro="" textlink="">
        <xdr:nvSpPr>
          <xdr:cNvPr id="3" name="Line 29">
            <a:extLst>
              <a:ext uri="{FF2B5EF4-FFF2-40B4-BE49-F238E27FC236}">
                <a16:creationId xmlns:a16="http://schemas.microsoft.com/office/drawing/2014/main" id="{55942F65-48B7-574C-8F21-67E1AF70F4A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0">
            <a:extLst>
              <a:ext uri="{FF2B5EF4-FFF2-40B4-BE49-F238E27FC236}">
                <a16:creationId xmlns:a16="http://schemas.microsoft.com/office/drawing/2014/main" id="{E5DD0F19-247E-C24E-6DFA-00A26F3D7BD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1">
            <a:extLst>
              <a:ext uri="{FF2B5EF4-FFF2-40B4-BE49-F238E27FC236}">
                <a16:creationId xmlns:a16="http://schemas.microsoft.com/office/drawing/2014/main" id="{2CD06E07-CD77-7161-6597-FD035CD996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2">
            <a:extLst>
              <a:ext uri="{FF2B5EF4-FFF2-40B4-BE49-F238E27FC236}">
                <a16:creationId xmlns:a16="http://schemas.microsoft.com/office/drawing/2014/main" id="{D2ADDB45-9F85-8081-3D82-0710E34832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3">
            <a:extLst>
              <a:ext uri="{FF2B5EF4-FFF2-40B4-BE49-F238E27FC236}">
                <a16:creationId xmlns:a16="http://schemas.microsoft.com/office/drawing/2014/main" id="{DCB6AC44-4971-55A3-37AD-AFF1C8A5EA27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13</xdr:row>
      <xdr:rowOff>65943</xdr:rowOff>
    </xdr:from>
    <xdr:to>
      <xdr:col>3</xdr:col>
      <xdr:colOff>958553</xdr:colOff>
      <xdr:row>13</xdr:row>
      <xdr:rowOff>229626</xdr:rowOff>
    </xdr:to>
    <xdr:grpSp>
      <xdr:nvGrpSpPr>
        <xdr:cNvPr id="8" name="hinh2">
          <a:extLst>
            <a:ext uri="{FF2B5EF4-FFF2-40B4-BE49-F238E27FC236}">
              <a16:creationId xmlns:a16="http://schemas.microsoft.com/office/drawing/2014/main" id="{21965C13-5857-415C-A143-4B10C7C6D25B}"/>
            </a:ext>
          </a:extLst>
        </xdr:cNvPr>
        <xdr:cNvGrpSpPr>
          <a:grpSpLocks noChangeAspect="1"/>
        </xdr:cNvGrpSpPr>
      </xdr:nvGrpSpPr>
      <xdr:grpSpPr bwMode="auto">
        <a:xfrm>
          <a:off x="2083745" y="3699050"/>
          <a:ext cx="875058" cy="163683"/>
          <a:chOff x="206" y="86"/>
          <a:chExt cx="73" cy="16"/>
        </a:xfrm>
      </xdr:grpSpPr>
      <xdr:sp macro="" textlink="">
        <xdr:nvSpPr>
          <xdr:cNvPr id="9" name="Line 6">
            <a:extLst>
              <a:ext uri="{FF2B5EF4-FFF2-40B4-BE49-F238E27FC236}">
                <a16:creationId xmlns:a16="http://schemas.microsoft.com/office/drawing/2014/main" id="{6C139135-8233-59C1-EFCD-1A19870BCD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7">
            <a:extLst>
              <a:ext uri="{FF2B5EF4-FFF2-40B4-BE49-F238E27FC236}">
                <a16:creationId xmlns:a16="http://schemas.microsoft.com/office/drawing/2014/main" id="{C5630B74-1CDA-5537-C6C2-2B3818FA4C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">
            <a:extLst>
              <a:ext uri="{FF2B5EF4-FFF2-40B4-BE49-F238E27FC236}">
                <a16:creationId xmlns:a16="http://schemas.microsoft.com/office/drawing/2014/main" id="{60795EA2-BF30-68B3-C84B-6C71B5F06B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</xdr:row>
      <xdr:rowOff>58615</xdr:rowOff>
    </xdr:from>
    <xdr:to>
      <xdr:col>3</xdr:col>
      <xdr:colOff>956961</xdr:colOff>
      <xdr:row>16</xdr:row>
      <xdr:rowOff>209856</xdr:rowOff>
    </xdr:to>
    <xdr:grpSp>
      <xdr:nvGrpSpPr>
        <xdr:cNvPr id="12" name="hinh3">
          <a:extLst>
            <a:ext uri="{FF2B5EF4-FFF2-40B4-BE49-F238E27FC236}">
              <a16:creationId xmlns:a16="http://schemas.microsoft.com/office/drawing/2014/main" id="{3994355E-50AF-4156-B8BF-0C29CBBCD57A}"/>
            </a:ext>
          </a:extLst>
        </xdr:cNvPr>
        <xdr:cNvGrpSpPr>
          <a:grpSpLocks noChangeAspect="1"/>
        </xdr:cNvGrpSpPr>
      </xdr:nvGrpSpPr>
      <xdr:grpSpPr bwMode="auto">
        <a:xfrm>
          <a:off x="2095500" y="4630615"/>
          <a:ext cx="861711" cy="151241"/>
          <a:chOff x="206" y="112"/>
          <a:chExt cx="73" cy="16"/>
        </a:xfrm>
      </xdr:grpSpPr>
      <xdr:sp macro="" textlink="">
        <xdr:nvSpPr>
          <xdr:cNvPr id="13" name="Line 3">
            <a:extLst>
              <a:ext uri="{FF2B5EF4-FFF2-40B4-BE49-F238E27FC236}">
                <a16:creationId xmlns:a16="http://schemas.microsoft.com/office/drawing/2014/main" id="{01711D6D-3829-5E51-CCF9-7022014423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4">
            <a:extLst>
              <a:ext uri="{FF2B5EF4-FFF2-40B4-BE49-F238E27FC236}">
                <a16:creationId xmlns:a16="http://schemas.microsoft.com/office/drawing/2014/main" id="{ED8D1D4E-1BA2-BC2C-0FB4-2658881DF5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14</xdr:row>
      <xdr:rowOff>271096</xdr:rowOff>
    </xdr:from>
    <xdr:to>
      <xdr:col>3</xdr:col>
      <xdr:colOff>930519</xdr:colOff>
      <xdr:row>14</xdr:row>
      <xdr:rowOff>271096</xdr:rowOff>
    </xdr:to>
    <xdr:cxnSp macro="">
      <xdr:nvCxnSpPr>
        <xdr:cNvPr id="15" name="hinh1">
          <a:extLst>
            <a:ext uri="{FF2B5EF4-FFF2-40B4-BE49-F238E27FC236}">
              <a16:creationId xmlns:a16="http://schemas.microsoft.com/office/drawing/2014/main" id="{D4CBE6AF-5CEF-424B-A516-43C9BC5AC352}"/>
            </a:ext>
          </a:extLst>
        </xdr:cNvPr>
        <xdr:cNvCxnSpPr/>
      </xdr:nvCxnSpPr>
      <xdr:spPr>
        <a:xfrm>
          <a:off x="2072432" y="275880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15</xdr:row>
      <xdr:rowOff>194570</xdr:rowOff>
    </xdr:from>
    <xdr:to>
      <xdr:col>3</xdr:col>
      <xdr:colOff>916476</xdr:colOff>
      <xdr:row>15</xdr:row>
      <xdr:rowOff>273398</xdr:rowOff>
    </xdr:to>
    <xdr:grpSp>
      <xdr:nvGrpSpPr>
        <xdr:cNvPr id="16" name="hinh23">
          <a:extLst>
            <a:ext uri="{FF2B5EF4-FFF2-40B4-BE49-F238E27FC236}">
              <a16:creationId xmlns:a16="http://schemas.microsoft.com/office/drawing/2014/main" id="{E3D9401F-D190-4F5A-BBBF-45942F1B9DD0}"/>
            </a:ext>
          </a:extLst>
        </xdr:cNvPr>
        <xdr:cNvGrpSpPr>
          <a:grpSpLocks noChangeAspect="1"/>
        </xdr:cNvGrpSpPr>
      </xdr:nvGrpSpPr>
      <xdr:grpSpPr bwMode="auto">
        <a:xfrm>
          <a:off x="2051539" y="4453606"/>
          <a:ext cx="865187" cy="78828"/>
          <a:chOff x="181" y="372"/>
          <a:chExt cx="129" cy="5"/>
        </a:xfrm>
      </xdr:grpSpPr>
      <xdr:sp macro="" textlink="">
        <xdr:nvSpPr>
          <xdr:cNvPr id="17" name="Line 29">
            <a:extLst>
              <a:ext uri="{FF2B5EF4-FFF2-40B4-BE49-F238E27FC236}">
                <a16:creationId xmlns:a16="http://schemas.microsoft.com/office/drawing/2014/main" id="{09F3B294-0F74-D65C-D652-D9D9D70385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">
            <a:extLst>
              <a:ext uri="{FF2B5EF4-FFF2-40B4-BE49-F238E27FC236}">
                <a16:creationId xmlns:a16="http://schemas.microsoft.com/office/drawing/2014/main" id="{79D1E55F-83F7-A613-BF25-2630249F899E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1">
            <a:extLst>
              <a:ext uri="{FF2B5EF4-FFF2-40B4-BE49-F238E27FC236}">
                <a16:creationId xmlns:a16="http://schemas.microsoft.com/office/drawing/2014/main" id="{DE80486C-3815-A61E-F8AD-98EA448EB6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2">
            <a:extLst>
              <a:ext uri="{FF2B5EF4-FFF2-40B4-BE49-F238E27FC236}">
                <a16:creationId xmlns:a16="http://schemas.microsoft.com/office/drawing/2014/main" id="{D8A1D7AE-EE23-F7BA-4F39-66A042D37D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3">
            <a:extLst>
              <a:ext uri="{FF2B5EF4-FFF2-40B4-BE49-F238E27FC236}">
                <a16:creationId xmlns:a16="http://schemas.microsoft.com/office/drawing/2014/main" id="{8D8AC47C-B2F5-98B2-5179-2D3432AC7F9B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18</xdr:row>
      <xdr:rowOff>65943</xdr:rowOff>
    </xdr:from>
    <xdr:to>
      <xdr:col>3</xdr:col>
      <xdr:colOff>958553</xdr:colOff>
      <xdr:row>18</xdr:row>
      <xdr:rowOff>229626</xdr:rowOff>
    </xdr:to>
    <xdr:grpSp>
      <xdr:nvGrpSpPr>
        <xdr:cNvPr id="22" name="hinh2">
          <a:extLst>
            <a:ext uri="{FF2B5EF4-FFF2-40B4-BE49-F238E27FC236}">
              <a16:creationId xmlns:a16="http://schemas.microsoft.com/office/drawing/2014/main" id="{752D4D3E-5A9C-4897-AD58-0339CE32312A}"/>
            </a:ext>
          </a:extLst>
        </xdr:cNvPr>
        <xdr:cNvGrpSpPr>
          <a:grpSpLocks noChangeAspect="1"/>
        </xdr:cNvGrpSpPr>
      </xdr:nvGrpSpPr>
      <xdr:grpSpPr bwMode="auto">
        <a:xfrm>
          <a:off x="2083745" y="5155014"/>
          <a:ext cx="875058" cy="163683"/>
          <a:chOff x="206" y="86"/>
          <a:chExt cx="73" cy="16"/>
        </a:xfrm>
      </xdr:grpSpPr>
      <xdr:sp macro="" textlink="">
        <xdr:nvSpPr>
          <xdr:cNvPr id="23" name="Line 6">
            <a:extLst>
              <a:ext uri="{FF2B5EF4-FFF2-40B4-BE49-F238E27FC236}">
                <a16:creationId xmlns:a16="http://schemas.microsoft.com/office/drawing/2014/main" id="{6D2EA72D-F1E2-B73D-6948-32B48AFF20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">
            <a:extLst>
              <a:ext uri="{FF2B5EF4-FFF2-40B4-BE49-F238E27FC236}">
                <a16:creationId xmlns:a16="http://schemas.microsoft.com/office/drawing/2014/main" id="{6E528724-F0DB-25D3-1E62-9FDD1F01FB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8">
            <a:extLst>
              <a:ext uri="{FF2B5EF4-FFF2-40B4-BE49-F238E27FC236}">
                <a16:creationId xmlns:a16="http://schemas.microsoft.com/office/drawing/2014/main" id="{473FAE9B-D50F-D05C-0324-853B13266A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21</xdr:row>
      <xdr:rowOff>58615</xdr:rowOff>
    </xdr:from>
    <xdr:to>
      <xdr:col>3</xdr:col>
      <xdr:colOff>956961</xdr:colOff>
      <xdr:row>21</xdr:row>
      <xdr:rowOff>209856</xdr:rowOff>
    </xdr:to>
    <xdr:grpSp>
      <xdr:nvGrpSpPr>
        <xdr:cNvPr id="26" name="hinh3">
          <a:extLst>
            <a:ext uri="{FF2B5EF4-FFF2-40B4-BE49-F238E27FC236}">
              <a16:creationId xmlns:a16="http://schemas.microsoft.com/office/drawing/2014/main" id="{0756FC67-7066-4298-B38C-A7B18CCE86F6}"/>
            </a:ext>
          </a:extLst>
        </xdr:cNvPr>
        <xdr:cNvGrpSpPr>
          <a:grpSpLocks noChangeAspect="1"/>
        </xdr:cNvGrpSpPr>
      </xdr:nvGrpSpPr>
      <xdr:grpSpPr bwMode="auto">
        <a:xfrm>
          <a:off x="2095500" y="6086579"/>
          <a:ext cx="861711" cy="151241"/>
          <a:chOff x="206" y="112"/>
          <a:chExt cx="73" cy="16"/>
        </a:xfrm>
      </xdr:grpSpPr>
      <xdr:sp macro="" textlink="">
        <xdr:nvSpPr>
          <xdr:cNvPr id="27" name="Line 3">
            <a:extLst>
              <a:ext uri="{FF2B5EF4-FFF2-40B4-BE49-F238E27FC236}">
                <a16:creationId xmlns:a16="http://schemas.microsoft.com/office/drawing/2014/main" id="{1AFB56BD-38F0-0B80-1EAE-FE795E50C5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">
            <a:extLst>
              <a:ext uri="{FF2B5EF4-FFF2-40B4-BE49-F238E27FC236}">
                <a16:creationId xmlns:a16="http://schemas.microsoft.com/office/drawing/2014/main" id="{6D5E0F1F-833C-95B9-C5D1-EF2E12E7C9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19</xdr:row>
      <xdr:rowOff>271096</xdr:rowOff>
    </xdr:from>
    <xdr:to>
      <xdr:col>3</xdr:col>
      <xdr:colOff>930519</xdr:colOff>
      <xdr:row>19</xdr:row>
      <xdr:rowOff>271096</xdr:rowOff>
    </xdr:to>
    <xdr:cxnSp macro="">
      <xdr:nvCxnSpPr>
        <xdr:cNvPr id="29" name="hinh1">
          <a:extLst>
            <a:ext uri="{FF2B5EF4-FFF2-40B4-BE49-F238E27FC236}">
              <a16:creationId xmlns:a16="http://schemas.microsoft.com/office/drawing/2014/main" id="{32588931-DAEC-4911-82FE-DDA20DAFCC14}"/>
            </a:ext>
          </a:extLst>
        </xdr:cNvPr>
        <xdr:cNvCxnSpPr/>
      </xdr:nvCxnSpPr>
      <xdr:spPr>
        <a:xfrm>
          <a:off x="2072432" y="421556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20</xdr:row>
      <xdr:rowOff>194570</xdr:rowOff>
    </xdr:from>
    <xdr:to>
      <xdr:col>3</xdr:col>
      <xdr:colOff>916476</xdr:colOff>
      <xdr:row>20</xdr:row>
      <xdr:rowOff>273398</xdr:rowOff>
    </xdr:to>
    <xdr:grpSp>
      <xdr:nvGrpSpPr>
        <xdr:cNvPr id="30" name="hinh23">
          <a:extLst>
            <a:ext uri="{FF2B5EF4-FFF2-40B4-BE49-F238E27FC236}">
              <a16:creationId xmlns:a16="http://schemas.microsoft.com/office/drawing/2014/main" id="{58FF73CF-D3D3-499F-A2D7-3BA4E244CA6E}"/>
            </a:ext>
          </a:extLst>
        </xdr:cNvPr>
        <xdr:cNvGrpSpPr>
          <a:grpSpLocks noChangeAspect="1"/>
        </xdr:cNvGrpSpPr>
      </xdr:nvGrpSpPr>
      <xdr:grpSpPr bwMode="auto">
        <a:xfrm>
          <a:off x="2051539" y="5909570"/>
          <a:ext cx="865187" cy="78828"/>
          <a:chOff x="181" y="372"/>
          <a:chExt cx="129" cy="5"/>
        </a:xfrm>
      </xdr:grpSpPr>
      <xdr:sp macro="" textlink="">
        <xdr:nvSpPr>
          <xdr:cNvPr id="31" name="Line 29">
            <a:extLst>
              <a:ext uri="{FF2B5EF4-FFF2-40B4-BE49-F238E27FC236}">
                <a16:creationId xmlns:a16="http://schemas.microsoft.com/office/drawing/2014/main" id="{61FD1C2C-0CEA-7DFD-0EA4-EB593F40DF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0">
            <a:extLst>
              <a:ext uri="{FF2B5EF4-FFF2-40B4-BE49-F238E27FC236}">
                <a16:creationId xmlns:a16="http://schemas.microsoft.com/office/drawing/2014/main" id="{F5555378-CF62-94CB-A7F5-2EA43B681C61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1">
            <a:extLst>
              <a:ext uri="{FF2B5EF4-FFF2-40B4-BE49-F238E27FC236}">
                <a16:creationId xmlns:a16="http://schemas.microsoft.com/office/drawing/2014/main" id="{516704D9-A00B-0288-F1EE-4FBB10FAE6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">
            <a:extLst>
              <a:ext uri="{FF2B5EF4-FFF2-40B4-BE49-F238E27FC236}">
                <a16:creationId xmlns:a16="http://schemas.microsoft.com/office/drawing/2014/main" id="{85169BFB-5718-0A40-E9D6-D4356695E9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3">
            <a:extLst>
              <a:ext uri="{FF2B5EF4-FFF2-40B4-BE49-F238E27FC236}">
                <a16:creationId xmlns:a16="http://schemas.microsoft.com/office/drawing/2014/main" id="{34C63BB6-528B-9389-E393-D39705A2EDB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23</xdr:row>
      <xdr:rowOff>65943</xdr:rowOff>
    </xdr:from>
    <xdr:to>
      <xdr:col>3</xdr:col>
      <xdr:colOff>958553</xdr:colOff>
      <xdr:row>23</xdr:row>
      <xdr:rowOff>229626</xdr:rowOff>
    </xdr:to>
    <xdr:grpSp>
      <xdr:nvGrpSpPr>
        <xdr:cNvPr id="36" name="hinh2">
          <a:extLst>
            <a:ext uri="{FF2B5EF4-FFF2-40B4-BE49-F238E27FC236}">
              <a16:creationId xmlns:a16="http://schemas.microsoft.com/office/drawing/2014/main" id="{D76B4333-3BDD-49B7-B562-074A1A5F3152}"/>
            </a:ext>
          </a:extLst>
        </xdr:cNvPr>
        <xdr:cNvGrpSpPr>
          <a:grpSpLocks noChangeAspect="1"/>
        </xdr:cNvGrpSpPr>
      </xdr:nvGrpSpPr>
      <xdr:grpSpPr bwMode="auto">
        <a:xfrm>
          <a:off x="2083745" y="6610979"/>
          <a:ext cx="875058" cy="163683"/>
          <a:chOff x="206" y="86"/>
          <a:chExt cx="73" cy="16"/>
        </a:xfrm>
      </xdr:grpSpPr>
      <xdr:sp macro="" textlink="">
        <xdr:nvSpPr>
          <xdr:cNvPr id="37" name="Line 6">
            <a:extLst>
              <a:ext uri="{FF2B5EF4-FFF2-40B4-BE49-F238E27FC236}">
                <a16:creationId xmlns:a16="http://schemas.microsoft.com/office/drawing/2014/main" id="{63CFAAFE-E8FD-BE23-7B31-50B5D25D87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7">
            <a:extLst>
              <a:ext uri="{FF2B5EF4-FFF2-40B4-BE49-F238E27FC236}">
                <a16:creationId xmlns:a16="http://schemas.microsoft.com/office/drawing/2014/main" id="{E0AE2796-5F06-8A3E-E623-AA91721AE1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8">
            <a:extLst>
              <a:ext uri="{FF2B5EF4-FFF2-40B4-BE49-F238E27FC236}">
                <a16:creationId xmlns:a16="http://schemas.microsoft.com/office/drawing/2014/main" id="{642C1F8D-B268-C6DD-3A2D-97A45B5E9E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26</xdr:row>
      <xdr:rowOff>58615</xdr:rowOff>
    </xdr:from>
    <xdr:to>
      <xdr:col>3</xdr:col>
      <xdr:colOff>956961</xdr:colOff>
      <xdr:row>26</xdr:row>
      <xdr:rowOff>209856</xdr:rowOff>
    </xdr:to>
    <xdr:grpSp>
      <xdr:nvGrpSpPr>
        <xdr:cNvPr id="40" name="hinh3">
          <a:extLst>
            <a:ext uri="{FF2B5EF4-FFF2-40B4-BE49-F238E27FC236}">
              <a16:creationId xmlns:a16="http://schemas.microsoft.com/office/drawing/2014/main" id="{5A36C2DB-878E-47E9-8D7E-F8B0A16FCC75}"/>
            </a:ext>
          </a:extLst>
        </xdr:cNvPr>
        <xdr:cNvGrpSpPr>
          <a:grpSpLocks noChangeAspect="1"/>
        </xdr:cNvGrpSpPr>
      </xdr:nvGrpSpPr>
      <xdr:grpSpPr bwMode="auto">
        <a:xfrm>
          <a:off x="2095500" y="7542544"/>
          <a:ext cx="861711" cy="151241"/>
          <a:chOff x="206" y="112"/>
          <a:chExt cx="73" cy="16"/>
        </a:xfrm>
      </xdr:grpSpPr>
      <xdr:sp macro="" textlink="">
        <xdr:nvSpPr>
          <xdr:cNvPr id="41" name="Line 3">
            <a:extLst>
              <a:ext uri="{FF2B5EF4-FFF2-40B4-BE49-F238E27FC236}">
                <a16:creationId xmlns:a16="http://schemas.microsoft.com/office/drawing/2014/main" id="{48AFB8BC-0A66-F682-C9FF-D1B977156D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">
            <a:extLst>
              <a:ext uri="{FF2B5EF4-FFF2-40B4-BE49-F238E27FC236}">
                <a16:creationId xmlns:a16="http://schemas.microsoft.com/office/drawing/2014/main" id="{FA2A9F7D-5BA8-D311-D2B7-E18DDC9B40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24</xdr:row>
      <xdr:rowOff>271096</xdr:rowOff>
    </xdr:from>
    <xdr:to>
      <xdr:col>3</xdr:col>
      <xdr:colOff>930519</xdr:colOff>
      <xdr:row>24</xdr:row>
      <xdr:rowOff>271096</xdr:rowOff>
    </xdr:to>
    <xdr:cxnSp macro="">
      <xdr:nvCxnSpPr>
        <xdr:cNvPr id="43" name="hinh1">
          <a:extLst>
            <a:ext uri="{FF2B5EF4-FFF2-40B4-BE49-F238E27FC236}">
              <a16:creationId xmlns:a16="http://schemas.microsoft.com/office/drawing/2014/main" id="{75D28420-5672-4BE3-9692-FA109F93082A}"/>
            </a:ext>
          </a:extLst>
        </xdr:cNvPr>
        <xdr:cNvCxnSpPr/>
      </xdr:nvCxnSpPr>
      <xdr:spPr>
        <a:xfrm>
          <a:off x="2072432" y="567233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25</xdr:row>
      <xdr:rowOff>194570</xdr:rowOff>
    </xdr:from>
    <xdr:to>
      <xdr:col>3</xdr:col>
      <xdr:colOff>916476</xdr:colOff>
      <xdr:row>25</xdr:row>
      <xdr:rowOff>273398</xdr:rowOff>
    </xdr:to>
    <xdr:grpSp>
      <xdr:nvGrpSpPr>
        <xdr:cNvPr id="44" name="hinh23">
          <a:extLst>
            <a:ext uri="{FF2B5EF4-FFF2-40B4-BE49-F238E27FC236}">
              <a16:creationId xmlns:a16="http://schemas.microsoft.com/office/drawing/2014/main" id="{1013C27F-E68A-47AA-AFB9-9134C11D0814}"/>
            </a:ext>
          </a:extLst>
        </xdr:cNvPr>
        <xdr:cNvGrpSpPr>
          <a:grpSpLocks noChangeAspect="1"/>
        </xdr:cNvGrpSpPr>
      </xdr:nvGrpSpPr>
      <xdr:grpSpPr bwMode="auto">
        <a:xfrm>
          <a:off x="2051539" y="7365534"/>
          <a:ext cx="865187" cy="78828"/>
          <a:chOff x="181" y="372"/>
          <a:chExt cx="129" cy="5"/>
        </a:xfrm>
      </xdr:grpSpPr>
      <xdr:sp macro="" textlink="">
        <xdr:nvSpPr>
          <xdr:cNvPr id="45" name="Line 29">
            <a:extLst>
              <a:ext uri="{FF2B5EF4-FFF2-40B4-BE49-F238E27FC236}">
                <a16:creationId xmlns:a16="http://schemas.microsoft.com/office/drawing/2014/main" id="{566256AE-4C61-8FD2-235B-E3A0308791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30">
            <a:extLst>
              <a:ext uri="{FF2B5EF4-FFF2-40B4-BE49-F238E27FC236}">
                <a16:creationId xmlns:a16="http://schemas.microsoft.com/office/drawing/2014/main" id="{6B02F229-300C-73FC-76F4-9BDA9609E47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31">
            <a:extLst>
              <a:ext uri="{FF2B5EF4-FFF2-40B4-BE49-F238E27FC236}">
                <a16:creationId xmlns:a16="http://schemas.microsoft.com/office/drawing/2014/main" id="{666D3C88-3F20-0A4B-08B4-254EE18AFC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32">
            <a:extLst>
              <a:ext uri="{FF2B5EF4-FFF2-40B4-BE49-F238E27FC236}">
                <a16:creationId xmlns:a16="http://schemas.microsoft.com/office/drawing/2014/main" id="{5FEBD74E-FFE6-AC5B-B55E-8C6AD139DD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3">
            <a:extLst>
              <a:ext uri="{FF2B5EF4-FFF2-40B4-BE49-F238E27FC236}">
                <a16:creationId xmlns:a16="http://schemas.microsoft.com/office/drawing/2014/main" id="{1AF32B31-B942-FB3F-92B5-413B692DECB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28</xdr:row>
      <xdr:rowOff>65943</xdr:rowOff>
    </xdr:from>
    <xdr:to>
      <xdr:col>3</xdr:col>
      <xdr:colOff>958553</xdr:colOff>
      <xdr:row>28</xdr:row>
      <xdr:rowOff>229626</xdr:rowOff>
    </xdr:to>
    <xdr:grpSp>
      <xdr:nvGrpSpPr>
        <xdr:cNvPr id="50" name="hinh2">
          <a:extLst>
            <a:ext uri="{FF2B5EF4-FFF2-40B4-BE49-F238E27FC236}">
              <a16:creationId xmlns:a16="http://schemas.microsoft.com/office/drawing/2014/main" id="{A7E76924-88B7-4277-91AB-DCA4E68DEC98}"/>
            </a:ext>
          </a:extLst>
        </xdr:cNvPr>
        <xdr:cNvGrpSpPr>
          <a:grpSpLocks noChangeAspect="1"/>
        </xdr:cNvGrpSpPr>
      </xdr:nvGrpSpPr>
      <xdr:grpSpPr bwMode="auto">
        <a:xfrm>
          <a:off x="2083745" y="8066943"/>
          <a:ext cx="875058" cy="163683"/>
          <a:chOff x="206" y="86"/>
          <a:chExt cx="73" cy="16"/>
        </a:xfrm>
      </xdr:grpSpPr>
      <xdr:sp macro="" textlink="">
        <xdr:nvSpPr>
          <xdr:cNvPr id="51" name="Line 6">
            <a:extLst>
              <a:ext uri="{FF2B5EF4-FFF2-40B4-BE49-F238E27FC236}">
                <a16:creationId xmlns:a16="http://schemas.microsoft.com/office/drawing/2014/main" id="{3D7D7BB8-2030-BF76-E4F8-0360B6DAC5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7">
            <a:extLst>
              <a:ext uri="{FF2B5EF4-FFF2-40B4-BE49-F238E27FC236}">
                <a16:creationId xmlns:a16="http://schemas.microsoft.com/office/drawing/2014/main" id="{1B7D5177-5A96-D439-CED4-B2FA95120D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8">
            <a:extLst>
              <a:ext uri="{FF2B5EF4-FFF2-40B4-BE49-F238E27FC236}">
                <a16:creationId xmlns:a16="http://schemas.microsoft.com/office/drawing/2014/main" id="{A11D8C54-4B3B-1604-2C69-08DDFECA0B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31</xdr:row>
      <xdr:rowOff>58615</xdr:rowOff>
    </xdr:from>
    <xdr:to>
      <xdr:col>3</xdr:col>
      <xdr:colOff>956961</xdr:colOff>
      <xdr:row>31</xdr:row>
      <xdr:rowOff>209856</xdr:rowOff>
    </xdr:to>
    <xdr:grpSp>
      <xdr:nvGrpSpPr>
        <xdr:cNvPr id="54" name="hinh3">
          <a:extLst>
            <a:ext uri="{FF2B5EF4-FFF2-40B4-BE49-F238E27FC236}">
              <a16:creationId xmlns:a16="http://schemas.microsoft.com/office/drawing/2014/main" id="{527E34D8-589C-436D-A047-BFB76B6C96AF}"/>
            </a:ext>
          </a:extLst>
        </xdr:cNvPr>
        <xdr:cNvGrpSpPr>
          <a:grpSpLocks noChangeAspect="1"/>
        </xdr:cNvGrpSpPr>
      </xdr:nvGrpSpPr>
      <xdr:grpSpPr bwMode="auto">
        <a:xfrm>
          <a:off x="2095500" y="8998508"/>
          <a:ext cx="861711" cy="151241"/>
          <a:chOff x="206" y="112"/>
          <a:chExt cx="73" cy="16"/>
        </a:xfrm>
      </xdr:grpSpPr>
      <xdr:sp macro="" textlink="">
        <xdr:nvSpPr>
          <xdr:cNvPr id="55" name="Line 3">
            <a:extLst>
              <a:ext uri="{FF2B5EF4-FFF2-40B4-BE49-F238E27FC236}">
                <a16:creationId xmlns:a16="http://schemas.microsoft.com/office/drawing/2014/main" id="{B8D4DDCA-94C7-11E8-0DA3-F133CD8348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">
            <a:extLst>
              <a:ext uri="{FF2B5EF4-FFF2-40B4-BE49-F238E27FC236}">
                <a16:creationId xmlns:a16="http://schemas.microsoft.com/office/drawing/2014/main" id="{C0ABE842-19C9-806A-850F-4CD35CEB7F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29</xdr:row>
      <xdr:rowOff>271096</xdr:rowOff>
    </xdr:from>
    <xdr:to>
      <xdr:col>3</xdr:col>
      <xdr:colOff>930519</xdr:colOff>
      <xdr:row>29</xdr:row>
      <xdr:rowOff>271096</xdr:rowOff>
    </xdr:to>
    <xdr:cxnSp macro="">
      <xdr:nvCxnSpPr>
        <xdr:cNvPr id="57" name="hinh1">
          <a:extLst>
            <a:ext uri="{FF2B5EF4-FFF2-40B4-BE49-F238E27FC236}">
              <a16:creationId xmlns:a16="http://schemas.microsoft.com/office/drawing/2014/main" id="{F03E457B-7CBF-429A-AFA1-F0F30AEA4173}"/>
            </a:ext>
          </a:extLst>
        </xdr:cNvPr>
        <xdr:cNvCxnSpPr/>
      </xdr:nvCxnSpPr>
      <xdr:spPr>
        <a:xfrm>
          <a:off x="2072432" y="7129096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30</xdr:row>
      <xdr:rowOff>194570</xdr:rowOff>
    </xdr:from>
    <xdr:to>
      <xdr:col>3</xdr:col>
      <xdr:colOff>916476</xdr:colOff>
      <xdr:row>30</xdr:row>
      <xdr:rowOff>273398</xdr:rowOff>
    </xdr:to>
    <xdr:grpSp>
      <xdr:nvGrpSpPr>
        <xdr:cNvPr id="58" name="hinh23">
          <a:extLst>
            <a:ext uri="{FF2B5EF4-FFF2-40B4-BE49-F238E27FC236}">
              <a16:creationId xmlns:a16="http://schemas.microsoft.com/office/drawing/2014/main" id="{4756DA9B-4528-4EFA-9B11-9442DC5936B6}"/>
            </a:ext>
          </a:extLst>
        </xdr:cNvPr>
        <xdr:cNvGrpSpPr>
          <a:grpSpLocks noChangeAspect="1"/>
        </xdr:cNvGrpSpPr>
      </xdr:nvGrpSpPr>
      <xdr:grpSpPr bwMode="auto">
        <a:xfrm>
          <a:off x="2051539" y="8821499"/>
          <a:ext cx="865187" cy="78828"/>
          <a:chOff x="181" y="372"/>
          <a:chExt cx="129" cy="5"/>
        </a:xfrm>
      </xdr:grpSpPr>
      <xdr:sp macro="" textlink="">
        <xdr:nvSpPr>
          <xdr:cNvPr id="59" name="Line 29">
            <a:extLst>
              <a:ext uri="{FF2B5EF4-FFF2-40B4-BE49-F238E27FC236}">
                <a16:creationId xmlns:a16="http://schemas.microsoft.com/office/drawing/2014/main" id="{AC02BBEA-2B2C-F1BA-72F7-5764D92DF5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0">
            <a:extLst>
              <a:ext uri="{FF2B5EF4-FFF2-40B4-BE49-F238E27FC236}">
                <a16:creationId xmlns:a16="http://schemas.microsoft.com/office/drawing/2014/main" id="{040141E1-7429-A1D6-E543-620488923BC3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1">
            <a:extLst>
              <a:ext uri="{FF2B5EF4-FFF2-40B4-BE49-F238E27FC236}">
                <a16:creationId xmlns:a16="http://schemas.microsoft.com/office/drawing/2014/main" id="{9627F9C7-E0F1-1A7F-C0A1-E329EC627E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2">
            <a:extLst>
              <a:ext uri="{FF2B5EF4-FFF2-40B4-BE49-F238E27FC236}">
                <a16:creationId xmlns:a16="http://schemas.microsoft.com/office/drawing/2014/main" id="{3AC60A8C-441E-E253-D6CA-CBC53B0DBF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3">
            <a:extLst>
              <a:ext uri="{FF2B5EF4-FFF2-40B4-BE49-F238E27FC236}">
                <a16:creationId xmlns:a16="http://schemas.microsoft.com/office/drawing/2014/main" id="{541F819A-B98C-45C1-9919-816714B36716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33</xdr:row>
      <xdr:rowOff>65943</xdr:rowOff>
    </xdr:from>
    <xdr:to>
      <xdr:col>3</xdr:col>
      <xdr:colOff>958553</xdr:colOff>
      <xdr:row>33</xdr:row>
      <xdr:rowOff>229626</xdr:rowOff>
    </xdr:to>
    <xdr:grpSp>
      <xdr:nvGrpSpPr>
        <xdr:cNvPr id="768" name="hinh2">
          <a:extLst>
            <a:ext uri="{FF2B5EF4-FFF2-40B4-BE49-F238E27FC236}">
              <a16:creationId xmlns:a16="http://schemas.microsoft.com/office/drawing/2014/main" id="{689F910D-8259-4CF7-8318-B0B4BE98E511}"/>
            </a:ext>
          </a:extLst>
        </xdr:cNvPr>
        <xdr:cNvGrpSpPr>
          <a:grpSpLocks noChangeAspect="1"/>
        </xdr:cNvGrpSpPr>
      </xdr:nvGrpSpPr>
      <xdr:grpSpPr bwMode="auto">
        <a:xfrm>
          <a:off x="2083745" y="9522907"/>
          <a:ext cx="875058" cy="163683"/>
          <a:chOff x="206" y="86"/>
          <a:chExt cx="73" cy="16"/>
        </a:xfrm>
      </xdr:grpSpPr>
      <xdr:sp macro="" textlink="">
        <xdr:nvSpPr>
          <xdr:cNvPr id="769" name="Line 6">
            <a:extLst>
              <a:ext uri="{FF2B5EF4-FFF2-40B4-BE49-F238E27FC236}">
                <a16:creationId xmlns:a16="http://schemas.microsoft.com/office/drawing/2014/main" id="{A82D3508-6B47-CD89-7000-0EB48274F3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0" name="Line 7">
            <a:extLst>
              <a:ext uri="{FF2B5EF4-FFF2-40B4-BE49-F238E27FC236}">
                <a16:creationId xmlns:a16="http://schemas.microsoft.com/office/drawing/2014/main" id="{4FC72032-97E7-540D-54BE-57F588DE36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1" name="Line 8">
            <a:extLst>
              <a:ext uri="{FF2B5EF4-FFF2-40B4-BE49-F238E27FC236}">
                <a16:creationId xmlns:a16="http://schemas.microsoft.com/office/drawing/2014/main" id="{7A69C555-092B-F575-D410-5D22FC9A90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36</xdr:row>
      <xdr:rowOff>58615</xdr:rowOff>
    </xdr:from>
    <xdr:to>
      <xdr:col>3</xdr:col>
      <xdr:colOff>956961</xdr:colOff>
      <xdr:row>36</xdr:row>
      <xdr:rowOff>209856</xdr:rowOff>
    </xdr:to>
    <xdr:grpSp>
      <xdr:nvGrpSpPr>
        <xdr:cNvPr id="772" name="hinh3">
          <a:extLst>
            <a:ext uri="{FF2B5EF4-FFF2-40B4-BE49-F238E27FC236}">
              <a16:creationId xmlns:a16="http://schemas.microsoft.com/office/drawing/2014/main" id="{96BC4ED3-5767-4B94-9DEC-C4F16FC44954}"/>
            </a:ext>
          </a:extLst>
        </xdr:cNvPr>
        <xdr:cNvGrpSpPr>
          <a:grpSpLocks noChangeAspect="1"/>
        </xdr:cNvGrpSpPr>
      </xdr:nvGrpSpPr>
      <xdr:grpSpPr bwMode="auto">
        <a:xfrm>
          <a:off x="2095500" y="10454472"/>
          <a:ext cx="861711" cy="151241"/>
          <a:chOff x="206" y="112"/>
          <a:chExt cx="73" cy="16"/>
        </a:xfrm>
      </xdr:grpSpPr>
      <xdr:sp macro="" textlink="">
        <xdr:nvSpPr>
          <xdr:cNvPr id="773" name="Line 3">
            <a:extLst>
              <a:ext uri="{FF2B5EF4-FFF2-40B4-BE49-F238E27FC236}">
                <a16:creationId xmlns:a16="http://schemas.microsoft.com/office/drawing/2014/main" id="{A6C0EC40-81D4-C3A7-09F7-530425B7F4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4" name="Line 4">
            <a:extLst>
              <a:ext uri="{FF2B5EF4-FFF2-40B4-BE49-F238E27FC236}">
                <a16:creationId xmlns:a16="http://schemas.microsoft.com/office/drawing/2014/main" id="{1CF2F6C7-FCE9-3249-FF9F-DE947ED5F9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34</xdr:row>
      <xdr:rowOff>271096</xdr:rowOff>
    </xdr:from>
    <xdr:to>
      <xdr:col>3</xdr:col>
      <xdr:colOff>930519</xdr:colOff>
      <xdr:row>34</xdr:row>
      <xdr:rowOff>271096</xdr:rowOff>
    </xdr:to>
    <xdr:cxnSp macro="">
      <xdr:nvCxnSpPr>
        <xdr:cNvPr id="775" name="hinh1">
          <a:extLst>
            <a:ext uri="{FF2B5EF4-FFF2-40B4-BE49-F238E27FC236}">
              <a16:creationId xmlns:a16="http://schemas.microsoft.com/office/drawing/2014/main" id="{E715D993-489C-4D94-B0F1-8BF4012964FE}"/>
            </a:ext>
          </a:extLst>
        </xdr:cNvPr>
        <xdr:cNvCxnSpPr/>
      </xdr:nvCxnSpPr>
      <xdr:spPr>
        <a:xfrm>
          <a:off x="2072432" y="858586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35</xdr:row>
      <xdr:rowOff>194570</xdr:rowOff>
    </xdr:from>
    <xdr:to>
      <xdr:col>3</xdr:col>
      <xdr:colOff>916476</xdr:colOff>
      <xdr:row>35</xdr:row>
      <xdr:rowOff>273398</xdr:rowOff>
    </xdr:to>
    <xdr:grpSp>
      <xdr:nvGrpSpPr>
        <xdr:cNvPr id="776" name="hinh23">
          <a:extLst>
            <a:ext uri="{FF2B5EF4-FFF2-40B4-BE49-F238E27FC236}">
              <a16:creationId xmlns:a16="http://schemas.microsoft.com/office/drawing/2014/main" id="{C961ADBE-0216-4FAC-A0B6-246EB14901F7}"/>
            </a:ext>
          </a:extLst>
        </xdr:cNvPr>
        <xdr:cNvGrpSpPr>
          <a:grpSpLocks noChangeAspect="1"/>
        </xdr:cNvGrpSpPr>
      </xdr:nvGrpSpPr>
      <xdr:grpSpPr bwMode="auto">
        <a:xfrm>
          <a:off x="2051539" y="10277463"/>
          <a:ext cx="865187" cy="78828"/>
          <a:chOff x="181" y="372"/>
          <a:chExt cx="129" cy="5"/>
        </a:xfrm>
      </xdr:grpSpPr>
      <xdr:sp macro="" textlink="">
        <xdr:nvSpPr>
          <xdr:cNvPr id="777" name="Line 29">
            <a:extLst>
              <a:ext uri="{FF2B5EF4-FFF2-40B4-BE49-F238E27FC236}">
                <a16:creationId xmlns:a16="http://schemas.microsoft.com/office/drawing/2014/main" id="{984B3D67-13DE-D817-1BD9-2E6B12DE06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8" name="Line 30">
            <a:extLst>
              <a:ext uri="{FF2B5EF4-FFF2-40B4-BE49-F238E27FC236}">
                <a16:creationId xmlns:a16="http://schemas.microsoft.com/office/drawing/2014/main" id="{BCA0ACE4-7E2E-0320-B31B-06EC999EE11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9" name="Line 31">
            <a:extLst>
              <a:ext uri="{FF2B5EF4-FFF2-40B4-BE49-F238E27FC236}">
                <a16:creationId xmlns:a16="http://schemas.microsoft.com/office/drawing/2014/main" id="{3926B427-619B-3A18-6BC9-EE1D6A6B94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0" name="Line 32">
            <a:extLst>
              <a:ext uri="{FF2B5EF4-FFF2-40B4-BE49-F238E27FC236}">
                <a16:creationId xmlns:a16="http://schemas.microsoft.com/office/drawing/2014/main" id="{89C3CC0A-B88E-2E4E-1EF2-529FEFE2C9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1" name="Line 33">
            <a:extLst>
              <a:ext uri="{FF2B5EF4-FFF2-40B4-BE49-F238E27FC236}">
                <a16:creationId xmlns:a16="http://schemas.microsoft.com/office/drawing/2014/main" id="{609EFECF-FE30-419A-5565-045512181AF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39</xdr:row>
      <xdr:rowOff>65943</xdr:rowOff>
    </xdr:from>
    <xdr:to>
      <xdr:col>3</xdr:col>
      <xdr:colOff>958553</xdr:colOff>
      <xdr:row>39</xdr:row>
      <xdr:rowOff>229626</xdr:rowOff>
    </xdr:to>
    <xdr:grpSp>
      <xdr:nvGrpSpPr>
        <xdr:cNvPr id="782" name="hinh2">
          <a:extLst>
            <a:ext uri="{FF2B5EF4-FFF2-40B4-BE49-F238E27FC236}">
              <a16:creationId xmlns:a16="http://schemas.microsoft.com/office/drawing/2014/main" id="{17C8D6F9-DC13-43F3-B481-67FB5B28474C}"/>
            </a:ext>
          </a:extLst>
        </xdr:cNvPr>
        <xdr:cNvGrpSpPr>
          <a:grpSpLocks noChangeAspect="1"/>
        </xdr:cNvGrpSpPr>
      </xdr:nvGrpSpPr>
      <xdr:grpSpPr bwMode="auto">
        <a:xfrm>
          <a:off x="2083745" y="11291836"/>
          <a:ext cx="875058" cy="163683"/>
          <a:chOff x="206" y="86"/>
          <a:chExt cx="73" cy="16"/>
        </a:xfrm>
      </xdr:grpSpPr>
      <xdr:sp macro="" textlink="">
        <xdr:nvSpPr>
          <xdr:cNvPr id="783" name="Line 6">
            <a:extLst>
              <a:ext uri="{FF2B5EF4-FFF2-40B4-BE49-F238E27FC236}">
                <a16:creationId xmlns:a16="http://schemas.microsoft.com/office/drawing/2014/main" id="{8533525D-7F91-C3F6-2125-8AD3298782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4" name="Line 7">
            <a:extLst>
              <a:ext uri="{FF2B5EF4-FFF2-40B4-BE49-F238E27FC236}">
                <a16:creationId xmlns:a16="http://schemas.microsoft.com/office/drawing/2014/main" id="{A550FC9C-6E33-D3D9-1259-3CC92BB2A4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5" name="Line 8">
            <a:extLst>
              <a:ext uri="{FF2B5EF4-FFF2-40B4-BE49-F238E27FC236}">
                <a16:creationId xmlns:a16="http://schemas.microsoft.com/office/drawing/2014/main" id="{33E8C6F6-17C6-81B2-598D-A09762BFBE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58615</xdr:rowOff>
    </xdr:from>
    <xdr:to>
      <xdr:col>3</xdr:col>
      <xdr:colOff>956961</xdr:colOff>
      <xdr:row>42</xdr:row>
      <xdr:rowOff>209856</xdr:rowOff>
    </xdr:to>
    <xdr:grpSp>
      <xdr:nvGrpSpPr>
        <xdr:cNvPr id="786" name="hinh3">
          <a:extLst>
            <a:ext uri="{FF2B5EF4-FFF2-40B4-BE49-F238E27FC236}">
              <a16:creationId xmlns:a16="http://schemas.microsoft.com/office/drawing/2014/main" id="{644B2D42-BC08-4A2C-9250-1F76F91789FD}"/>
            </a:ext>
          </a:extLst>
        </xdr:cNvPr>
        <xdr:cNvGrpSpPr>
          <a:grpSpLocks noChangeAspect="1"/>
        </xdr:cNvGrpSpPr>
      </xdr:nvGrpSpPr>
      <xdr:grpSpPr bwMode="auto">
        <a:xfrm>
          <a:off x="2095500" y="12223401"/>
          <a:ext cx="861711" cy="151241"/>
          <a:chOff x="206" y="112"/>
          <a:chExt cx="73" cy="16"/>
        </a:xfrm>
      </xdr:grpSpPr>
      <xdr:sp macro="" textlink="">
        <xdr:nvSpPr>
          <xdr:cNvPr id="787" name="Line 3">
            <a:extLst>
              <a:ext uri="{FF2B5EF4-FFF2-40B4-BE49-F238E27FC236}">
                <a16:creationId xmlns:a16="http://schemas.microsoft.com/office/drawing/2014/main" id="{3832BEA4-3F63-E72D-F06A-DA12BDD72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8" name="Line 4">
            <a:extLst>
              <a:ext uri="{FF2B5EF4-FFF2-40B4-BE49-F238E27FC236}">
                <a16:creationId xmlns:a16="http://schemas.microsoft.com/office/drawing/2014/main" id="{9355C0E5-7DE4-6107-17D9-53F8085246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40</xdr:row>
      <xdr:rowOff>271096</xdr:rowOff>
    </xdr:from>
    <xdr:to>
      <xdr:col>3</xdr:col>
      <xdr:colOff>930519</xdr:colOff>
      <xdr:row>40</xdr:row>
      <xdr:rowOff>271096</xdr:rowOff>
    </xdr:to>
    <xdr:cxnSp macro="">
      <xdr:nvCxnSpPr>
        <xdr:cNvPr id="789" name="hinh1">
          <a:extLst>
            <a:ext uri="{FF2B5EF4-FFF2-40B4-BE49-F238E27FC236}">
              <a16:creationId xmlns:a16="http://schemas.microsoft.com/office/drawing/2014/main" id="{03D4503B-DB7E-461A-8A01-D0F11298B492}"/>
            </a:ext>
          </a:extLst>
        </xdr:cNvPr>
        <xdr:cNvCxnSpPr/>
      </xdr:nvCxnSpPr>
      <xdr:spPr>
        <a:xfrm>
          <a:off x="2072432" y="1004262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41</xdr:row>
      <xdr:rowOff>194570</xdr:rowOff>
    </xdr:from>
    <xdr:to>
      <xdr:col>3</xdr:col>
      <xdr:colOff>916476</xdr:colOff>
      <xdr:row>41</xdr:row>
      <xdr:rowOff>273398</xdr:rowOff>
    </xdr:to>
    <xdr:grpSp>
      <xdr:nvGrpSpPr>
        <xdr:cNvPr id="790" name="hinh23">
          <a:extLst>
            <a:ext uri="{FF2B5EF4-FFF2-40B4-BE49-F238E27FC236}">
              <a16:creationId xmlns:a16="http://schemas.microsoft.com/office/drawing/2014/main" id="{1DA2125E-3DD4-4663-8A84-CECAC9D6007B}"/>
            </a:ext>
          </a:extLst>
        </xdr:cNvPr>
        <xdr:cNvGrpSpPr>
          <a:grpSpLocks noChangeAspect="1"/>
        </xdr:cNvGrpSpPr>
      </xdr:nvGrpSpPr>
      <xdr:grpSpPr bwMode="auto">
        <a:xfrm>
          <a:off x="2051539" y="12046391"/>
          <a:ext cx="865187" cy="78828"/>
          <a:chOff x="181" y="372"/>
          <a:chExt cx="129" cy="5"/>
        </a:xfrm>
      </xdr:grpSpPr>
      <xdr:sp macro="" textlink="">
        <xdr:nvSpPr>
          <xdr:cNvPr id="791" name="Line 29">
            <a:extLst>
              <a:ext uri="{FF2B5EF4-FFF2-40B4-BE49-F238E27FC236}">
                <a16:creationId xmlns:a16="http://schemas.microsoft.com/office/drawing/2014/main" id="{9A0AF36B-0489-A888-A7F7-0E9C5A1A73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2" name="Line 30">
            <a:extLst>
              <a:ext uri="{FF2B5EF4-FFF2-40B4-BE49-F238E27FC236}">
                <a16:creationId xmlns:a16="http://schemas.microsoft.com/office/drawing/2014/main" id="{76846A60-CF2C-81F1-CE88-431A13C51ED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3" name="Line 31">
            <a:extLst>
              <a:ext uri="{FF2B5EF4-FFF2-40B4-BE49-F238E27FC236}">
                <a16:creationId xmlns:a16="http://schemas.microsoft.com/office/drawing/2014/main" id="{1B59A7B2-B2FB-A152-9CC2-9392E8D2DD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4" name="Line 32">
            <a:extLst>
              <a:ext uri="{FF2B5EF4-FFF2-40B4-BE49-F238E27FC236}">
                <a16:creationId xmlns:a16="http://schemas.microsoft.com/office/drawing/2014/main" id="{3D699468-640A-ACB3-7251-20177CDBF6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5" name="Line 33">
            <a:extLst>
              <a:ext uri="{FF2B5EF4-FFF2-40B4-BE49-F238E27FC236}">
                <a16:creationId xmlns:a16="http://schemas.microsoft.com/office/drawing/2014/main" id="{44266A32-D5F8-6C2D-1D7F-1FADC7FBE58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44</xdr:row>
      <xdr:rowOff>65943</xdr:rowOff>
    </xdr:from>
    <xdr:to>
      <xdr:col>3</xdr:col>
      <xdr:colOff>958553</xdr:colOff>
      <xdr:row>44</xdr:row>
      <xdr:rowOff>229626</xdr:rowOff>
    </xdr:to>
    <xdr:grpSp>
      <xdr:nvGrpSpPr>
        <xdr:cNvPr id="796" name="hinh2">
          <a:extLst>
            <a:ext uri="{FF2B5EF4-FFF2-40B4-BE49-F238E27FC236}">
              <a16:creationId xmlns:a16="http://schemas.microsoft.com/office/drawing/2014/main" id="{2D7AA48D-51FC-4BC3-92D3-5D51641B6459}"/>
            </a:ext>
          </a:extLst>
        </xdr:cNvPr>
        <xdr:cNvGrpSpPr>
          <a:grpSpLocks noChangeAspect="1"/>
        </xdr:cNvGrpSpPr>
      </xdr:nvGrpSpPr>
      <xdr:grpSpPr bwMode="auto">
        <a:xfrm>
          <a:off x="2083745" y="12747800"/>
          <a:ext cx="875058" cy="163683"/>
          <a:chOff x="206" y="86"/>
          <a:chExt cx="73" cy="16"/>
        </a:xfrm>
      </xdr:grpSpPr>
      <xdr:sp macro="" textlink="">
        <xdr:nvSpPr>
          <xdr:cNvPr id="797" name="Line 6">
            <a:extLst>
              <a:ext uri="{FF2B5EF4-FFF2-40B4-BE49-F238E27FC236}">
                <a16:creationId xmlns:a16="http://schemas.microsoft.com/office/drawing/2014/main" id="{641452E4-1599-1246-0359-812FE27D9D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8" name="Line 7">
            <a:extLst>
              <a:ext uri="{FF2B5EF4-FFF2-40B4-BE49-F238E27FC236}">
                <a16:creationId xmlns:a16="http://schemas.microsoft.com/office/drawing/2014/main" id="{12CF3BB1-70C2-9749-F52B-04084E603C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9" name="Line 8">
            <a:extLst>
              <a:ext uri="{FF2B5EF4-FFF2-40B4-BE49-F238E27FC236}">
                <a16:creationId xmlns:a16="http://schemas.microsoft.com/office/drawing/2014/main" id="{74F82CE6-0E70-45DA-335A-4FC4DA7B86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58615</xdr:rowOff>
    </xdr:from>
    <xdr:to>
      <xdr:col>3</xdr:col>
      <xdr:colOff>956961</xdr:colOff>
      <xdr:row>47</xdr:row>
      <xdr:rowOff>209856</xdr:rowOff>
    </xdr:to>
    <xdr:grpSp>
      <xdr:nvGrpSpPr>
        <xdr:cNvPr id="800" name="hinh3">
          <a:extLst>
            <a:ext uri="{FF2B5EF4-FFF2-40B4-BE49-F238E27FC236}">
              <a16:creationId xmlns:a16="http://schemas.microsoft.com/office/drawing/2014/main" id="{7E952918-1800-41E7-B781-EC600EB34C8A}"/>
            </a:ext>
          </a:extLst>
        </xdr:cNvPr>
        <xdr:cNvGrpSpPr>
          <a:grpSpLocks noChangeAspect="1"/>
        </xdr:cNvGrpSpPr>
      </xdr:nvGrpSpPr>
      <xdr:grpSpPr bwMode="auto">
        <a:xfrm>
          <a:off x="2095500" y="13679365"/>
          <a:ext cx="861711" cy="151241"/>
          <a:chOff x="206" y="112"/>
          <a:chExt cx="73" cy="16"/>
        </a:xfrm>
      </xdr:grpSpPr>
      <xdr:sp macro="" textlink="">
        <xdr:nvSpPr>
          <xdr:cNvPr id="801" name="Line 3">
            <a:extLst>
              <a:ext uri="{FF2B5EF4-FFF2-40B4-BE49-F238E27FC236}">
                <a16:creationId xmlns:a16="http://schemas.microsoft.com/office/drawing/2014/main" id="{F1C58B87-DAA7-AE0E-4E5C-9D4CD52D84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2" name="Line 4">
            <a:extLst>
              <a:ext uri="{FF2B5EF4-FFF2-40B4-BE49-F238E27FC236}">
                <a16:creationId xmlns:a16="http://schemas.microsoft.com/office/drawing/2014/main" id="{6A76CB36-6711-4E4B-A051-793F8BA80A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45</xdr:row>
      <xdr:rowOff>271096</xdr:rowOff>
    </xdr:from>
    <xdr:to>
      <xdr:col>3</xdr:col>
      <xdr:colOff>930519</xdr:colOff>
      <xdr:row>45</xdr:row>
      <xdr:rowOff>271096</xdr:rowOff>
    </xdr:to>
    <xdr:cxnSp macro="">
      <xdr:nvCxnSpPr>
        <xdr:cNvPr id="803" name="hinh1">
          <a:extLst>
            <a:ext uri="{FF2B5EF4-FFF2-40B4-BE49-F238E27FC236}">
              <a16:creationId xmlns:a16="http://schemas.microsoft.com/office/drawing/2014/main" id="{DE690A6C-05D8-4DB3-BF6A-3BCFFE6F03A8}"/>
            </a:ext>
          </a:extLst>
        </xdr:cNvPr>
        <xdr:cNvCxnSpPr/>
      </xdr:nvCxnSpPr>
      <xdr:spPr>
        <a:xfrm>
          <a:off x="2072432" y="11813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46</xdr:row>
      <xdr:rowOff>194570</xdr:rowOff>
    </xdr:from>
    <xdr:to>
      <xdr:col>3</xdr:col>
      <xdr:colOff>916476</xdr:colOff>
      <xdr:row>46</xdr:row>
      <xdr:rowOff>273398</xdr:rowOff>
    </xdr:to>
    <xdr:grpSp>
      <xdr:nvGrpSpPr>
        <xdr:cNvPr id="804" name="hinh23">
          <a:extLst>
            <a:ext uri="{FF2B5EF4-FFF2-40B4-BE49-F238E27FC236}">
              <a16:creationId xmlns:a16="http://schemas.microsoft.com/office/drawing/2014/main" id="{DE707ADB-1AED-448B-ABAF-68108C0266E0}"/>
            </a:ext>
          </a:extLst>
        </xdr:cNvPr>
        <xdr:cNvGrpSpPr>
          <a:grpSpLocks noChangeAspect="1"/>
        </xdr:cNvGrpSpPr>
      </xdr:nvGrpSpPr>
      <xdr:grpSpPr bwMode="auto">
        <a:xfrm>
          <a:off x="2051539" y="13502356"/>
          <a:ext cx="865187" cy="78828"/>
          <a:chOff x="181" y="372"/>
          <a:chExt cx="129" cy="5"/>
        </a:xfrm>
      </xdr:grpSpPr>
      <xdr:sp macro="" textlink="">
        <xdr:nvSpPr>
          <xdr:cNvPr id="805" name="Line 29">
            <a:extLst>
              <a:ext uri="{FF2B5EF4-FFF2-40B4-BE49-F238E27FC236}">
                <a16:creationId xmlns:a16="http://schemas.microsoft.com/office/drawing/2014/main" id="{FE5630DC-A4AB-601D-5405-0EEE0CAB6A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6" name="Line 30">
            <a:extLst>
              <a:ext uri="{FF2B5EF4-FFF2-40B4-BE49-F238E27FC236}">
                <a16:creationId xmlns:a16="http://schemas.microsoft.com/office/drawing/2014/main" id="{C3161653-D1B2-1205-3669-327B0E09615A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7" name="Line 31">
            <a:extLst>
              <a:ext uri="{FF2B5EF4-FFF2-40B4-BE49-F238E27FC236}">
                <a16:creationId xmlns:a16="http://schemas.microsoft.com/office/drawing/2014/main" id="{F7008377-8DC9-3C35-1503-988F235222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8" name="Line 32">
            <a:extLst>
              <a:ext uri="{FF2B5EF4-FFF2-40B4-BE49-F238E27FC236}">
                <a16:creationId xmlns:a16="http://schemas.microsoft.com/office/drawing/2014/main" id="{60BE4327-023B-811E-1F3C-FA36ED64D8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9" name="Line 33">
            <a:extLst>
              <a:ext uri="{FF2B5EF4-FFF2-40B4-BE49-F238E27FC236}">
                <a16:creationId xmlns:a16="http://schemas.microsoft.com/office/drawing/2014/main" id="{B44E1871-CDEC-BEEA-066A-6364503BDAFB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49</xdr:row>
      <xdr:rowOff>65943</xdr:rowOff>
    </xdr:from>
    <xdr:to>
      <xdr:col>3</xdr:col>
      <xdr:colOff>958553</xdr:colOff>
      <xdr:row>49</xdr:row>
      <xdr:rowOff>229626</xdr:rowOff>
    </xdr:to>
    <xdr:grpSp>
      <xdr:nvGrpSpPr>
        <xdr:cNvPr id="810" name="hinh2">
          <a:extLst>
            <a:ext uri="{FF2B5EF4-FFF2-40B4-BE49-F238E27FC236}">
              <a16:creationId xmlns:a16="http://schemas.microsoft.com/office/drawing/2014/main" id="{59DFF354-DA95-488B-98D7-ADCE443F8C52}"/>
            </a:ext>
          </a:extLst>
        </xdr:cNvPr>
        <xdr:cNvGrpSpPr>
          <a:grpSpLocks noChangeAspect="1"/>
        </xdr:cNvGrpSpPr>
      </xdr:nvGrpSpPr>
      <xdr:grpSpPr bwMode="auto">
        <a:xfrm>
          <a:off x="2083745" y="14203764"/>
          <a:ext cx="875058" cy="163683"/>
          <a:chOff x="206" y="86"/>
          <a:chExt cx="73" cy="16"/>
        </a:xfrm>
      </xdr:grpSpPr>
      <xdr:sp macro="" textlink="">
        <xdr:nvSpPr>
          <xdr:cNvPr id="811" name="Line 6">
            <a:extLst>
              <a:ext uri="{FF2B5EF4-FFF2-40B4-BE49-F238E27FC236}">
                <a16:creationId xmlns:a16="http://schemas.microsoft.com/office/drawing/2014/main" id="{4776546D-081E-A14E-1422-4DA0FB6B1C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2" name="Line 7">
            <a:extLst>
              <a:ext uri="{FF2B5EF4-FFF2-40B4-BE49-F238E27FC236}">
                <a16:creationId xmlns:a16="http://schemas.microsoft.com/office/drawing/2014/main" id="{9395986C-9856-17A8-F420-6C5BF931D7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3" name="Line 8">
            <a:extLst>
              <a:ext uri="{FF2B5EF4-FFF2-40B4-BE49-F238E27FC236}">
                <a16:creationId xmlns:a16="http://schemas.microsoft.com/office/drawing/2014/main" id="{935A2368-4373-A218-8274-184581C4F5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52</xdr:row>
      <xdr:rowOff>58615</xdr:rowOff>
    </xdr:from>
    <xdr:to>
      <xdr:col>3</xdr:col>
      <xdr:colOff>956961</xdr:colOff>
      <xdr:row>52</xdr:row>
      <xdr:rowOff>209856</xdr:rowOff>
    </xdr:to>
    <xdr:grpSp>
      <xdr:nvGrpSpPr>
        <xdr:cNvPr id="814" name="hinh3">
          <a:extLst>
            <a:ext uri="{FF2B5EF4-FFF2-40B4-BE49-F238E27FC236}">
              <a16:creationId xmlns:a16="http://schemas.microsoft.com/office/drawing/2014/main" id="{E71DCCAC-F543-43BA-B44C-61FBD38A1B19}"/>
            </a:ext>
          </a:extLst>
        </xdr:cNvPr>
        <xdr:cNvGrpSpPr>
          <a:grpSpLocks noChangeAspect="1"/>
        </xdr:cNvGrpSpPr>
      </xdr:nvGrpSpPr>
      <xdr:grpSpPr bwMode="auto">
        <a:xfrm>
          <a:off x="2095500" y="15135329"/>
          <a:ext cx="861711" cy="151241"/>
          <a:chOff x="206" y="112"/>
          <a:chExt cx="73" cy="16"/>
        </a:xfrm>
      </xdr:grpSpPr>
      <xdr:sp macro="" textlink="">
        <xdr:nvSpPr>
          <xdr:cNvPr id="834" name="Line 3">
            <a:extLst>
              <a:ext uri="{FF2B5EF4-FFF2-40B4-BE49-F238E27FC236}">
                <a16:creationId xmlns:a16="http://schemas.microsoft.com/office/drawing/2014/main" id="{01BA900C-6688-1AF2-1084-C29D182548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5" name="Line 4">
            <a:extLst>
              <a:ext uri="{FF2B5EF4-FFF2-40B4-BE49-F238E27FC236}">
                <a16:creationId xmlns:a16="http://schemas.microsoft.com/office/drawing/2014/main" id="{036D9CCB-8851-A68E-6E7D-E798B71E44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50</xdr:row>
      <xdr:rowOff>271096</xdr:rowOff>
    </xdr:from>
    <xdr:to>
      <xdr:col>3</xdr:col>
      <xdr:colOff>930519</xdr:colOff>
      <xdr:row>50</xdr:row>
      <xdr:rowOff>271096</xdr:rowOff>
    </xdr:to>
    <xdr:cxnSp macro="">
      <xdr:nvCxnSpPr>
        <xdr:cNvPr id="836" name="hinh1">
          <a:extLst>
            <a:ext uri="{FF2B5EF4-FFF2-40B4-BE49-F238E27FC236}">
              <a16:creationId xmlns:a16="http://schemas.microsoft.com/office/drawing/2014/main" id="{8D5714BD-B513-443E-AF2A-556D9A8069C6}"/>
            </a:ext>
          </a:extLst>
        </xdr:cNvPr>
        <xdr:cNvCxnSpPr/>
      </xdr:nvCxnSpPr>
      <xdr:spPr>
        <a:xfrm>
          <a:off x="2072432" y="11813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51</xdr:row>
      <xdr:rowOff>194570</xdr:rowOff>
    </xdr:from>
    <xdr:to>
      <xdr:col>3</xdr:col>
      <xdr:colOff>916476</xdr:colOff>
      <xdr:row>51</xdr:row>
      <xdr:rowOff>273398</xdr:rowOff>
    </xdr:to>
    <xdr:grpSp>
      <xdr:nvGrpSpPr>
        <xdr:cNvPr id="837" name="hinh23">
          <a:extLst>
            <a:ext uri="{FF2B5EF4-FFF2-40B4-BE49-F238E27FC236}">
              <a16:creationId xmlns:a16="http://schemas.microsoft.com/office/drawing/2014/main" id="{798CF90A-4279-4C9A-9B07-AF9CF8742E4B}"/>
            </a:ext>
          </a:extLst>
        </xdr:cNvPr>
        <xdr:cNvGrpSpPr>
          <a:grpSpLocks noChangeAspect="1"/>
        </xdr:cNvGrpSpPr>
      </xdr:nvGrpSpPr>
      <xdr:grpSpPr bwMode="auto">
        <a:xfrm>
          <a:off x="2051539" y="14958320"/>
          <a:ext cx="865187" cy="78828"/>
          <a:chOff x="181" y="372"/>
          <a:chExt cx="129" cy="5"/>
        </a:xfrm>
      </xdr:grpSpPr>
      <xdr:sp macro="" textlink="">
        <xdr:nvSpPr>
          <xdr:cNvPr id="838" name="Line 29">
            <a:extLst>
              <a:ext uri="{FF2B5EF4-FFF2-40B4-BE49-F238E27FC236}">
                <a16:creationId xmlns:a16="http://schemas.microsoft.com/office/drawing/2014/main" id="{BC350FB0-BB28-2B91-0CD8-5E8FB5D789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9" name="Line 30">
            <a:extLst>
              <a:ext uri="{FF2B5EF4-FFF2-40B4-BE49-F238E27FC236}">
                <a16:creationId xmlns:a16="http://schemas.microsoft.com/office/drawing/2014/main" id="{28D31BD5-D3C7-3850-6BB9-04897BE6FA8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" name="Line 31">
            <a:extLst>
              <a:ext uri="{FF2B5EF4-FFF2-40B4-BE49-F238E27FC236}">
                <a16:creationId xmlns:a16="http://schemas.microsoft.com/office/drawing/2014/main" id="{7056651A-E30D-9509-7E2C-8F8FD56821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" name="Line 32">
            <a:extLst>
              <a:ext uri="{FF2B5EF4-FFF2-40B4-BE49-F238E27FC236}">
                <a16:creationId xmlns:a16="http://schemas.microsoft.com/office/drawing/2014/main" id="{D7CB5757-1B02-EDB2-19DA-40602A8A6D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2" name="Line 33">
            <a:extLst>
              <a:ext uri="{FF2B5EF4-FFF2-40B4-BE49-F238E27FC236}">
                <a16:creationId xmlns:a16="http://schemas.microsoft.com/office/drawing/2014/main" id="{BAD4644F-29C2-8BCF-43DD-9B3F7FC2070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54</xdr:row>
      <xdr:rowOff>65943</xdr:rowOff>
    </xdr:from>
    <xdr:to>
      <xdr:col>3</xdr:col>
      <xdr:colOff>958553</xdr:colOff>
      <xdr:row>54</xdr:row>
      <xdr:rowOff>229626</xdr:rowOff>
    </xdr:to>
    <xdr:grpSp>
      <xdr:nvGrpSpPr>
        <xdr:cNvPr id="843" name="hinh2">
          <a:extLst>
            <a:ext uri="{FF2B5EF4-FFF2-40B4-BE49-F238E27FC236}">
              <a16:creationId xmlns:a16="http://schemas.microsoft.com/office/drawing/2014/main" id="{F0F082CF-0824-4B92-905F-B08A1FC42FE3}"/>
            </a:ext>
          </a:extLst>
        </xdr:cNvPr>
        <xdr:cNvGrpSpPr>
          <a:grpSpLocks noChangeAspect="1"/>
        </xdr:cNvGrpSpPr>
      </xdr:nvGrpSpPr>
      <xdr:grpSpPr bwMode="auto">
        <a:xfrm>
          <a:off x="2083745" y="15659729"/>
          <a:ext cx="875058" cy="163683"/>
          <a:chOff x="206" y="86"/>
          <a:chExt cx="73" cy="16"/>
        </a:xfrm>
      </xdr:grpSpPr>
      <xdr:sp macro="" textlink="">
        <xdr:nvSpPr>
          <xdr:cNvPr id="844" name="Line 6">
            <a:extLst>
              <a:ext uri="{FF2B5EF4-FFF2-40B4-BE49-F238E27FC236}">
                <a16:creationId xmlns:a16="http://schemas.microsoft.com/office/drawing/2014/main" id="{9A865390-B2D8-7BCD-3482-09CA57F260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5" name="Line 7">
            <a:extLst>
              <a:ext uri="{FF2B5EF4-FFF2-40B4-BE49-F238E27FC236}">
                <a16:creationId xmlns:a16="http://schemas.microsoft.com/office/drawing/2014/main" id="{4C7D2D35-9C04-33C1-A7A0-75DFB5847C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6" name="Line 8">
            <a:extLst>
              <a:ext uri="{FF2B5EF4-FFF2-40B4-BE49-F238E27FC236}">
                <a16:creationId xmlns:a16="http://schemas.microsoft.com/office/drawing/2014/main" id="{63BA8819-B295-5E48-ECD5-3A5382104C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57</xdr:row>
      <xdr:rowOff>58615</xdr:rowOff>
    </xdr:from>
    <xdr:to>
      <xdr:col>3</xdr:col>
      <xdr:colOff>956961</xdr:colOff>
      <xdr:row>57</xdr:row>
      <xdr:rowOff>209856</xdr:rowOff>
    </xdr:to>
    <xdr:grpSp>
      <xdr:nvGrpSpPr>
        <xdr:cNvPr id="847" name="hinh3">
          <a:extLst>
            <a:ext uri="{FF2B5EF4-FFF2-40B4-BE49-F238E27FC236}">
              <a16:creationId xmlns:a16="http://schemas.microsoft.com/office/drawing/2014/main" id="{B90F6C3A-0F21-457B-A9F0-1F1036D897F9}"/>
            </a:ext>
          </a:extLst>
        </xdr:cNvPr>
        <xdr:cNvGrpSpPr>
          <a:grpSpLocks noChangeAspect="1"/>
        </xdr:cNvGrpSpPr>
      </xdr:nvGrpSpPr>
      <xdr:grpSpPr bwMode="auto">
        <a:xfrm>
          <a:off x="2095500" y="16591294"/>
          <a:ext cx="861711" cy="151241"/>
          <a:chOff x="206" y="112"/>
          <a:chExt cx="73" cy="16"/>
        </a:xfrm>
      </xdr:grpSpPr>
      <xdr:sp macro="" textlink="">
        <xdr:nvSpPr>
          <xdr:cNvPr id="848" name="Line 3">
            <a:extLst>
              <a:ext uri="{FF2B5EF4-FFF2-40B4-BE49-F238E27FC236}">
                <a16:creationId xmlns:a16="http://schemas.microsoft.com/office/drawing/2014/main" id="{2E907AF6-C34C-2D77-308B-CF353BF87A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" name="Line 4">
            <a:extLst>
              <a:ext uri="{FF2B5EF4-FFF2-40B4-BE49-F238E27FC236}">
                <a16:creationId xmlns:a16="http://schemas.microsoft.com/office/drawing/2014/main" id="{97947032-ECCD-07CA-19E6-6F492CC122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55</xdr:row>
      <xdr:rowOff>271096</xdr:rowOff>
    </xdr:from>
    <xdr:to>
      <xdr:col>3</xdr:col>
      <xdr:colOff>930519</xdr:colOff>
      <xdr:row>55</xdr:row>
      <xdr:rowOff>271096</xdr:rowOff>
    </xdr:to>
    <xdr:cxnSp macro="">
      <xdr:nvCxnSpPr>
        <xdr:cNvPr id="850" name="hinh1">
          <a:extLst>
            <a:ext uri="{FF2B5EF4-FFF2-40B4-BE49-F238E27FC236}">
              <a16:creationId xmlns:a16="http://schemas.microsoft.com/office/drawing/2014/main" id="{193D95F2-78B2-4713-BFF9-D77F32549656}"/>
            </a:ext>
          </a:extLst>
        </xdr:cNvPr>
        <xdr:cNvCxnSpPr/>
      </xdr:nvCxnSpPr>
      <xdr:spPr>
        <a:xfrm>
          <a:off x="2072432" y="1326992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56</xdr:row>
      <xdr:rowOff>194570</xdr:rowOff>
    </xdr:from>
    <xdr:to>
      <xdr:col>3</xdr:col>
      <xdr:colOff>916476</xdr:colOff>
      <xdr:row>56</xdr:row>
      <xdr:rowOff>273398</xdr:rowOff>
    </xdr:to>
    <xdr:grpSp>
      <xdr:nvGrpSpPr>
        <xdr:cNvPr id="851" name="hinh23">
          <a:extLst>
            <a:ext uri="{FF2B5EF4-FFF2-40B4-BE49-F238E27FC236}">
              <a16:creationId xmlns:a16="http://schemas.microsoft.com/office/drawing/2014/main" id="{1CCAFCAB-4CD5-4492-B83C-BF4F3B750656}"/>
            </a:ext>
          </a:extLst>
        </xdr:cNvPr>
        <xdr:cNvGrpSpPr>
          <a:grpSpLocks noChangeAspect="1"/>
        </xdr:cNvGrpSpPr>
      </xdr:nvGrpSpPr>
      <xdr:grpSpPr bwMode="auto">
        <a:xfrm>
          <a:off x="2051539" y="16414284"/>
          <a:ext cx="865187" cy="78828"/>
          <a:chOff x="181" y="372"/>
          <a:chExt cx="129" cy="5"/>
        </a:xfrm>
      </xdr:grpSpPr>
      <xdr:sp macro="" textlink="">
        <xdr:nvSpPr>
          <xdr:cNvPr id="852" name="Line 29">
            <a:extLst>
              <a:ext uri="{FF2B5EF4-FFF2-40B4-BE49-F238E27FC236}">
                <a16:creationId xmlns:a16="http://schemas.microsoft.com/office/drawing/2014/main" id="{80D244AD-8F08-E652-64D3-6221477C33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3" name="Line 30">
            <a:extLst>
              <a:ext uri="{FF2B5EF4-FFF2-40B4-BE49-F238E27FC236}">
                <a16:creationId xmlns:a16="http://schemas.microsoft.com/office/drawing/2014/main" id="{FE6FFD9E-81D0-7D9E-E2B2-F28C6659723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4" name="Line 31">
            <a:extLst>
              <a:ext uri="{FF2B5EF4-FFF2-40B4-BE49-F238E27FC236}">
                <a16:creationId xmlns:a16="http://schemas.microsoft.com/office/drawing/2014/main" id="{B03F8954-3077-076B-954B-7C968E17BB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5" name="Line 32">
            <a:extLst>
              <a:ext uri="{FF2B5EF4-FFF2-40B4-BE49-F238E27FC236}">
                <a16:creationId xmlns:a16="http://schemas.microsoft.com/office/drawing/2014/main" id="{96A8A59A-4D4E-01EE-7909-100F95D76F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6" name="Line 33">
            <a:extLst>
              <a:ext uri="{FF2B5EF4-FFF2-40B4-BE49-F238E27FC236}">
                <a16:creationId xmlns:a16="http://schemas.microsoft.com/office/drawing/2014/main" id="{115202D3-BC13-BC93-7F52-4A4FA54C086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59</xdr:row>
      <xdr:rowOff>65943</xdr:rowOff>
    </xdr:from>
    <xdr:to>
      <xdr:col>3</xdr:col>
      <xdr:colOff>958553</xdr:colOff>
      <xdr:row>59</xdr:row>
      <xdr:rowOff>229626</xdr:rowOff>
    </xdr:to>
    <xdr:grpSp>
      <xdr:nvGrpSpPr>
        <xdr:cNvPr id="857" name="hinh2">
          <a:extLst>
            <a:ext uri="{FF2B5EF4-FFF2-40B4-BE49-F238E27FC236}">
              <a16:creationId xmlns:a16="http://schemas.microsoft.com/office/drawing/2014/main" id="{B3A2DB69-0EB6-4D14-9C2F-4AF98E920086}"/>
            </a:ext>
          </a:extLst>
        </xdr:cNvPr>
        <xdr:cNvGrpSpPr>
          <a:grpSpLocks noChangeAspect="1"/>
        </xdr:cNvGrpSpPr>
      </xdr:nvGrpSpPr>
      <xdr:grpSpPr bwMode="auto">
        <a:xfrm>
          <a:off x="2083745" y="17115693"/>
          <a:ext cx="875058" cy="163683"/>
          <a:chOff x="206" y="86"/>
          <a:chExt cx="73" cy="16"/>
        </a:xfrm>
      </xdr:grpSpPr>
      <xdr:sp macro="" textlink="">
        <xdr:nvSpPr>
          <xdr:cNvPr id="858" name="Line 6">
            <a:extLst>
              <a:ext uri="{FF2B5EF4-FFF2-40B4-BE49-F238E27FC236}">
                <a16:creationId xmlns:a16="http://schemas.microsoft.com/office/drawing/2014/main" id="{E72ACB22-8F91-B6E0-5028-1BF70E0A47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9" name="Line 7">
            <a:extLst>
              <a:ext uri="{FF2B5EF4-FFF2-40B4-BE49-F238E27FC236}">
                <a16:creationId xmlns:a16="http://schemas.microsoft.com/office/drawing/2014/main" id="{7708317D-A94C-139C-260D-05DD09BFAA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0" name="Line 8">
            <a:extLst>
              <a:ext uri="{FF2B5EF4-FFF2-40B4-BE49-F238E27FC236}">
                <a16:creationId xmlns:a16="http://schemas.microsoft.com/office/drawing/2014/main" id="{A5F08AB3-236D-7D11-56A2-1D370532B0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62</xdr:row>
      <xdr:rowOff>58615</xdr:rowOff>
    </xdr:from>
    <xdr:to>
      <xdr:col>3</xdr:col>
      <xdr:colOff>956961</xdr:colOff>
      <xdr:row>62</xdr:row>
      <xdr:rowOff>209856</xdr:rowOff>
    </xdr:to>
    <xdr:grpSp>
      <xdr:nvGrpSpPr>
        <xdr:cNvPr id="861" name="hinh3">
          <a:extLst>
            <a:ext uri="{FF2B5EF4-FFF2-40B4-BE49-F238E27FC236}">
              <a16:creationId xmlns:a16="http://schemas.microsoft.com/office/drawing/2014/main" id="{46A59E89-F2A4-42A0-8D89-AAC55628079D}"/>
            </a:ext>
          </a:extLst>
        </xdr:cNvPr>
        <xdr:cNvGrpSpPr>
          <a:grpSpLocks noChangeAspect="1"/>
        </xdr:cNvGrpSpPr>
      </xdr:nvGrpSpPr>
      <xdr:grpSpPr bwMode="auto">
        <a:xfrm>
          <a:off x="2095500" y="18047258"/>
          <a:ext cx="861711" cy="151241"/>
          <a:chOff x="206" y="112"/>
          <a:chExt cx="73" cy="16"/>
        </a:xfrm>
      </xdr:grpSpPr>
      <xdr:sp macro="" textlink="">
        <xdr:nvSpPr>
          <xdr:cNvPr id="862" name="Line 3">
            <a:extLst>
              <a:ext uri="{FF2B5EF4-FFF2-40B4-BE49-F238E27FC236}">
                <a16:creationId xmlns:a16="http://schemas.microsoft.com/office/drawing/2014/main" id="{D9FECA02-03D1-AD11-40EF-E1342D71EF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3" name="Line 4">
            <a:extLst>
              <a:ext uri="{FF2B5EF4-FFF2-40B4-BE49-F238E27FC236}">
                <a16:creationId xmlns:a16="http://schemas.microsoft.com/office/drawing/2014/main" id="{F40D9625-C3FF-EC1A-876C-763FCA2B8A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60</xdr:row>
      <xdr:rowOff>271096</xdr:rowOff>
    </xdr:from>
    <xdr:to>
      <xdr:col>3</xdr:col>
      <xdr:colOff>930519</xdr:colOff>
      <xdr:row>60</xdr:row>
      <xdr:rowOff>271096</xdr:rowOff>
    </xdr:to>
    <xdr:cxnSp macro="">
      <xdr:nvCxnSpPr>
        <xdr:cNvPr id="864" name="hinh1">
          <a:extLst>
            <a:ext uri="{FF2B5EF4-FFF2-40B4-BE49-F238E27FC236}">
              <a16:creationId xmlns:a16="http://schemas.microsoft.com/office/drawing/2014/main" id="{510491A5-1728-4250-807A-EE7BC580283F}"/>
            </a:ext>
          </a:extLst>
        </xdr:cNvPr>
        <xdr:cNvCxnSpPr/>
      </xdr:nvCxnSpPr>
      <xdr:spPr>
        <a:xfrm>
          <a:off x="2072432" y="11813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61</xdr:row>
      <xdr:rowOff>194570</xdr:rowOff>
    </xdr:from>
    <xdr:to>
      <xdr:col>3</xdr:col>
      <xdr:colOff>916476</xdr:colOff>
      <xdr:row>61</xdr:row>
      <xdr:rowOff>273398</xdr:rowOff>
    </xdr:to>
    <xdr:grpSp>
      <xdr:nvGrpSpPr>
        <xdr:cNvPr id="865" name="hinh23">
          <a:extLst>
            <a:ext uri="{FF2B5EF4-FFF2-40B4-BE49-F238E27FC236}">
              <a16:creationId xmlns:a16="http://schemas.microsoft.com/office/drawing/2014/main" id="{B22BEA23-4EDF-4FCC-8620-FA7133DA0442}"/>
            </a:ext>
          </a:extLst>
        </xdr:cNvPr>
        <xdr:cNvGrpSpPr>
          <a:grpSpLocks noChangeAspect="1"/>
        </xdr:cNvGrpSpPr>
      </xdr:nvGrpSpPr>
      <xdr:grpSpPr bwMode="auto">
        <a:xfrm>
          <a:off x="2051539" y="17870249"/>
          <a:ext cx="865187" cy="78828"/>
          <a:chOff x="181" y="372"/>
          <a:chExt cx="129" cy="5"/>
        </a:xfrm>
      </xdr:grpSpPr>
      <xdr:sp macro="" textlink="">
        <xdr:nvSpPr>
          <xdr:cNvPr id="866" name="Line 29">
            <a:extLst>
              <a:ext uri="{FF2B5EF4-FFF2-40B4-BE49-F238E27FC236}">
                <a16:creationId xmlns:a16="http://schemas.microsoft.com/office/drawing/2014/main" id="{F3A8B900-BD26-7B58-F4DB-8A1E5E283F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7" name="Line 30">
            <a:extLst>
              <a:ext uri="{FF2B5EF4-FFF2-40B4-BE49-F238E27FC236}">
                <a16:creationId xmlns:a16="http://schemas.microsoft.com/office/drawing/2014/main" id="{A0C483E2-6BF4-CA55-19C7-9AFA7343DF0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8" name="Line 31">
            <a:extLst>
              <a:ext uri="{FF2B5EF4-FFF2-40B4-BE49-F238E27FC236}">
                <a16:creationId xmlns:a16="http://schemas.microsoft.com/office/drawing/2014/main" id="{7D95244C-A6C1-DFD8-A764-7746537292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9" name="Line 32">
            <a:extLst>
              <a:ext uri="{FF2B5EF4-FFF2-40B4-BE49-F238E27FC236}">
                <a16:creationId xmlns:a16="http://schemas.microsoft.com/office/drawing/2014/main" id="{6644D812-105F-264C-5B39-6FC3B6D9CB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0" name="Line 33">
            <a:extLst>
              <a:ext uri="{FF2B5EF4-FFF2-40B4-BE49-F238E27FC236}">
                <a16:creationId xmlns:a16="http://schemas.microsoft.com/office/drawing/2014/main" id="{878A41B9-A69E-71AC-E932-77840160251B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64</xdr:row>
      <xdr:rowOff>65943</xdr:rowOff>
    </xdr:from>
    <xdr:to>
      <xdr:col>3</xdr:col>
      <xdr:colOff>958553</xdr:colOff>
      <xdr:row>64</xdr:row>
      <xdr:rowOff>229626</xdr:rowOff>
    </xdr:to>
    <xdr:grpSp>
      <xdr:nvGrpSpPr>
        <xdr:cNvPr id="871" name="hinh2">
          <a:extLst>
            <a:ext uri="{FF2B5EF4-FFF2-40B4-BE49-F238E27FC236}">
              <a16:creationId xmlns:a16="http://schemas.microsoft.com/office/drawing/2014/main" id="{9901B02A-3F33-4D80-B070-D91B15D525EA}"/>
            </a:ext>
          </a:extLst>
        </xdr:cNvPr>
        <xdr:cNvGrpSpPr>
          <a:grpSpLocks noChangeAspect="1"/>
        </xdr:cNvGrpSpPr>
      </xdr:nvGrpSpPr>
      <xdr:grpSpPr bwMode="auto">
        <a:xfrm>
          <a:off x="2083745" y="18571657"/>
          <a:ext cx="875058" cy="163683"/>
          <a:chOff x="206" y="86"/>
          <a:chExt cx="73" cy="16"/>
        </a:xfrm>
      </xdr:grpSpPr>
      <xdr:sp macro="" textlink="">
        <xdr:nvSpPr>
          <xdr:cNvPr id="872" name="Line 6">
            <a:extLst>
              <a:ext uri="{FF2B5EF4-FFF2-40B4-BE49-F238E27FC236}">
                <a16:creationId xmlns:a16="http://schemas.microsoft.com/office/drawing/2014/main" id="{532EC26E-E276-516E-2A4F-55887D9562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3" name="Line 7">
            <a:extLst>
              <a:ext uri="{FF2B5EF4-FFF2-40B4-BE49-F238E27FC236}">
                <a16:creationId xmlns:a16="http://schemas.microsoft.com/office/drawing/2014/main" id="{096FF986-0677-644C-5635-F3FDD6935C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4" name="Line 8">
            <a:extLst>
              <a:ext uri="{FF2B5EF4-FFF2-40B4-BE49-F238E27FC236}">
                <a16:creationId xmlns:a16="http://schemas.microsoft.com/office/drawing/2014/main" id="{D4D6CBA2-B891-BB3F-A5B7-53893028F2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67</xdr:row>
      <xdr:rowOff>58615</xdr:rowOff>
    </xdr:from>
    <xdr:to>
      <xdr:col>3</xdr:col>
      <xdr:colOff>956961</xdr:colOff>
      <xdr:row>67</xdr:row>
      <xdr:rowOff>209856</xdr:rowOff>
    </xdr:to>
    <xdr:grpSp>
      <xdr:nvGrpSpPr>
        <xdr:cNvPr id="875" name="hinh3">
          <a:extLst>
            <a:ext uri="{FF2B5EF4-FFF2-40B4-BE49-F238E27FC236}">
              <a16:creationId xmlns:a16="http://schemas.microsoft.com/office/drawing/2014/main" id="{C7D6C3F2-F59F-4F0F-90CA-0AF7F2FCB19E}"/>
            </a:ext>
          </a:extLst>
        </xdr:cNvPr>
        <xdr:cNvGrpSpPr>
          <a:grpSpLocks noChangeAspect="1"/>
        </xdr:cNvGrpSpPr>
      </xdr:nvGrpSpPr>
      <xdr:grpSpPr bwMode="auto">
        <a:xfrm>
          <a:off x="2095500" y="19503222"/>
          <a:ext cx="861711" cy="151241"/>
          <a:chOff x="206" y="112"/>
          <a:chExt cx="73" cy="16"/>
        </a:xfrm>
      </xdr:grpSpPr>
      <xdr:sp macro="" textlink="">
        <xdr:nvSpPr>
          <xdr:cNvPr id="876" name="Line 3">
            <a:extLst>
              <a:ext uri="{FF2B5EF4-FFF2-40B4-BE49-F238E27FC236}">
                <a16:creationId xmlns:a16="http://schemas.microsoft.com/office/drawing/2014/main" id="{619EBDF1-9B4E-E37F-0DA6-94829B8F4A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7" name="Line 4">
            <a:extLst>
              <a:ext uri="{FF2B5EF4-FFF2-40B4-BE49-F238E27FC236}">
                <a16:creationId xmlns:a16="http://schemas.microsoft.com/office/drawing/2014/main" id="{0DC7E4D1-25CD-EE64-220F-8AB3B95298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65</xdr:row>
      <xdr:rowOff>271096</xdr:rowOff>
    </xdr:from>
    <xdr:to>
      <xdr:col>3</xdr:col>
      <xdr:colOff>930519</xdr:colOff>
      <xdr:row>65</xdr:row>
      <xdr:rowOff>271096</xdr:rowOff>
    </xdr:to>
    <xdr:cxnSp macro="">
      <xdr:nvCxnSpPr>
        <xdr:cNvPr id="878" name="hinh1">
          <a:extLst>
            <a:ext uri="{FF2B5EF4-FFF2-40B4-BE49-F238E27FC236}">
              <a16:creationId xmlns:a16="http://schemas.microsoft.com/office/drawing/2014/main" id="{6D9FB25E-2461-48BC-9320-885DEEAB9554}"/>
            </a:ext>
          </a:extLst>
        </xdr:cNvPr>
        <xdr:cNvCxnSpPr/>
      </xdr:nvCxnSpPr>
      <xdr:spPr>
        <a:xfrm>
          <a:off x="2072432" y="1326992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66</xdr:row>
      <xdr:rowOff>194570</xdr:rowOff>
    </xdr:from>
    <xdr:to>
      <xdr:col>3</xdr:col>
      <xdr:colOff>916476</xdr:colOff>
      <xdr:row>66</xdr:row>
      <xdr:rowOff>273398</xdr:rowOff>
    </xdr:to>
    <xdr:grpSp>
      <xdr:nvGrpSpPr>
        <xdr:cNvPr id="879" name="hinh23">
          <a:extLst>
            <a:ext uri="{FF2B5EF4-FFF2-40B4-BE49-F238E27FC236}">
              <a16:creationId xmlns:a16="http://schemas.microsoft.com/office/drawing/2014/main" id="{AB14F676-0A42-41F0-9029-59CC045F9A61}"/>
            </a:ext>
          </a:extLst>
        </xdr:cNvPr>
        <xdr:cNvGrpSpPr>
          <a:grpSpLocks noChangeAspect="1"/>
        </xdr:cNvGrpSpPr>
      </xdr:nvGrpSpPr>
      <xdr:grpSpPr bwMode="auto">
        <a:xfrm>
          <a:off x="2051539" y="19326213"/>
          <a:ext cx="865187" cy="78828"/>
          <a:chOff x="181" y="372"/>
          <a:chExt cx="129" cy="5"/>
        </a:xfrm>
      </xdr:grpSpPr>
      <xdr:sp macro="" textlink="">
        <xdr:nvSpPr>
          <xdr:cNvPr id="880" name="Line 29">
            <a:extLst>
              <a:ext uri="{FF2B5EF4-FFF2-40B4-BE49-F238E27FC236}">
                <a16:creationId xmlns:a16="http://schemas.microsoft.com/office/drawing/2014/main" id="{E014D474-D5FA-A03F-3175-ED923574B4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1" name="Line 30">
            <a:extLst>
              <a:ext uri="{FF2B5EF4-FFF2-40B4-BE49-F238E27FC236}">
                <a16:creationId xmlns:a16="http://schemas.microsoft.com/office/drawing/2014/main" id="{94A75F08-2FE0-6F4D-EB72-B35FAEBE4D06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2" name="Line 31">
            <a:extLst>
              <a:ext uri="{FF2B5EF4-FFF2-40B4-BE49-F238E27FC236}">
                <a16:creationId xmlns:a16="http://schemas.microsoft.com/office/drawing/2014/main" id="{839983C8-C9B6-31CB-322E-FD0EE21333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3" name="Line 32">
            <a:extLst>
              <a:ext uri="{FF2B5EF4-FFF2-40B4-BE49-F238E27FC236}">
                <a16:creationId xmlns:a16="http://schemas.microsoft.com/office/drawing/2014/main" id="{0E137944-A5AD-3F36-44B3-752E9C3EFB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4" name="Line 33">
            <a:extLst>
              <a:ext uri="{FF2B5EF4-FFF2-40B4-BE49-F238E27FC236}">
                <a16:creationId xmlns:a16="http://schemas.microsoft.com/office/drawing/2014/main" id="{D45E6BD2-88CA-BDD9-B3F0-FEF603AF3CF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69</xdr:row>
      <xdr:rowOff>65943</xdr:rowOff>
    </xdr:from>
    <xdr:to>
      <xdr:col>3</xdr:col>
      <xdr:colOff>958553</xdr:colOff>
      <xdr:row>69</xdr:row>
      <xdr:rowOff>229626</xdr:rowOff>
    </xdr:to>
    <xdr:grpSp>
      <xdr:nvGrpSpPr>
        <xdr:cNvPr id="885" name="hinh2">
          <a:extLst>
            <a:ext uri="{FF2B5EF4-FFF2-40B4-BE49-F238E27FC236}">
              <a16:creationId xmlns:a16="http://schemas.microsoft.com/office/drawing/2014/main" id="{A03F48A1-AC80-409F-80FE-F59FDC51EE2F}"/>
            </a:ext>
          </a:extLst>
        </xdr:cNvPr>
        <xdr:cNvGrpSpPr>
          <a:grpSpLocks noChangeAspect="1"/>
        </xdr:cNvGrpSpPr>
      </xdr:nvGrpSpPr>
      <xdr:grpSpPr bwMode="auto">
        <a:xfrm>
          <a:off x="2083745" y="20027622"/>
          <a:ext cx="875058" cy="163683"/>
          <a:chOff x="206" y="86"/>
          <a:chExt cx="73" cy="16"/>
        </a:xfrm>
      </xdr:grpSpPr>
      <xdr:sp macro="" textlink="">
        <xdr:nvSpPr>
          <xdr:cNvPr id="886" name="Line 6">
            <a:extLst>
              <a:ext uri="{FF2B5EF4-FFF2-40B4-BE49-F238E27FC236}">
                <a16:creationId xmlns:a16="http://schemas.microsoft.com/office/drawing/2014/main" id="{EA84EF47-2B2E-20E3-195B-5785880E29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7" name="Line 7">
            <a:extLst>
              <a:ext uri="{FF2B5EF4-FFF2-40B4-BE49-F238E27FC236}">
                <a16:creationId xmlns:a16="http://schemas.microsoft.com/office/drawing/2014/main" id="{5D6400B0-8062-8103-9D28-40A74F8174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8" name="Line 8">
            <a:extLst>
              <a:ext uri="{FF2B5EF4-FFF2-40B4-BE49-F238E27FC236}">
                <a16:creationId xmlns:a16="http://schemas.microsoft.com/office/drawing/2014/main" id="{44520CE1-0434-9302-173F-C64F86941D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72</xdr:row>
      <xdr:rowOff>58615</xdr:rowOff>
    </xdr:from>
    <xdr:to>
      <xdr:col>3</xdr:col>
      <xdr:colOff>956961</xdr:colOff>
      <xdr:row>72</xdr:row>
      <xdr:rowOff>209856</xdr:rowOff>
    </xdr:to>
    <xdr:grpSp>
      <xdr:nvGrpSpPr>
        <xdr:cNvPr id="889" name="hinh3">
          <a:extLst>
            <a:ext uri="{FF2B5EF4-FFF2-40B4-BE49-F238E27FC236}">
              <a16:creationId xmlns:a16="http://schemas.microsoft.com/office/drawing/2014/main" id="{7FC42205-AFB7-46B8-8205-84232BBF5CB4}"/>
            </a:ext>
          </a:extLst>
        </xdr:cNvPr>
        <xdr:cNvGrpSpPr>
          <a:grpSpLocks noChangeAspect="1"/>
        </xdr:cNvGrpSpPr>
      </xdr:nvGrpSpPr>
      <xdr:grpSpPr bwMode="auto">
        <a:xfrm>
          <a:off x="2095500" y="20959186"/>
          <a:ext cx="861711" cy="151241"/>
          <a:chOff x="206" y="112"/>
          <a:chExt cx="73" cy="16"/>
        </a:xfrm>
      </xdr:grpSpPr>
      <xdr:sp macro="" textlink="">
        <xdr:nvSpPr>
          <xdr:cNvPr id="890" name="Line 3">
            <a:extLst>
              <a:ext uri="{FF2B5EF4-FFF2-40B4-BE49-F238E27FC236}">
                <a16:creationId xmlns:a16="http://schemas.microsoft.com/office/drawing/2014/main" id="{BA36ECD4-86A2-909D-4551-39C82757D4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1" name="Line 4">
            <a:extLst>
              <a:ext uri="{FF2B5EF4-FFF2-40B4-BE49-F238E27FC236}">
                <a16:creationId xmlns:a16="http://schemas.microsoft.com/office/drawing/2014/main" id="{3557F75C-AE6D-DC56-F49A-F44DCC7F2A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70</xdr:row>
      <xdr:rowOff>271096</xdr:rowOff>
    </xdr:from>
    <xdr:to>
      <xdr:col>3</xdr:col>
      <xdr:colOff>930519</xdr:colOff>
      <xdr:row>70</xdr:row>
      <xdr:rowOff>271096</xdr:rowOff>
    </xdr:to>
    <xdr:cxnSp macro="">
      <xdr:nvCxnSpPr>
        <xdr:cNvPr id="892" name="hinh1">
          <a:extLst>
            <a:ext uri="{FF2B5EF4-FFF2-40B4-BE49-F238E27FC236}">
              <a16:creationId xmlns:a16="http://schemas.microsoft.com/office/drawing/2014/main" id="{A79F1668-814D-472D-B246-A297E3D17D15}"/>
            </a:ext>
          </a:extLst>
        </xdr:cNvPr>
        <xdr:cNvCxnSpPr/>
      </xdr:nvCxnSpPr>
      <xdr:spPr>
        <a:xfrm>
          <a:off x="2072432" y="14726684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71</xdr:row>
      <xdr:rowOff>194570</xdr:rowOff>
    </xdr:from>
    <xdr:to>
      <xdr:col>3</xdr:col>
      <xdr:colOff>916476</xdr:colOff>
      <xdr:row>71</xdr:row>
      <xdr:rowOff>273398</xdr:rowOff>
    </xdr:to>
    <xdr:grpSp>
      <xdr:nvGrpSpPr>
        <xdr:cNvPr id="893" name="hinh23">
          <a:extLst>
            <a:ext uri="{FF2B5EF4-FFF2-40B4-BE49-F238E27FC236}">
              <a16:creationId xmlns:a16="http://schemas.microsoft.com/office/drawing/2014/main" id="{7E5BC6A2-BBE9-4964-8402-2EFCA50466A1}"/>
            </a:ext>
          </a:extLst>
        </xdr:cNvPr>
        <xdr:cNvGrpSpPr>
          <a:grpSpLocks noChangeAspect="1"/>
        </xdr:cNvGrpSpPr>
      </xdr:nvGrpSpPr>
      <xdr:grpSpPr bwMode="auto">
        <a:xfrm>
          <a:off x="2051539" y="20782177"/>
          <a:ext cx="865187" cy="78828"/>
          <a:chOff x="181" y="372"/>
          <a:chExt cx="129" cy="5"/>
        </a:xfrm>
      </xdr:grpSpPr>
      <xdr:sp macro="" textlink="">
        <xdr:nvSpPr>
          <xdr:cNvPr id="894" name="Line 29">
            <a:extLst>
              <a:ext uri="{FF2B5EF4-FFF2-40B4-BE49-F238E27FC236}">
                <a16:creationId xmlns:a16="http://schemas.microsoft.com/office/drawing/2014/main" id="{067F5487-E3F5-1697-1E15-55922AE3E1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5" name="Line 30">
            <a:extLst>
              <a:ext uri="{FF2B5EF4-FFF2-40B4-BE49-F238E27FC236}">
                <a16:creationId xmlns:a16="http://schemas.microsoft.com/office/drawing/2014/main" id="{AB1E8235-9194-012A-C721-645C07AA8F71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6" name="Line 31">
            <a:extLst>
              <a:ext uri="{FF2B5EF4-FFF2-40B4-BE49-F238E27FC236}">
                <a16:creationId xmlns:a16="http://schemas.microsoft.com/office/drawing/2014/main" id="{8B20058D-2238-507E-9AB6-24FF48EBE6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7" name="Line 32">
            <a:extLst>
              <a:ext uri="{FF2B5EF4-FFF2-40B4-BE49-F238E27FC236}">
                <a16:creationId xmlns:a16="http://schemas.microsoft.com/office/drawing/2014/main" id="{F6166BCB-4554-C83C-4540-62E86D8A53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8" name="Line 33">
            <a:extLst>
              <a:ext uri="{FF2B5EF4-FFF2-40B4-BE49-F238E27FC236}">
                <a16:creationId xmlns:a16="http://schemas.microsoft.com/office/drawing/2014/main" id="{56FD4EC1-B226-1CBA-6189-EAC7EB543C9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74</xdr:row>
      <xdr:rowOff>65943</xdr:rowOff>
    </xdr:from>
    <xdr:to>
      <xdr:col>3</xdr:col>
      <xdr:colOff>958553</xdr:colOff>
      <xdr:row>74</xdr:row>
      <xdr:rowOff>229626</xdr:rowOff>
    </xdr:to>
    <xdr:grpSp>
      <xdr:nvGrpSpPr>
        <xdr:cNvPr id="899" name="hinh2">
          <a:extLst>
            <a:ext uri="{FF2B5EF4-FFF2-40B4-BE49-F238E27FC236}">
              <a16:creationId xmlns:a16="http://schemas.microsoft.com/office/drawing/2014/main" id="{589091AE-4BC5-48EB-B6A7-52D09E1AFC7F}"/>
            </a:ext>
          </a:extLst>
        </xdr:cNvPr>
        <xdr:cNvGrpSpPr>
          <a:grpSpLocks noChangeAspect="1"/>
        </xdr:cNvGrpSpPr>
      </xdr:nvGrpSpPr>
      <xdr:grpSpPr bwMode="auto">
        <a:xfrm>
          <a:off x="2083745" y="21483586"/>
          <a:ext cx="875058" cy="163683"/>
          <a:chOff x="206" y="86"/>
          <a:chExt cx="73" cy="16"/>
        </a:xfrm>
      </xdr:grpSpPr>
      <xdr:sp macro="" textlink="">
        <xdr:nvSpPr>
          <xdr:cNvPr id="900" name="Line 6">
            <a:extLst>
              <a:ext uri="{FF2B5EF4-FFF2-40B4-BE49-F238E27FC236}">
                <a16:creationId xmlns:a16="http://schemas.microsoft.com/office/drawing/2014/main" id="{E78A370E-57B0-05DB-9341-DC162460A7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1" name="Line 7">
            <a:extLst>
              <a:ext uri="{FF2B5EF4-FFF2-40B4-BE49-F238E27FC236}">
                <a16:creationId xmlns:a16="http://schemas.microsoft.com/office/drawing/2014/main" id="{176C251C-09EF-B63A-EDB0-C2CF979AF9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2" name="Line 8">
            <a:extLst>
              <a:ext uri="{FF2B5EF4-FFF2-40B4-BE49-F238E27FC236}">
                <a16:creationId xmlns:a16="http://schemas.microsoft.com/office/drawing/2014/main" id="{3A089184-5037-0712-35F7-90A600AD7F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77</xdr:row>
      <xdr:rowOff>58615</xdr:rowOff>
    </xdr:from>
    <xdr:to>
      <xdr:col>3</xdr:col>
      <xdr:colOff>956961</xdr:colOff>
      <xdr:row>77</xdr:row>
      <xdr:rowOff>209856</xdr:rowOff>
    </xdr:to>
    <xdr:grpSp>
      <xdr:nvGrpSpPr>
        <xdr:cNvPr id="903" name="hinh3">
          <a:extLst>
            <a:ext uri="{FF2B5EF4-FFF2-40B4-BE49-F238E27FC236}">
              <a16:creationId xmlns:a16="http://schemas.microsoft.com/office/drawing/2014/main" id="{895B4285-D461-40FE-B67C-4D134086A382}"/>
            </a:ext>
          </a:extLst>
        </xdr:cNvPr>
        <xdr:cNvGrpSpPr>
          <a:grpSpLocks noChangeAspect="1"/>
        </xdr:cNvGrpSpPr>
      </xdr:nvGrpSpPr>
      <xdr:grpSpPr bwMode="auto">
        <a:xfrm>
          <a:off x="2095500" y="22415151"/>
          <a:ext cx="861711" cy="151241"/>
          <a:chOff x="206" y="112"/>
          <a:chExt cx="73" cy="16"/>
        </a:xfrm>
      </xdr:grpSpPr>
      <xdr:sp macro="" textlink="">
        <xdr:nvSpPr>
          <xdr:cNvPr id="904" name="Line 3">
            <a:extLst>
              <a:ext uri="{FF2B5EF4-FFF2-40B4-BE49-F238E27FC236}">
                <a16:creationId xmlns:a16="http://schemas.microsoft.com/office/drawing/2014/main" id="{79B420A6-D368-8E41-3C55-EA91428051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5" name="Line 4">
            <a:extLst>
              <a:ext uri="{FF2B5EF4-FFF2-40B4-BE49-F238E27FC236}">
                <a16:creationId xmlns:a16="http://schemas.microsoft.com/office/drawing/2014/main" id="{923627A4-3137-C695-7370-9FCFDDC5AA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75</xdr:row>
      <xdr:rowOff>271096</xdr:rowOff>
    </xdr:from>
    <xdr:to>
      <xdr:col>3</xdr:col>
      <xdr:colOff>930519</xdr:colOff>
      <xdr:row>75</xdr:row>
      <xdr:rowOff>271096</xdr:rowOff>
    </xdr:to>
    <xdr:cxnSp macro="">
      <xdr:nvCxnSpPr>
        <xdr:cNvPr id="906" name="hinh1">
          <a:extLst>
            <a:ext uri="{FF2B5EF4-FFF2-40B4-BE49-F238E27FC236}">
              <a16:creationId xmlns:a16="http://schemas.microsoft.com/office/drawing/2014/main" id="{D2985CBB-864F-4B72-BC3E-5283AF3FF2EF}"/>
            </a:ext>
          </a:extLst>
        </xdr:cNvPr>
        <xdr:cNvCxnSpPr/>
      </xdr:nvCxnSpPr>
      <xdr:spPr>
        <a:xfrm>
          <a:off x="2072432" y="16183449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76</xdr:row>
      <xdr:rowOff>194570</xdr:rowOff>
    </xdr:from>
    <xdr:to>
      <xdr:col>3</xdr:col>
      <xdr:colOff>916476</xdr:colOff>
      <xdr:row>76</xdr:row>
      <xdr:rowOff>273398</xdr:rowOff>
    </xdr:to>
    <xdr:grpSp>
      <xdr:nvGrpSpPr>
        <xdr:cNvPr id="907" name="hinh23">
          <a:extLst>
            <a:ext uri="{FF2B5EF4-FFF2-40B4-BE49-F238E27FC236}">
              <a16:creationId xmlns:a16="http://schemas.microsoft.com/office/drawing/2014/main" id="{38799031-8948-495C-8F77-CDCC017D9AA6}"/>
            </a:ext>
          </a:extLst>
        </xdr:cNvPr>
        <xdr:cNvGrpSpPr>
          <a:grpSpLocks noChangeAspect="1"/>
        </xdr:cNvGrpSpPr>
      </xdr:nvGrpSpPr>
      <xdr:grpSpPr bwMode="auto">
        <a:xfrm>
          <a:off x="2051539" y="22238141"/>
          <a:ext cx="865187" cy="78828"/>
          <a:chOff x="181" y="372"/>
          <a:chExt cx="129" cy="5"/>
        </a:xfrm>
      </xdr:grpSpPr>
      <xdr:sp macro="" textlink="">
        <xdr:nvSpPr>
          <xdr:cNvPr id="908" name="Line 29">
            <a:extLst>
              <a:ext uri="{FF2B5EF4-FFF2-40B4-BE49-F238E27FC236}">
                <a16:creationId xmlns:a16="http://schemas.microsoft.com/office/drawing/2014/main" id="{F60A3BEC-65B5-24C7-0218-351C1708D3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9" name="Line 30">
            <a:extLst>
              <a:ext uri="{FF2B5EF4-FFF2-40B4-BE49-F238E27FC236}">
                <a16:creationId xmlns:a16="http://schemas.microsoft.com/office/drawing/2014/main" id="{6C4445C1-DE5D-BAD8-50F5-A550D0B3E45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0" name="Line 31">
            <a:extLst>
              <a:ext uri="{FF2B5EF4-FFF2-40B4-BE49-F238E27FC236}">
                <a16:creationId xmlns:a16="http://schemas.microsoft.com/office/drawing/2014/main" id="{EDCC7360-E0C1-9167-4EAB-7B1D72C92C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1" name="Line 32">
            <a:extLst>
              <a:ext uri="{FF2B5EF4-FFF2-40B4-BE49-F238E27FC236}">
                <a16:creationId xmlns:a16="http://schemas.microsoft.com/office/drawing/2014/main" id="{DA43D314-E8CF-BE2F-C8A1-E84170EEF2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2" name="Line 33">
            <a:extLst>
              <a:ext uri="{FF2B5EF4-FFF2-40B4-BE49-F238E27FC236}">
                <a16:creationId xmlns:a16="http://schemas.microsoft.com/office/drawing/2014/main" id="{1739B071-B02B-C3B0-615B-516D8CE2F5A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79</xdr:row>
      <xdr:rowOff>65943</xdr:rowOff>
    </xdr:from>
    <xdr:to>
      <xdr:col>3</xdr:col>
      <xdr:colOff>958553</xdr:colOff>
      <xdr:row>79</xdr:row>
      <xdr:rowOff>229626</xdr:rowOff>
    </xdr:to>
    <xdr:grpSp>
      <xdr:nvGrpSpPr>
        <xdr:cNvPr id="913" name="hinh2">
          <a:extLst>
            <a:ext uri="{FF2B5EF4-FFF2-40B4-BE49-F238E27FC236}">
              <a16:creationId xmlns:a16="http://schemas.microsoft.com/office/drawing/2014/main" id="{355E7201-AD3D-40D6-85B6-5C27776FE4E3}"/>
            </a:ext>
          </a:extLst>
        </xdr:cNvPr>
        <xdr:cNvGrpSpPr>
          <a:grpSpLocks noChangeAspect="1"/>
        </xdr:cNvGrpSpPr>
      </xdr:nvGrpSpPr>
      <xdr:grpSpPr bwMode="auto">
        <a:xfrm>
          <a:off x="2083745" y="22939550"/>
          <a:ext cx="875058" cy="163683"/>
          <a:chOff x="206" y="86"/>
          <a:chExt cx="73" cy="16"/>
        </a:xfrm>
      </xdr:grpSpPr>
      <xdr:sp macro="" textlink="">
        <xdr:nvSpPr>
          <xdr:cNvPr id="914" name="Line 6">
            <a:extLst>
              <a:ext uri="{FF2B5EF4-FFF2-40B4-BE49-F238E27FC236}">
                <a16:creationId xmlns:a16="http://schemas.microsoft.com/office/drawing/2014/main" id="{315EE16F-662D-DF9F-6D17-A47EFAED32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5" name="Line 7">
            <a:extLst>
              <a:ext uri="{FF2B5EF4-FFF2-40B4-BE49-F238E27FC236}">
                <a16:creationId xmlns:a16="http://schemas.microsoft.com/office/drawing/2014/main" id="{DC6C6E52-FA56-55D7-F818-3F1E53A5E1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6" name="Line 8">
            <a:extLst>
              <a:ext uri="{FF2B5EF4-FFF2-40B4-BE49-F238E27FC236}">
                <a16:creationId xmlns:a16="http://schemas.microsoft.com/office/drawing/2014/main" id="{CE85150E-0BD2-4ED6-4948-2B6300CB8D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82</xdr:row>
      <xdr:rowOff>58615</xdr:rowOff>
    </xdr:from>
    <xdr:to>
      <xdr:col>3</xdr:col>
      <xdr:colOff>956961</xdr:colOff>
      <xdr:row>82</xdr:row>
      <xdr:rowOff>209856</xdr:rowOff>
    </xdr:to>
    <xdr:grpSp>
      <xdr:nvGrpSpPr>
        <xdr:cNvPr id="917" name="hinh3">
          <a:extLst>
            <a:ext uri="{FF2B5EF4-FFF2-40B4-BE49-F238E27FC236}">
              <a16:creationId xmlns:a16="http://schemas.microsoft.com/office/drawing/2014/main" id="{7EB23139-B130-4366-96AB-721EFBE1CB51}"/>
            </a:ext>
          </a:extLst>
        </xdr:cNvPr>
        <xdr:cNvGrpSpPr>
          <a:grpSpLocks noChangeAspect="1"/>
        </xdr:cNvGrpSpPr>
      </xdr:nvGrpSpPr>
      <xdr:grpSpPr bwMode="auto">
        <a:xfrm>
          <a:off x="2095500" y="23871115"/>
          <a:ext cx="861711" cy="151241"/>
          <a:chOff x="206" y="112"/>
          <a:chExt cx="73" cy="16"/>
        </a:xfrm>
      </xdr:grpSpPr>
      <xdr:sp macro="" textlink="">
        <xdr:nvSpPr>
          <xdr:cNvPr id="918" name="Line 3">
            <a:extLst>
              <a:ext uri="{FF2B5EF4-FFF2-40B4-BE49-F238E27FC236}">
                <a16:creationId xmlns:a16="http://schemas.microsoft.com/office/drawing/2014/main" id="{D750627A-AF59-B2B2-50A9-4A1E77503B5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9" name="Line 4">
            <a:extLst>
              <a:ext uri="{FF2B5EF4-FFF2-40B4-BE49-F238E27FC236}">
                <a16:creationId xmlns:a16="http://schemas.microsoft.com/office/drawing/2014/main" id="{117336AC-F3CB-4FBD-75CE-F5F3F30605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80</xdr:row>
      <xdr:rowOff>271096</xdr:rowOff>
    </xdr:from>
    <xdr:to>
      <xdr:col>3</xdr:col>
      <xdr:colOff>930519</xdr:colOff>
      <xdr:row>80</xdr:row>
      <xdr:rowOff>271096</xdr:rowOff>
    </xdr:to>
    <xdr:cxnSp macro="">
      <xdr:nvCxnSpPr>
        <xdr:cNvPr id="920" name="hinh1">
          <a:extLst>
            <a:ext uri="{FF2B5EF4-FFF2-40B4-BE49-F238E27FC236}">
              <a16:creationId xmlns:a16="http://schemas.microsoft.com/office/drawing/2014/main" id="{96E80F2F-F5CA-45B6-8396-5EE5E4EC8514}"/>
            </a:ext>
          </a:extLst>
        </xdr:cNvPr>
        <xdr:cNvCxnSpPr/>
      </xdr:nvCxnSpPr>
      <xdr:spPr>
        <a:xfrm>
          <a:off x="2072432" y="22010508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81</xdr:row>
      <xdr:rowOff>194570</xdr:rowOff>
    </xdr:from>
    <xdr:to>
      <xdr:col>3</xdr:col>
      <xdr:colOff>916476</xdr:colOff>
      <xdr:row>81</xdr:row>
      <xdr:rowOff>273398</xdr:rowOff>
    </xdr:to>
    <xdr:grpSp>
      <xdr:nvGrpSpPr>
        <xdr:cNvPr id="921" name="hinh23">
          <a:extLst>
            <a:ext uri="{FF2B5EF4-FFF2-40B4-BE49-F238E27FC236}">
              <a16:creationId xmlns:a16="http://schemas.microsoft.com/office/drawing/2014/main" id="{855331F7-1B2E-4535-8C31-5EE8B3A24EC2}"/>
            </a:ext>
          </a:extLst>
        </xdr:cNvPr>
        <xdr:cNvGrpSpPr>
          <a:grpSpLocks noChangeAspect="1"/>
        </xdr:cNvGrpSpPr>
      </xdr:nvGrpSpPr>
      <xdr:grpSpPr bwMode="auto">
        <a:xfrm>
          <a:off x="2051539" y="23694106"/>
          <a:ext cx="865187" cy="78828"/>
          <a:chOff x="181" y="372"/>
          <a:chExt cx="129" cy="5"/>
        </a:xfrm>
      </xdr:grpSpPr>
      <xdr:sp macro="" textlink="">
        <xdr:nvSpPr>
          <xdr:cNvPr id="922" name="Line 29">
            <a:extLst>
              <a:ext uri="{FF2B5EF4-FFF2-40B4-BE49-F238E27FC236}">
                <a16:creationId xmlns:a16="http://schemas.microsoft.com/office/drawing/2014/main" id="{196EC3EA-83FC-E0CC-BCDF-0EF6CB3385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" name="Line 30">
            <a:extLst>
              <a:ext uri="{FF2B5EF4-FFF2-40B4-BE49-F238E27FC236}">
                <a16:creationId xmlns:a16="http://schemas.microsoft.com/office/drawing/2014/main" id="{1EC2847F-E0A3-FC42-A7CE-0BFBA1F72DE6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" name="Line 31">
            <a:extLst>
              <a:ext uri="{FF2B5EF4-FFF2-40B4-BE49-F238E27FC236}">
                <a16:creationId xmlns:a16="http://schemas.microsoft.com/office/drawing/2014/main" id="{B45D1EF5-923F-1FEA-C284-FA0B00DB3C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" name="Line 32">
            <a:extLst>
              <a:ext uri="{FF2B5EF4-FFF2-40B4-BE49-F238E27FC236}">
                <a16:creationId xmlns:a16="http://schemas.microsoft.com/office/drawing/2014/main" id="{4DECFA51-FDDF-B146-482D-D919C358FB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" name="Line 33">
            <a:extLst>
              <a:ext uri="{FF2B5EF4-FFF2-40B4-BE49-F238E27FC236}">
                <a16:creationId xmlns:a16="http://schemas.microsoft.com/office/drawing/2014/main" id="{9C7C4A43-2716-CCC1-C2E2-6FF997F1FC4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94</xdr:row>
      <xdr:rowOff>65943</xdr:rowOff>
    </xdr:from>
    <xdr:to>
      <xdr:col>3</xdr:col>
      <xdr:colOff>958553</xdr:colOff>
      <xdr:row>94</xdr:row>
      <xdr:rowOff>229626</xdr:rowOff>
    </xdr:to>
    <xdr:grpSp>
      <xdr:nvGrpSpPr>
        <xdr:cNvPr id="927" name="hinh2">
          <a:extLst>
            <a:ext uri="{FF2B5EF4-FFF2-40B4-BE49-F238E27FC236}">
              <a16:creationId xmlns:a16="http://schemas.microsoft.com/office/drawing/2014/main" id="{E97464B3-0AAC-4AF6-88A8-E012B9EEF010}"/>
            </a:ext>
          </a:extLst>
        </xdr:cNvPr>
        <xdr:cNvGrpSpPr>
          <a:grpSpLocks noChangeAspect="1"/>
        </xdr:cNvGrpSpPr>
      </xdr:nvGrpSpPr>
      <xdr:grpSpPr bwMode="auto">
        <a:xfrm>
          <a:off x="2083745" y="27525157"/>
          <a:ext cx="875058" cy="163683"/>
          <a:chOff x="206" y="86"/>
          <a:chExt cx="73" cy="16"/>
        </a:xfrm>
      </xdr:grpSpPr>
      <xdr:sp macro="" textlink="">
        <xdr:nvSpPr>
          <xdr:cNvPr id="928" name="Line 6">
            <a:extLst>
              <a:ext uri="{FF2B5EF4-FFF2-40B4-BE49-F238E27FC236}">
                <a16:creationId xmlns:a16="http://schemas.microsoft.com/office/drawing/2014/main" id="{5E2D15A7-7AAB-F815-250D-DFD331002E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9" name="Line 7">
            <a:extLst>
              <a:ext uri="{FF2B5EF4-FFF2-40B4-BE49-F238E27FC236}">
                <a16:creationId xmlns:a16="http://schemas.microsoft.com/office/drawing/2014/main" id="{883FF3FE-16F8-F68E-BFCF-18BABA533C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0" name="Line 8">
            <a:extLst>
              <a:ext uri="{FF2B5EF4-FFF2-40B4-BE49-F238E27FC236}">
                <a16:creationId xmlns:a16="http://schemas.microsoft.com/office/drawing/2014/main" id="{66B0A445-7C5F-6A2F-70BC-6412DE6CF1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97</xdr:row>
      <xdr:rowOff>58615</xdr:rowOff>
    </xdr:from>
    <xdr:to>
      <xdr:col>3</xdr:col>
      <xdr:colOff>956961</xdr:colOff>
      <xdr:row>97</xdr:row>
      <xdr:rowOff>209856</xdr:rowOff>
    </xdr:to>
    <xdr:grpSp>
      <xdr:nvGrpSpPr>
        <xdr:cNvPr id="931" name="hinh3">
          <a:extLst>
            <a:ext uri="{FF2B5EF4-FFF2-40B4-BE49-F238E27FC236}">
              <a16:creationId xmlns:a16="http://schemas.microsoft.com/office/drawing/2014/main" id="{50C0E09D-FE60-449E-96E0-8A71527D9685}"/>
            </a:ext>
          </a:extLst>
        </xdr:cNvPr>
        <xdr:cNvGrpSpPr>
          <a:grpSpLocks noChangeAspect="1"/>
        </xdr:cNvGrpSpPr>
      </xdr:nvGrpSpPr>
      <xdr:grpSpPr bwMode="auto">
        <a:xfrm>
          <a:off x="2095500" y="28456722"/>
          <a:ext cx="861711" cy="151241"/>
          <a:chOff x="206" y="112"/>
          <a:chExt cx="73" cy="16"/>
        </a:xfrm>
      </xdr:grpSpPr>
      <xdr:sp macro="" textlink="">
        <xdr:nvSpPr>
          <xdr:cNvPr id="932" name="Line 3">
            <a:extLst>
              <a:ext uri="{FF2B5EF4-FFF2-40B4-BE49-F238E27FC236}">
                <a16:creationId xmlns:a16="http://schemas.microsoft.com/office/drawing/2014/main" id="{B96D3A72-30B5-D5BD-6CC3-543BFE6A51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3" name="Line 4">
            <a:extLst>
              <a:ext uri="{FF2B5EF4-FFF2-40B4-BE49-F238E27FC236}">
                <a16:creationId xmlns:a16="http://schemas.microsoft.com/office/drawing/2014/main" id="{55BB0E67-CD21-5C98-6F7A-6ED8CA7A14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95</xdr:row>
      <xdr:rowOff>271096</xdr:rowOff>
    </xdr:from>
    <xdr:to>
      <xdr:col>3</xdr:col>
      <xdr:colOff>930519</xdr:colOff>
      <xdr:row>95</xdr:row>
      <xdr:rowOff>271096</xdr:rowOff>
    </xdr:to>
    <xdr:cxnSp macro="">
      <xdr:nvCxnSpPr>
        <xdr:cNvPr id="934" name="hinh1">
          <a:extLst>
            <a:ext uri="{FF2B5EF4-FFF2-40B4-BE49-F238E27FC236}">
              <a16:creationId xmlns:a16="http://schemas.microsoft.com/office/drawing/2014/main" id="{ED24F989-044D-44A6-B3B1-6D15E2F6EE2A}"/>
            </a:ext>
          </a:extLst>
        </xdr:cNvPr>
        <xdr:cNvCxnSpPr/>
      </xdr:nvCxnSpPr>
      <xdr:spPr>
        <a:xfrm>
          <a:off x="2072432" y="11813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96</xdr:row>
      <xdr:rowOff>194570</xdr:rowOff>
    </xdr:from>
    <xdr:to>
      <xdr:col>3</xdr:col>
      <xdr:colOff>916476</xdr:colOff>
      <xdr:row>96</xdr:row>
      <xdr:rowOff>273398</xdr:rowOff>
    </xdr:to>
    <xdr:grpSp>
      <xdr:nvGrpSpPr>
        <xdr:cNvPr id="935" name="hinh23">
          <a:extLst>
            <a:ext uri="{FF2B5EF4-FFF2-40B4-BE49-F238E27FC236}">
              <a16:creationId xmlns:a16="http://schemas.microsoft.com/office/drawing/2014/main" id="{F5C58CE1-C3C7-410F-BF65-4C44D1BF03CB}"/>
            </a:ext>
          </a:extLst>
        </xdr:cNvPr>
        <xdr:cNvGrpSpPr>
          <a:grpSpLocks noChangeAspect="1"/>
        </xdr:cNvGrpSpPr>
      </xdr:nvGrpSpPr>
      <xdr:grpSpPr bwMode="auto">
        <a:xfrm>
          <a:off x="2051539" y="28279713"/>
          <a:ext cx="865187" cy="78828"/>
          <a:chOff x="181" y="372"/>
          <a:chExt cx="129" cy="5"/>
        </a:xfrm>
      </xdr:grpSpPr>
      <xdr:sp macro="" textlink="">
        <xdr:nvSpPr>
          <xdr:cNvPr id="936" name="Line 29">
            <a:extLst>
              <a:ext uri="{FF2B5EF4-FFF2-40B4-BE49-F238E27FC236}">
                <a16:creationId xmlns:a16="http://schemas.microsoft.com/office/drawing/2014/main" id="{A29702C8-A06E-96DE-266E-2F2E1A5708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7" name="Line 30">
            <a:extLst>
              <a:ext uri="{FF2B5EF4-FFF2-40B4-BE49-F238E27FC236}">
                <a16:creationId xmlns:a16="http://schemas.microsoft.com/office/drawing/2014/main" id="{91077342-F6A6-1F42-E630-C64C2238D3E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8" name="Line 31">
            <a:extLst>
              <a:ext uri="{FF2B5EF4-FFF2-40B4-BE49-F238E27FC236}">
                <a16:creationId xmlns:a16="http://schemas.microsoft.com/office/drawing/2014/main" id="{8394B4F6-9948-989D-64C4-A98EC89D12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9" name="Line 32">
            <a:extLst>
              <a:ext uri="{FF2B5EF4-FFF2-40B4-BE49-F238E27FC236}">
                <a16:creationId xmlns:a16="http://schemas.microsoft.com/office/drawing/2014/main" id="{5E8DF3E2-B4E8-75C0-11FB-77E3C92895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0" name="Line 33">
            <a:extLst>
              <a:ext uri="{FF2B5EF4-FFF2-40B4-BE49-F238E27FC236}">
                <a16:creationId xmlns:a16="http://schemas.microsoft.com/office/drawing/2014/main" id="{344E163F-64DA-F7CD-14D7-CCB33644573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99</xdr:row>
      <xdr:rowOff>65943</xdr:rowOff>
    </xdr:from>
    <xdr:to>
      <xdr:col>3</xdr:col>
      <xdr:colOff>958553</xdr:colOff>
      <xdr:row>99</xdr:row>
      <xdr:rowOff>229626</xdr:rowOff>
    </xdr:to>
    <xdr:grpSp>
      <xdr:nvGrpSpPr>
        <xdr:cNvPr id="941" name="hinh2">
          <a:extLst>
            <a:ext uri="{FF2B5EF4-FFF2-40B4-BE49-F238E27FC236}">
              <a16:creationId xmlns:a16="http://schemas.microsoft.com/office/drawing/2014/main" id="{3A2E7F7B-A041-48E2-89C8-B4D02E6BACA3}"/>
            </a:ext>
          </a:extLst>
        </xdr:cNvPr>
        <xdr:cNvGrpSpPr>
          <a:grpSpLocks noChangeAspect="1"/>
        </xdr:cNvGrpSpPr>
      </xdr:nvGrpSpPr>
      <xdr:grpSpPr bwMode="auto">
        <a:xfrm>
          <a:off x="2083745" y="28981122"/>
          <a:ext cx="875058" cy="163683"/>
          <a:chOff x="206" y="86"/>
          <a:chExt cx="73" cy="16"/>
        </a:xfrm>
      </xdr:grpSpPr>
      <xdr:sp macro="" textlink="">
        <xdr:nvSpPr>
          <xdr:cNvPr id="942" name="Line 6">
            <a:extLst>
              <a:ext uri="{FF2B5EF4-FFF2-40B4-BE49-F238E27FC236}">
                <a16:creationId xmlns:a16="http://schemas.microsoft.com/office/drawing/2014/main" id="{5D4865AE-F877-3804-25C6-1067EB20B2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3" name="Line 7">
            <a:extLst>
              <a:ext uri="{FF2B5EF4-FFF2-40B4-BE49-F238E27FC236}">
                <a16:creationId xmlns:a16="http://schemas.microsoft.com/office/drawing/2014/main" id="{85DC3518-6FB1-569C-EB67-B585F552BC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4" name="Line 8">
            <a:extLst>
              <a:ext uri="{FF2B5EF4-FFF2-40B4-BE49-F238E27FC236}">
                <a16:creationId xmlns:a16="http://schemas.microsoft.com/office/drawing/2014/main" id="{E485F5D1-2BAA-3FAD-3523-E0D7D4832B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102</xdr:row>
      <xdr:rowOff>58615</xdr:rowOff>
    </xdr:from>
    <xdr:to>
      <xdr:col>3</xdr:col>
      <xdr:colOff>956961</xdr:colOff>
      <xdr:row>102</xdr:row>
      <xdr:rowOff>209856</xdr:rowOff>
    </xdr:to>
    <xdr:grpSp>
      <xdr:nvGrpSpPr>
        <xdr:cNvPr id="945" name="hinh3">
          <a:extLst>
            <a:ext uri="{FF2B5EF4-FFF2-40B4-BE49-F238E27FC236}">
              <a16:creationId xmlns:a16="http://schemas.microsoft.com/office/drawing/2014/main" id="{A2268EA4-9F9A-4D2F-A4F9-51D087FDB57D}"/>
            </a:ext>
          </a:extLst>
        </xdr:cNvPr>
        <xdr:cNvGrpSpPr>
          <a:grpSpLocks noChangeAspect="1"/>
        </xdr:cNvGrpSpPr>
      </xdr:nvGrpSpPr>
      <xdr:grpSpPr bwMode="auto">
        <a:xfrm>
          <a:off x="2095500" y="29912686"/>
          <a:ext cx="861711" cy="151241"/>
          <a:chOff x="206" y="112"/>
          <a:chExt cx="73" cy="16"/>
        </a:xfrm>
      </xdr:grpSpPr>
      <xdr:sp macro="" textlink="">
        <xdr:nvSpPr>
          <xdr:cNvPr id="946" name="Line 3">
            <a:extLst>
              <a:ext uri="{FF2B5EF4-FFF2-40B4-BE49-F238E27FC236}">
                <a16:creationId xmlns:a16="http://schemas.microsoft.com/office/drawing/2014/main" id="{161F1622-5127-1930-A2A9-1C6D21A46D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7" name="Line 4">
            <a:extLst>
              <a:ext uri="{FF2B5EF4-FFF2-40B4-BE49-F238E27FC236}">
                <a16:creationId xmlns:a16="http://schemas.microsoft.com/office/drawing/2014/main" id="{6EFD9DBC-C058-0C3E-F039-EABAFE25EC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100</xdr:row>
      <xdr:rowOff>271096</xdr:rowOff>
    </xdr:from>
    <xdr:to>
      <xdr:col>3</xdr:col>
      <xdr:colOff>930519</xdr:colOff>
      <xdr:row>100</xdr:row>
      <xdr:rowOff>271096</xdr:rowOff>
    </xdr:to>
    <xdr:cxnSp macro="">
      <xdr:nvCxnSpPr>
        <xdr:cNvPr id="948" name="hinh1">
          <a:extLst>
            <a:ext uri="{FF2B5EF4-FFF2-40B4-BE49-F238E27FC236}">
              <a16:creationId xmlns:a16="http://schemas.microsoft.com/office/drawing/2014/main" id="{04604713-3503-45DF-8B39-BE33210DAC66}"/>
            </a:ext>
          </a:extLst>
        </xdr:cNvPr>
        <xdr:cNvCxnSpPr/>
      </xdr:nvCxnSpPr>
      <xdr:spPr>
        <a:xfrm>
          <a:off x="2072432" y="1326992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101</xdr:row>
      <xdr:rowOff>194570</xdr:rowOff>
    </xdr:from>
    <xdr:to>
      <xdr:col>3</xdr:col>
      <xdr:colOff>916476</xdr:colOff>
      <xdr:row>101</xdr:row>
      <xdr:rowOff>273398</xdr:rowOff>
    </xdr:to>
    <xdr:grpSp>
      <xdr:nvGrpSpPr>
        <xdr:cNvPr id="949" name="hinh23">
          <a:extLst>
            <a:ext uri="{FF2B5EF4-FFF2-40B4-BE49-F238E27FC236}">
              <a16:creationId xmlns:a16="http://schemas.microsoft.com/office/drawing/2014/main" id="{307377B9-5BCF-4C44-9C72-EA81B8D42530}"/>
            </a:ext>
          </a:extLst>
        </xdr:cNvPr>
        <xdr:cNvGrpSpPr>
          <a:grpSpLocks noChangeAspect="1"/>
        </xdr:cNvGrpSpPr>
      </xdr:nvGrpSpPr>
      <xdr:grpSpPr bwMode="auto">
        <a:xfrm>
          <a:off x="2051539" y="29735677"/>
          <a:ext cx="865187" cy="78828"/>
          <a:chOff x="181" y="372"/>
          <a:chExt cx="129" cy="5"/>
        </a:xfrm>
      </xdr:grpSpPr>
      <xdr:sp macro="" textlink="">
        <xdr:nvSpPr>
          <xdr:cNvPr id="950" name="Line 29">
            <a:extLst>
              <a:ext uri="{FF2B5EF4-FFF2-40B4-BE49-F238E27FC236}">
                <a16:creationId xmlns:a16="http://schemas.microsoft.com/office/drawing/2014/main" id="{239039D5-4E8B-5A5B-6DA4-9B1FECC8EC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1" name="Line 30">
            <a:extLst>
              <a:ext uri="{FF2B5EF4-FFF2-40B4-BE49-F238E27FC236}">
                <a16:creationId xmlns:a16="http://schemas.microsoft.com/office/drawing/2014/main" id="{C7AB8A77-CF7A-6CF8-19F5-12844806070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2" name="Line 31">
            <a:extLst>
              <a:ext uri="{FF2B5EF4-FFF2-40B4-BE49-F238E27FC236}">
                <a16:creationId xmlns:a16="http://schemas.microsoft.com/office/drawing/2014/main" id="{87DE6F74-BB64-2E92-0B76-2733168E5B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3" name="Line 32">
            <a:extLst>
              <a:ext uri="{FF2B5EF4-FFF2-40B4-BE49-F238E27FC236}">
                <a16:creationId xmlns:a16="http://schemas.microsoft.com/office/drawing/2014/main" id="{B0110506-4EBD-256F-6BF2-B32DF38D17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4" name="Line 33">
            <a:extLst>
              <a:ext uri="{FF2B5EF4-FFF2-40B4-BE49-F238E27FC236}">
                <a16:creationId xmlns:a16="http://schemas.microsoft.com/office/drawing/2014/main" id="{7B16DD2A-5D8B-D1EA-01DF-8B37612FF24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104</xdr:row>
      <xdr:rowOff>65943</xdr:rowOff>
    </xdr:from>
    <xdr:to>
      <xdr:col>3</xdr:col>
      <xdr:colOff>958553</xdr:colOff>
      <xdr:row>104</xdr:row>
      <xdr:rowOff>229626</xdr:rowOff>
    </xdr:to>
    <xdr:grpSp>
      <xdr:nvGrpSpPr>
        <xdr:cNvPr id="955" name="hinh2">
          <a:extLst>
            <a:ext uri="{FF2B5EF4-FFF2-40B4-BE49-F238E27FC236}">
              <a16:creationId xmlns:a16="http://schemas.microsoft.com/office/drawing/2014/main" id="{A6FE6AB4-76F0-4904-B1E8-4CD1AD4E25B9}"/>
            </a:ext>
          </a:extLst>
        </xdr:cNvPr>
        <xdr:cNvGrpSpPr>
          <a:grpSpLocks noChangeAspect="1"/>
        </xdr:cNvGrpSpPr>
      </xdr:nvGrpSpPr>
      <xdr:grpSpPr bwMode="auto">
        <a:xfrm>
          <a:off x="2083745" y="30437086"/>
          <a:ext cx="875058" cy="163683"/>
          <a:chOff x="206" y="86"/>
          <a:chExt cx="73" cy="16"/>
        </a:xfrm>
      </xdr:grpSpPr>
      <xdr:sp macro="" textlink="">
        <xdr:nvSpPr>
          <xdr:cNvPr id="956" name="Line 6">
            <a:extLst>
              <a:ext uri="{FF2B5EF4-FFF2-40B4-BE49-F238E27FC236}">
                <a16:creationId xmlns:a16="http://schemas.microsoft.com/office/drawing/2014/main" id="{A31741D5-185B-C9C8-1C50-D1D2792A57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7" name="Line 7">
            <a:extLst>
              <a:ext uri="{FF2B5EF4-FFF2-40B4-BE49-F238E27FC236}">
                <a16:creationId xmlns:a16="http://schemas.microsoft.com/office/drawing/2014/main" id="{8FC06B9B-43B4-1BBB-9525-297D1E7E49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8" name="Line 8">
            <a:extLst>
              <a:ext uri="{FF2B5EF4-FFF2-40B4-BE49-F238E27FC236}">
                <a16:creationId xmlns:a16="http://schemas.microsoft.com/office/drawing/2014/main" id="{449113B6-2CDC-D95E-CFCA-8A3ED8CA5C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107</xdr:row>
      <xdr:rowOff>58615</xdr:rowOff>
    </xdr:from>
    <xdr:to>
      <xdr:col>3</xdr:col>
      <xdr:colOff>956961</xdr:colOff>
      <xdr:row>107</xdr:row>
      <xdr:rowOff>209856</xdr:rowOff>
    </xdr:to>
    <xdr:grpSp>
      <xdr:nvGrpSpPr>
        <xdr:cNvPr id="959" name="hinh3">
          <a:extLst>
            <a:ext uri="{FF2B5EF4-FFF2-40B4-BE49-F238E27FC236}">
              <a16:creationId xmlns:a16="http://schemas.microsoft.com/office/drawing/2014/main" id="{E6C3E8E2-F3AD-4D42-A45D-4B2EBA5CA549}"/>
            </a:ext>
          </a:extLst>
        </xdr:cNvPr>
        <xdr:cNvGrpSpPr>
          <a:grpSpLocks noChangeAspect="1"/>
        </xdr:cNvGrpSpPr>
      </xdr:nvGrpSpPr>
      <xdr:grpSpPr bwMode="auto">
        <a:xfrm>
          <a:off x="2095500" y="31368651"/>
          <a:ext cx="861711" cy="151241"/>
          <a:chOff x="206" y="112"/>
          <a:chExt cx="73" cy="16"/>
        </a:xfrm>
      </xdr:grpSpPr>
      <xdr:sp macro="" textlink="">
        <xdr:nvSpPr>
          <xdr:cNvPr id="960" name="Line 3">
            <a:extLst>
              <a:ext uri="{FF2B5EF4-FFF2-40B4-BE49-F238E27FC236}">
                <a16:creationId xmlns:a16="http://schemas.microsoft.com/office/drawing/2014/main" id="{2508DCF8-B88F-5DCA-1DFA-9B584133D4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1" name="Line 4">
            <a:extLst>
              <a:ext uri="{FF2B5EF4-FFF2-40B4-BE49-F238E27FC236}">
                <a16:creationId xmlns:a16="http://schemas.microsoft.com/office/drawing/2014/main" id="{74405B4E-C262-D172-2D55-2CDB77D441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105</xdr:row>
      <xdr:rowOff>271096</xdr:rowOff>
    </xdr:from>
    <xdr:to>
      <xdr:col>3</xdr:col>
      <xdr:colOff>930519</xdr:colOff>
      <xdr:row>105</xdr:row>
      <xdr:rowOff>271096</xdr:rowOff>
    </xdr:to>
    <xdr:cxnSp macro="">
      <xdr:nvCxnSpPr>
        <xdr:cNvPr id="962" name="hinh1">
          <a:extLst>
            <a:ext uri="{FF2B5EF4-FFF2-40B4-BE49-F238E27FC236}">
              <a16:creationId xmlns:a16="http://schemas.microsoft.com/office/drawing/2014/main" id="{78EF215A-57BA-4604-9AEF-B546C94140E3}"/>
            </a:ext>
          </a:extLst>
        </xdr:cNvPr>
        <xdr:cNvCxnSpPr/>
      </xdr:nvCxnSpPr>
      <xdr:spPr>
        <a:xfrm>
          <a:off x="2072432" y="14726684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106</xdr:row>
      <xdr:rowOff>194570</xdr:rowOff>
    </xdr:from>
    <xdr:to>
      <xdr:col>3</xdr:col>
      <xdr:colOff>916476</xdr:colOff>
      <xdr:row>106</xdr:row>
      <xdr:rowOff>273398</xdr:rowOff>
    </xdr:to>
    <xdr:grpSp>
      <xdr:nvGrpSpPr>
        <xdr:cNvPr id="963" name="hinh23">
          <a:extLst>
            <a:ext uri="{FF2B5EF4-FFF2-40B4-BE49-F238E27FC236}">
              <a16:creationId xmlns:a16="http://schemas.microsoft.com/office/drawing/2014/main" id="{3A4C763D-BA75-4CC4-906C-1FFA34F495AC}"/>
            </a:ext>
          </a:extLst>
        </xdr:cNvPr>
        <xdr:cNvGrpSpPr>
          <a:grpSpLocks noChangeAspect="1"/>
        </xdr:cNvGrpSpPr>
      </xdr:nvGrpSpPr>
      <xdr:grpSpPr bwMode="auto">
        <a:xfrm>
          <a:off x="2051539" y="31191641"/>
          <a:ext cx="865187" cy="78828"/>
          <a:chOff x="181" y="372"/>
          <a:chExt cx="129" cy="5"/>
        </a:xfrm>
      </xdr:grpSpPr>
      <xdr:sp macro="" textlink="">
        <xdr:nvSpPr>
          <xdr:cNvPr id="964" name="Line 29">
            <a:extLst>
              <a:ext uri="{FF2B5EF4-FFF2-40B4-BE49-F238E27FC236}">
                <a16:creationId xmlns:a16="http://schemas.microsoft.com/office/drawing/2014/main" id="{084C0600-E5FD-72F5-6CDC-A915986F6E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5" name="Line 30">
            <a:extLst>
              <a:ext uri="{FF2B5EF4-FFF2-40B4-BE49-F238E27FC236}">
                <a16:creationId xmlns:a16="http://schemas.microsoft.com/office/drawing/2014/main" id="{8F94093D-EB5C-3955-0E9E-9CF999301E6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6" name="Line 31">
            <a:extLst>
              <a:ext uri="{FF2B5EF4-FFF2-40B4-BE49-F238E27FC236}">
                <a16:creationId xmlns:a16="http://schemas.microsoft.com/office/drawing/2014/main" id="{D04B8780-46B0-E386-FDF8-808F470A81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" name="Line 32">
            <a:extLst>
              <a:ext uri="{FF2B5EF4-FFF2-40B4-BE49-F238E27FC236}">
                <a16:creationId xmlns:a16="http://schemas.microsoft.com/office/drawing/2014/main" id="{EB5FCC3D-52D0-4A1A-1A33-D09B3ADB68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8" name="Line 33">
            <a:extLst>
              <a:ext uri="{FF2B5EF4-FFF2-40B4-BE49-F238E27FC236}">
                <a16:creationId xmlns:a16="http://schemas.microsoft.com/office/drawing/2014/main" id="{CF11C206-DEEC-6AED-FA27-0C09BA4D657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109</xdr:row>
      <xdr:rowOff>65943</xdr:rowOff>
    </xdr:from>
    <xdr:to>
      <xdr:col>3</xdr:col>
      <xdr:colOff>958553</xdr:colOff>
      <xdr:row>109</xdr:row>
      <xdr:rowOff>229626</xdr:rowOff>
    </xdr:to>
    <xdr:grpSp>
      <xdr:nvGrpSpPr>
        <xdr:cNvPr id="969" name="hinh2">
          <a:extLst>
            <a:ext uri="{FF2B5EF4-FFF2-40B4-BE49-F238E27FC236}">
              <a16:creationId xmlns:a16="http://schemas.microsoft.com/office/drawing/2014/main" id="{49CDF30A-E30C-4972-A4B9-196C620324A4}"/>
            </a:ext>
          </a:extLst>
        </xdr:cNvPr>
        <xdr:cNvGrpSpPr>
          <a:grpSpLocks noChangeAspect="1"/>
        </xdr:cNvGrpSpPr>
      </xdr:nvGrpSpPr>
      <xdr:grpSpPr bwMode="auto">
        <a:xfrm>
          <a:off x="2083745" y="31893050"/>
          <a:ext cx="875058" cy="163683"/>
          <a:chOff x="206" y="86"/>
          <a:chExt cx="73" cy="16"/>
        </a:xfrm>
      </xdr:grpSpPr>
      <xdr:sp macro="" textlink="">
        <xdr:nvSpPr>
          <xdr:cNvPr id="970" name="Line 6">
            <a:extLst>
              <a:ext uri="{FF2B5EF4-FFF2-40B4-BE49-F238E27FC236}">
                <a16:creationId xmlns:a16="http://schemas.microsoft.com/office/drawing/2014/main" id="{AA5C5C31-476B-23A0-D1B7-3B2B7420E5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1" name="Line 7">
            <a:extLst>
              <a:ext uri="{FF2B5EF4-FFF2-40B4-BE49-F238E27FC236}">
                <a16:creationId xmlns:a16="http://schemas.microsoft.com/office/drawing/2014/main" id="{2C2E07A1-9783-6E92-4802-C818C72E9E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2" name="Line 8">
            <a:extLst>
              <a:ext uri="{FF2B5EF4-FFF2-40B4-BE49-F238E27FC236}">
                <a16:creationId xmlns:a16="http://schemas.microsoft.com/office/drawing/2014/main" id="{3CD6B81C-DB2A-1FB4-9E84-A1CAC3C926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112</xdr:row>
      <xdr:rowOff>58615</xdr:rowOff>
    </xdr:from>
    <xdr:to>
      <xdr:col>3</xdr:col>
      <xdr:colOff>956961</xdr:colOff>
      <xdr:row>112</xdr:row>
      <xdr:rowOff>209856</xdr:rowOff>
    </xdr:to>
    <xdr:grpSp>
      <xdr:nvGrpSpPr>
        <xdr:cNvPr id="973" name="hinh3">
          <a:extLst>
            <a:ext uri="{FF2B5EF4-FFF2-40B4-BE49-F238E27FC236}">
              <a16:creationId xmlns:a16="http://schemas.microsoft.com/office/drawing/2014/main" id="{A2E3C479-4AAE-4F5E-AA34-65FD4DC01420}"/>
            </a:ext>
          </a:extLst>
        </xdr:cNvPr>
        <xdr:cNvGrpSpPr>
          <a:grpSpLocks noChangeAspect="1"/>
        </xdr:cNvGrpSpPr>
      </xdr:nvGrpSpPr>
      <xdr:grpSpPr bwMode="auto">
        <a:xfrm>
          <a:off x="2095500" y="32824615"/>
          <a:ext cx="861711" cy="151241"/>
          <a:chOff x="206" y="112"/>
          <a:chExt cx="73" cy="16"/>
        </a:xfrm>
      </xdr:grpSpPr>
      <xdr:sp macro="" textlink="">
        <xdr:nvSpPr>
          <xdr:cNvPr id="974" name="Line 3">
            <a:extLst>
              <a:ext uri="{FF2B5EF4-FFF2-40B4-BE49-F238E27FC236}">
                <a16:creationId xmlns:a16="http://schemas.microsoft.com/office/drawing/2014/main" id="{F9611EE7-D05F-24D1-1E13-03ED637B83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5" name="Line 4">
            <a:extLst>
              <a:ext uri="{FF2B5EF4-FFF2-40B4-BE49-F238E27FC236}">
                <a16:creationId xmlns:a16="http://schemas.microsoft.com/office/drawing/2014/main" id="{DFB764BF-ACA6-1013-04D1-8AA03FD126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110</xdr:row>
      <xdr:rowOff>271096</xdr:rowOff>
    </xdr:from>
    <xdr:to>
      <xdr:col>3</xdr:col>
      <xdr:colOff>930519</xdr:colOff>
      <xdr:row>110</xdr:row>
      <xdr:rowOff>271096</xdr:rowOff>
    </xdr:to>
    <xdr:cxnSp macro="">
      <xdr:nvCxnSpPr>
        <xdr:cNvPr id="976" name="hinh1">
          <a:extLst>
            <a:ext uri="{FF2B5EF4-FFF2-40B4-BE49-F238E27FC236}">
              <a16:creationId xmlns:a16="http://schemas.microsoft.com/office/drawing/2014/main" id="{CB2244B7-39E1-41C9-9A68-7713E4FF6EFB}"/>
            </a:ext>
          </a:extLst>
        </xdr:cNvPr>
        <xdr:cNvCxnSpPr/>
      </xdr:nvCxnSpPr>
      <xdr:spPr>
        <a:xfrm>
          <a:off x="2072432" y="16183449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111</xdr:row>
      <xdr:rowOff>194570</xdr:rowOff>
    </xdr:from>
    <xdr:to>
      <xdr:col>3</xdr:col>
      <xdr:colOff>916476</xdr:colOff>
      <xdr:row>111</xdr:row>
      <xdr:rowOff>273398</xdr:rowOff>
    </xdr:to>
    <xdr:grpSp>
      <xdr:nvGrpSpPr>
        <xdr:cNvPr id="977" name="hinh23">
          <a:extLst>
            <a:ext uri="{FF2B5EF4-FFF2-40B4-BE49-F238E27FC236}">
              <a16:creationId xmlns:a16="http://schemas.microsoft.com/office/drawing/2014/main" id="{FC597ECD-9762-4F0D-B94B-F58C2AA5EB57}"/>
            </a:ext>
          </a:extLst>
        </xdr:cNvPr>
        <xdr:cNvGrpSpPr>
          <a:grpSpLocks noChangeAspect="1"/>
        </xdr:cNvGrpSpPr>
      </xdr:nvGrpSpPr>
      <xdr:grpSpPr bwMode="auto">
        <a:xfrm>
          <a:off x="2051539" y="32647606"/>
          <a:ext cx="865187" cy="78828"/>
          <a:chOff x="181" y="372"/>
          <a:chExt cx="129" cy="5"/>
        </a:xfrm>
      </xdr:grpSpPr>
      <xdr:sp macro="" textlink="">
        <xdr:nvSpPr>
          <xdr:cNvPr id="978" name="Line 29">
            <a:extLst>
              <a:ext uri="{FF2B5EF4-FFF2-40B4-BE49-F238E27FC236}">
                <a16:creationId xmlns:a16="http://schemas.microsoft.com/office/drawing/2014/main" id="{04B51E43-D46B-04EA-8C6B-EFE9DACC1D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9" name="Line 30">
            <a:extLst>
              <a:ext uri="{FF2B5EF4-FFF2-40B4-BE49-F238E27FC236}">
                <a16:creationId xmlns:a16="http://schemas.microsoft.com/office/drawing/2014/main" id="{754CC575-609F-8535-D01B-47DA3C50A52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0" name="Line 31">
            <a:extLst>
              <a:ext uri="{FF2B5EF4-FFF2-40B4-BE49-F238E27FC236}">
                <a16:creationId xmlns:a16="http://schemas.microsoft.com/office/drawing/2014/main" id="{8614D901-C574-ED7F-FEB9-D5AEDF4F7C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1" name="Line 32">
            <a:extLst>
              <a:ext uri="{FF2B5EF4-FFF2-40B4-BE49-F238E27FC236}">
                <a16:creationId xmlns:a16="http://schemas.microsoft.com/office/drawing/2014/main" id="{124BBCFC-BE13-5FB5-4A74-40073D30D8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2" name="Line 33">
            <a:extLst>
              <a:ext uri="{FF2B5EF4-FFF2-40B4-BE49-F238E27FC236}">
                <a16:creationId xmlns:a16="http://schemas.microsoft.com/office/drawing/2014/main" id="{14D8716D-223C-71C5-4378-D8290DEB4E1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114</xdr:row>
      <xdr:rowOff>65943</xdr:rowOff>
    </xdr:from>
    <xdr:to>
      <xdr:col>3</xdr:col>
      <xdr:colOff>958553</xdr:colOff>
      <xdr:row>114</xdr:row>
      <xdr:rowOff>229626</xdr:rowOff>
    </xdr:to>
    <xdr:grpSp>
      <xdr:nvGrpSpPr>
        <xdr:cNvPr id="983" name="hinh2">
          <a:extLst>
            <a:ext uri="{FF2B5EF4-FFF2-40B4-BE49-F238E27FC236}">
              <a16:creationId xmlns:a16="http://schemas.microsoft.com/office/drawing/2014/main" id="{78E5A726-9A49-4309-8BB9-AE101F291B8E}"/>
            </a:ext>
          </a:extLst>
        </xdr:cNvPr>
        <xdr:cNvGrpSpPr>
          <a:grpSpLocks noChangeAspect="1"/>
        </xdr:cNvGrpSpPr>
      </xdr:nvGrpSpPr>
      <xdr:grpSpPr bwMode="auto">
        <a:xfrm>
          <a:off x="2083745" y="33349014"/>
          <a:ext cx="875058" cy="163683"/>
          <a:chOff x="206" y="86"/>
          <a:chExt cx="73" cy="16"/>
        </a:xfrm>
      </xdr:grpSpPr>
      <xdr:sp macro="" textlink="">
        <xdr:nvSpPr>
          <xdr:cNvPr id="984" name="Line 6">
            <a:extLst>
              <a:ext uri="{FF2B5EF4-FFF2-40B4-BE49-F238E27FC236}">
                <a16:creationId xmlns:a16="http://schemas.microsoft.com/office/drawing/2014/main" id="{F5845636-E4CA-0B2E-71C3-490F2B9E87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5" name="Line 7">
            <a:extLst>
              <a:ext uri="{FF2B5EF4-FFF2-40B4-BE49-F238E27FC236}">
                <a16:creationId xmlns:a16="http://schemas.microsoft.com/office/drawing/2014/main" id="{C1E80240-7207-B970-F6EF-BE83243FFF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" name="Line 8">
            <a:extLst>
              <a:ext uri="{FF2B5EF4-FFF2-40B4-BE49-F238E27FC236}">
                <a16:creationId xmlns:a16="http://schemas.microsoft.com/office/drawing/2014/main" id="{6C547BA3-65AE-D65E-55EB-71FF32EB2C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117</xdr:row>
      <xdr:rowOff>58615</xdr:rowOff>
    </xdr:from>
    <xdr:to>
      <xdr:col>3</xdr:col>
      <xdr:colOff>956961</xdr:colOff>
      <xdr:row>117</xdr:row>
      <xdr:rowOff>209856</xdr:rowOff>
    </xdr:to>
    <xdr:grpSp>
      <xdr:nvGrpSpPr>
        <xdr:cNvPr id="987" name="hinh3">
          <a:extLst>
            <a:ext uri="{FF2B5EF4-FFF2-40B4-BE49-F238E27FC236}">
              <a16:creationId xmlns:a16="http://schemas.microsoft.com/office/drawing/2014/main" id="{0FF89786-95F4-4450-A781-FC634892CAEF}"/>
            </a:ext>
          </a:extLst>
        </xdr:cNvPr>
        <xdr:cNvGrpSpPr>
          <a:grpSpLocks noChangeAspect="1"/>
        </xdr:cNvGrpSpPr>
      </xdr:nvGrpSpPr>
      <xdr:grpSpPr bwMode="auto">
        <a:xfrm>
          <a:off x="2095500" y="34280579"/>
          <a:ext cx="861711" cy="151241"/>
          <a:chOff x="206" y="112"/>
          <a:chExt cx="73" cy="16"/>
        </a:xfrm>
      </xdr:grpSpPr>
      <xdr:sp macro="" textlink="">
        <xdr:nvSpPr>
          <xdr:cNvPr id="988" name="Line 3">
            <a:extLst>
              <a:ext uri="{FF2B5EF4-FFF2-40B4-BE49-F238E27FC236}">
                <a16:creationId xmlns:a16="http://schemas.microsoft.com/office/drawing/2014/main" id="{199DD2F6-C82B-5C37-B9E0-8AAE9FBA2D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9" name="Line 4">
            <a:extLst>
              <a:ext uri="{FF2B5EF4-FFF2-40B4-BE49-F238E27FC236}">
                <a16:creationId xmlns:a16="http://schemas.microsoft.com/office/drawing/2014/main" id="{C2FAA583-7C14-EE94-5F80-E8432451CD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115</xdr:row>
      <xdr:rowOff>271096</xdr:rowOff>
    </xdr:from>
    <xdr:to>
      <xdr:col>3</xdr:col>
      <xdr:colOff>930519</xdr:colOff>
      <xdr:row>115</xdr:row>
      <xdr:rowOff>271096</xdr:rowOff>
    </xdr:to>
    <xdr:cxnSp macro="">
      <xdr:nvCxnSpPr>
        <xdr:cNvPr id="990" name="hinh1">
          <a:extLst>
            <a:ext uri="{FF2B5EF4-FFF2-40B4-BE49-F238E27FC236}">
              <a16:creationId xmlns:a16="http://schemas.microsoft.com/office/drawing/2014/main" id="{D6970681-5452-4489-A0D3-31BFBA9CEA95}"/>
            </a:ext>
          </a:extLst>
        </xdr:cNvPr>
        <xdr:cNvCxnSpPr/>
      </xdr:nvCxnSpPr>
      <xdr:spPr>
        <a:xfrm>
          <a:off x="2072432" y="2815133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116</xdr:row>
      <xdr:rowOff>194570</xdr:rowOff>
    </xdr:from>
    <xdr:to>
      <xdr:col>3</xdr:col>
      <xdr:colOff>916476</xdr:colOff>
      <xdr:row>116</xdr:row>
      <xdr:rowOff>273398</xdr:rowOff>
    </xdr:to>
    <xdr:grpSp>
      <xdr:nvGrpSpPr>
        <xdr:cNvPr id="991" name="hinh23">
          <a:extLst>
            <a:ext uri="{FF2B5EF4-FFF2-40B4-BE49-F238E27FC236}">
              <a16:creationId xmlns:a16="http://schemas.microsoft.com/office/drawing/2014/main" id="{DA5E5B40-6B0E-47D7-A362-8B62B1ECA536}"/>
            </a:ext>
          </a:extLst>
        </xdr:cNvPr>
        <xdr:cNvGrpSpPr>
          <a:grpSpLocks noChangeAspect="1"/>
        </xdr:cNvGrpSpPr>
      </xdr:nvGrpSpPr>
      <xdr:grpSpPr bwMode="auto">
        <a:xfrm>
          <a:off x="2051539" y="34103570"/>
          <a:ext cx="865187" cy="78828"/>
          <a:chOff x="181" y="372"/>
          <a:chExt cx="129" cy="5"/>
        </a:xfrm>
      </xdr:grpSpPr>
      <xdr:sp macro="" textlink="">
        <xdr:nvSpPr>
          <xdr:cNvPr id="992" name="Line 29">
            <a:extLst>
              <a:ext uri="{FF2B5EF4-FFF2-40B4-BE49-F238E27FC236}">
                <a16:creationId xmlns:a16="http://schemas.microsoft.com/office/drawing/2014/main" id="{D6E4FEE3-DB3E-D384-2B17-3BE5E3ED3B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3" name="Line 30">
            <a:extLst>
              <a:ext uri="{FF2B5EF4-FFF2-40B4-BE49-F238E27FC236}">
                <a16:creationId xmlns:a16="http://schemas.microsoft.com/office/drawing/2014/main" id="{DE5F4E93-5D56-DC84-F141-BAA991359397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4" name="Line 31">
            <a:extLst>
              <a:ext uri="{FF2B5EF4-FFF2-40B4-BE49-F238E27FC236}">
                <a16:creationId xmlns:a16="http://schemas.microsoft.com/office/drawing/2014/main" id="{6DEAE9E7-D71E-57C1-CCE9-A8D0F875EB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5" name="Line 32">
            <a:extLst>
              <a:ext uri="{FF2B5EF4-FFF2-40B4-BE49-F238E27FC236}">
                <a16:creationId xmlns:a16="http://schemas.microsoft.com/office/drawing/2014/main" id="{93377C1C-B87A-A362-2F16-0489C9CA15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" name="Line 33">
            <a:extLst>
              <a:ext uri="{FF2B5EF4-FFF2-40B4-BE49-F238E27FC236}">
                <a16:creationId xmlns:a16="http://schemas.microsoft.com/office/drawing/2014/main" id="{8AD53FDD-6484-C81E-5A45-E30D4275B44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119</xdr:row>
      <xdr:rowOff>65943</xdr:rowOff>
    </xdr:from>
    <xdr:to>
      <xdr:col>3</xdr:col>
      <xdr:colOff>958553</xdr:colOff>
      <xdr:row>119</xdr:row>
      <xdr:rowOff>229626</xdr:rowOff>
    </xdr:to>
    <xdr:grpSp>
      <xdr:nvGrpSpPr>
        <xdr:cNvPr id="997" name="hinh2">
          <a:extLst>
            <a:ext uri="{FF2B5EF4-FFF2-40B4-BE49-F238E27FC236}">
              <a16:creationId xmlns:a16="http://schemas.microsoft.com/office/drawing/2014/main" id="{E08B83F1-C919-4C8B-890A-04709953D5D9}"/>
            </a:ext>
          </a:extLst>
        </xdr:cNvPr>
        <xdr:cNvGrpSpPr>
          <a:grpSpLocks noChangeAspect="1"/>
        </xdr:cNvGrpSpPr>
      </xdr:nvGrpSpPr>
      <xdr:grpSpPr bwMode="auto">
        <a:xfrm>
          <a:off x="2083745" y="34804979"/>
          <a:ext cx="875058" cy="163683"/>
          <a:chOff x="206" y="86"/>
          <a:chExt cx="73" cy="16"/>
        </a:xfrm>
      </xdr:grpSpPr>
      <xdr:sp macro="" textlink="">
        <xdr:nvSpPr>
          <xdr:cNvPr id="998" name="Line 6">
            <a:extLst>
              <a:ext uri="{FF2B5EF4-FFF2-40B4-BE49-F238E27FC236}">
                <a16:creationId xmlns:a16="http://schemas.microsoft.com/office/drawing/2014/main" id="{60D940F6-2272-4854-46B4-60FCCADA60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9" name="Line 7">
            <a:extLst>
              <a:ext uri="{FF2B5EF4-FFF2-40B4-BE49-F238E27FC236}">
                <a16:creationId xmlns:a16="http://schemas.microsoft.com/office/drawing/2014/main" id="{789C6EB7-3DF3-CFB4-452A-35549ABD8E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0" name="Line 8">
            <a:extLst>
              <a:ext uri="{FF2B5EF4-FFF2-40B4-BE49-F238E27FC236}">
                <a16:creationId xmlns:a16="http://schemas.microsoft.com/office/drawing/2014/main" id="{D156A535-03F5-D400-41E0-0148FFCED30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122</xdr:row>
      <xdr:rowOff>58615</xdr:rowOff>
    </xdr:from>
    <xdr:to>
      <xdr:col>3</xdr:col>
      <xdr:colOff>956961</xdr:colOff>
      <xdr:row>122</xdr:row>
      <xdr:rowOff>209856</xdr:rowOff>
    </xdr:to>
    <xdr:grpSp>
      <xdr:nvGrpSpPr>
        <xdr:cNvPr id="1001" name="hinh3">
          <a:extLst>
            <a:ext uri="{FF2B5EF4-FFF2-40B4-BE49-F238E27FC236}">
              <a16:creationId xmlns:a16="http://schemas.microsoft.com/office/drawing/2014/main" id="{64DC5508-0D12-4679-8BFB-12A708EC5CFD}"/>
            </a:ext>
          </a:extLst>
        </xdr:cNvPr>
        <xdr:cNvGrpSpPr>
          <a:grpSpLocks noChangeAspect="1"/>
        </xdr:cNvGrpSpPr>
      </xdr:nvGrpSpPr>
      <xdr:grpSpPr bwMode="auto">
        <a:xfrm>
          <a:off x="2095500" y="35736544"/>
          <a:ext cx="861711" cy="151241"/>
          <a:chOff x="206" y="112"/>
          <a:chExt cx="73" cy="16"/>
        </a:xfrm>
      </xdr:grpSpPr>
      <xdr:sp macro="" textlink="">
        <xdr:nvSpPr>
          <xdr:cNvPr id="1002" name="Line 3">
            <a:extLst>
              <a:ext uri="{FF2B5EF4-FFF2-40B4-BE49-F238E27FC236}">
                <a16:creationId xmlns:a16="http://schemas.microsoft.com/office/drawing/2014/main" id="{D33A5B24-7979-6CE1-0F79-A5A4B2C534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3" name="Line 4">
            <a:extLst>
              <a:ext uri="{FF2B5EF4-FFF2-40B4-BE49-F238E27FC236}">
                <a16:creationId xmlns:a16="http://schemas.microsoft.com/office/drawing/2014/main" id="{27A7E04C-F0E6-5824-E114-7F1E0BA2B1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120</xdr:row>
      <xdr:rowOff>271096</xdr:rowOff>
    </xdr:from>
    <xdr:to>
      <xdr:col>3</xdr:col>
      <xdr:colOff>930519</xdr:colOff>
      <xdr:row>120</xdr:row>
      <xdr:rowOff>271096</xdr:rowOff>
    </xdr:to>
    <xdr:cxnSp macro="">
      <xdr:nvCxnSpPr>
        <xdr:cNvPr id="1004" name="hinh1">
          <a:extLst>
            <a:ext uri="{FF2B5EF4-FFF2-40B4-BE49-F238E27FC236}">
              <a16:creationId xmlns:a16="http://schemas.microsoft.com/office/drawing/2014/main" id="{ACEB0AD8-7767-4A34-A412-F73194F5859C}"/>
            </a:ext>
          </a:extLst>
        </xdr:cNvPr>
        <xdr:cNvCxnSpPr/>
      </xdr:nvCxnSpPr>
      <xdr:spPr>
        <a:xfrm>
          <a:off x="2072432" y="29608096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121</xdr:row>
      <xdr:rowOff>194570</xdr:rowOff>
    </xdr:from>
    <xdr:to>
      <xdr:col>3</xdr:col>
      <xdr:colOff>916476</xdr:colOff>
      <xdr:row>121</xdr:row>
      <xdr:rowOff>273398</xdr:rowOff>
    </xdr:to>
    <xdr:grpSp>
      <xdr:nvGrpSpPr>
        <xdr:cNvPr id="1005" name="hinh23">
          <a:extLst>
            <a:ext uri="{FF2B5EF4-FFF2-40B4-BE49-F238E27FC236}">
              <a16:creationId xmlns:a16="http://schemas.microsoft.com/office/drawing/2014/main" id="{7D1BB6B9-9C0A-4A1D-ABDC-E59A8F5523C4}"/>
            </a:ext>
          </a:extLst>
        </xdr:cNvPr>
        <xdr:cNvGrpSpPr>
          <a:grpSpLocks noChangeAspect="1"/>
        </xdr:cNvGrpSpPr>
      </xdr:nvGrpSpPr>
      <xdr:grpSpPr bwMode="auto">
        <a:xfrm>
          <a:off x="2051539" y="35559534"/>
          <a:ext cx="865187" cy="78828"/>
          <a:chOff x="181" y="372"/>
          <a:chExt cx="129" cy="5"/>
        </a:xfrm>
      </xdr:grpSpPr>
      <xdr:sp macro="" textlink="">
        <xdr:nvSpPr>
          <xdr:cNvPr id="1006" name="Line 29">
            <a:extLst>
              <a:ext uri="{FF2B5EF4-FFF2-40B4-BE49-F238E27FC236}">
                <a16:creationId xmlns:a16="http://schemas.microsoft.com/office/drawing/2014/main" id="{670803F7-92FC-537C-9A57-24A650617C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" name="Line 30">
            <a:extLst>
              <a:ext uri="{FF2B5EF4-FFF2-40B4-BE49-F238E27FC236}">
                <a16:creationId xmlns:a16="http://schemas.microsoft.com/office/drawing/2014/main" id="{135D0451-CE59-BA54-F6EC-7D76D092663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8" name="Line 31">
            <a:extLst>
              <a:ext uri="{FF2B5EF4-FFF2-40B4-BE49-F238E27FC236}">
                <a16:creationId xmlns:a16="http://schemas.microsoft.com/office/drawing/2014/main" id="{CB761525-0CDE-CA16-4783-6478FED398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9" name="Line 32">
            <a:extLst>
              <a:ext uri="{FF2B5EF4-FFF2-40B4-BE49-F238E27FC236}">
                <a16:creationId xmlns:a16="http://schemas.microsoft.com/office/drawing/2014/main" id="{A0F37A21-2DE5-7867-2295-D1663E1B15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0" name="Line 33">
            <a:extLst>
              <a:ext uri="{FF2B5EF4-FFF2-40B4-BE49-F238E27FC236}">
                <a16:creationId xmlns:a16="http://schemas.microsoft.com/office/drawing/2014/main" id="{0CC40ECC-9BB5-7A43-582B-EEDA2FE13BF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124</xdr:row>
      <xdr:rowOff>65943</xdr:rowOff>
    </xdr:from>
    <xdr:to>
      <xdr:col>3</xdr:col>
      <xdr:colOff>958553</xdr:colOff>
      <xdr:row>124</xdr:row>
      <xdr:rowOff>229626</xdr:rowOff>
    </xdr:to>
    <xdr:grpSp>
      <xdr:nvGrpSpPr>
        <xdr:cNvPr id="1011" name="hinh2">
          <a:extLst>
            <a:ext uri="{FF2B5EF4-FFF2-40B4-BE49-F238E27FC236}">
              <a16:creationId xmlns:a16="http://schemas.microsoft.com/office/drawing/2014/main" id="{871BB98E-3A49-44BF-A568-D0CE2310B4CB}"/>
            </a:ext>
          </a:extLst>
        </xdr:cNvPr>
        <xdr:cNvGrpSpPr>
          <a:grpSpLocks noChangeAspect="1"/>
        </xdr:cNvGrpSpPr>
      </xdr:nvGrpSpPr>
      <xdr:grpSpPr bwMode="auto">
        <a:xfrm>
          <a:off x="2083745" y="36260943"/>
          <a:ext cx="875058" cy="163683"/>
          <a:chOff x="206" y="86"/>
          <a:chExt cx="73" cy="16"/>
        </a:xfrm>
      </xdr:grpSpPr>
      <xdr:sp macro="" textlink="">
        <xdr:nvSpPr>
          <xdr:cNvPr id="1012" name="Line 6">
            <a:extLst>
              <a:ext uri="{FF2B5EF4-FFF2-40B4-BE49-F238E27FC236}">
                <a16:creationId xmlns:a16="http://schemas.microsoft.com/office/drawing/2014/main" id="{B4F80996-D69C-4606-404F-E5918F8167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3" name="Line 7">
            <a:extLst>
              <a:ext uri="{FF2B5EF4-FFF2-40B4-BE49-F238E27FC236}">
                <a16:creationId xmlns:a16="http://schemas.microsoft.com/office/drawing/2014/main" id="{AF9DC5A1-01F6-9CC8-EC9D-28DCA75459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4" name="Line 8">
            <a:extLst>
              <a:ext uri="{FF2B5EF4-FFF2-40B4-BE49-F238E27FC236}">
                <a16:creationId xmlns:a16="http://schemas.microsoft.com/office/drawing/2014/main" id="{B8353DD5-5E67-15A6-B068-4454CBF840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127</xdr:row>
      <xdr:rowOff>58615</xdr:rowOff>
    </xdr:from>
    <xdr:to>
      <xdr:col>3</xdr:col>
      <xdr:colOff>956961</xdr:colOff>
      <xdr:row>127</xdr:row>
      <xdr:rowOff>209856</xdr:rowOff>
    </xdr:to>
    <xdr:grpSp>
      <xdr:nvGrpSpPr>
        <xdr:cNvPr id="1015" name="hinh3">
          <a:extLst>
            <a:ext uri="{FF2B5EF4-FFF2-40B4-BE49-F238E27FC236}">
              <a16:creationId xmlns:a16="http://schemas.microsoft.com/office/drawing/2014/main" id="{7161D554-BF6C-447F-AAC6-C036ADBF0797}"/>
            </a:ext>
          </a:extLst>
        </xdr:cNvPr>
        <xdr:cNvGrpSpPr>
          <a:grpSpLocks noChangeAspect="1"/>
        </xdr:cNvGrpSpPr>
      </xdr:nvGrpSpPr>
      <xdr:grpSpPr bwMode="auto">
        <a:xfrm>
          <a:off x="2095500" y="37192508"/>
          <a:ext cx="861711" cy="151241"/>
          <a:chOff x="206" y="112"/>
          <a:chExt cx="73" cy="16"/>
        </a:xfrm>
      </xdr:grpSpPr>
      <xdr:sp macro="" textlink="">
        <xdr:nvSpPr>
          <xdr:cNvPr id="1016" name="Line 3">
            <a:extLst>
              <a:ext uri="{FF2B5EF4-FFF2-40B4-BE49-F238E27FC236}">
                <a16:creationId xmlns:a16="http://schemas.microsoft.com/office/drawing/2014/main" id="{125A6DF2-3D95-D897-1D4A-030B98DAEB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" name="Line 4">
            <a:extLst>
              <a:ext uri="{FF2B5EF4-FFF2-40B4-BE49-F238E27FC236}">
                <a16:creationId xmlns:a16="http://schemas.microsoft.com/office/drawing/2014/main" id="{D38672B8-FE6B-D568-A87E-45F3AB297D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125</xdr:row>
      <xdr:rowOff>271096</xdr:rowOff>
    </xdr:from>
    <xdr:to>
      <xdr:col>3</xdr:col>
      <xdr:colOff>930519</xdr:colOff>
      <xdr:row>125</xdr:row>
      <xdr:rowOff>271096</xdr:rowOff>
    </xdr:to>
    <xdr:cxnSp macro="">
      <xdr:nvCxnSpPr>
        <xdr:cNvPr id="1018" name="hinh1">
          <a:extLst>
            <a:ext uri="{FF2B5EF4-FFF2-40B4-BE49-F238E27FC236}">
              <a16:creationId xmlns:a16="http://schemas.microsoft.com/office/drawing/2014/main" id="{959421C7-9F8D-4312-9BC2-C875000A4C84}"/>
            </a:ext>
          </a:extLst>
        </xdr:cNvPr>
        <xdr:cNvCxnSpPr/>
      </xdr:nvCxnSpPr>
      <xdr:spPr>
        <a:xfrm>
          <a:off x="2072432" y="2346727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126</xdr:row>
      <xdr:rowOff>194570</xdr:rowOff>
    </xdr:from>
    <xdr:to>
      <xdr:col>3</xdr:col>
      <xdr:colOff>916476</xdr:colOff>
      <xdr:row>126</xdr:row>
      <xdr:rowOff>273398</xdr:rowOff>
    </xdr:to>
    <xdr:grpSp>
      <xdr:nvGrpSpPr>
        <xdr:cNvPr id="1019" name="hinh23">
          <a:extLst>
            <a:ext uri="{FF2B5EF4-FFF2-40B4-BE49-F238E27FC236}">
              <a16:creationId xmlns:a16="http://schemas.microsoft.com/office/drawing/2014/main" id="{295EA9A6-CEF7-4F00-93C4-CA139BAC2965}"/>
            </a:ext>
          </a:extLst>
        </xdr:cNvPr>
        <xdr:cNvGrpSpPr>
          <a:grpSpLocks noChangeAspect="1"/>
        </xdr:cNvGrpSpPr>
      </xdr:nvGrpSpPr>
      <xdr:grpSpPr bwMode="auto">
        <a:xfrm>
          <a:off x="2051539" y="37015499"/>
          <a:ext cx="865187" cy="78828"/>
          <a:chOff x="181" y="372"/>
          <a:chExt cx="129" cy="5"/>
        </a:xfrm>
      </xdr:grpSpPr>
      <xdr:sp macro="" textlink="">
        <xdr:nvSpPr>
          <xdr:cNvPr id="1020" name="Line 29">
            <a:extLst>
              <a:ext uri="{FF2B5EF4-FFF2-40B4-BE49-F238E27FC236}">
                <a16:creationId xmlns:a16="http://schemas.microsoft.com/office/drawing/2014/main" id="{DC4BF039-14F9-9402-A5F8-0AEA203A50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1" name="Line 30">
            <a:extLst>
              <a:ext uri="{FF2B5EF4-FFF2-40B4-BE49-F238E27FC236}">
                <a16:creationId xmlns:a16="http://schemas.microsoft.com/office/drawing/2014/main" id="{D1969EB3-B521-FF4C-1D5F-18283428717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2" name="Line 31">
            <a:extLst>
              <a:ext uri="{FF2B5EF4-FFF2-40B4-BE49-F238E27FC236}">
                <a16:creationId xmlns:a16="http://schemas.microsoft.com/office/drawing/2014/main" id="{46A0A861-A53A-2BBD-68B1-32AFF098A6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3" name="Line 32">
            <a:extLst>
              <a:ext uri="{FF2B5EF4-FFF2-40B4-BE49-F238E27FC236}">
                <a16:creationId xmlns:a16="http://schemas.microsoft.com/office/drawing/2014/main" id="{85507E96-7F17-A49F-2CB8-4BF9C95CD7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4" name="Line 33">
            <a:extLst>
              <a:ext uri="{FF2B5EF4-FFF2-40B4-BE49-F238E27FC236}">
                <a16:creationId xmlns:a16="http://schemas.microsoft.com/office/drawing/2014/main" id="{52E38674-6AED-0574-9AB5-E001D34E60E8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129</xdr:row>
      <xdr:rowOff>65943</xdr:rowOff>
    </xdr:from>
    <xdr:to>
      <xdr:col>3</xdr:col>
      <xdr:colOff>958553</xdr:colOff>
      <xdr:row>129</xdr:row>
      <xdr:rowOff>229626</xdr:rowOff>
    </xdr:to>
    <xdr:grpSp>
      <xdr:nvGrpSpPr>
        <xdr:cNvPr id="1025" name="hinh2">
          <a:extLst>
            <a:ext uri="{FF2B5EF4-FFF2-40B4-BE49-F238E27FC236}">
              <a16:creationId xmlns:a16="http://schemas.microsoft.com/office/drawing/2014/main" id="{E7658514-4676-450D-B615-521A0FD2B35F}"/>
            </a:ext>
          </a:extLst>
        </xdr:cNvPr>
        <xdr:cNvGrpSpPr>
          <a:grpSpLocks noChangeAspect="1"/>
        </xdr:cNvGrpSpPr>
      </xdr:nvGrpSpPr>
      <xdr:grpSpPr bwMode="auto">
        <a:xfrm>
          <a:off x="2083745" y="37716907"/>
          <a:ext cx="875058" cy="163683"/>
          <a:chOff x="206" y="86"/>
          <a:chExt cx="73" cy="16"/>
        </a:xfrm>
      </xdr:grpSpPr>
      <xdr:sp macro="" textlink="">
        <xdr:nvSpPr>
          <xdr:cNvPr id="1026" name="Line 6">
            <a:extLst>
              <a:ext uri="{FF2B5EF4-FFF2-40B4-BE49-F238E27FC236}">
                <a16:creationId xmlns:a16="http://schemas.microsoft.com/office/drawing/2014/main" id="{F796F435-AB63-E017-A8F4-C992345C2B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" name="Line 7">
            <a:extLst>
              <a:ext uri="{FF2B5EF4-FFF2-40B4-BE49-F238E27FC236}">
                <a16:creationId xmlns:a16="http://schemas.microsoft.com/office/drawing/2014/main" id="{014AACEA-320C-4E96-CD80-A088020DDA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8">
            <a:extLst>
              <a:ext uri="{FF2B5EF4-FFF2-40B4-BE49-F238E27FC236}">
                <a16:creationId xmlns:a16="http://schemas.microsoft.com/office/drawing/2014/main" id="{2E7151B8-F640-224B-8315-C79114897D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132</xdr:row>
      <xdr:rowOff>58615</xdr:rowOff>
    </xdr:from>
    <xdr:to>
      <xdr:col>3</xdr:col>
      <xdr:colOff>956961</xdr:colOff>
      <xdr:row>132</xdr:row>
      <xdr:rowOff>209856</xdr:rowOff>
    </xdr:to>
    <xdr:grpSp>
      <xdr:nvGrpSpPr>
        <xdr:cNvPr id="1029" name="hinh3">
          <a:extLst>
            <a:ext uri="{FF2B5EF4-FFF2-40B4-BE49-F238E27FC236}">
              <a16:creationId xmlns:a16="http://schemas.microsoft.com/office/drawing/2014/main" id="{1CF35022-5F74-45EE-8866-13AED06DF831}"/>
            </a:ext>
          </a:extLst>
        </xdr:cNvPr>
        <xdr:cNvGrpSpPr>
          <a:grpSpLocks noChangeAspect="1"/>
        </xdr:cNvGrpSpPr>
      </xdr:nvGrpSpPr>
      <xdr:grpSpPr bwMode="auto">
        <a:xfrm>
          <a:off x="2095500" y="38648472"/>
          <a:ext cx="861711" cy="151241"/>
          <a:chOff x="206" y="112"/>
          <a:chExt cx="73" cy="16"/>
        </a:xfrm>
      </xdr:grpSpPr>
      <xdr:sp macro="" textlink="">
        <xdr:nvSpPr>
          <xdr:cNvPr id="1030" name="Line 3">
            <a:extLst>
              <a:ext uri="{FF2B5EF4-FFF2-40B4-BE49-F238E27FC236}">
                <a16:creationId xmlns:a16="http://schemas.microsoft.com/office/drawing/2014/main" id="{203B778D-F7E4-D5A4-6128-8EDFA3BF12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4">
            <a:extLst>
              <a:ext uri="{FF2B5EF4-FFF2-40B4-BE49-F238E27FC236}">
                <a16:creationId xmlns:a16="http://schemas.microsoft.com/office/drawing/2014/main" id="{AEC8490B-7815-F0B6-995B-9C9816AA04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130</xdr:row>
      <xdr:rowOff>271096</xdr:rowOff>
    </xdr:from>
    <xdr:to>
      <xdr:col>3</xdr:col>
      <xdr:colOff>930519</xdr:colOff>
      <xdr:row>130</xdr:row>
      <xdr:rowOff>271096</xdr:rowOff>
    </xdr:to>
    <xdr:cxnSp macro="">
      <xdr:nvCxnSpPr>
        <xdr:cNvPr id="1032" name="hinh1">
          <a:extLst>
            <a:ext uri="{FF2B5EF4-FFF2-40B4-BE49-F238E27FC236}">
              <a16:creationId xmlns:a16="http://schemas.microsoft.com/office/drawing/2014/main" id="{E0DEE2BF-66DB-46EC-8030-D3D45363E1CF}"/>
            </a:ext>
          </a:extLst>
        </xdr:cNvPr>
        <xdr:cNvCxnSpPr/>
      </xdr:nvCxnSpPr>
      <xdr:spPr>
        <a:xfrm>
          <a:off x="2072432" y="3397839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131</xdr:row>
      <xdr:rowOff>194570</xdr:rowOff>
    </xdr:from>
    <xdr:to>
      <xdr:col>3</xdr:col>
      <xdr:colOff>916476</xdr:colOff>
      <xdr:row>131</xdr:row>
      <xdr:rowOff>273398</xdr:rowOff>
    </xdr:to>
    <xdr:grpSp>
      <xdr:nvGrpSpPr>
        <xdr:cNvPr id="1033" name="hinh23">
          <a:extLst>
            <a:ext uri="{FF2B5EF4-FFF2-40B4-BE49-F238E27FC236}">
              <a16:creationId xmlns:a16="http://schemas.microsoft.com/office/drawing/2014/main" id="{B72AF039-7CAA-483B-A5B3-1B5318F2A0C9}"/>
            </a:ext>
          </a:extLst>
        </xdr:cNvPr>
        <xdr:cNvGrpSpPr>
          <a:grpSpLocks noChangeAspect="1"/>
        </xdr:cNvGrpSpPr>
      </xdr:nvGrpSpPr>
      <xdr:grpSpPr bwMode="auto">
        <a:xfrm>
          <a:off x="2051539" y="38471463"/>
          <a:ext cx="865187" cy="78828"/>
          <a:chOff x="181" y="372"/>
          <a:chExt cx="129" cy="5"/>
        </a:xfrm>
      </xdr:grpSpPr>
      <xdr:sp macro="" textlink="">
        <xdr:nvSpPr>
          <xdr:cNvPr id="1034" name="Line 29">
            <a:extLst>
              <a:ext uri="{FF2B5EF4-FFF2-40B4-BE49-F238E27FC236}">
                <a16:creationId xmlns:a16="http://schemas.microsoft.com/office/drawing/2014/main" id="{FB5DC579-38C7-A4AA-0CEC-F0F17731FE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30">
            <a:extLst>
              <a:ext uri="{FF2B5EF4-FFF2-40B4-BE49-F238E27FC236}">
                <a16:creationId xmlns:a16="http://schemas.microsoft.com/office/drawing/2014/main" id="{BB8FA351-265D-2916-AE24-B440F989647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31">
            <a:extLst>
              <a:ext uri="{FF2B5EF4-FFF2-40B4-BE49-F238E27FC236}">
                <a16:creationId xmlns:a16="http://schemas.microsoft.com/office/drawing/2014/main" id="{78A3B60A-FD21-A11F-D137-B2E3FEE595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32">
            <a:extLst>
              <a:ext uri="{FF2B5EF4-FFF2-40B4-BE49-F238E27FC236}">
                <a16:creationId xmlns:a16="http://schemas.microsoft.com/office/drawing/2014/main" id="{3435F970-7683-B096-69E3-AC386C82B5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Line 33">
            <a:extLst>
              <a:ext uri="{FF2B5EF4-FFF2-40B4-BE49-F238E27FC236}">
                <a16:creationId xmlns:a16="http://schemas.microsoft.com/office/drawing/2014/main" id="{34F279BA-61DE-954E-F206-F8947B471E0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134</xdr:row>
      <xdr:rowOff>65943</xdr:rowOff>
    </xdr:from>
    <xdr:to>
      <xdr:col>3</xdr:col>
      <xdr:colOff>958553</xdr:colOff>
      <xdr:row>134</xdr:row>
      <xdr:rowOff>229626</xdr:rowOff>
    </xdr:to>
    <xdr:grpSp>
      <xdr:nvGrpSpPr>
        <xdr:cNvPr id="1039" name="hinh2">
          <a:extLst>
            <a:ext uri="{FF2B5EF4-FFF2-40B4-BE49-F238E27FC236}">
              <a16:creationId xmlns:a16="http://schemas.microsoft.com/office/drawing/2014/main" id="{36D9A0DE-74DA-41A9-B04D-DE60DFEECEAF}"/>
            </a:ext>
          </a:extLst>
        </xdr:cNvPr>
        <xdr:cNvGrpSpPr>
          <a:grpSpLocks noChangeAspect="1"/>
        </xdr:cNvGrpSpPr>
      </xdr:nvGrpSpPr>
      <xdr:grpSpPr bwMode="auto">
        <a:xfrm>
          <a:off x="2083745" y="39172872"/>
          <a:ext cx="875058" cy="163683"/>
          <a:chOff x="206" y="86"/>
          <a:chExt cx="73" cy="16"/>
        </a:xfrm>
      </xdr:grpSpPr>
      <xdr:sp macro="" textlink="">
        <xdr:nvSpPr>
          <xdr:cNvPr id="1040" name="Line 6">
            <a:extLst>
              <a:ext uri="{FF2B5EF4-FFF2-40B4-BE49-F238E27FC236}">
                <a16:creationId xmlns:a16="http://schemas.microsoft.com/office/drawing/2014/main" id="{09904695-052A-6193-9DBB-0F70F36CF8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7">
            <a:extLst>
              <a:ext uri="{FF2B5EF4-FFF2-40B4-BE49-F238E27FC236}">
                <a16:creationId xmlns:a16="http://schemas.microsoft.com/office/drawing/2014/main" id="{5232687E-9905-EEBC-87E3-309954F512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2" name="Line 8">
            <a:extLst>
              <a:ext uri="{FF2B5EF4-FFF2-40B4-BE49-F238E27FC236}">
                <a16:creationId xmlns:a16="http://schemas.microsoft.com/office/drawing/2014/main" id="{E3DBA2F7-5C79-BCDB-A8BF-38718159D8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137</xdr:row>
      <xdr:rowOff>58615</xdr:rowOff>
    </xdr:from>
    <xdr:to>
      <xdr:col>3</xdr:col>
      <xdr:colOff>956961</xdr:colOff>
      <xdr:row>137</xdr:row>
      <xdr:rowOff>209856</xdr:rowOff>
    </xdr:to>
    <xdr:grpSp>
      <xdr:nvGrpSpPr>
        <xdr:cNvPr id="1043" name="hinh3">
          <a:extLst>
            <a:ext uri="{FF2B5EF4-FFF2-40B4-BE49-F238E27FC236}">
              <a16:creationId xmlns:a16="http://schemas.microsoft.com/office/drawing/2014/main" id="{5E953EF2-D311-4DF0-A8B1-2DE0C4F6E7AC}"/>
            </a:ext>
          </a:extLst>
        </xdr:cNvPr>
        <xdr:cNvGrpSpPr>
          <a:grpSpLocks noChangeAspect="1"/>
        </xdr:cNvGrpSpPr>
      </xdr:nvGrpSpPr>
      <xdr:grpSpPr bwMode="auto">
        <a:xfrm>
          <a:off x="2095500" y="40104436"/>
          <a:ext cx="861711" cy="151241"/>
          <a:chOff x="206" y="112"/>
          <a:chExt cx="73" cy="16"/>
        </a:xfrm>
      </xdr:grpSpPr>
      <xdr:sp macro="" textlink="">
        <xdr:nvSpPr>
          <xdr:cNvPr id="1044" name="Line 3">
            <a:extLst>
              <a:ext uri="{FF2B5EF4-FFF2-40B4-BE49-F238E27FC236}">
                <a16:creationId xmlns:a16="http://schemas.microsoft.com/office/drawing/2014/main" id="{95B48EAD-F3B3-C67A-4D13-11693FA7DC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4">
            <a:extLst>
              <a:ext uri="{FF2B5EF4-FFF2-40B4-BE49-F238E27FC236}">
                <a16:creationId xmlns:a16="http://schemas.microsoft.com/office/drawing/2014/main" id="{0F48A923-3D16-D1BF-F359-E3D1B9C242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135</xdr:row>
      <xdr:rowOff>271096</xdr:rowOff>
    </xdr:from>
    <xdr:to>
      <xdr:col>3</xdr:col>
      <xdr:colOff>930519</xdr:colOff>
      <xdr:row>135</xdr:row>
      <xdr:rowOff>271096</xdr:rowOff>
    </xdr:to>
    <xdr:cxnSp macro="">
      <xdr:nvCxnSpPr>
        <xdr:cNvPr id="1046" name="hinh1">
          <a:extLst>
            <a:ext uri="{FF2B5EF4-FFF2-40B4-BE49-F238E27FC236}">
              <a16:creationId xmlns:a16="http://schemas.microsoft.com/office/drawing/2014/main" id="{4FAF0DB6-8D09-4D7D-8DCD-6605DCA9ED05}"/>
            </a:ext>
          </a:extLst>
        </xdr:cNvPr>
        <xdr:cNvCxnSpPr/>
      </xdr:nvCxnSpPr>
      <xdr:spPr>
        <a:xfrm>
          <a:off x="2072432" y="3397839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136</xdr:row>
      <xdr:rowOff>194570</xdr:rowOff>
    </xdr:from>
    <xdr:to>
      <xdr:col>3</xdr:col>
      <xdr:colOff>916476</xdr:colOff>
      <xdr:row>136</xdr:row>
      <xdr:rowOff>273398</xdr:rowOff>
    </xdr:to>
    <xdr:grpSp>
      <xdr:nvGrpSpPr>
        <xdr:cNvPr id="1047" name="hinh23">
          <a:extLst>
            <a:ext uri="{FF2B5EF4-FFF2-40B4-BE49-F238E27FC236}">
              <a16:creationId xmlns:a16="http://schemas.microsoft.com/office/drawing/2014/main" id="{A0738344-AB22-4BD4-A53C-DABF8F73BC38}"/>
            </a:ext>
          </a:extLst>
        </xdr:cNvPr>
        <xdr:cNvGrpSpPr>
          <a:grpSpLocks noChangeAspect="1"/>
        </xdr:cNvGrpSpPr>
      </xdr:nvGrpSpPr>
      <xdr:grpSpPr bwMode="auto">
        <a:xfrm>
          <a:off x="2051539" y="39927427"/>
          <a:ext cx="865187" cy="78828"/>
          <a:chOff x="181" y="372"/>
          <a:chExt cx="129" cy="5"/>
        </a:xfrm>
      </xdr:grpSpPr>
      <xdr:sp macro="" textlink="">
        <xdr:nvSpPr>
          <xdr:cNvPr id="1048" name="Line 29">
            <a:extLst>
              <a:ext uri="{FF2B5EF4-FFF2-40B4-BE49-F238E27FC236}">
                <a16:creationId xmlns:a16="http://schemas.microsoft.com/office/drawing/2014/main" id="{47E18C04-B5BB-ACEC-79C0-4F6BA7FA05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30">
            <a:extLst>
              <a:ext uri="{FF2B5EF4-FFF2-40B4-BE49-F238E27FC236}">
                <a16:creationId xmlns:a16="http://schemas.microsoft.com/office/drawing/2014/main" id="{06CD3A96-DBED-7D23-95C3-59D5EF79B76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Line 31">
            <a:extLst>
              <a:ext uri="{FF2B5EF4-FFF2-40B4-BE49-F238E27FC236}">
                <a16:creationId xmlns:a16="http://schemas.microsoft.com/office/drawing/2014/main" id="{A6E21F67-0CEB-82E9-71EC-FB2E528526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32">
            <a:extLst>
              <a:ext uri="{FF2B5EF4-FFF2-40B4-BE49-F238E27FC236}">
                <a16:creationId xmlns:a16="http://schemas.microsoft.com/office/drawing/2014/main" id="{3F4D6EAB-A9FC-498F-3E23-A9060BCDDB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Line 33">
            <a:extLst>
              <a:ext uri="{FF2B5EF4-FFF2-40B4-BE49-F238E27FC236}">
                <a16:creationId xmlns:a16="http://schemas.microsoft.com/office/drawing/2014/main" id="{51630E82-1747-92E5-93A9-D56DDC344E5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139</xdr:row>
      <xdr:rowOff>65943</xdr:rowOff>
    </xdr:from>
    <xdr:to>
      <xdr:col>3</xdr:col>
      <xdr:colOff>958553</xdr:colOff>
      <xdr:row>139</xdr:row>
      <xdr:rowOff>229626</xdr:rowOff>
    </xdr:to>
    <xdr:grpSp>
      <xdr:nvGrpSpPr>
        <xdr:cNvPr id="1053" name="hinh2">
          <a:extLst>
            <a:ext uri="{FF2B5EF4-FFF2-40B4-BE49-F238E27FC236}">
              <a16:creationId xmlns:a16="http://schemas.microsoft.com/office/drawing/2014/main" id="{E1AA5137-63E6-44AA-B727-2297B4260074}"/>
            </a:ext>
          </a:extLst>
        </xdr:cNvPr>
        <xdr:cNvGrpSpPr>
          <a:grpSpLocks noChangeAspect="1"/>
        </xdr:cNvGrpSpPr>
      </xdr:nvGrpSpPr>
      <xdr:grpSpPr bwMode="auto">
        <a:xfrm>
          <a:off x="2083745" y="40628836"/>
          <a:ext cx="875058" cy="163683"/>
          <a:chOff x="206" y="86"/>
          <a:chExt cx="73" cy="16"/>
        </a:xfrm>
      </xdr:grpSpPr>
      <xdr:sp macro="" textlink="">
        <xdr:nvSpPr>
          <xdr:cNvPr id="1054" name="Line 6">
            <a:extLst>
              <a:ext uri="{FF2B5EF4-FFF2-40B4-BE49-F238E27FC236}">
                <a16:creationId xmlns:a16="http://schemas.microsoft.com/office/drawing/2014/main" id="{0F802BF8-E88D-F52B-0478-389DFFC966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Line 7">
            <a:extLst>
              <a:ext uri="{FF2B5EF4-FFF2-40B4-BE49-F238E27FC236}">
                <a16:creationId xmlns:a16="http://schemas.microsoft.com/office/drawing/2014/main" id="{2285D08D-32ED-8362-4011-FC40A7DFF4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8">
            <a:extLst>
              <a:ext uri="{FF2B5EF4-FFF2-40B4-BE49-F238E27FC236}">
                <a16:creationId xmlns:a16="http://schemas.microsoft.com/office/drawing/2014/main" id="{AE4B21E5-EBC9-E366-80AA-B6188D3F60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142</xdr:row>
      <xdr:rowOff>58615</xdr:rowOff>
    </xdr:from>
    <xdr:to>
      <xdr:col>3</xdr:col>
      <xdr:colOff>956961</xdr:colOff>
      <xdr:row>142</xdr:row>
      <xdr:rowOff>209856</xdr:rowOff>
    </xdr:to>
    <xdr:grpSp>
      <xdr:nvGrpSpPr>
        <xdr:cNvPr id="1057" name="hinh3">
          <a:extLst>
            <a:ext uri="{FF2B5EF4-FFF2-40B4-BE49-F238E27FC236}">
              <a16:creationId xmlns:a16="http://schemas.microsoft.com/office/drawing/2014/main" id="{FC78FD40-EE69-4987-B61B-62A8D3C3730C}"/>
            </a:ext>
          </a:extLst>
        </xdr:cNvPr>
        <xdr:cNvGrpSpPr>
          <a:grpSpLocks noChangeAspect="1"/>
        </xdr:cNvGrpSpPr>
      </xdr:nvGrpSpPr>
      <xdr:grpSpPr bwMode="auto">
        <a:xfrm>
          <a:off x="2095500" y="41560401"/>
          <a:ext cx="861711" cy="151241"/>
          <a:chOff x="206" y="112"/>
          <a:chExt cx="73" cy="16"/>
        </a:xfrm>
      </xdr:grpSpPr>
      <xdr:sp macro="" textlink="">
        <xdr:nvSpPr>
          <xdr:cNvPr id="1058" name="Line 3">
            <a:extLst>
              <a:ext uri="{FF2B5EF4-FFF2-40B4-BE49-F238E27FC236}">
                <a16:creationId xmlns:a16="http://schemas.microsoft.com/office/drawing/2014/main" id="{296C2627-9F95-4F3F-391C-3E1E7F5115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4">
            <a:extLst>
              <a:ext uri="{FF2B5EF4-FFF2-40B4-BE49-F238E27FC236}">
                <a16:creationId xmlns:a16="http://schemas.microsoft.com/office/drawing/2014/main" id="{48B89382-F1A6-D7AA-8A57-969661B454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140</xdr:row>
      <xdr:rowOff>271096</xdr:rowOff>
    </xdr:from>
    <xdr:to>
      <xdr:col>3</xdr:col>
      <xdr:colOff>930519</xdr:colOff>
      <xdr:row>140</xdr:row>
      <xdr:rowOff>271096</xdr:rowOff>
    </xdr:to>
    <xdr:cxnSp macro="">
      <xdr:nvCxnSpPr>
        <xdr:cNvPr id="1060" name="hinh1">
          <a:extLst>
            <a:ext uri="{FF2B5EF4-FFF2-40B4-BE49-F238E27FC236}">
              <a16:creationId xmlns:a16="http://schemas.microsoft.com/office/drawing/2014/main" id="{66C1B989-B232-46A3-99F1-787759B6BFD1}"/>
            </a:ext>
          </a:extLst>
        </xdr:cNvPr>
        <xdr:cNvCxnSpPr/>
      </xdr:nvCxnSpPr>
      <xdr:spPr>
        <a:xfrm>
          <a:off x="2072432" y="35435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141</xdr:row>
      <xdr:rowOff>194570</xdr:rowOff>
    </xdr:from>
    <xdr:to>
      <xdr:col>3</xdr:col>
      <xdr:colOff>916476</xdr:colOff>
      <xdr:row>141</xdr:row>
      <xdr:rowOff>273398</xdr:rowOff>
    </xdr:to>
    <xdr:grpSp>
      <xdr:nvGrpSpPr>
        <xdr:cNvPr id="1061" name="hinh23">
          <a:extLst>
            <a:ext uri="{FF2B5EF4-FFF2-40B4-BE49-F238E27FC236}">
              <a16:creationId xmlns:a16="http://schemas.microsoft.com/office/drawing/2014/main" id="{DF809636-AE80-44F3-BD45-496DAD16D7F6}"/>
            </a:ext>
          </a:extLst>
        </xdr:cNvPr>
        <xdr:cNvGrpSpPr>
          <a:grpSpLocks noChangeAspect="1"/>
        </xdr:cNvGrpSpPr>
      </xdr:nvGrpSpPr>
      <xdr:grpSpPr bwMode="auto">
        <a:xfrm>
          <a:off x="2051539" y="41383391"/>
          <a:ext cx="865187" cy="78828"/>
          <a:chOff x="181" y="372"/>
          <a:chExt cx="129" cy="5"/>
        </a:xfrm>
      </xdr:grpSpPr>
      <xdr:sp macro="" textlink="">
        <xdr:nvSpPr>
          <xdr:cNvPr id="1062" name="Line 29">
            <a:extLst>
              <a:ext uri="{FF2B5EF4-FFF2-40B4-BE49-F238E27FC236}">
                <a16:creationId xmlns:a16="http://schemas.microsoft.com/office/drawing/2014/main" id="{FC82BE40-663A-CD4B-8B71-BD454B1D73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Line 30">
            <a:extLst>
              <a:ext uri="{FF2B5EF4-FFF2-40B4-BE49-F238E27FC236}">
                <a16:creationId xmlns:a16="http://schemas.microsoft.com/office/drawing/2014/main" id="{C0C33807-0FF6-B638-668E-18BA48EBEA8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Line 31">
            <a:extLst>
              <a:ext uri="{FF2B5EF4-FFF2-40B4-BE49-F238E27FC236}">
                <a16:creationId xmlns:a16="http://schemas.microsoft.com/office/drawing/2014/main" id="{86531CE7-D332-CB31-D1CC-4BB795AFED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Line 32">
            <a:extLst>
              <a:ext uri="{FF2B5EF4-FFF2-40B4-BE49-F238E27FC236}">
                <a16:creationId xmlns:a16="http://schemas.microsoft.com/office/drawing/2014/main" id="{576E2181-10D6-4E6F-E2D4-04EFC5C456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6" name="Line 33">
            <a:extLst>
              <a:ext uri="{FF2B5EF4-FFF2-40B4-BE49-F238E27FC236}">
                <a16:creationId xmlns:a16="http://schemas.microsoft.com/office/drawing/2014/main" id="{8258B88A-ED9F-3A7E-64A1-7BD7B67C46DE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144</xdr:row>
      <xdr:rowOff>65943</xdr:rowOff>
    </xdr:from>
    <xdr:to>
      <xdr:col>3</xdr:col>
      <xdr:colOff>958553</xdr:colOff>
      <xdr:row>144</xdr:row>
      <xdr:rowOff>229626</xdr:rowOff>
    </xdr:to>
    <xdr:grpSp>
      <xdr:nvGrpSpPr>
        <xdr:cNvPr id="1067" name="hinh2">
          <a:extLst>
            <a:ext uri="{FF2B5EF4-FFF2-40B4-BE49-F238E27FC236}">
              <a16:creationId xmlns:a16="http://schemas.microsoft.com/office/drawing/2014/main" id="{CC3B5243-87E4-4598-904B-1DF6E2BBDC7F}"/>
            </a:ext>
          </a:extLst>
        </xdr:cNvPr>
        <xdr:cNvGrpSpPr>
          <a:grpSpLocks noChangeAspect="1"/>
        </xdr:cNvGrpSpPr>
      </xdr:nvGrpSpPr>
      <xdr:grpSpPr bwMode="auto">
        <a:xfrm>
          <a:off x="2083745" y="42084800"/>
          <a:ext cx="875058" cy="163683"/>
          <a:chOff x="206" y="86"/>
          <a:chExt cx="73" cy="16"/>
        </a:xfrm>
      </xdr:grpSpPr>
      <xdr:sp macro="" textlink="">
        <xdr:nvSpPr>
          <xdr:cNvPr id="1068" name="Line 6">
            <a:extLst>
              <a:ext uri="{FF2B5EF4-FFF2-40B4-BE49-F238E27FC236}">
                <a16:creationId xmlns:a16="http://schemas.microsoft.com/office/drawing/2014/main" id="{976542FD-429E-9F2F-8900-7230237406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7">
            <a:extLst>
              <a:ext uri="{FF2B5EF4-FFF2-40B4-BE49-F238E27FC236}">
                <a16:creationId xmlns:a16="http://schemas.microsoft.com/office/drawing/2014/main" id="{65617522-F2E3-7E5B-E497-995788A22F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0" name="Line 8">
            <a:extLst>
              <a:ext uri="{FF2B5EF4-FFF2-40B4-BE49-F238E27FC236}">
                <a16:creationId xmlns:a16="http://schemas.microsoft.com/office/drawing/2014/main" id="{AD158CB6-97F1-6649-9E11-9362AE0339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147</xdr:row>
      <xdr:rowOff>58615</xdr:rowOff>
    </xdr:from>
    <xdr:to>
      <xdr:col>3</xdr:col>
      <xdr:colOff>956961</xdr:colOff>
      <xdr:row>147</xdr:row>
      <xdr:rowOff>209856</xdr:rowOff>
    </xdr:to>
    <xdr:grpSp>
      <xdr:nvGrpSpPr>
        <xdr:cNvPr id="1071" name="hinh3">
          <a:extLst>
            <a:ext uri="{FF2B5EF4-FFF2-40B4-BE49-F238E27FC236}">
              <a16:creationId xmlns:a16="http://schemas.microsoft.com/office/drawing/2014/main" id="{FB4593B7-88EE-4A1E-8D82-162B96C8F50D}"/>
            </a:ext>
          </a:extLst>
        </xdr:cNvPr>
        <xdr:cNvGrpSpPr>
          <a:grpSpLocks noChangeAspect="1"/>
        </xdr:cNvGrpSpPr>
      </xdr:nvGrpSpPr>
      <xdr:grpSpPr bwMode="auto">
        <a:xfrm>
          <a:off x="2095500" y="43016365"/>
          <a:ext cx="861711" cy="151241"/>
          <a:chOff x="206" y="112"/>
          <a:chExt cx="73" cy="16"/>
        </a:xfrm>
      </xdr:grpSpPr>
      <xdr:sp macro="" textlink="">
        <xdr:nvSpPr>
          <xdr:cNvPr id="1072" name="Line 3">
            <a:extLst>
              <a:ext uri="{FF2B5EF4-FFF2-40B4-BE49-F238E27FC236}">
                <a16:creationId xmlns:a16="http://schemas.microsoft.com/office/drawing/2014/main" id="{5F7F64AF-2CC7-AEC4-4A1D-11B3172483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Line 4">
            <a:extLst>
              <a:ext uri="{FF2B5EF4-FFF2-40B4-BE49-F238E27FC236}">
                <a16:creationId xmlns:a16="http://schemas.microsoft.com/office/drawing/2014/main" id="{9782BED1-9C44-DCEB-9DEC-E1A422AC09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145</xdr:row>
      <xdr:rowOff>271096</xdr:rowOff>
    </xdr:from>
    <xdr:to>
      <xdr:col>3</xdr:col>
      <xdr:colOff>930519</xdr:colOff>
      <xdr:row>145</xdr:row>
      <xdr:rowOff>271096</xdr:rowOff>
    </xdr:to>
    <xdr:cxnSp macro="">
      <xdr:nvCxnSpPr>
        <xdr:cNvPr id="1074" name="hinh1">
          <a:extLst>
            <a:ext uri="{FF2B5EF4-FFF2-40B4-BE49-F238E27FC236}">
              <a16:creationId xmlns:a16="http://schemas.microsoft.com/office/drawing/2014/main" id="{A774D068-3399-4690-9930-5D4B0E474879}"/>
            </a:ext>
          </a:extLst>
        </xdr:cNvPr>
        <xdr:cNvCxnSpPr/>
      </xdr:nvCxnSpPr>
      <xdr:spPr>
        <a:xfrm>
          <a:off x="2072432" y="38348684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146</xdr:row>
      <xdr:rowOff>194570</xdr:rowOff>
    </xdr:from>
    <xdr:to>
      <xdr:col>3</xdr:col>
      <xdr:colOff>916476</xdr:colOff>
      <xdr:row>146</xdr:row>
      <xdr:rowOff>273398</xdr:rowOff>
    </xdr:to>
    <xdr:grpSp>
      <xdr:nvGrpSpPr>
        <xdr:cNvPr id="1075" name="hinh23">
          <a:extLst>
            <a:ext uri="{FF2B5EF4-FFF2-40B4-BE49-F238E27FC236}">
              <a16:creationId xmlns:a16="http://schemas.microsoft.com/office/drawing/2014/main" id="{F0B07A88-4A18-4CE6-830B-9902DA2FBDDD}"/>
            </a:ext>
          </a:extLst>
        </xdr:cNvPr>
        <xdr:cNvGrpSpPr>
          <a:grpSpLocks noChangeAspect="1"/>
        </xdr:cNvGrpSpPr>
      </xdr:nvGrpSpPr>
      <xdr:grpSpPr bwMode="auto">
        <a:xfrm>
          <a:off x="2051539" y="42839356"/>
          <a:ext cx="865187" cy="78828"/>
          <a:chOff x="181" y="372"/>
          <a:chExt cx="129" cy="5"/>
        </a:xfrm>
      </xdr:grpSpPr>
      <xdr:sp macro="" textlink="">
        <xdr:nvSpPr>
          <xdr:cNvPr id="1076" name="Line 29">
            <a:extLst>
              <a:ext uri="{FF2B5EF4-FFF2-40B4-BE49-F238E27FC236}">
                <a16:creationId xmlns:a16="http://schemas.microsoft.com/office/drawing/2014/main" id="{5D742348-A24C-CF85-BACA-C5716BB187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Line 30">
            <a:extLst>
              <a:ext uri="{FF2B5EF4-FFF2-40B4-BE49-F238E27FC236}">
                <a16:creationId xmlns:a16="http://schemas.microsoft.com/office/drawing/2014/main" id="{A8D3F90F-3F59-8BCA-AE6D-DB6703ADC17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" name="Line 31">
            <a:extLst>
              <a:ext uri="{FF2B5EF4-FFF2-40B4-BE49-F238E27FC236}">
                <a16:creationId xmlns:a16="http://schemas.microsoft.com/office/drawing/2014/main" id="{0254F395-A7B4-CB70-3823-24374A2796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" name="Line 32">
            <a:extLst>
              <a:ext uri="{FF2B5EF4-FFF2-40B4-BE49-F238E27FC236}">
                <a16:creationId xmlns:a16="http://schemas.microsoft.com/office/drawing/2014/main" id="{44009A4E-979A-F377-4777-B4D069219B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" name="Line 33">
            <a:extLst>
              <a:ext uri="{FF2B5EF4-FFF2-40B4-BE49-F238E27FC236}">
                <a16:creationId xmlns:a16="http://schemas.microsoft.com/office/drawing/2014/main" id="{8DDC0EAC-C422-3C58-C119-79F0E180875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149</xdr:row>
      <xdr:rowOff>65943</xdr:rowOff>
    </xdr:from>
    <xdr:to>
      <xdr:col>3</xdr:col>
      <xdr:colOff>958553</xdr:colOff>
      <xdr:row>149</xdr:row>
      <xdr:rowOff>229626</xdr:rowOff>
    </xdr:to>
    <xdr:grpSp>
      <xdr:nvGrpSpPr>
        <xdr:cNvPr id="1081" name="hinh2">
          <a:extLst>
            <a:ext uri="{FF2B5EF4-FFF2-40B4-BE49-F238E27FC236}">
              <a16:creationId xmlns:a16="http://schemas.microsoft.com/office/drawing/2014/main" id="{E26A88FC-6068-481E-9531-2A9A8874A82D}"/>
            </a:ext>
          </a:extLst>
        </xdr:cNvPr>
        <xdr:cNvGrpSpPr>
          <a:grpSpLocks noChangeAspect="1"/>
        </xdr:cNvGrpSpPr>
      </xdr:nvGrpSpPr>
      <xdr:grpSpPr bwMode="auto">
        <a:xfrm>
          <a:off x="2083745" y="43649622"/>
          <a:ext cx="875058" cy="163683"/>
          <a:chOff x="206" y="86"/>
          <a:chExt cx="73" cy="16"/>
        </a:xfrm>
      </xdr:grpSpPr>
      <xdr:sp macro="" textlink="">
        <xdr:nvSpPr>
          <xdr:cNvPr id="1082" name="Line 6">
            <a:extLst>
              <a:ext uri="{FF2B5EF4-FFF2-40B4-BE49-F238E27FC236}">
                <a16:creationId xmlns:a16="http://schemas.microsoft.com/office/drawing/2014/main" id="{EB219C56-1598-543A-A737-4993AD0070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" name="Line 7">
            <a:extLst>
              <a:ext uri="{FF2B5EF4-FFF2-40B4-BE49-F238E27FC236}">
                <a16:creationId xmlns:a16="http://schemas.microsoft.com/office/drawing/2014/main" id="{F873494B-4323-7409-60B8-20B10366C4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Line 8">
            <a:extLst>
              <a:ext uri="{FF2B5EF4-FFF2-40B4-BE49-F238E27FC236}">
                <a16:creationId xmlns:a16="http://schemas.microsoft.com/office/drawing/2014/main" id="{F7F7FCBD-0812-A720-E5AB-BEE7433DC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153</xdr:row>
      <xdr:rowOff>58615</xdr:rowOff>
    </xdr:from>
    <xdr:to>
      <xdr:col>3</xdr:col>
      <xdr:colOff>956961</xdr:colOff>
      <xdr:row>153</xdr:row>
      <xdr:rowOff>209856</xdr:rowOff>
    </xdr:to>
    <xdr:grpSp>
      <xdr:nvGrpSpPr>
        <xdr:cNvPr id="1085" name="hinh3">
          <a:extLst>
            <a:ext uri="{FF2B5EF4-FFF2-40B4-BE49-F238E27FC236}">
              <a16:creationId xmlns:a16="http://schemas.microsoft.com/office/drawing/2014/main" id="{B3992430-B474-4297-9C94-7D08FDC95D16}"/>
            </a:ext>
          </a:extLst>
        </xdr:cNvPr>
        <xdr:cNvGrpSpPr>
          <a:grpSpLocks noChangeAspect="1"/>
        </xdr:cNvGrpSpPr>
      </xdr:nvGrpSpPr>
      <xdr:grpSpPr bwMode="auto">
        <a:xfrm>
          <a:off x="2095500" y="44894151"/>
          <a:ext cx="861711" cy="151241"/>
          <a:chOff x="206" y="112"/>
          <a:chExt cx="73" cy="16"/>
        </a:xfrm>
      </xdr:grpSpPr>
      <xdr:sp macro="" textlink="">
        <xdr:nvSpPr>
          <xdr:cNvPr id="1086" name="Line 3">
            <a:extLst>
              <a:ext uri="{FF2B5EF4-FFF2-40B4-BE49-F238E27FC236}">
                <a16:creationId xmlns:a16="http://schemas.microsoft.com/office/drawing/2014/main" id="{DB2C2439-BE74-7CEA-AD4F-1D711065B8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Line 4">
            <a:extLst>
              <a:ext uri="{FF2B5EF4-FFF2-40B4-BE49-F238E27FC236}">
                <a16:creationId xmlns:a16="http://schemas.microsoft.com/office/drawing/2014/main" id="{0B36BFB3-90D1-05C8-7772-95AFCB46EB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150</xdr:row>
      <xdr:rowOff>271096</xdr:rowOff>
    </xdr:from>
    <xdr:to>
      <xdr:col>3</xdr:col>
      <xdr:colOff>930519</xdr:colOff>
      <xdr:row>150</xdr:row>
      <xdr:rowOff>271096</xdr:rowOff>
    </xdr:to>
    <xdr:cxnSp macro="">
      <xdr:nvCxnSpPr>
        <xdr:cNvPr id="1088" name="hinh1">
          <a:extLst>
            <a:ext uri="{FF2B5EF4-FFF2-40B4-BE49-F238E27FC236}">
              <a16:creationId xmlns:a16="http://schemas.microsoft.com/office/drawing/2014/main" id="{656B89FB-6D28-48AF-8BAD-62976DF49A49}"/>
            </a:ext>
          </a:extLst>
        </xdr:cNvPr>
        <xdr:cNvCxnSpPr/>
      </xdr:nvCxnSpPr>
      <xdr:spPr>
        <a:xfrm>
          <a:off x="2072432" y="2523780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152</xdr:row>
      <xdr:rowOff>194570</xdr:rowOff>
    </xdr:from>
    <xdr:to>
      <xdr:col>3</xdr:col>
      <xdr:colOff>916476</xdr:colOff>
      <xdr:row>152</xdr:row>
      <xdr:rowOff>273398</xdr:rowOff>
    </xdr:to>
    <xdr:grpSp>
      <xdr:nvGrpSpPr>
        <xdr:cNvPr id="1089" name="hinh23">
          <a:extLst>
            <a:ext uri="{FF2B5EF4-FFF2-40B4-BE49-F238E27FC236}">
              <a16:creationId xmlns:a16="http://schemas.microsoft.com/office/drawing/2014/main" id="{A7F2E0C8-320F-4947-85FB-7DCA576CB3B6}"/>
            </a:ext>
          </a:extLst>
        </xdr:cNvPr>
        <xdr:cNvGrpSpPr>
          <a:grpSpLocks noChangeAspect="1"/>
        </xdr:cNvGrpSpPr>
      </xdr:nvGrpSpPr>
      <xdr:grpSpPr bwMode="auto">
        <a:xfrm>
          <a:off x="2051539" y="44717141"/>
          <a:ext cx="865187" cy="78828"/>
          <a:chOff x="181" y="372"/>
          <a:chExt cx="129" cy="5"/>
        </a:xfrm>
      </xdr:grpSpPr>
      <xdr:sp macro="" textlink="">
        <xdr:nvSpPr>
          <xdr:cNvPr id="1090" name="Line 29">
            <a:extLst>
              <a:ext uri="{FF2B5EF4-FFF2-40B4-BE49-F238E27FC236}">
                <a16:creationId xmlns:a16="http://schemas.microsoft.com/office/drawing/2014/main" id="{FE60C543-CB1A-B3E9-CF85-CB99B6D018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30">
            <a:extLst>
              <a:ext uri="{FF2B5EF4-FFF2-40B4-BE49-F238E27FC236}">
                <a16:creationId xmlns:a16="http://schemas.microsoft.com/office/drawing/2014/main" id="{1C06BCCE-71F5-6327-89E4-B91C76501C6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31">
            <a:extLst>
              <a:ext uri="{FF2B5EF4-FFF2-40B4-BE49-F238E27FC236}">
                <a16:creationId xmlns:a16="http://schemas.microsoft.com/office/drawing/2014/main" id="{5F96A7BC-D7B5-EDD7-910D-2E6D64416F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32">
            <a:extLst>
              <a:ext uri="{FF2B5EF4-FFF2-40B4-BE49-F238E27FC236}">
                <a16:creationId xmlns:a16="http://schemas.microsoft.com/office/drawing/2014/main" id="{94C8EC23-0FE6-150E-624F-B21C02A247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Line 33">
            <a:extLst>
              <a:ext uri="{FF2B5EF4-FFF2-40B4-BE49-F238E27FC236}">
                <a16:creationId xmlns:a16="http://schemas.microsoft.com/office/drawing/2014/main" id="{9899C3B5-1992-947E-881E-DB89BF813651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151</xdr:row>
      <xdr:rowOff>271096</xdr:rowOff>
    </xdr:from>
    <xdr:to>
      <xdr:col>3</xdr:col>
      <xdr:colOff>930519</xdr:colOff>
      <xdr:row>151</xdr:row>
      <xdr:rowOff>271096</xdr:rowOff>
    </xdr:to>
    <xdr:cxnSp macro="">
      <xdr:nvCxnSpPr>
        <xdr:cNvPr id="1099" name="hinh1">
          <a:extLst>
            <a:ext uri="{FF2B5EF4-FFF2-40B4-BE49-F238E27FC236}">
              <a16:creationId xmlns:a16="http://schemas.microsoft.com/office/drawing/2014/main" id="{36CF398A-25A9-4942-B9E2-C8470CA9436A}"/>
            </a:ext>
          </a:extLst>
        </xdr:cNvPr>
        <xdr:cNvCxnSpPr/>
      </xdr:nvCxnSpPr>
      <xdr:spPr>
        <a:xfrm>
          <a:off x="2072432" y="4137427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83495</xdr:colOff>
      <xdr:row>154</xdr:row>
      <xdr:rowOff>65943</xdr:rowOff>
    </xdr:from>
    <xdr:to>
      <xdr:col>3</xdr:col>
      <xdr:colOff>958553</xdr:colOff>
      <xdr:row>154</xdr:row>
      <xdr:rowOff>229626</xdr:rowOff>
    </xdr:to>
    <xdr:grpSp>
      <xdr:nvGrpSpPr>
        <xdr:cNvPr id="1100" name="hinh2">
          <a:extLst>
            <a:ext uri="{FF2B5EF4-FFF2-40B4-BE49-F238E27FC236}">
              <a16:creationId xmlns:a16="http://schemas.microsoft.com/office/drawing/2014/main" id="{2B1756CF-12B7-4B21-BBF4-D17DCC6691AE}"/>
            </a:ext>
          </a:extLst>
        </xdr:cNvPr>
        <xdr:cNvGrpSpPr>
          <a:grpSpLocks noChangeAspect="1"/>
        </xdr:cNvGrpSpPr>
      </xdr:nvGrpSpPr>
      <xdr:grpSpPr bwMode="auto">
        <a:xfrm>
          <a:off x="2083745" y="45214443"/>
          <a:ext cx="875058" cy="163683"/>
          <a:chOff x="206" y="86"/>
          <a:chExt cx="73" cy="16"/>
        </a:xfrm>
      </xdr:grpSpPr>
      <xdr:sp macro="" textlink="">
        <xdr:nvSpPr>
          <xdr:cNvPr id="1101" name="Line 6">
            <a:extLst>
              <a:ext uri="{FF2B5EF4-FFF2-40B4-BE49-F238E27FC236}">
                <a16:creationId xmlns:a16="http://schemas.microsoft.com/office/drawing/2014/main" id="{B9852350-FE49-DF4F-BE13-CCBE1D980C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">
            <a:extLst>
              <a:ext uri="{FF2B5EF4-FFF2-40B4-BE49-F238E27FC236}">
                <a16:creationId xmlns:a16="http://schemas.microsoft.com/office/drawing/2014/main" id="{A2ACDCB8-B4D0-D9E5-3303-866787953F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Line 8">
            <a:extLst>
              <a:ext uri="{FF2B5EF4-FFF2-40B4-BE49-F238E27FC236}">
                <a16:creationId xmlns:a16="http://schemas.microsoft.com/office/drawing/2014/main" id="{3E0EE6D6-6A23-DD87-3398-C8FAFB41EA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155</xdr:row>
      <xdr:rowOff>259890</xdr:rowOff>
    </xdr:from>
    <xdr:to>
      <xdr:col>3</xdr:col>
      <xdr:colOff>930519</xdr:colOff>
      <xdr:row>155</xdr:row>
      <xdr:rowOff>259890</xdr:rowOff>
    </xdr:to>
    <xdr:cxnSp macro="">
      <xdr:nvCxnSpPr>
        <xdr:cNvPr id="1104" name="hinh1">
          <a:extLst>
            <a:ext uri="{FF2B5EF4-FFF2-40B4-BE49-F238E27FC236}">
              <a16:creationId xmlns:a16="http://schemas.microsoft.com/office/drawing/2014/main" id="{91A5784B-87FA-476F-ADB6-EC21A274AD0A}"/>
            </a:ext>
          </a:extLst>
        </xdr:cNvPr>
        <xdr:cNvCxnSpPr/>
      </xdr:nvCxnSpPr>
      <xdr:spPr>
        <a:xfrm>
          <a:off x="2072432" y="4293189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156</xdr:row>
      <xdr:rowOff>259890</xdr:rowOff>
    </xdr:from>
    <xdr:to>
      <xdr:col>3</xdr:col>
      <xdr:colOff>930519</xdr:colOff>
      <xdr:row>156</xdr:row>
      <xdr:rowOff>259890</xdr:rowOff>
    </xdr:to>
    <xdr:cxnSp macro="">
      <xdr:nvCxnSpPr>
        <xdr:cNvPr id="1105" name="hinh1">
          <a:extLst>
            <a:ext uri="{FF2B5EF4-FFF2-40B4-BE49-F238E27FC236}">
              <a16:creationId xmlns:a16="http://schemas.microsoft.com/office/drawing/2014/main" id="{7B5EB34E-FC52-4813-A3A3-8BEB4E358A71}"/>
            </a:ext>
          </a:extLst>
        </xdr:cNvPr>
        <xdr:cNvCxnSpPr/>
      </xdr:nvCxnSpPr>
      <xdr:spPr>
        <a:xfrm>
          <a:off x="2072432" y="4293189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83495</xdr:colOff>
      <xdr:row>84</xdr:row>
      <xdr:rowOff>65943</xdr:rowOff>
    </xdr:from>
    <xdr:to>
      <xdr:col>3</xdr:col>
      <xdr:colOff>958553</xdr:colOff>
      <xdr:row>84</xdr:row>
      <xdr:rowOff>229626</xdr:rowOff>
    </xdr:to>
    <xdr:grpSp>
      <xdr:nvGrpSpPr>
        <xdr:cNvPr id="1106" name="hinh2">
          <a:extLst>
            <a:ext uri="{FF2B5EF4-FFF2-40B4-BE49-F238E27FC236}">
              <a16:creationId xmlns:a16="http://schemas.microsoft.com/office/drawing/2014/main" id="{62B37B45-7841-4E70-B09F-F47D02391E05}"/>
            </a:ext>
          </a:extLst>
        </xdr:cNvPr>
        <xdr:cNvGrpSpPr>
          <a:grpSpLocks noChangeAspect="1"/>
        </xdr:cNvGrpSpPr>
      </xdr:nvGrpSpPr>
      <xdr:grpSpPr bwMode="auto">
        <a:xfrm>
          <a:off x="2083745" y="24504372"/>
          <a:ext cx="875058" cy="163683"/>
          <a:chOff x="206" y="86"/>
          <a:chExt cx="73" cy="16"/>
        </a:xfrm>
      </xdr:grpSpPr>
      <xdr:sp macro="" textlink="">
        <xdr:nvSpPr>
          <xdr:cNvPr id="1107" name="Line 6">
            <a:extLst>
              <a:ext uri="{FF2B5EF4-FFF2-40B4-BE49-F238E27FC236}">
                <a16:creationId xmlns:a16="http://schemas.microsoft.com/office/drawing/2014/main" id="{3248F240-C6B5-73F2-79E2-E648F2CCB9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" name="Line 7">
            <a:extLst>
              <a:ext uri="{FF2B5EF4-FFF2-40B4-BE49-F238E27FC236}">
                <a16:creationId xmlns:a16="http://schemas.microsoft.com/office/drawing/2014/main" id="{F7E47834-2AD1-9CAC-BB2D-637E28BD12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9" name="Line 8">
            <a:extLst>
              <a:ext uri="{FF2B5EF4-FFF2-40B4-BE49-F238E27FC236}">
                <a16:creationId xmlns:a16="http://schemas.microsoft.com/office/drawing/2014/main" id="{020341F1-95DD-B52B-187C-AF08E0AD00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88</xdr:row>
      <xdr:rowOff>58615</xdr:rowOff>
    </xdr:from>
    <xdr:to>
      <xdr:col>3</xdr:col>
      <xdr:colOff>956961</xdr:colOff>
      <xdr:row>88</xdr:row>
      <xdr:rowOff>209856</xdr:rowOff>
    </xdr:to>
    <xdr:grpSp>
      <xdr:nvGrpSpPr>
        <xdr:cNvPr id="1110" name="hinh3">
          <a:extLst>
            <a:ext uri="{FF2B5EF4-FFF2-40B4-BE49-F238E27FC236}">
              <a16:creationId xmlns:a16="http://schemas.microsoft.com/office/drawing/2014/main" id="{99DCC14E-3CAD-4E23-AC40-0CA6D6C184CD}"/>
            </a:ext>
          </a:extLst>
        </xdr:cNvPr>
        <xdr:cNvGrpSpPr>
          <a:grpSpLocks noChangeAspect="1"/>
        </xdr:cNvGrpSpPr>
      </xdr:nvGrpSpPr>
      <xdr:grpSpPr bwMode="auto">
        <a:xfrm>
          <a:off x="2095500" y="25748901"/>
          <a:ext cx="861711" cy="151241"/>
          <a:chOff x="206" y="112"/>
          <a:chExt cx="73" cy="16"/>
        </a:xfrm>
      </xdr:grpSpPr>
      <xdr:sp macro="" textlink="">
        <xdr:nvSpPr>
          <xdr:cNvPr id="1111" name="Line 3">
            <a:extLst>
              <a:ext uri="{FF2B5EF4-FFF2-40B4-BE49-F238E27FC236}">
                <a16:creationId xmlns:a16="http://schemas.microsoft.com/office/drawing/2014/main" id="{2F84DA79-9A2C-9026-6268-D3D0248B1D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2" name="Line 4">
            <a:extLst>
              <a:ext uri="{FF2B5EF4-FFF2-40B4-BE49-F238E27FC236}">
                <a16:creationId xmlns:a16="http://schemas.microsoft.com/office/drawing/2014/main" id="{0370FA69-A921-1935-D703-5953AA2E45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85</xdr:row>
      <xdr:rowOff>271096</xdr:rowOff>
    </xdr:from>
    <xdr:to>
      <xdr:col>3</xdr:col>
      <xdr:colOff>930519</xdr:colOff>
      <xdr:row>85</xdr:row>
      <xdr:rowOff>271096</xdr:rowOff>
    </xdr:to>
    <xdr:cxnSp macro="">
      <xdr:nvCxnSpPr>
        <xdr:cNvPr id="1113" name="hinh1">
          <a:extLst>
            <a:ext uri="{FF2B5EF4-FFF2-40B4-BE49-F238E27FC236}">
              <a16:creationId xmlns:a16="http://schemas.microsoft.com/office/drawing/2014/main" id="{A86E8BF5-257C-413B-9859-05B9720109FA}"/>
            </a:ext>
          </a:extLst>
        </xdr:cNvPr>
        <xdr:cNvCxnSpPr/>
      </xdr:nvCxnSpPr>
      <xdr:spPr>
        <a:xfrm>
          <a:off x="2072432" y="4419815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87</xdr:row>
      <xdr:rowOff>194570</xdr:rowOff>
    </xdr:from>
    <xdr:to>
      <xdr:col>3</xdr:col>
      <xdr:colOff>916476</xdr:colOff>
      <xdr:row>87</xdr:row>
      <xdr:rowOff>273398</xdr:rowOff>
    </xdr:to>
    <xdr:grpSp>
      <xdr:nvGrpSpPr>
        <xdr:cNvPr id="1114" name="hinh23">
          <a:extLst>
            <a:ext uri="{FF2B5EF4-FFF2-40B4-BE49-F238E27FC236}">
              <a16:creationId xmlns:a16="http://schemas.microsoft.com/office/drawing/2014/main" id="{8992F319-E83F-4A76-B9D8-04E90B8CD469}"/>
            </a:ext>
          </a:extLst>
        </xdr:cNvPr>
        <xdr:cNvGrpSpPr>
          <a:grpSpLocks noChangeAspect="1"/>
        </xdr:cNvGrpSpPr>
      </xdr:nvGrpSpPr>
      <xdr:grpSpPr bwMode="auto">
        <a:xfrm>
          <a:off x="2051539" y="25571891"/>
          <a:ext cx="865187" cy="78828"/>
          <a:chOff x="181" y="372"/>
          <a:chExt cx="129" cy="5"/>
        </a:xfrm>
      </xdr:grpSpPr>
      <xdr:sp macro="" textlink="">
        <xdr:nvSpPr>
          <xdr:cNvPr id="1115" name="Line 29">
            <a:extLst>
              <a:ext uri="{FF2B5EF4-FFF2-40B4-BE49-F238E27FC236}">
                <a16:creationId xmlns:a16="http://schemas.microsoft.com/office/drawing/2014/main" id="{A9523BD6-2777-D56A-4B33-19E2BEBC23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6" name="Line 30">
            <a:extLst>
              <a:ext uri="{FF2B5EF4-FFF2-40B4-BE49-F238E27FC236}">
                <a16:creationId xmlns:a16="http://schemas.microsoft.com/office/drawing/2014/main" id="{96504A33-C456-830D-DD1D-72E6323F48E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7" name="Line 31">
            <a:extLst>
              <a:ext uri="{FF2B5EF4-FFF2-40B4-BE49-F238E27FC236}">
                <a16:creationId xmlns:a16="http://schemas.microsoft.com/office/drawing/2014/main" id="{AA4BE2C5-AE63-D217-B7CF-DD8A25C070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8" name="Line 32">
            <a:extLst>
              <a:ext uri="{FF2B5EF4-FFF2-40B4-BE49-F238E27FC236}">
                <a16:creationId xmlns:a16="http://schemas.microsoft.com/office/drawing/2014/main" id="{3FC09132-6E95-0D21-3D4B-367A724500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9" name="Line 33">
            <a:extLst>
              <a:ext uri="{FF2B5EF4-FFF2-40B4-BE49-F238E27FC236}">
                <a16:creationId xmlns:a16="http://schemas.microsoft.com/office/drawing/2014/main" id="{F2F859B7-779F-1A59-6635-E17E40D8CBA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86</xdr:row>
      <xdr:rowOff>271096</xdr:rowOff>
    </xdr:from>
    <xdr:to>
      <xdr:col>3</xdr:col>
      <xdr:colOff>930519</xdr:colOff>
      <xdr:row>86</xdr:row>
      <xdr:rowOff>271096</xdr:rowOff>
    </xdr:to>
    <xdr:cxnSp macro="">
      <xdr:nvCxnSpPr>
        <xdr:cNvPr id="1120" name="hinh1">
          <a:extLst>
            <a:ext uri="{FF2B5EF4-FFF2-40B4-BE49-F238E27FC236}">
              <a16:creationId xmlns:a16="http://schemas.microsoft.com/office/drawing/2014/main" id="{2FD2D970-CB41-4B1A-8992-9187789E59CC}"/>
            </a:ext>
          </a:extLst>
        </xdr:cNvPr>
        <xdr:cNvCxnSpPr/>
      </xdr:nvCxnSpPr>
      <xdr:spPr>
        <a:xfrm>
          <a:off x="2072432" y="44511920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83495</xdr:colOff>
      <xdr:row>89</xdr:row>
      <xdr:rowOff>65943</xdr:rowOff>
    </xdr:from>
    <xdr:to>
      <xdr:col>3</xdr:col>
      <xdr:colOff>958553</xdr:colOff>
      <xdr:row>89</xdr:row>
      <xdr:rowOff>229626</xdr:rowOff>
    </xdr:to>
    <xdr:grpSp>
      <xdr:nvGrpSpPr>
        <xdr:cNvPr id="1121" name="hinh2">
          <a:extLst>
            <a:ext uri="{FF2B5EF4-FFF2-40B4-BE49-F238E27FC236}">
              <a16:creationId xmlns:a16="http://schemas.microsoft.com/office/drawing/2014/main" id="{3B633442-A962-42E5-83B6-7DA133A413D6}"/>
            </a:ext>
          </a:extLst>
        </xdr:cNvPr>
        <xdr:cNvGrpSpPr>
          <a:grpSpLocks noChangeAspect="1"/>
        </xdr:cNvGrpSpPr>
      </xdr:nvGrpSpPr>
      <xdr:grpSpPr bwMode="auto">
        <a:xfrm>
          <a:off x="2083745" y="26069193"/>
          <a:ext cx="875058" cy="163683"/>
          <a:chOff x="206" y="86"/>
          <a:chExt cx="73" cy="16"/>
        </a:xfrm>
      </xdr:grpSpPr>
      <xdr:sp macro="" textlink="">
        <xdr:nvSpPr>
          <xdr:cNvPr id="1122" name="Line 6">
            <a:extLst>
              <a:ext uri="{FF2B5EF4-FFF2-40B4-BE49-F238E27FC236}">
                <a16:creationId xmlns:a16="http://schemas.microsoft.com/office/drawing/2014/main" id="{E800BA1A-0534-84B0-2D8E-A58972B65A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3" name="Line 7">
            <a:extLst>
              <a:ext uri="{FF2B5EF4-FFF2-40B4-BE49-F238E27FC236}">
                <a16:creationId xmlns:a16="http://schemas.microsoft.com/office/drawing/2014/main" id="{C32FD118-EA78-3D3D-BC05-24A82E204C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4" name="Line 8">
            <a:extLst>
              <a:ext uri="{FF2B5EF4-FFF2-40B4-BE49-F238E27FC236}">
                <a16:creationId xmlns:a16="http://schemas.microsoft.com/office/drawing/2014/main" id="{110B4B47-EADD-9020-311C-96BECD0D60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90</xdr:row>
      <xdr:rowOff>259890</xdr:rowOff>
    </xdr:from>
    <xdr:to>
      <xdr:col>3</xdr:col>
      <xdr:colOff>930519</xdr:colOff>
      <xdr:row>90</xdr:row>
      <xdr:rowOff>259890</xdr:rowOff>
    </xdr:to>
    <xdr:cxnSp macro="">
      <xdr:nvCxnSpPr>
        <xdr:cNvPr id="1125" name="hinh1">
          <a:extLst>
            <a:ext uri="{FF2B5EF4-FFF2-40B4-BE49-F238E27FC236}">
              <a16:creationId xmlns:a16="http://schemas.microsoft.com/office/drawing/2014/main" id="{5C3167FC-AC09-420B-9E8E-E722FF59C3E3}"/>
            </a:ext>
          </a:extLst>
        </xdr:cNvPr>
        <xdr:cNvCxnSpPr/>
      </xdr:nvCxnSpPr>
      <xdr:spPr>
        <a:xfrm>
          <a:off x="2072432" y="4575577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91</xdr:row>
      <xdr:rowOff>259890</xdr:rowOff>
    </xdr:from>
    <xdr:to>
      <xdr:col>3</xdr:col>
      <xdr:colOff>930519</xdr:colOff>
      <xdr:row>91</xdr:row>
      <xdr:rowOff>259890</xdr:rowOff>
    </xdr:to>
    <xdr:cxnSp macro="">
      <xdr:nvCxnSpPr>
        <xdr:cNvPr id="1126" name="hinh1">
          <a:extLst>
            <a:ext uri="{FF2B5EF4-FFF2-40B4-BE49-F238E27FC236}">
              <a16:creationId xmlns:a16="http://schemas.microsoft.com/office/drawing/2014/main" id="{9FD3D6FF-9544-4DB3-851A-56470695487B}"/>
            </a:ext>
          </a:extLst>
        </xdr:cNvPr>
        <xdr:cNvCxnSpPr/>
      </xdr:nvCxnSpPr>
      <xdr:spPr>
        <a:xfrm>
          <a:off x="2072432" y="4606953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83495</xdr:colOff>
      <xdr:row>159</xdr:row>
      <xdr:rowOff>65943</xdr:rowOff>
    </xdr:from>
    <xdr:to>
      <xdr:col>3</xdr:col>
      <xdr:colOff>958553</xdr:colOff>
      <xdr:row>159</xdr:row>
      <xdr:rowOff>229626</xdr:rowOff>
    </xdr:to>
    <xdr:grpSp>
      <xdr:nvGrpSpPr>
        <xdr:cNvPr id="1127" name="hinh2">
          <a:extLst>
            <a:ext uri="{FF2B5EF4-FFF2-40B4-BE49-F238E27FC236}">
              <a16:creationId xmlns:a16="http://schemas.microsoft.com/office/drawing/2014/main" id="{6F5E341F-A324-4DA3-A76D-C1D782A700F7}"/>
            </a:ext>
          </a:extLst>
        </xdr:cNvPr>
        <xdr:cNvGrpSpPr>
          <a:grpSpLocks noChangeAspect="1"/>
        </xdr:cNvGrpSpPr>
      </xdr:nvGrpSpPr>
      <xdr:grpSpPr bwMode="auto">
        <a:xfrm>
          <a:off x="2083745" y="46670407"/>
          <a:ext cx="875058" cy="163683"/>
          <a:chOff x="206" y="86"/>
          <a:chExt cx="73" cy="16"/>
        </a:xfrm>
      </xdr:grpSpPr>
      <xdr:sp macro="" textlink="">
        <xdr:nvSpPr>
          <xdr:cNvPr id="1128" name="Line 6">
            <a:extLst>
              <a:ext uri="{FF2B5EF4-FFF2-40B4-BE49-F238E27FC236}">
                <a16:creationId xmlns:a16="http://schemas.microsoft.com/office/drawing/2014/main" id="{5E64AA4B-EBE2-07C1-A8ED-B938F3C37F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Line 7">
            <a:extLst>
              <a:ext uri="{FF2B5EF4-FFF2-40B4-BE49-F238E27FC236}">
                <a16:creationId xmlns:a16="http://schemas.microsoft.com/office/drawing/2014/main" id="{3DBF463F-C4CD-97FD-3F44-72993762F7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0" name="Line 8">
            <a:extLst>
              <a:ext uri="{FF2B5EF4-FFF2-40B4-BE49-F238E27FC236}">
                <a16:creationId xmlns:a16="http://schemas.microsoft.com/office/drawing/2014/main" id="{5BA7279A-10B9-FBAC-DF7F-A997394725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162</xdr:row>
      <xdr:rowOff>58615</xdr:rowOff>
    </xdr:from>
    <xdr:to>
      <xdr:col>3</xdr:col>
      <xdr:colOff>956961</xdr:colOff>
      <xdr:row>162</xdr:row>
      <xdr:rowOff>209856</xdr:rowOff>
    </xdr:to>
    <xdr:grpSp>
      <xdr:nvGrpSpPr>
        <xdr:cNvPr id="1131" name="hinh3">
          <a:extLst>
            <a:ext uri="{FF2B5EF4-FFF2-40B4-BE49-F238E27FC236}">
              <a16:creationId xmlns:a16="http://schemas.microsoft.com/office/drawing/2014/main" id="{30286155-D581-4DC6-804A-18A4D31667E9}"/>
            </a:ext>
          </a:extLst>
        </xdr:cNvPr>
        <xdr:cNvGrpSpPr>
          <a:grpSpLocks noChangeAspect="1"/>
        </xdr:cNvGrpSpPr>
      </xdr:nvGrpSpPr>
      <xdr:grpSpPr bwMode="auto">
        <a:xfrm>
          <a:off x="2095500" y="47601972"/>
          <a:ext cx="861711" cy="151241"/>
          <a:chOff x="206" y="112"/>
          <a:chExt cx="73" cy="16"/>
        </a:xfrm>
      </xdr:grpSpPr>
      <xdr:sp macro="" textlink="">
        <xdr:nvSpPr>
          <xdr:cNvPr id="1132" name="Line 3">
            <a:extLst>
              <a:ext uri="{FF2B5EF4-FFF2-40B4-BE49-F238E27FC236}">
                <a16:creationId xmlns:a16="http://schemas.microsoft.com/office/drawing/2014/main" id="{FA8F043E-98C1-73EC-6C72-6B0B30E8DD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3" name="Line 4">
            <a:extLst>
              <a:ext uri="{FF2B5EF4-FFF2-40B4-BE49-F238E27FC236}">
                <a16:creationId xmlns:a16="http://schemas.microsoft.com/office/drawing/2014/main" id="{7BF46E98-9CE9-F3C6-9E6C-1B73BE3431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160</xdr:row>
      <xdr:rowOff>271096</xdr:rowOff>
    </xdr:from>
    <xdr:to>
      <xdr:col>3</xdr:col>
      <xdr:colOff>930519</xdr:colOff>
      <xdr:row>160</xdr:row>
      <xdr:rowOff>271096</xdr:rowOff>
    </xdr:to>
    <xdr:cxnSp macro="">
      <xdr:nvCxnSpPr>
        <xdr:cNvPr id="1134" name="hinh1">
          <a:extLst>
            <a:ext uri="{FF2B5EF4-FFF2-40B4-BE49-F238E27FC236}">
              <a16:creationId xmlns:a16="http://schemas.microsoft.com/office/drawing/2014/main" id="{2F35B9F2-A8C5-4A56-8797-3DDBBBDE6CAE}"/>
            </a:ext>
          </a:extLst>
        </xdr:cNvPr>
        <xdr:cNvCxnSpPr/>
      </xdr:nvCxnSpPr>
      <xdr:spPr>
        <a:xfrm>
          <a:off x="2072432" y="28061684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161</xdr:row>
      <xdr:rowOff>194570</xdr:rowOff>
    </xdr:from>
    <xdr:to>
      <xdr:col>3</xdr:col>
      <xdr:colOff>916476</xdr:colOff>
      <xdr:row>161</xdr:row>
      <xdr:rowOff>273398</xdr:rowOff>
    </xdr:to>
    <xdr:grpSp>
      <xdr:nvGrpSpPr>
        <xdr:cNvPr id="1135" name="hinh23">
          <a:extLst>
            <a:ext uri="{FF2B5EF4-FFF2-40B4-BE49-F238E27FC236}">
              <a16:creationId xmlns:a16="http://schemas.microsoft.com/office/drawing/2014/main" id="{3023F23A-F290-438A-829B-F0BE53D9D496}"/>
            </a:ext>
          </a:extLst>
        </xdr:cNvPr>
        <xdr:cNvGrpSpPr>
          <a:grpSpLocks noChangeAspect="1"/>
        </xdr:cNvGrpSpPr>
      </xdr:nvGrpSpPr>
      <xdr:grpSpPr bwMode="auto">
        <a:xfrm>
          <a:off x="2051539" y="47424963"/>
          <a:ext cx="865187" cy="78828"/>
          <a:chOff x="181" y="372"/>
          <a:chExt cx="129" cy="5"/>
        </a:xfrm>
      </xdr:grpSpPr>
      <xdr:sp macro="" textlink="">
        <xdr:nvSpPr>
          <xdr:cNvPr id="1136" name="Line 29">
            <a:extLst>
              <a:ext uri="{FF2B5EF4-FFF2-40B4-BE49-F238E27FC236}">
                <a16:creationId xmlns:a16="http://schemas.microsoft.com/office/drawing/2014/main" id="{D227842D-556C-FB10-4EC7-248418689A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Line 30">
            <a:extLst>
              <a:ext uri="{FF2B5EF4-FFF2-40B4-BE49-F238E27FC236}">
                <a16:creationId xmlns:a16="http://schemas.microsoft.com/office/drawing/2014/main" id="{461B2F93-3FEF-42A7-F0DA-F40FAA433EE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8" name="Line 31">
            <a:extLst>
              <a:ext uri="{FF2B5EF4-FFF2-40B4-BE49-F238E27FC236}">
                <a16:creationId xmlns:a16="http://schemas.microsoft.com/office/drawing/2014/main" id="{451C40A3-F9AB-C373-AA9A-3C04F978A6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9" name="Line 32">
            <a:extLst>
              <a:ext uri="{FF2B5EF4-FFF2-40B4-BE49-F238E27FC236}">
                <a16:creationId xmlns:a16="http://schemas.microsoft.com/office/drawing/2014/main" id="{DB86E29D-5FC1-549B-5A25-F6E7C93D5E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Line 33">
            <a:extLst>
              <a:ext uri="{FF2B5EF4-FFF2-40B4-BE49-F238E27FC236}">
                <a16:creationId xmlns:a16="http://schemas.microsoft.com/office/drawing/2014/main" id="{8C39B2B2-0530-AE4C-03F6-3E49F23F8F48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164</xdr:row>
      <xdr:rowOff>65943</xdr:rowOff>
    </xdr:from>
    <xdr:to>
      <xdr:col>3</xdr:col>
      <xdr:colOff>958553</xdr:colOff>
      <xdr:row>164</xdr:row>
      <xdr:rowOff>229626</xdr:rowOff>
    </xdr:to>
    <xdr:grpSp>
      <xdr:nvGrpSpPr>
        <xdr:cNvPr id="1141" name="hinh2">
          <a:extLst>
            <a:ext uri="{FF2B5EF4-FFF2-40B4-BE49-F238E27FC236}">
              <a16:creationId xmlns:a16="http://schemas.microsoft.com/office/drawing/2014/main" id="{C8DF58ED-6BD2-40C5-9BFC-5D1EF2F9AEB8}"/>
            </a:ext>
          </a:extLst>
        </xdr:cNvPr>
        <xdr:cNvGrpSpPr>
          <a:grpSpLocks noChangeAspect="1"/>
        </xdr:cNvGrpSpPr>
      </xdr:nvGrpSpPr>
      <xdr:grpSpPr bwMode="auto">
        <a:xfrm>
          <a:off x="2083745" y="48126372"/>
          <a:ext cx="875058" cy="163683"/>
          <a:chOff x="206" y="86"/>
          <a:chExt cx="73" cy="16"/>
        </a:xfrm>
      </xdr:grpSpPr>
      <xdr:sp macro="" textlink="">
        <xdr:nvSpPr>
          <xdr:cNvPr id="1142" name="Line 6">
            <a:extLst>
              <a:ext uri="{FF2B5EF4-FFF2-40B4-BE49-F238E27FC236}">
                <a16:creationId xmlns:a16="http://schemas.microsoft.com/office/drawing/2014/main" id="{3C5E186E-B321-9676-6241-AEA3A96B6E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3" name="Line 7">
            <a:extLst>
              <a:ext uri="{FF2B5EF4-FFF2-40B4-BE49-F238E27FC236}">
                <a16:creationId xmlns:a16="http://schemas.microsoft.com/office/drawing/2014/main" id="{C8B8BF1F-99D4-2A4E-238B-F1F22C0419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4" name="Line 8">
            <a:extLst>
              <a:ext uri="{FF2B5EF4-FFF2-40B4-BE49-F238E27FC236}">
                <a16:creationId xmlns:a16="http://schemas.microsoft.com/office/drawing/2014/main" id="{3B3049BB-63D6-AE7A-48BF-8311E087BB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167</xdr:row>
      <xdr:rowOff>58615</xdr:rowOff>
    </xdr:from>
    <xdr:to>
      <xdr:col>3</xdr:col>
      <xdr:colOff>956961</xdr:colOff>
      <xdr:row>167</xdr:row>
      <xdr:rowOff>209856</xdr:rowOff>
    </xdr:to>
    <xdr:grpSp>
      <xdr:nvGrpSpPr>
        <xdr:cNvPr id="1145" name="hinh3">
          <a:extLst>
            <a:ext uri="{FF2B5EF4-FFF2-40B4-BE49-F238E27FC236}">
              <a16:creationId xmlns:a16="http://schemas.microsoft.com/office/drawing/2014/main" id="{AEC6AA3D-D5D8-4B69-B473-4A05670DDE08}"/>
            </a:ext>
          </a:extLst>
        </xdr:cNvPr>
        <xdr:cNvGrpSpPr>
          <a:grpSpLocks noChangeAspect="1"/>
        </xdr:cNvGrpSpPr>
      </xdr:nvGrpSpPr>
      <xdr:grpSpPr bwMode="auto">
        <a:xfrm>
          <a:off x="2095500" y="49057936"/>
          <a:ext cx="861711" cy="151241"/>
          <a:chOff x="206" y="112"/>
          <a:chExt cx="73" cy="16"/>
        </a:xfrm>
      </xdr:grpSpPr>
      <xdr:sp macro="" textlink="">
        <xdr:nvSpPr>
          <xdr:cNvPr id="1146" name="Line 3">
            <a:extLst>
              <a:ext uri="{FF2B5EF4-FFF2-40B4-BE49-F238E27FC236}">
                <a16:creationId xmlns:a16="http://schemas.microsoft.com/office/drawing/2014/main" id="{0943DEC7-3A1C-58FD-D684-60F748B493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7" name="Line 4">
            <a:extLst>
              <a:ext uri="{FF2B5EF4-FFF2-40B4-BE49-F238E27FC236}">
                <a16:creationId xmlns:a16="http://schemas.microsoft.com/office/drawing/2014/main" id="{4A36D736-C78B-C4A4-D320-6315EDE7BC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165</xdr:row>
      <xdr:rowOff>271096</xdr:rowOff>
    </xdr:from>
    <xdr:to>
      <xdr:col>3</xdr:col>
      <xdr:colOff>930519</xdr:colOff>
      <xdr:row>165</xdr:row>
      <xdr:rowOff>271096</xdr:rowOff>
    </xdr:to>
    <xdr:cxnSp macro="">
      <xdr:nvCxnSpPr>
        <xdr:cNvPr id="1148" name="hinh1">
          <a:extLst>
            <a:ext uri="{FF2B5EF4-FFF2-40B4-BE49-F238E27FC236}">
              <a16:creationId xmlns:a16="http://schemas.microsoft.com/office/drawing/2014/main" id="{E5D0371F-655D-44EB-B257-5DE14C486E94}"/>
            </a:ext>
          </a:extLst>
        </xdr:cNvPr>
        <xdr:cNvCxnSpPr/>
      </xdr:nvCxnSpPr>
      <xdr:spPr>
        <a:xfrm>
          <a:off x="2072432" y="29518449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166</xdr:row>
      <xdr:rowOff>194570</xdr:rowOff>
    </xdr:from>
    <xdr:to>
      <xdr:col>3</xdr:col>
      <xdr:colOff>916476</xdr:colOff>
      <xdr:row>166</xdr:row>
      <xdr:rowOff>273398</xdr:rowOff>
    </xdr:to>
    <xdr:grpSp>
      <xdr:nvGrpSpPr>
        <xdr:cNvPr id="1149" name="hinh23">
          <a:extLst>
            <a:ext uri="{FF2B5EF4-FFF2-40B4-BE49-F238E27FC236}">
              <a16:creationId xmlns:a16="http://schemas.microsoft.com/office/drawing/2014/main" id="{CDEC380F-B494-4C27-86CE-41255550A4DB}"/>
            </a:ext>
          </a:extLst>
        </xdr:cNvPr>
        <xdr:cNvGrpSpPr>
          <a:grpSpLocks noChangeAspect="1"/>
        </xdr:cNvGrpSpPr>
      </xdr:nvGrpSpPr>
      <xdr:grpSpPr bwMode="auto">
        <a:xfrm>
          <a:off x="2051539" y="48880927"/>
          <a:ext cx="865187" cy="78828"/>
          <a:chOff x="181" y="372"/>
          <a:chExt cx="129" cy="5"/>
        </a:xfrm>
      </xdr:grpSpPr>
      <xdr:sp macro="" textlink="">
        <xdr:nvSpPr>
          <xdr:cNvPr id="1150" name="Line 29">
            <a:extLst>
              <a:ext uri="{FF2B5EF4-FFF2-40B4-BE49-F238E27FC236}">
                <a16:creationId xmlns:a16="http://schemas.microsoft.com/office/drawing/2014/main" id="{6ADEB9DA-504B-992F-4462-27885E5C0F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1" name="Line 30">
            <a:extLst>
              <a:ext uri="{FF2B5EF4-FFF2-40B4-BE49-F238E27FC236}">
                <a16:creationId xmlns:a16="http://schemas.microsoft.com/office/drawing/2014/main" id="{B316493F-1BAD-4079-96DE-974F7349D9C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2" name="Line 31">
            <a:extLst>
              <a:ext uri="{FF2B5EF4-FFF2-40B4-BE49-F238E27FC236}">
                <a16:creationId xmlns:a16="http://schemas.microsoft.com/office/drawing/2014/main" id="{61230F30-F1B2-52B3-1B29-A7F72C7604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Line 32">
            <a:extLst>
              <a:ext uri="{FF2B5EF4-FFF2-40B4-BE49-F238E27FC236}">
                <a16:creationId xmlns:a16="http://schemas.microsoft.com/office/drawing/2014/main" id="{C4BD9D5A-7E35-CBD2-18A1-4CE49648F3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4" name="Line 33">
            <a:extLst>
              <a:ext uri="{FF2B5EF4-FFF2-40B4-BE49-F238E27FC236}">
                <a16:creationId xmlns:a16="http://schemas.microsoft.com/office/drawing/2014/main" id="{9F8993CB-52A6-2487-5D7B-554CB0B7F22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169</xdr:row>
      <xdr:rowOff>65943</xdr:rowOff>
    </xdr:from>
    <xdr:to>
      <xdr:col>3</xdr:col>
      <xdr:colOff>958553</xdr:colOff>
      <xdr:row>169</xdr:row>
      <xdr:rowOff>229626</xdr:rowOff>
    </xdr:to>
    <xdr:grpSp>
      <xdr:nvGrpSpPr>
        <xdr:cNvPr id="1155" name="hinh2">
          <a:extLst>
            <a:ext uri="{FF2B5EF4-FFF2-40B4-BE49-F238E27FC236}">
              <a16:creationId xmlns:a16="http://schemas.microsoft.com/office/drawing/2014/main" id="{7A946078-0959-48E7-8052-BF2842597E60}"/>
            </a:ext>
          </a:extLst>
        </xdr:cNvPr>
        <xdr:cNvGrpSpPr>
          <a:grpSpLocks noChangeAspect="1"/>
        </xdr:cNvGrpSpPr>
      </xdr:nvGrpSpPr>
      <xdr:grpSpPr bwMode="auto">
        <a:xfrm>
          <a:off x="2083745" y="49582336"/>
          <a:ext cx="875058" cy="163683"/>
          <a:chOff x="206" y="86"/>
          <a:chExt cx="73" cy="16"/>
        </a:xfrm>
      </xdr:grpSpPr>
      <xdr:sp macro="" textlink="">
        <xdr:nvSpPr>
          <xdr:cNvPr id="1156" name="Line 6">
            <a:extLst>
              <a:ext uri="{FF2B5EF4-FFF2-40B4-BE49-F238E27FC236}">
                <a16:creationId xmlns:a16="http://schemas.microsoft.com/office/drawing/2014/main" id="{37141969-7694-CDF3-A5D1-F6914E9165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7" name="Line 7">
            <a:extLst>
              <a:ext uri="{FF2B5EF4-FFF2-40B4-BE49-F238E27FC236}">
                <a16:creationId xmlns:a16="http://schemas.microsoft.com/office/drawing/2014/main" id="{D8DC6E7B-DFC4-0916-BDEA-5FA1AB2330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Line 8">
            <a:extLst>
              <a:ext uri="{FF2B5EF4-FFF2-40B4-BE49-F238E27FC236}">
                <a16:creationId xmlns:a16="http://schemas.microsoft.com/office/drawing/2014/main" id="{3585CFD9-1907-D6D4-C2FB-274DE1B988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172</xdr:row>
      <xdr:rowOff>58615</xdr:rowOff>
    </xdr:from>
    <xdr:to>
      <xdr:col>3</xdr:col>
      <xdr:colOff>956961</xdr:colOff>
      <xdr:row>172</xdr:row>
      <xdr:rowOff>209856</xdr:rowOff>
    </xdr:to>
    <xdr:grpSp>
      <xdr:nvGrpSpPr>
        <xdr:cNvPr id="1159" name="hinh3">
          <a:extLst>
            <a:ext uri="{FF2B5EF4-FFF2-40B4-BE49-F238E27FC236}">
              <a16:creationId xmlns:a16="http://schemas.microsoft.com/office/drawing/2014/main" id="{A84951B7-92E1-4AF4-A8CF-34D658CA5836}"/>
            </a:ext>
          </a:extLst>
        </xdr:cNvPr>
        <xdr:cNvGrpSpPr>
          <a:grpSpLocks noChangeAspect="1"/>
        </xdr:cNvGrpSpPr>
      </xdr:nvGrpSpPr>
      <xdr:grpSpPr bwMode="auto">
        <a:xfrm>
          <a:off x="2095500" y="50513901"/>
          <a:ext cx="861711" cy="151241"/>
          <a:chOff x="206" y="112"/>
          <a:chExt cx="73" cy="16"/>
        </a:xfrm>
      </xdr:grpSpPr>
      <xdr:sp macro="" textlink="">
        <xdr:nvSpPr>
          <xdr:cNvPr id="1160" name="Line 3">
            <a:extLst>
              <a:ext uri="{FF2B5EF4-FFF2-40B4-BE49-F238E27FC236}">
                <a16:creationId xmlns:a16="http://schemas.microsoft.com/office/drawing/2014/main" id="{2247ECE0-EF93-96D0-516A-FF81C5C9A9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" name="Line 4">
            <a:extLst>
              <a:ext uri="{FF2B5EF4-FFF2-40B4-BE49-F238E27FC236}">
                <a16:creationId xmlns:a16="http://schemas.microsoft.com/office/drawing/2014/main" id="{D5F867C6-2A95-88AF-29A7-4BD2341D48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170</xdr:row>
      <xdr:rowOff>271096</xdr:rowOff>
    </xdr:from>
    <xdr:to>
      <xdr:col>3</xdr:col>
      <xdr:colOff>930519</xdr:colOff>
      <xdr:row>170</xdr:row>
      <xdr:rowOff>271096</xdr:rowOff>
    </xdr:to>
    <xdr:cxnSp macro="">
      <xdr:nvCxnSpPr>
        <xdr:cNvPr id="1162" name="hinh1">
          <a:extLst>
            <a:ext uri="{FF2B5EF4-FFF2-40B4-BE49-F238E27FC236}">
              <a16:creationId xmlns:a16="http://schemas.microsoft.com/office/drawing/2014/main" id="{01AE9224-83AB-47A7-815A-DCE133CF6AAF}"/>
            </a:ext>
          </a:extLst>
        </xdr:cNvPr>
        <xdr:cNvCxnSpPr/>
      </xdr:nvCxnSpPr>
      <xdr:spPr>
        <a:xfrm>
          <a:off x="2072432" y="48680508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171</xdr:row>
      <xdr:rowOff>194570</xdr:rowOff>
    </xdr:from>
    <xdr:to>
      <xdr:col>3</xdr:col>
      <xdr:colOff>916476</xdr:colOff>
      <xdr:row>171</xdr:row>
      <xdr:rowOff>273398</xdr:rowOff>
    </xdr:to>
    <xdr:grpSp>
      <xdr:nvGrpSpPr>
        <xdr:cNvPr id="1163" name="hinh23">
          <a:extLst>
            <a:ext uri="{FF2B5EF4-FFF2-40B4-BE49-F238E27FC236}">
              <a16:creationId xmlns:a16="http://schemas.microsoft.com/office/drawing/2014/main" id="{64D9B91D-38AF-4E7A-ACFA-F641182C43BD}"/>
            </a:ext>
          </a:extLst>
        </xdr:cNvPr>
        <xdr:cNvGrpSpPr>
          <a:grpSpLocks noChangeAspect="1"/>
        </xdr:cNvGrpSpPr>
      </xdr:nvGrpSpPr>
      <xdr:grpSpPr bwMode="auto">
        <a:xfrm>
          <a:off x="2051539" y="50336891"/>
          <a:ext cx="865187" cy="78828"/>
          <a:chOff x="181" y="372"/>
          <a:chExt cx="129" cy="5"/>
        </a:xfrm>
      </xdr:grpSpPr>
      <xdr:sp macro="" textlink="">
        <xdr:nvSpPr>
          <xdr:cNvPr id="1164" name="Line 29">
            <a:extLst>
              <a:ext uri="{FF2B5EF4-FFF2-40B4-BE49-F238E27FC236}">
                <a16:creationId xmlns:a16="http://schemas.microsoft.com/office/drawing/2014/main" id="{E1602A2C-43C4-48FA-3FFA-24474AD7F9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5" name="Line 30">
            <a:extLst>
              <a:ext uri="{FF2B5EF4-FFF2-40B4-BE49-F238E27FC236}">
                <a16:creationId xmlns:a16="http://schemas.microsoft.com/office/drawing/2014/main" id="{EE710CE4-5D58-6073-879F-6E3B0D8CDAD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" name="Line 31">
            <a:extLst>
              <a:ext uri="{FF2B5EF4-FFF2-40B4-BE49-F238E27FC236}">
                <a16:creationId xmlns:a16="http://schemas.microsoft.com/office/drawing/2014/main" id="{64E84CC0-5513-4F81-09A6-59613BF4F5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7" name="Line 32">
            <a:extLst>
              <a:ext uri="{FF2B5EF4-FFF2-40B4-BE49-F238E27FC236}">
                <a16:creationId xmlns:a16="http://schemas.microsoft.com/office/drawing/2014/main" id="{5779C685-E861-5C12-99EB-4ED600DF77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" name="Line 33">
            <a:extLst>
              <a:ext uri="{FF2B5EF4-FFF2-40B4-BE49-F238E27FC236}">
                <a16:creationId xmlns:a16="http://schemas.microsoft.com/office/drawing/2014/main" id="{4EA2B7B0-8630-7449-613A-76F8A5D5A87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174</xdr:row>
      <xdr:rowOff>65943</xdr:rowOff>
    </xdr:from>
    <xdr:to>
      <xdr:col>3</xdr:col>
      <xdr:colOff>958553</xdr:colOff>
      <xdr:row>174</xdr:row>
      <xdr:rowOff>229626</xdr:rowOff>
    </xdr:to>
    <xdr:grpSp>
      <xdr:nvGrpSpPr>
        <xdr:cNvPr id="1169" name="hinh2">
          <a:extLst>
            <a:ext uri="{FF2B5EF4-FFF2-40B4-BE49-F238E27FC236}">
              <a16:creationId xmlns:a16="http://schemas.microsoft.com/office/drawing/2014/main" id="{833E5814-72ED-4B08-897E-67FF6CE060C2}"/>
            </a:ext>
          </a:extLst>
        </xdr:cNvPr>
        <xdr:cNvGrpSpPr>
          <a:grpSpLocks noChangeAspect="1"/>
        </xdr:cNvGrpSpPr>
      </xdr:nvGrpSpPr>
      <xdr:grpSpPr bwMode="auto">
        <a:xfrm>
          <a:off x="2083745" y="51038300"/>
          <a:ext cx="875058" cy="163683"/>
          <a:chOff x="206" y="86"/>
          <a:chExt cx="73" cy="16"/>
        </a:xfrm>
      </xdr:grpSpPr>
      <xdr:sp macro="" textlink="">
        <xdr:nvSpPr>
          <xdr:cNvPr id="1170" name="Line 6">
            <a:extLst>
              <a:ext uri="{FF2B5EF4-FFF2-40B4-BE49-F238E27FC236}">
                <a16:creationId xmlns:a16="http://schemas.microsoft.com/office/drawing/2014/main" id="{DBD2D420-9135-C1E0-66FC-5B672C2FFF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" name="Line 7">
            <a:extLst>
              <a:ext uri="{FF2B5EF4-FFF2-40B4-BE49-F238E27FC236}">
                <a16:creationId xmlns:a16="http://schemas.microsoft.com/office/drawing/2014/main" id="{D239BD87-FEF8-B9D1-E672-8031577B5D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2" name="Line 8">
            <a:extLst>
              <a:ext uri="{FF2B5EF4-FFF2-40B4-BE49-F238E27FC236}">
                <a16:creationId xmlns:a16="http://schemas.microsoft.com/office/drawing/2014/main" id="{959B7561-28DA-9942-5810-0692173798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177</xdr:row>
      <xdr:rowOff>58615</xdr:rowOff>
    </xdr:from>
    <xdr:to>
      <xdr:col>3</xdr:col>
      <xdr:colOff>956961</xdr:colOff>
      <xdr:row>177</xdr:row>
      <xdr:rowOff>209856</xdr:rowOff>
    </xdr:to>
    <xdr:grpSp>
      <xdr:nvGrpSpPr>
        <xdr:cNvPr id="1173" name="hinh3">
          <a:extLst>
            <a:ext uri="{FF2B5EF4-FFF2-40B4-BE49-F238E27FC236}">
              <a16:creationId xmlns:a16="http://schemas.microsoft.com/office/drawing/2014/main" id="{08EDDDD6-280C-4865-8F01-32F9ABDBF0E5}"/>
            </a:ext>
          </a:extLst>
        </xdr:cNvPr>
        <xdr:cNvGrpSpPr>
          <a:grpSpLocks noChangeAspect="1"/>
        </xdr:cNvGrpSpPr>
      </xdr:nvGrpSpPr>
      <xdr:grpSpPr bwMode="auto">
        <a:xfrm>
          <a:off x="2095500" y="51969865"/>
          <a:ext cx="861711" cy="151241"/>
          <a:chOff x="206" y="112"/>
          <a:chExt cx="73" cy="16"/>
        </a:xfrm>
      </xdr:grpSpPr>
      <xdr:sp macro="" textlink="">
        <xdr:nvSpPr>
          <xdr:cNvPr id="1174" name="Line 3">
            <a:extLst>
              <a:ext uri="{FF2B5EF4-FFF2-40B4-BE49-F238E27FC236}">
                <a16:creationId xmlns:a16="http://schemas.microsoft.com/office/drawing/2014/main" id="{15C9118B-43C6-216E-4766-4EFE61C675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5" name="Line 4">
            <a:extLst>
              <a:ext uri="{FF2B5EF4-FFF2-40B4-BE49-F238E27FC236}">
                <a16:creationId xmlns:a16="http://schemas.microsoft.com/office/drawing/2014/main" id="{AE82C199-2867-0EC6-2030-7F42C7E956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175</xdr:row>
      <xdr:rowOff>271096</xdr:rowOff>
    </xdr:from>
    <xdr:to>
      <xdr:col>3</xdr:col>
      <xdr:colOff>930519</xdr:colOff>
      <xdr:row>175</xdr:row>
      <xdr:rowOff>271096</xdr:rowOff>
    </xdr:to>
    <xdr:cxnSp macro="">
      <xdr:nvCxnSpPr>
        <xdr:cNvPr id="1176" name="hinh1">
          <a:extLst>
            <a:ext uri="{FF2B5EF4-FFF2-40B4-BE49-F238E27FC236}">
              <a16:creationId xmlns:a16="http://schemas.microsoft.com/office/drawing/2014/main" id="{78E908E6-45BC-413F-8189-20FEEB2EF0C2}"/>
            </a:ext>
          </a:extLst>
        </xdr:cNvPr>
        <xdr:cNvCxnSpPr/>
      </xdr:nvCxnSpPr>
      <xdr:spPr>
        <a:xfrm>
          <a:off x="2072432" y="48680508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176</xdr:row>
      <xdr:rowOff>194570</xdr:rowOff>
    </xdr:from>
    <xdr:to>
      <xdr:col>3</xdr:col>
      <xdr:colOff>916476</xdr:colOff>
      <xdr:row>176</xdr:row>
      <xdr:rowOff>273398</xdr:rowOff>
    </xdr:to>
    <xdr:grpSp>
      <xdr:nvGrpSpPr>
        <xdr:cNvPr id="1177" name="hinh23">
          <a:extLst>
            <a:ext uri="{FF2B5EF4-FFF2-40B4-BE49-F238E27FC236}">
              <a16:creationId xmlns:a16="http://schemas.microsoft.com/office/drawing/2014/main" id="{5C98E49A-BF6A-4891-B329-4DF7470E657B}"/>
            </a:ext>
          </a:extLst>
        </xdr:cNvPr>
        <xdr:cNvGrpSpPr>
          <a:grpSpLocks noChangeAspect="1"/>
        </xdr:cNvGrpSpPr>
      </xdr:nvGrpSpPr>
      <xdr:grpSpPr bwMode="auto">
        <a:xfrm>
          <a:off x="2051539" y="51792856"/>
          <a:ext cx="865187" cy="78828"/>
          <a:chOff x="181" y="372"/>
          <a:chExt cx="129" cy="5"/>
        </a:xfrm>
      </xdr:grpSpPr>
      <xdr:sp macro="" textlink="">
        <xdr:nvSpPr>
          <xdr:cNvPr id="1178" name="Line 29">
            <a:extLst>
              <a:ext uri="{FF2B5EF4-FFF2-40B4-BE49-F238E27FC236}">
                <a16:creationId xmlns:a16="http://schemas.microsoft.com/office/drawing/2014/main" id="{E5DCE21C-5A16-AEA0-AC78-5D57247B8B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9" name="Line 30">
            <a:extLst>
              <a:ext uri="{FF2B5EF4-FFF2-40B4-BE49-F238E27FC236}">
                <a16:creationId xmlns:a16="http://schemas.microsoft.com/office/drawing/2014/main" id="{91889660-B802-AB7F-606C-3F068F652D61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0" name="Line 31">
            <a:extLst>
              <a:ext uri="{FF2B5EF4-FFF2-40B4-BE49-F238E27FC236}">
                <a16:creationId xmlns:a16="http://schemas.microsoft.com/office/drawing/2014/main" id="{65F85A3D-E4CF-8F13-8622-A2945ADB76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1" name="Line 32">
            <a:extLst>
              <a:ext uri="{FF2B5EF4-FFF2-40B4-BE49-F238E27FC236}">
                <a16:creationId xmlns:a16="http://schemas.microsoft.com/office/drawing/2014/main" id="{61DA13B0-26C8-5E50-022E-DE474B9557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2" name="Line 33">
            <a:extLst>
              <a:ext uri="{FF2B5EF4-FFF2-40B4-BE49-F238E27FC236}">
                <a16:creationId xmlns:a16="http://schemas.microsoft.com/office/drawing/2014/main" id="{A078E986-5B3F-DDEC-1879-C066D02C5D5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179</xdr:row>
      <xdr:rowOff>65943</xdr:rowOff>
    </xdr:from>
    <xdr:to>
      <xdr:col>3</xdr:col>
      <xdr:colOff>958553</xdr:colOff>
      <xdr:row>179</xdr:row>
      <xdr:rowOff>229626</xdr:rowOff>
    </xdr:to>
    <xdr:grpSp>
      <xdr:nvGrpSpPr>
        <xdr:cNvPr id="1183" name="hinh2">
          <a:extLst>
            <a:ext uri="{FF2B5EF4-FFF2-40B4-BE49-F238E27FC236}">
              <a16:creationId xmlns:a16="http://schemas.microsoft.com/office/drawing/2014/main" id="{BA24638A-8DDF-4B75-806E-288BAF88188A}"/>
            </a:ext>
          </a:extLst>
        </xdr:cNvPr>
        <xdr:cNvGrpSpPr>
          <a:grpSpLocks noChangeAspect="1"/>
        </xdr:cNvGrpSpPr>
      </xdr:nvGrpSpPr>
      <xdr:grpSpPr bwMode="auto">
        <a:xfrm>
          <a:off x="2083745" y="52494264"/>
          <a:ext cx="875058" cy="163683"/>
          <a:chOff x="206" y="86"/>
          <a:chExt cx="73" cy="16"/>
        </a:xfrm>
      </xdr:grpSpPr>
      <xdr:sp macro="" textlink="">
        <xdr:nvSpPr>
          <xdr:cNvPr id="1184" name="Line 6">
            <a:extLst>
              <a:ext uri="{FF2B5EF4-FFF2-40B4-BE49-F238E27FC236}">
                <a16:creationId xmlns:a16="http://schemas.microsoft.com/office/drawing/2014/main" id="{CA9BC547-99C5-D43B-7DE6-A9CA6BCC3F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5" name="Line 7">
            <a:extLst>
              <a:ext uri="{FF2B5EF4-FFF2-40B4-BE49-F238E27FC236}">
                <a16:creationId xmlns:a16="http://schemas.microsoft.com/office/drawing/2014/main" id="{269EBBF7-EBA2-CBDC-7F3B-0B1D9E754A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6" name="Line 8">
            <a:extLst>
              <a:ext uri="{FF2B5EF4-FFF2-40B4-BE49-F238E27FC236}">
                <a16:creationId xmlns:a16="http://schemas.microsoft.com/office/drawing/2014/main" id="{3249F16E-CBB9-0B60-4855-40C406D91A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182</xdr:row>
      <xdr:rowOff>58615</xdr:rowOff>
    </xdr:from>
    <xdr:to>
      <xdr:col>3</xdr:col>
      <xdr:colOff>956961</xdr:colOff>
      <xdr:row>182</xdr:row>
      <xdr:rowOff>209856</xdr:rowOff>
    </xdr:to>
    <xdr:grpSp>
      <xdr:nvGrpSpPr>
        <xdr:cNvPr id="1187" name="hinh3">
          <a:extLst>
            <a:ext uri="{FF2B5EF4-FFF2-40B4-BE49-F238E27FC236}">
              <a16:creationId xmlns:a16="http://schemas.microsoft.com/office/drawing/2014/main" id="{5B2DAA66-D385-493E-AC36-06508962D67F}"/>
            </a:ext>
          </a:extLst>
        </xdr:cNvPr>
        <xdr:cNvGrpSpPr>
          <a:grpSpLocks noChangeAspect="1"/>
        </xdr:cNvGrpSpPr>
      </xdr:nvGrpSpPr>
      <xdr:grpSpPr bwMode="auto">
        <a:xfrm>
          <a:off x="2095500" y="53425829"/>
          <a:ext cx="861711" cy="151241"/>
          <a:chOff x="206" y="112"/>
          <a:chExt cx="73" cy="16"/>
        </a:xfrm>
      </xdr:grpSpPr>
      <xdr:sp macro="" textlink="">
        <xdr:nvSpPr>
          <xdr:cNvPr id="1188" name="Line 3">
            <a:extLst>
              <a:ext uri="{FF2B5EF4-FFF2-40B4-BE49-F238E27FC236}">
                <a16:creationId xmlns:a16="http://schemas.microsoft.com/office/drawing/2014/main" id="{C780B95D-9EF6-4E1A-E03A-DFFFF48649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9" name="Line 4">
            <a:extLst>
              <a:ext uri="{FF2B5EF4-FFF2-40B4-BE49-F238E27FC236}">
                <a16:creationId xmlns:a16="http://schemas.microsoft.com/office/drawing/2014/main" id="{9AD6C4D5-C9CC-5DDE-CCBC-9FC59F9CB8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180</xdr:row>
      <xdr:rowOff>271096</xdr:rowOff>
    </xdr:from>
    <xdr:to>
      <xdr:col>3</xdr:col>
      <xdr:colOff>930519</xdr:colOff>
      <xdr:row>180</xdr:row>
      <xdr:rowOff>271096</xdr:rowOff>
    </xdr:to>
    <xdr:cxnSp macro="">
      <xdr:nvCxnSpPr>
        <xdr:cNvPr id="1190" name="hinh1">
          <a:extLst>
            <a:ext uri="{FF2B5EF4-FFF2-40B4-BE49-F238E27FC236}">
              <a16:creationId xmlns:a16="http://schemas.microsoft.com/office/drawing/2014/main" id="{DE0FE40D-5A75-47C1-9947-FC2EF975A837}"/>
            </a:ext>
          </a:extLst>
        </xdr:cNvPr>
        <xdr:cNvCxnSpPr/>
      </xdr:nvCxnSpPr>
      <xdr:spPr>
        <a:xfrm>
          <a:off x="2072432" y="5013727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181</xdr:row>
      <xdr:rowOff>194570</xdr:rowOff>
    </xdr:from>
    <xdr:to>
      <xdr:col>3</xdr:col>
      <xdr:colOff>916476</xdr:colOff>
      <xdr:row>181</xdr:row>
      <xdr:rowOff>273398</xdr:rowOff>
    </xdr:to>
    <xdr:grpSp>
      <xdr:nvGrpSpPr>
        <xdr:cNvPr id="1191" name="hinh23">
          <a:extLst>
            <a:ext uri="{FF2B5EF4-FFF2-40B4-BE49-F238E27FC236}">
              <a16:creationId xmlns:a16="http://schemas.microsoft.com/office/drawing/2014/main" id="{3E20464D-3ACC-40CC-9685-BF64B385A4D1}"/>
            </a:ext>
          </a:extLst>
        </xdr:cNvPr>
        <xdr:cNvGrpSpPr>
          <a:grpSpLocks noChangeAspect="1"/>
        </xdr:cNvGrpSpPr>
      </xdr:nvGrpSpPr>
      <xdr:grpSpPr bwMode="auto">
        <a:xfrm>
          <a:off x="2051539" y="53248820"/>
          <a:ext cx="865187" cy="78828"/>
          <a:chOff x="181" y="372"/>
          <a:chExt cx="129" cy="5"/>
        </a:xfrm>
      </xdr:grpSpPr>
      <xdr:sp macro="" textlink="">
        <xdr:nvSpPr>
          <xdr:cNvPr id="1192" name="Line 29">
            <a:extLst>
              <a:ext uri="{FF2B5EF4-FFF2-40B4-BE49-F238E27FC236}">
                <a16:creationId xmlns:a16="http://schemas.microsoft.com/office/drawing/2014/main" id="{EF962FBA-C9FB-C1F0-6950-3A81D69FD9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3" name="Line 30">
            <a:extLst>
              <a:ext uri="{FF2B5EF4-FFF2-40B4-BE49-F238E27FC236}">
                <a16:creationId xmlns:a16="http://schemas.microsoft.com/office/drawing/2014/main" id="{858AC1F6-FB72-7520-143B-A4E157CE4A7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4" name="Line 31">
            <a:extLst>
              <a:ext uri="{FF2B5EF4-FFF2-40B4-BE49-F238E27FC236}">
                <a16:creationId xmlns:a16="http://schemas.microsoft.com/office/drawing/2014/main" id="{72DCFBCA-C475-BA89-D9A5-4ED9D18CCB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5" name="Line 32">
            <a:extLst>
              <a:ext uri="{FF2B5EF4-FFF2-40B4-BE49-F238E27FC236}">
                <a16:creationId xmlns:a16="http://schemas.microsoft.com/office/drawing/2014/main" id="{02537F6B-B054-076B-8EDD-10FE0A06AF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6" name="Line 33">
            <a:extLst>
              <a:ext uri="{FF2B5EF4-FFF2-40B4-BE49-F238E27FC236}">
                <a16:creationId xmlns:a16="http://schemas.microsoft.com/office/drawing/2014/main" id="{6E6D4C45-A8B5-0824-3397-E562D666F96E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184</xdr:row>
      <xdr:rowOff>65943</xdr:rowOff>
    </xdr:from>
    <xdr:to>
      <xdr:col>3</xdr:col>
      <xdr:colOff>958553</xdr:colOff>
      <xdr:row>184</xdr:row>
      <xdr:rowOff>229626</xdr:rowOff>
    </xdr:to>
    <xdr:grpSp>
      <xdr:nvGrpSpPr>
        <xdr:cNvPr id="1197" name="hinh2">
          <a:extLst>
            <a:ext uri="{FF2B5EF4-FFF2-40B4-BE49-F238E27FC236}">
              <a16:creationId xmlns:a16="http://schemas.microsoft.com/office/drawing/2014/main" id="{DFD147F2-A108-4108-8590-D80F65530B8B}"/>
            </a:ext>
          </a:extLst>
        </xdr:cNvPr>
        <xdr:cNvGrpSpPr>
          <a:grpSpLocks noChangeAspect="1"/>
        </xdr:cNvGrpSpPr>
      </xdr:nvGrpSpPr>
      <xdr:grpSpPr bwMode="auto">
        <a:xfrm>
          <a:off x="2083745" y="53950229"/>
          <a:ext cx="875058" cy="163683"/>
          <a:chOff x="206" y="86"/>
          <a:chExt cx="73" cy="16"/>
        </a:xfrm>
      </xdr:grpSpPr>
      <xdr:sp macro="" textlink="">
        <xdr:nvSpPr>
          <xdr:cNvPr id="1198" name="Line 6">
            <a:extLst>
              <a:ext uri="{FF2B5EF4-FFF2-40B4-BE49-F238E27FC236}">
                <a16:creationId xmlns:a16="http://schemas.microsoft.com/office/drawing/2014/main" id="{97EC4E66-7ACB-8933-1AA9-265E0D1F7C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9" name="Line 7">
            <a:extLst>
              <a:ext uri="{FF2B5EF4-FFF2-40B4-BE49-F238E27FC236}">
                <a16:creationId xmlns:a16="http://schemas.microsoft.com/office/drawing/2014/main" id="{1E123ED4-84DE-F8E5-1E77-BD707E4A7F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0" name="Line 8">
            <a:extLst>
              <a:ext uri="{FF2B5EF4-FFF2-40B4-BE49-F238E27FC236}">
                <a16:creationId xmlns:a16="http://schemas.microsoft.com/office/drawing/2014/main" id="{B8DA2E3F-B3C1-0D9D-DFF6-EC38105C76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187</xdr:row>
      <xdr:rowOff>58615</xdr:rowOff>
    </xdr:from>
    <xdr:to>
      <xdr:col>3</xdr:col>
      <xdr:colOff>956961</xdr:colOff>
      <xdr:row>187</xdr:row>
      <xdr:rowOff>209856</xdr:rowOff>
    </xdr:to>
    <xdr:grpSp>
      <xdr:nvGrpSpPr>
        <xdr:cNvPr id="1201" name="hinh3">
          <a:extLst>
            <a:ext uri="{FF2B5EF4-FFF2-40B4-BE49-F238E27FC236}">
              <a16:creationId xmlns:a16="http://schemas.microsoft.com/office/drawing/2014/main" id="{372AE5B2-0472-485B-B822-F184727F4F1A}"/>
            </a:ext>
          </a:extLst>
        </xdr:cNvPr>
        <xdr:cNvGrpSpPr>
          <a:grpSpLocks noChangeAspect="1"/>
        </xdr:cNvGrpSpPr>
      </xdr:nvGrpSpPr>
      <xdr:grpSpPr bwMode="auto">
        <a:xfrm>
          <a:off x="2095500" y="54881794"/>
          <a:ext cx="861711" cy="151241"/>
          <a:chOff x="206" y="112"/>
          <a:chExt cx="73" cy="16"/>
        </a:xfrm>
      </xdr:grpSpPr>
      <xdr:sp macro="" textlink="">
        <xdr:nvSpPr>
          <xdr:cNvPr id="1202" name="Line 3">
            <a:extLst>
              <a:ext uri="{FF2B5EF4-FFF2-40B4-BE49-F238E27FC236}">
                <a16:creationId xmlns:a16="http://schemas.microsoft.com/office/drawing/2014/main" id="{8842ABBE-43E5-EC36-8838-DCFD918EA8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3" name="Line 4">
            <a:extLst>
              <a:ext uri="{FF2B5EF4-FFF2-40B4-BE49-F238E27FC236}">
                <a16:creationId xmlns:a16="http://schemas.microsoft.com/office/drawing/2014/main" id="{B461C0A7-D3DE-4278-082C-2F77C60DFE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185</xdr:row>
      <xdr:rowOff>271096</xdr:rowOff>
    </xdr:from>
    <xdr:to>
      <xdr:col>3</xdr:col>
      <xdr:colOff>930519</xdr:colOff>
      <xdr:row>185</xdr:row>
      <xdr:rowOff>271096</xdr:rowOff>
    </xdr:to>
    <xdr:cxnSp macro="">
      <xdr:nvCxnSpPr>
        <xdr:cNvPr id="1204" name="hinh1">
          <a:extLst>
            <a:ext uri="{FF2B5EF4-FFF2-40B4-BE49-F238E27FC236}">
              <a16:creationId xmlns:a16="http://schemas.microsoft.com/office/drawing/2014/main" id="{52423707-A54F-45DD-8630-97A3D8B3EC37}"/>
            </a:ext>
          </a:extLst>
        </xdr:cNvPr>
        <xdr:cNvCxnSpPr/>
      </xdr:nvCxnSpPr>
      <xdr:spPr>
        <a:xfrm>
          <a:off x="2072432" y="5159403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186</xdr:row>
      <xdr:rowOff>194570</xdr:rowOff>
    </xdr:from>
    <xdr:to>
      <xdr:col>3</xdr:col>
      <xdr:colOff>916476</xdr:colOff>
      <xdr:row>186</xdr:row>
      <xdr:rowOff>273398</xdr:rowOff>
    </xdr:to>
    <xdr:grpSp>
      <xdr:nvGrpSpPr>
        <xdr:cNvPr id="1205" name="hinh23">
          <a:extLst>
            <a:ext uri="{FF2B5EF4-FFF2-40B4-BE49-F238E27FC236}">
              <a16:creationId xmlns:a16="http://schemas.microsoft.com/office/drawing/2014/main" id="{914BA807-847B-4016-9ABD-7BFC3EF1E8C9}"/>
            </a:ext>
          </a:extLst>
        </xdr:cNvPr>
        <xdr:cNvGrpSpPr>
          <a:grpSpLocks noChangeAspect="1"/>
        </xdr:cNvGrpSpPr>
      </xdr:nvGrpSpPr>
      <xdr:grpSpPr bwMode="auto">
        <a:xfrm>
          <a:off x="2051539" y="54704784"/>
          <a:ext cx="865187" cy="78828"/>
          <a:chOff x="181" y="372"/>
          <a:chExt cx="129" cy="5"/>
        </a:xfrm>
      </xdr:grpSpPr>
      <xdr:sp macro="" textlink="">
        <xdr:nvSpPr>
          <xdr:cNvPr id="1206" name="Line 29">
            <a:extLst>
              <a:ext uri="{FF2B5EF4-FFF2-40B4-BE49-F238E27FC236}">
                <a16:creationId xmlns:a16="http://schemas.microsoft.com/office/drawing/2014/main" id="{3378E9CE-40C1-CDC3-4CFE-166F7A7286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7" name="Line 30">
            <a:extLst>
              <a:ext uri="{FF2B5EF4-FFF2-40B4-BE49-F238E27FC236}">
                <a16:creationId xmlns:a16="http://schemas.microsoft.com/office/drawing/2014/main" id="{38CE1AB0-4DAA-A1ED-40A9-952925895CA1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8" name="Line 31">
            <a:extLst>
              <a:ext uri="{FF2B5EF4-FFF2-40B4-BE49-F238E27FC236}">
                <a16:creationId xmlns:a16="http://schemas.microsoft.com/office/drawing/2014/main" id="{AAD2F13B-587A-4AF7-AABF-CD803430D8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9" name="Line 32">
            <a:extLst>
              <a:ext uri="{FF2B5EF4-FFF2-40B4-BE49-F238E27FC236}">
                <a16:creationId xmlns:a16="http://schemas.microsoft.com/office/drawing/2014/main" id="{285407A9-C626-3FCD-2DE9-F5B08D9194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0" name="Line 33">
            <a:extLst>
              <a:ext uri="{FF2B5EF4-FFF2-40B4-BE49-F238E27FC236}">
                <a16:creationId xmlns:a16="http://schemas.microsoft.com/office/drawing/2014/main" id="{00A0CB9C-5A52-17CD-69FD-D84E0C7D7C7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189</xdr:row>
      <xdr:rowOff>65943</xdr:rowOff>
    </xdr:from>
    <xdr:to>
      <xdr:col>3</xdr:col>
      <xdr:colOff>958553</xdr:colOff>
      <xdr:row>189</xdr:row>
      <xdr:rowOff>229626</xdr:rowOff>
    </xdr:to>
    <xdr:grpSp>
      <xdr:nvGrpSpPr>
        <xdr:cNvPr id="1211" name="hinh2">
          <a:extLst>
            <a:ext uri="{FF2B5EF4-FFF2-40B4-BE49-F238E27FC236}">
              <a16:creationId xmlns:a16="http://schemas.microsoft.com/office/drawing/2014/main" id="{4CF5144E-795B-4C3E-85E4-8633E106E712}"/>
            </a:ext>
          </a:extLst>
        </xdr:cNvPr>
        <xdr:cNvGrpSpPr>
          <a:grpSpLocks noChangeAspect="1"/>
        </xdr:cNvGrpSpPr>
      </xdr:nvGrpSpPr>
      <xdr:grpSpPr bwMode="auto">
        <a:xfrm>
          <a:off x="2083745" y="55406193"/>
          <a:ext cx="875058" cy="163683"/>
          <a:chOff x="206" y="86"/>
          <a:chExt cx="73" cy="16"/>
        </a:xfrm>
      </xdr:grpSpPr>
      <xdr:sp macro="" textlink="">
        <xdr:nvSpPr>
          <xdr:cNvPr id="1212" name="Line 6">
            <a:extLst>
              <a:ext uri="{FF2B5EF4-FFF2-40B4-BE49-F238E27FC236}">
                <a16:creationId xmlns:a16="http://schemas.microsoft.com/office/drawing/2014/main" id="{EFCFA9C8-6859-A103-5EAF-84C36401EF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3" name="Line 7">
            <a:extLst>
              <a:ext uri="{FF2B5EF4-FFF2-40B4-BE49-F238E27FC236}">
                <a16:creationId xmlns:a16="http://schemas.microsoft.com/office/drawing/2014/main" id="{D7190AF6-9622-E5C6-7DF8-BB322C0439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4" name="Line 8">
            <a:extLst>
              <a:ext uri="{FF2B5EF4-FFF2-40B4-BE49-F238E27FC236}">
                <a16:creationId xmlns:a16="http://schemas.microsoft.com/office/drawing/2014/main" id="{A784799D-57EF-ABE7-763E-947C4110AD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192</xdr:row>
      <xdr:rowOff>58615</xdr:rowOff>
    </xdr:from>
    <xdr:to>
      <xdr:col>3</xdr:col>
      <xdr:colOff>956961</xdr:colOff>
      <xdr:row>192</xdr:row>
      <xdr:rowOff>209856</xdr:rowOff>
    </xdr:to>
    <xdr:grpSp>
      <xdr:nvGrpSpPr>
        <xdr:cNvPr id="1215" name="hinh3">
          <a:extLst>
            <a:ext uri="{FF2B5EF4-FFF2-40B4-BE49-F238E27FC236}">
              <a16:creationId xmlns:a16="http://schemas.microsoft.com/office/drawing/2014/main" id="{F764A5C0-9FC8-49F8-9926-65B9FD7F5411}"/>
            </a:ext>
          </a:extLst>
        </xdr:cNvPr>
        <xdr:cNvGrpSpPr>
          <a:grpSpLocks noChangeAspect="1"/>
        </xdr:cNvGrpSpPr>
      </xdr:nvGrpSpPr>
      <xdr:grpSpPr bwMode="auto">
        <a:xfrm>
          <a:off x="2095500" y="56337758"/>
          <a:ext cx="861711" cy="151241"/>
          <a:chOff x="206" y="112"/>
          <a:chExt cx="73" cy="16"/>
        </a:xfrm>
      </xdr:grpSpPr>
      <xdr:sp macro="" textlink="">
        <xdr:nvSpPr>
          <xdr:cNvPr id="1216" name="Line 3">
            <a:extLst>
              <a:ext uri="{FF2B5EF4-FFF2-40B4-BE49-F238E27FC236}">
                <a16:creationId xmlns:a16="http://schemas.microsoft.com/office/drawing/2014/main" id="{3380D775-140B-91BA-1CC8-D134F95689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7" name="Line 4">
            <a:extLst>
              <a:ext uri="{FF2B5EF4-FFF2-40B4-BE49-F238E27FC236}">
                <a16:creationId xmlns:a16="http://schemas.microsoft.com/office/drawing/2014/main" id="{B8A7ED91-1F03-5119-DA59-02A714762E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190</xdr:row>
      <xdr:rowOff>271096</xdr:rowOff>
    </xdr:from>
    <xdr:to>
      <xdr:col>3</xdr:col>
      <xdr:colOff>930519</xdr:colOff>
      <xdr:row>190</xdr:row>
      <xdr:rowOff>271096</xdr:rowOff>
    </xdr:to>
    <xdr:cxnSp macro="">
      <xdr:nvCxnSpPr>
        <xdr:cNvPr id="1218" name="hinh1">
          <a:extLst>
            <a:ext uri="{FF2B5EF4-FFF2-40B4-BE49-F238E27FC236}">
              <a16:creationId xmlns:a16="http://schemas.microsoft.com/office/drawing/2014/main" id="{1E71A9BA-8F37-42C5-B114-874445C9A196}"/>
            </a:ext>
          </a:extLst>
        </xdr:cNvPr>
        <xdr:cNvCxnSpPr/>
      </xdr:nvCxnSpPr>
      <xdr:spPr>
        <a:xfrm>
          <a:off x="2072432" y="5305080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191</xdr:row>
      <xdr:rowOff>194570</xdr:rowOff>
    </xdr:from>
    <xdr:to>
      <xdr:col>3</xdr:col>
      <xdr:colOff>916476</xdr:colOff>
      <xdr:row>191</xdr:row>
      <xdr:rowOff>273398</xdr:rowOff>
    </xdr:to>
    <xdr:grpSp>
      <xdr:nvGrpSpPr>
        <xdr:cNvPr id="1219" name="hinh23">
          <a:extLst>
            <a:ext uri="{FF2B5EF4-FFF2-40B4-BE49-F238E27FC236}">
              <a16:creationId xmlns:a16="http://schemas.microsoft.com/office/drawing/2014/main" id="{20AF97E7-9A67-41EA-A82D-CF6D431C2932}"/>
            </a:ext>
          </a:extLst>
        </xdr:cNvPr>
        <xdr:cNvGrpSpPr>
          <a:grpSpLocks noChangeAspect="1"/>
        </xdr:cNvGrpSpPr>
      </xdr:nvGrpSpPr>
      <xdr:grpSpPr bwMode="auto">
        <a:xfrm>
          <a:off x="2051539" y="56160749"/>
          <a:ext cx="865187" cy="78828"/>
          <a:chOff x="181" y="372"/>
          <a:chExt cx="129" cy="5"/>
        </a:xfrm>
      </xdr:grpSpPr>
      <xdr:sp macro="" textlink="">
        <xdr:nvSpPr>
          <xdr:cNvPr id="1220" name="Line 29">
            <a:extLst>
              <a:ext uri="{FF2B5EF4-FFF2-40B4-BE49-F238E27FC236}">
                <a16:creationId xmlns:a16="http://schemas.microsoft.com/office/drawing/2014/main" id="{E84B471C-8D90-4539-DD5F-CC5F71E850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1" name="Line 30">
            <a:extLst>
              <a:ext uri="{FF2B5EF4-FFF2-40B4-BE49-F238E27FC236}">
                <a16:creationId xmlns:a16="http://schemas.microsoft.com/office/drawing/2014/main" id="{3C706D98-3C85-23AF-AF05-CC50973D904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2" name="Line 31">
            <a:extLst>
              <a:ext uri="{FF2B5EF4-FFF2-40B4-BE49-F238E27FC236}">
                <a16:creationId xmlns:a16="http://schemas.microsoft.com/office/drawing/2014/main" id="{3D4EEE81-B3CE-4D18-DCAE-285CAFB9E8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3" name="Line 32">
            <a:extLst>
              <a:ext uri="{FF2B5EF4-FFF2-40B4-BE49-F238E27FC236}">
                <a16:creationId xmlns:a16="http://schemas.microsoft.com/office/drawing/2014/main" id="{B25D1084-E7FC-E875-1DB0-D99F8B4C0B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4" name="Line 33">
            <a:extLst>
              <a:ext uri="{FF2B5EF4-FFF2-40B4-BE49-F238E27FC236}">
                <a16:creationId xmlns:a16="http://schemas.microsoft.com/office/drawing/2014/main" id="{0C287A10-B0DF-3E38-0109-071516B1E14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19</xdr:row>
      <xdr:rowOff>271096</xdr:rowOff>
    </xdr:from>
    <xdr:to>
      <xdr:col>3</xdr:col>
      <xdr:colOff>930519</xdr:colOff>
      <xdr:row>19</xdr:row>
      <xdr:rowOff>271096</xdr:rowOff>
    </xdr:to>
    <xdr:cxnSp macro="">
      <xdr:nvCxnSpPr>
        <xdr:cNvPr id="1095" name="hinh1">
          <a:extLst>
            <a:ext uri="{FF2B5EF4-FFF2-40B4-BE49-F238E27FC236}">
              <a16:creationId xmlns:a16="http://schemas.microsoft.com/office/drawing/2014/main" id="{AD2601EA-3DB0-4933-9AF3-5D9C89A5BCE4}"/>
            </a:ext>
          </a:extLst>
        </xdr:cNvPr>
        <xdr:cNvCxnSpPr/>
      </xdr:nvCxnSpPr>
      <xdr:spPr>
        <a:xfrm>
          <a:off x="2066829" y="421716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24</xdr:row>
      <xdr:rowOff>271096</xdr:rowOff>
    </xdr:from>
    <xdr:to>
      <xdr:col>3</xdr:col>
      <xdr:colOff>930519</xdr:colOff>
      <xdr:row>24</xdr:row>
      <xdr:rowOff>271096</xdr:rowOff>
    </xdr:to>
    <xdr:cxnSp macro="">
      <xdr:nvCxnSpPr>
        <xdr:cNvPr id="1096" name="hinh1">
          <a:extLst>
            <a:ext uri="{FF2B5EF4-FFF2-40B4-BE49-F238E27FC236}">
              <a16:creationId xmlns:a16="http://schemas.microsoft.com/office/drawing/2014/main" id="{3A289629-9177-42D1-88F0-4295380027CC}"/>
            </a:ext>
          </a:extLst>
        </xdr:cNvPr>
        <xdr:cNvCxnSpPr/>
      </xdr:nvCxnSpPr>
      <xdr:spPr>
        <a:xfrm>
          <a:off x="2066829" y="421716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175</xdr:row>
      <xdr:rowOff>271096</xdr:rowOff>
    </xdr:from>
    <xdr:to>
      <xdr:col>3</xdr:col>
      <xdr:colOff>930519</xdr:colOff>
      <xdr:row>175</xdr:row>
      <xdr:rowOff>271096</xdr:rowOff>
    </xdr:to>
    <xdr:cxnSp macro="">
      <xdr:nvCxnSpPr>
        <xdr:cNvPr id="1097" name="hinh1">
          <a:extLst>
            <a:ext uri="{FF2B5EF4-FFF2-40B4-BE49-F238E27FC236}">
              <a16:creationId xmlns:a16="http://schemas.microsoft.com/office/drawing/2014/main" id="{E47DD14D-F3E0-475D-9A4C-CA68F8B8D561}"/>
            </a:ext>
          </a:extLst>
        </xdr:cNvPr>
        <xdr:cNvCxnSpPr/>
      </xdr:nvCxnSpPr>
      <xdr:spPr>
        <a:xfrm>
          <a:off x="2066829" y="5010045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180</xdr:row>
      <xdr:rowOff>271096</xdr:rowOff>
    </xdr:from>
    <xdr:to>
      <xdr:col>3</xdr:col>
      <xdr:colOff>930519</xdr:colOff>
      <xdr:row>180</xdr:row>
      <xdr:rowOff>271096</xdr:rowOff>
    </xdr:to>
    <xdr:cxnSp macro="">
      <xdr:nvCxnSpPr>
        <xdr:cNvPr id="1098" name="hinh1">
          <a:extLst>
            <a:ext uri="{FF2B5EF4-FFF2-40B4-BE49-F238E27FC236}">
              <a16:creationId xmlns:a16="http://schemas.microsoft.com/office/drawing/2014/main" id="{6FC2772A-77DA-46B5-860E-1D998AD7696E}"/>
            </a:ext>
          </a:extLst>
        </xdr:cNvPr>
        <xdr:cNvCxnSpPr/>
      </xdr:nvCxnSpPr>
      <xdr:spPr>
        <a:xfrm>
          <a:off x="2066829" y="5010045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185</xdr:row>
      <xdr:rowOff>271096</xdr:rowOff>
    </xdr:from>
    <xdr:to>
      <xdr:col>3</xdr:col>
      <xdr:colOff>930519</xdr:colOff>
      <xdr:row>185</xdr:row>
      <xdr:rowOff>271096</xdr:rowOff>
    </xdr:to>
    <xdr:cxnSp macro="">
      <xdr:nvCxnSpPr>
        <xdr:cNvPr id="819" name="hinh1">
          <a:extLst>
            <a:ext uri="{FF2B5EF4-FFF2-40B4-BE49-F238E27FC236}">
              <a16:creationId xmlns:a16="http://schemas.microsoft.com/office/drawing/2014/main" id="{920E886B-35DC-4D44-AF3F-B854B165A1FC}"/>
            </a:ext>
          </a:extLst>
        </xdr:cNvPr>
        <xdr:cNvCxnSpPr/>
      </xdr:nvCxnSpPr>
      <xdr:spPr>
        <a:xfrm>
          <a:off x="2066829" y="5010045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190</xdr:row>
      <xdr:rowOff>271096</xdr:rowOff>
    </xdr:from>
    <xdr:to>
      <xdr:col>3</xdr:col>
      <xdr:colOff>930519</xdr:colOff>
      <xdr:row>190</xdr:row>
      <xdr:rowOff>271096</xdr:rowOff>
    </xdr:to>
    <xdr:cxnSp macro="">
      <xdr:nvCxnSpPr>
        <xdr:cNvPr id="820" name="hinh1">
          <a:extLst>
            <a:ext uri="{FF2B5EF4-FFF2-40B4-BE49-F238E27FC236}">
              <a16:creationId xmlns:a16="http://schemas.microsoft.com/office/drawing/2014/main" id="{4D92D9D2-3EAE-4210-9960-B48E9A9F0EDF}"/>
            </a:ext>
          </a:extLst>
        </xdr:cNvPr>
        <xdr:cNvCxnSpPr/>
      </xdr:nvCxnSpPr>
      <xdr:spPr>
        <a:xfrm>
          <a:off x="2066829" y="5010045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9</xdr:row>
      <xdr:rowOff>80596</xdr:rowOff>
    </xdr:from>
    <xdr:to>
      <xdr:col>3</xdr:col>
      <xdr:colOff>970308</xdr:colOff>
      <xdr:row>9</xdr:row>
      <xdr:rowOff>244279</xdr:rowOff>
    </xdr:to>
    <xdr:grpSp>
      <xdr:nvGrpSpPr>
        <xdr:cNvPr id="270" name="hinh2">
          <a:extLst>
            <a:ext uri="{FF2B5EF4-FFF2-40B4-BE49-F238E27FC236}">
              <a16:creationId xmlns:a16="http://schemas.microsoft.com/office/drawing/2014/main" id="{FECE51A7-C74B-4EF8-A9E0-B1F107568BC1}"/>
            </a:ext>
          </a:extLst>
        </xdr:cNvPr>
        <xdr:cNvGrpSpPr>
          <a:grpSpLocks noChangeAspect="1"/>
        </xdr:cNvGrpSpPr>
      </xdr:nvGrpSpPr>
      <xdr:grpSpPr bwMode="auto">
        <a:xfrm>
          <a:off x="2367643" y="2597917"/>
          <a:ext cx="875058" cy="163683"/>
          <a:chOff x="206" y="86"/>
          <a:chExt cx="73" cy="16"/>
        </a:xfrm>
      </xdr:grpSpPr>
      <xdr:sp macro="" textlink="">
        <xdr:nvSpPr>
          <xdr:cNvPr id="271" name="Line 6">
            <a:extLst>
              <a:ext uri="{FF2B5EF4-FFF2-40B4-BE49-F238E27FC236}">
                <a16:creationId xmlns:a16="http://schemas.microsoft.com/office/drawing/2014/main" id="{300CB8EF-4572-50BC-9F33-4F61FE267F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" name="Line 7">
            <a:extLst>
              <a:ext uri="{FF2B5EF4-FFF2-40B4-BE49-F238E27FC236}">
                <a16:creationId xmlns:a16="http://schemas.microsoft.com/office/drawing/2014/main" id="{8C2C389E-BF06-97B9-43D7-46567FBB41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" name="Line 8">
            <a:extLst>
              <a:ext uri="{FF2B5EF4-FFF2-40B4-BE49-F238E27FC236}">
                <a16:creationId xmlns:a16="http://schemas.microsoft.com/office/drawing/2014/main" id="{6BB88688-2EE7-1E57-370F-939FF2B058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</xdr:row>
      <xdr:rowOff>58616</xdr:rowOff>
    </xdr:from>
    <xdr:to>
      <xdr:col>3</xdr:col>
      <xdr:colOff>977635</xdr:colOff>
      <xdr:row>10</xdr:row>
      <xdr:rowOff>249116</xdr:rowOff>
    </xdr:to>
    <xdr:grpSp>
      <xdr:nvGrpSpPr>
        <xdr:cNvPr id="298" name="hinh2">
          <a:extLst>
            <a:ext uri="{FF2B5EF4-FFF2-40B4-BE49-F238E27FC236}">
              <a16:creationId xmlns:a16="http://schemas.microsoft.com/office/drawing/2014/main" id="{C63C7F79-D278-4D09-9FC5-0D541174264F}"/>
            </a:ext>
          </a:extLst>
        </xdr:cNvPr>
        <xdr:cNvGrpSpPr>
          <a:grpSpLocks noChangeAspect="1"/>
        </xdr:cNvGrpSpPr>
      </xdr:nvGrpSpPr>
      <xdr:grpSpPr bwMode="auto">
        <a:xfrm>
          <a:off x="2374970" y="2970545"/>
          <a:ext cx="875058" cy="190500"/>
          <a:chOff x="206" y="86"/>
          <a:chExt cx="73" cy="16"/>
        </a:xfrm>
      </xdr:grpSpPr>
      <xdr:sp macro="" textlink="">
        <xdr:nvSpPr>
          <xdr:cNvPr id="299" name="Line 6">
            <a:extLst>
              <a:ext uri="{FF2B5EF4-FFF2-40B4-BE49-F238E27FC236}">
                <a16:creationId xmlns:a16="http://schemas.microsoft.com/office/drawing/2014/main" id="{1D212E84-1044-F0B4-FF1B-6B6A9D3154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" name="Line 7">
            <a:extLst>
              <a:ext uri="{FF2B5EF4-FFF2-40B4-BE49-F238E27FC236}">
                <a16:creationId xmlns:a16="http://schemas.microsoft.com/office/drawing/2014/main" id="{C999F71F-6F0E-FE3E-6462-70374B779A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" name="Line 8">
            <a:extLst>
              <a:ext uri="{FF2B5EF4-FFF2-40B4-BE49-F238E27FC236}">
                <a16:creationId xmlns:a16="http://schemas.microsoft.com/office/drawing/2014/main" id="{11ED35C4-DBF1-A445-FD96-0CE2444A7C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</xdr:row>
      <xdr:rowOff>58616</xdr:rowOff>
    </xdr:from>
    <xdr:to>
      <xdr:col>3</xdr:col>
      <xdr:colOff>977635</xdr:colOff>
      <xdr:row>11</xdr:row>
      <xdr:rowOff>249116</xdr:rowOff>
    </xdr:to>
    <xdr:grpSp>
      <xdr:nvGrpSpPr>
        <xdr:cNvPr id="302" name="hinh2">
          <a:extLst>
            <a:ext uri="{FF2B5EF4-FFF2-40B4-BE49-F238E27FC236}">
              <a16:creationId xmlns:a16="http://schemas.microsoft.com/office/drawing/2014/main" id="{22EED8C1-C4C8-4197-802A-862055F45147}"/>
            </a:ext>
          </a:extLst>
        </xdr:cNvPr>
        <xdr:cNvGrpSpPr>
          <a:grpSpLocks noChangeAspect="1"/>
        </xdr:cNvGrpSpPr>
      </xdr:nvGrpSpPr>
      <xdr:grpSpPr bwMode="auto">
        <a:xfrm>
          <a:off x="2374970" y="3365152"/>
          <a:ext cx="875058" cy="190500"/>
          <a:chOff x="206" y="86"/>
          <a:chExt cx="73" cy="16"/>
        </a:xfrm>
      </xdr:grpSpPr>
      <xdr:sp macro="" textlink="">
        <xdr:nvSpPr>
          <xdr:cNvPr id="303" name="Line 6">
            <a:extLst>
              <a:ext uri="{FF2B5EF4-FFF2-40B4-BE49-F238E27FC236}">
                <a16:creationId xmlns:a16="http://schemas.microsoft.com/office/drawing/2014/main" id="{BA6C591D-A12F-396C-C321-F61E9548EC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4" name="Line 7">
            <a:extLst>
              <a:ext uri="{FF2B5EF4-FFF2-40B4-BE49-F238E27FC236}">
                <a16:creationId xmlns:a16="http://schemas.microsoft.com/office/drawing/2014/main" id="{8B1FDEAD-8F64-DAD3-6848-4E158A95CD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8">
            <a:extLst>
              <a:ext uri="{FF2B5EF4-FFF2-40B4-BE49-F238E27FC236}">
                <a16:creationId xmlns:a16="http://schemas.microsoft.com/office/drawing/2014/main" id="{5B8AC5CB-069C-0ECA-9A63-E0C040E295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</xdr:row>
      <xdr:rowOff>58616</xdr:rowOff>
    </xdr:from>
    <xdr:to>
      <xdr:col>3</xdr:col>
      <xdr:colOff>977635</xdr:colOff>
      <xdr:row>12</xdr:row>
      <xdr:rowOff>249116</xdr:rowOff>
    </xdr:to>
    <xdr:grpSp>
      <xdr:nvGrpSpPr>
        <xdr:cNvPr id="306" name="hinh2">
          <a:extLst>
            <a:ext uri="{FF2B5EF4-FFF2-40B4-BE49-F238E27FC236}">
              <a16:creationId xmlns:a16="http://schemas.microsoft.com/office/drawing/2014/main" id="{2A317B8A-56D8-48CB-9A65-1C004B79436B}"/>
            </a:ext>
          </a:extLst>
        </xdr:cNvPr>
        <xdr:cNvGrpSpPr>
          <a:grpSpLocks noChangeAspect="1"/>
        </xdr:cNvGrpSpPr>
      </xdr:nvGrpSpPr>
      <xdr:grpSpPr bwMode="auto">
        <a:xfrm>
          <a:off x="2374970" y="3759759"/>
          <a:ext cx="875058" cy="190500"/>
          <a:chOff x="206" y="86"/>
          <a:chExt cx="73" cy="16"/>
        </a:xfrm>
      </xdr:grpSpPr>
      <xdr:sp macro="" textlink="">
        <xdr:nvSpPr>
          <xdr:cNvPr id="307" name="Line 6">
            <a:extLst>
              <a:ext uri="{FF2B5EF4-FFF2-40B4-BE49-F238E27FC236}">
                <a16:creationId xmlns:a16="http://schemas.microsoft.com/office/drawing/2014/main" id="{D8E2B0A1-7031-9038-53E1-6D75BA30AC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" name="Line 7">
            <a:extLst>
              <a:ext uri="{FF2B5EF4-FFF2-40B4-BE49-F238E27FC236}">
                <a16:creationId xmlns:a16="http://schemas.microsoft.com/office/drawing/2014/main" id="{714A2CF1-E571-56B5-26DD-8623C11D81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" name="Line 8">
            <a:extLst>
              <a:ext uri="{FF2B5EF4-FFF2-40B4-BE49-F238E27FC236}">
                <a16:creationId xmlns:a16="http://schemas.microsoft.com/office/drawing/2014/main" id="{DBE5A0C9-B6E0-9B67-6B84-65A43E5ED6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</xdr:row>
      <xdr:rowOff>58616</xdr:rowOff>
    </xdr:from>
    <xdr:to>
      <xdr:col>3</xdr:col>
      <xdr:colOff>977635</xdr:colOff>
      <xdr:row>13</xdr:row>
      <xdr:rowOff>249116</xdr:rowOff>
    </xdr:to>
    <xdr:grpSp>
      <xdr:nvGrpSpPr>
        <xdr:cNvPr id="310" name="hinh2">
          <a:extLst>
            <a:ext uri="{FF2B5EF4-FFF2-40B4-BE49-F238E27FC236}">
              <a16:creationId xmlns:a16="http://schemas.microsoft.com/office/drawing/2014/main" id="{7BBF0EFA-3207-49DC-B703-CA3F8CB4D1B2}"/>
            </a:ext>
          </a:extLst>
        </xdr:cNvPr>
        <xdr:cNvGrpSpPr>
          <a:grpSpLocks noChangeAspect="1"/>
        </xdr:cNvGrpSpPr>
      </xdr:nvGrpSpPr>
      <xdr:grpSpPr bwMode="auto">
        <a:xfrm>
          <a:off x="2374970" y="4154366"/>
          <a:ext cx="875058" cy="190500"/>
          <a:chOff x="206" y="86"/>
          <a:chExt cx="73" cy="16"/>
        </a:xfrm>
      </xdr:grpSpPr>
      <xdr:sp macro="" textlink="">
        <xdr:nvSpPr>
          <xdr:cNvPr id="311" name="Line 6">
            <a:extLst>
              <a:ext uri="{FF2B5EF4-FFF2-40B4-BE49-F238E27FC236}">
                <a16:creationId xmlns:a16="http://schemas.microsoft.com/office/drawing/2014/main" id="{1447AB9C-918D-9690-3A8F-1D5E07A849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" name="Line 7">
            <a:extLst>
              <a:ext uri="{FF2B5EF4-FFF2-40B4-BE49-F238E27FC236}">
                <a16:creationId xmlns:a16="http://schemas.microsoft.com/office/drawing/2014/main" id="{B1BBDA93-DE20-9C8A-84D7-CB1B92EF05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" name="Line 8">
            <a:extLst>
              <a:ext uri="{FF2B5EF4-FFF2-40B4-BE49-F238E27FC236}">
                <a16:creationId xmlns:a16="http://schemas.microsoft.com/office/drawing/2014/main" id="{AC0C1AA5-9F60-F388-7B1C-4AAF0A53AC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</xdr:row>
      <xdr:rowOff>58616</xdr:rowOff>
    </xdr:from>
    <xdr:to>
      <xdr:col>3</xdr:col>
      <xdr:colOff>977635</xdr:colOff>
      <xdr:row>15</xdr:row>
      <xdr:rowOff>249116</xdr:rowOff>
    </xdr:to>
    <xdr:grpSp>
      <xdr:nvGrpSpPr>
        <xdr:cNvPr id="322" name="hinh2">
          <a:extLst>
            <a:ext uri="{FF2B5EF4-FFF2-40B4-BE49-F238E27FC236}">
              <a16:creationId xmlns:a16="http://schemas.microsoft.com/office/drawing/2014/main" id="{1C04D54C-C2B9-4F9E-AF85-B63DCA24FCD4}"/>
            </a:ext>
          </a:extLst>
        </xdr:cNvPr>
        <xdr:cNvGrpSpPr>
          <a:grpSpLocks noChangeAspect="1"/>
        </xdr:cNvGrpSpPr>
      </xdr:nvGrpSpPr>
      <xdr:grpSpPr bwMode="auto">
        <a:xfrm>
          <a:off x="2374970" y="4943580"/>
          <a:ext cx="875058" cy="190500"/>
          <a:chOff x="206" y="86"/>
          <a:chExt cx="73" cy="16"/>
        </a:xfrm>
      </xdr:grpSpPr>
      <xdr:sp macro="" textlink="">
        <xdr:nvSpPr>
          <xdr:cNvPr id="323" name="Line 6">
            <a:extLst>
              <a:ext uri="{FF2B5EF4-FFF2-40B4-BE49-F238E27FC236}">
                <a16:creationId xmlns:a16="http://schemas.microsoft.com/office/drawing/2014/main" id="{518A1EC9-9EDB-939E-0898-0467C974CC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4" name="Line 7">
            <a:extLst>
              <a:ext uri="{FF2B5EF4-FFF2-40B4-BE49-F238E27FC236}">
                <a16:creationId xmlns:a16="http://schemas.microsoft.com/office/drawing/2014/main" id="{046D6AF3-5007-09CF-81BA-19DA7F0DC5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5" name="Line 8">
            <a:extLst>
              <a:ext uri="{FF2B5EF4-FFF2-40B4-BE49-F238E27FC236}">
                <a16:creationId xmlns:a16="http://schemas.microsoft.com/office/drawing/2014/main" id="{44C0F3FE-FC94-0FFB-26DA-4CE46A4E8E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</xdr:row>
      <xdr:rowOff>58616</xdr:rowOff>
    </xdr:from>
    <xdr:to>
      <xdr:col>3</xdr:col>
      <xdr:colOff>977635</xdr:colOff>
      <xdr:row>14</xdr:row>
      <xdr:rowOff>249116</xdr:rowOff>
    </xdr:to>
    <xdr:grpSp>
      <xdr:nvGrpSpPr>
        <xdr:cNvPr id="326" name="hinh2">
          <a:extLst>
            <a:ext uri="{FF2B5EF4-FFF2-40B4-BE49-F238E27FC236}">
              <a16:creationId xmlns:a16="http://schemas.microsoft.com/office/drawing/2014/main" id="{346CE995-032E-4811-B7E0-D8329B18BB50}"/>
            </a:ext>
          </a:extLst>
        </xdr:cNvPr>
        <xdr:cNvGrpSpPr>
          <a:grpSpLocks noChangeAspect="1"/>
        </xdr:cNvGrpSpPr>
      </xdr:nvGrpSpPr>
      <xdr:grpSpPr bwMode="auto">
        <a:xfrm>
          <a:off x="2374970" y="4548973"/>
          <a:ext cx="875058" cy="190500"/>
          <a:chOff x="206" y="86"/>
          <a:chExt cx="73" cy="16"/>
        </a:xfrm>
      </xdr:grpSpPr>
      <xdr:sp macro="" textlink="">
        <xdr:nvSpPr>
          <xdr:cNvPr id="327" name="Line 6">
            <a:extLst>
              <a:ext uri="{FF2B5EF4-FFF2-40B4-BE49-F238E27FC236}">
                <a16:creationId xmlns:a16="http://schemas.microsoft.com/office/drawing/2014/main" id="{DF65E515-E2EA-E56A-C585-28C88E677C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" name="Line 7">
            <a:extLst>
              <a:ext uri="{FF2B5EF4-FFF2-40B4-BE49-F238E27FC236}">
                <a16:creationId xmlns:a16="http://schemas.microsoft.com/office/drawing/2014/main" id="{44998E1A-B7E7-6874-77C4-2FF37A0157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" name="Line 8">
            <a:extLst>
              <a:ext uri="{FF2B5EF4-FFF2-40B4-BE49-F238E27FC236}">
                <a16:creationId xmlns:a16="http://schemas.microsoft.com/office/drawing/2014/main" id="{61F23F45-3B41-F357-688C-5D0655971A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</xdr:row>
      <xdr:rowOff>58616</xdr:rowOff>
    </xdr:from>
    <xdr:to>
      <xdr:col>3</xdr:col>
      <xdr:colOff>977635</xdr:colOff>
      <xdr:row>11</xdr:row>
      <xdr:rowOff>249116</xdr:rowOff>
    </xdr:to>
    <xdr:grpSp>
      <xdr:nvGrpSpPr>
        <xdr:cNvPr id="330" name="hinh2">
          <a:extLst>
            <a:ext uri="{FF2B5EF4-FFF2-40B4-BE49-F238E27FC236}">
              <a16:creationId xmlns:a16="http://schemas.microsoft.com/office/drawing/2014/main" id="{57DA5234-BB45-4210-A04A-157EFD1C85FB}"/>
            </a:ext>
          </a:extLst>
        </xdr:cNvPr>
        <xdr:cNvGrpSpPr>
          <a:grpSpLocks noChangeAspect="1"/>
        </xdr:cNvGrpSpPr>
      </xdr:nvGrpSpPr>
      <xdr:grpSpPr bwMode="auto">
        <a:xfrm>
          <a:off x="2374970" y="3365152"/>
          <a:ext cx="875058" cy="190500"/>
          <a:chOff x="206" y="86"/>
          <a:chExt cx="73" cy="16"/>
        </a:xfrm>
      </xdr:grpSpPr>
      <xdr:sp macro="" textlink="">
        <xdr:nvSpPr>
          <xdr:cNvPr id="331" name="Line 6">
            <a:extLst>
              <a:ext uri="{FF2B5EF4-FFF2-40B4-BE49-F238E27FC236}">
                <a16:creationId xmlns:a16="http://schemas.microsoft.com/office/drawing/2014/main" id="{7AE47FAC-39E0-43D1-4996-EBD67BBA4D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2" name="Line 7">
            <a:extLst>
              <a:ext uri="{FF2B5EF4-FFF2-40B4-BE49-F238E27FC236}">
                <a16:creationId xmlns:a16="http://schemas.microsoft.com/office/drawing/2014/main" id="{1987D959-5C8A-BCF4-AABB-35555D6ECA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3" name="Line 8">
            <a:extLst>
              <a:ext uri="{FF2B5EF4-FFF2-40B4-BE49-F238E27FC236}">
                <a16:creationId xmlns:a16="http://schemas.microsoft.com/office/drawing/2014/main" id="{4C1EB38F-14ED-5DD7-5CC1-A3D755D20A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</xdr:row>
      <xdr:rowOff>58616</xdr:rowOff>
    </xdr:from>
    <xdr:to>
      <xdr:col>3</xdr:col>
      <xdr:colOff>977635</xdr:colOff>
      <xdr:row>12</xdr:row>
      <xdr:rowOff>249116</xdr:rowOff>
    </xdr:to>
    <xdr:grpSp>
      <xdr:nvGrpSpPr>
        <xdr:cNvPr id="342" name="hinh2">
          <a:extLst>
            <a:ext uri="{FF2B5EF4-FFF2-40B4-BE49-F238E27FC236}">
              <a16:creationId xmlns:a16="http://schemas.microsoft.com/office/drawing/2014/main" id="{D1D5BFCA-F068-48BE-9CA9-B2F9675CECF0}"/>
            </a:ext>
          </a:extLst>
        </xdr:cNvPr>
        <xdr:cNvGrpSpPr>
          <a:grpSpLocks noChangeAspect="1"/>
        </xdr:cNvGrpSpPr>
      </xdr:nvGrpSpPr>
      <xdr:grpSpPr bwMode="auto">
        <a:xfrm>
          <a:off x="2374970" y="3759759"/>
          <a:ext cx="875058" cy="190500"/>
          <a:chOff x="206" y="86"/>
          <a:chExt cx="73" cy="16"/>
        </a:xfrm>
      </xdr:grpSpPr>
      <xdr:sp macro="" textlink="">
        <xdr:nvSpPr>
          <xdr:cNvPr id="343" name="Line 6">
            <a:extLst>
              <a:ext uri="{FF2B5EF4-FFF2-40B4-BE49-F238E27FC236}">
                <a16:creationId xmlns:a16="http://schemas.microsoft.com/office/drawing/2014/main" id="{7D397422-3FF7-FAC0-2D83-76C0E341A4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" name="Line 7">
            <a:extLst>
              <a:ext uri="{FF2B5EF4-FFF2-40B4-BE49-F238E27FC236}">
                <a16:creationId xmlns:a16="http://schemas.microsoft.com/office/drawing/2014/main" id="{C2BCA064-3FAE-FE15-BC10-1847B21B62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5" name="Line 8">
            <a:extLst>
              <a:ext uri="{FF2B5EF4-FFF2-40B4-BE49-F238E27FC236}">
                <a16:creationId xmlns:a16="http://schemas.microsoft.com/office/drawing/2014/main" id="{B46C9AE5-3954-4280-F1AD-4C5F4F9C2D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</xdr:row>
      <xdr:rowOff>58616</xdr:rowOff>
    </xdr:from>
    <xdr:to>
      <xdr:col>3</xdr:col>
      <xdr:colOff>977635</xdr:colOff>
      <xdr:row>12</xdr:row>
      <xdr:rowOff>249116</xdr:rowOff>
    </xdr:to>
    <xdr:grpSp>
      <xdr:nvGrpSpPr>
        <xdr:cNvPr id="350" name="hinh2">
          <a:extLst>
            <a:ext uri="{FF2B5EF4-FFF2-40B4-BE49-F238E27FC236}">
              <a16:creationId xmlns:a16="http://schemas.microsoft.com/office/drawing/2014/main" id="{05CEFD6E-EC74-4A80-A5E0-C65ABD40A179}"/>
            </a:ext>
          </a:extLst>
        </xdr:cNvPr>
        <xdr:cNvGrpSpPr>
          <a:grpSpLocks noChangeAspect="1"/>
        </xdr:cNvGrpSpPr>
      </xdr:nvGrpSpPr>
      <xdr:grpSpPr bwMode="auto">
        <a:xfrm>
          <a:off x="2374970" y="3759759"/>
          <a:ext cx="875058" cy="190500"/>
          <a:chOff x="206" y="86"/>
          <a:chExt cx="73" cy="16"/>
        </a:xfrm>
      </xdr:grpSpPr>
      <xdr:sp macro="" textlink="">
        <xdr:nvSpPr>
          <xdr:cNvPr id="351" name="Line 6">
            <a:extLst>
              <a:ext uri="{FF2B5EF4-FFF2-40B4-BE49-F238E27FC236}">
                <a16:creationId xmlns:a16="http://schemas.microsoft.com/office/drawing/2014/main" id="{178C511A-0095-F51E-7A82-BB7E933241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" name="Line 7">
            <a:extLst>
              <a:ext uri="{FF2B5EF4-FFF2-40B4-BE49-F238E27FC236}">
                <a16:creationId xmlns:a16="http://schemas.microsoft.com/office/drawing/2014/main" id="{A13940A9-5D69-1335-B73D-2053139DB7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" name="Line 8">
            <a:extLst>
              <a:ext uri="{FF2B5EF4-FFF2-40B4-BE49-F238E27FC236}">
                <a16:creationId xmlns:a16="http://schemas.microsoft.com/office/drawing/2014/main" id="{C79D8E94-3359-A891-7898-582C5F1826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</xdr:row>
      <xdr:rowOff>80596</xdr:rowOff>
    </xdr:from>
    <xdr:to>
      <xdr:col>3</xdr:col>
      <xdr:colOff>970308</xdr:colOff>
      <xdr:row>16</xdr:row>
      <xdr:rowOff>244279</xdr:rowOff>
    </xdr:to>
    <xdr:grpSp>
      <xdr:nvGrpSpPr>
        <xdr:cNvPr id="362" name="hinh2">
          <a:extLst>
            <a:ext uri="{FF2B5EF4-FFF2-40B4-BE49-F238E27FC236}">
              <a16:creationId xmlns:a16="http://schemas.microsoft.com/office/drawing/2014/main" id="{136378CC-4194-4708-9B40-FEA888537F30}"/>
            </a:ext>
          </a:extLst>
        </xdr:cNvPr>
        <xdr:cNvGrpSpPr>
          <a:grpSpLocks noChangeAspect="1"/>
        </xdr:cNvGrpSpPr>
      </xdr:nvGrpSpPr>
      <xdr:grpSpPr bwMode="auto">
        <a:xfrm>
          <a:off x="2367643" y="5360167"/>
          <a:ext cx="875058" cy="163683"/>
          <a:chOff x="206" y="86"/>
          <a:chExt cx="73" cy="16"/>
        </a:xfrm>
      </xdr:grpSpPr>
      <xdr:sp macro="" textlink="">
        <xdr:nvSpPr>
          <xdr:cNvPr id="363" name="Line 6">
            <a:extLst>
              <a:ext uri="{FF2B5EF4-FFF2-40B4-BE49-F238E27FC236}">
                <a16:creationId xmlns:a16="http://schemas.microsoft.com/office/drawing/2014/main" id="{72146F15-8367-3D20-D27C-7752E15F84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4" name="Line 7">
            <a:extLst>
              <a:ext uri="{FF2B5EF4-FFF2-40B4-BE49-F238E27FC236}">
                <a16:creationId xmlns:a16="http://schemas.microsoft.com/office/drawing/2014/main" id="{35F0418D-9D48-2011-1529-88C402EAA8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5" name="Line 8">
            <a:extLst>
              <a:ext uri="{FF2B5EF4-FFF2-40B4-BE49-F238E27FC236}">
                <a16:creationId xmlns:a16="http://schemas.microsoft.com/office/drawing/2014/main" id="{5243BA8B-13F6-2F12-7A4C-BB295A52BD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</xdr:row>
      <xdr:rowOff>58616</xdr:rowOff>
    </xdr:from>
    <xdr:to>
      <xdr:col>3</xdr:col>
      <xdr:colOff>977635</xdr:colOff>
      <xdr:row>17</xdr:row>
      <xdr:rowOff>249116</xdr:rowOff>
    </xdr:to>
    <xdr:grpSp>
      <xdr:nvGrpSpPr>
        <xdr:cNvPr id="366" name="hinh2">
          <a:extLst>
            <a:ext uri="{FF2B5EF4-FFF2-40B4-BE49-F238E27FC236}">
              <a16:creationId xmlns:a16="http://schemas.microsoft.com/office/drawing/2014/main" id="{0408EEC4-E31C-4E00-8308-CDDB3E009E56}"/>
            </a:ext>
          </a:extLst>
        </xdr:cNvPr>
        <xdr:cNvGrpSpPr>
          <a:grpSpLocks noChangeAspect="1"/>
        </xdr:cNvGrpSpPr>
      </xdr:nvGrpSpPr>
      <xdr:grpSpPr bwMode="auto">
        <a:xfrm>
          <a:off x="2374970" y="5732795"/>
          <a:ext cx="875058" cy="190500"/>
          <a:chOff x="206" y="86"/>
          <a:chExt cx="73" cy="16"/>
        </a:xfrm>
      </xdr:grpSpPr>
      <xdr:sp macro="" textlink="">
        <xdr:nvSpPr>
          <xdr:cNvPr id="367" name="Line 6">
            <a:extLst>
              <a:ext uri="{FF2B5EF4-FFF2-40B4-BE49-F238E27FC236}">
                <a16:creationId xmlns:a16="http://schemas.microsoft.com/office/drawing/2014/main" id="{BA4C4657-3DB5-DFD7-4776-29C4029B95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8" name="Line 7">
            <a:extLst>
              <a:ext uri="{FF2B5EF4-FFF2-40B4-BE49-F238E27FC236}">
                <a16:creationId xmlns:a16="http://schemas.microsoft.com/office/drawing/2014/main" id="{356E2307-198B-8DBF-3327-CF92218E49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9" name="Line 8">
            <a:extLst>
              <a:ext uri="{FF2B5EF4-FFF2-40B4-BE49-F238E27FC236}">
                <a16:creationId xmlns:a16="http://schemas.microsoft.com/office/drawing/2014/main" id="{B7B4925C-268A-D31C-D808-8F3F46E03B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</xdr:row>
      <xdr:rowOff>58616</xdr:rowOff>
    </xdr:from>
    <xdr:to>
      <xdr:col>3</xdr:col>
      <xdr:colOff>977635</xdr:colOff>
      <xdr:row>18</xdr:row>
      <xdr:rowOff>249116</xdr:rowOff>
    </xdr:to>
    <xdr:grpSp>
      <xdr:nvGrpSpPr>
        <xdr:cNvPr id="374" name="hinh2">
          <a:extLst>
            <a:ext uri="{FF2B5EF4-FFF2-40B4-BE49-F238E27FC236}">
              <a16:creationId xmlns:a16="http://schemas.microsoft.com/office/drawing/2014/main" id="{0068E801-0F8B-495E-AE7F-EC285FC69C11}"/>
            </a:ext>
          </a:extLst>
        </xdr:cNvPr>
        <xdr:cNvGrpSpPr>
          <a:grpSpLocks noChangeAspect="1"/>
        </xdr:cNvGrpSpPr>
      </xdr:nvGrpSpPr>
      <xdr:grpSpPr bwMode="auto">
        <a:xfrm>
          <a:off x="2374970" y="6127402"/>
          <a:ext cx="875058" cy="190500"/>
          <a:chOff x="206" y="86"/>
          <a:chExt cx="73" cy="16"/>
        </a:xfrm>
      </xdr:grpSpPr>
      <xdr:sp macro="" textlink="">
        <xdr:nvSpPr>
          <xdr:cNvPr id="375" name="Line 6">
            <a:extLst>
              <a:ext uri="{FF2B5EF4-FFF2-40B4-BE49-F238E27FC236}">
                <a16:creationId xmlns:a16="http://schemas.microsoft.com/office/drawing/2014/main" id="{157E0C5C-C3AE-0E3D-FB2F-B884D34BD9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6" name="Line 7">
            <a:extLst>
              <a:ext uri="{FF2B5EF4-FFF2-40B4-BE49-F238E27FC236}">
                <a16:creationId xmlns:a16="http://schemas.microsoft.com/office/drawing/2014/main" id="{6258A2FA-9078-E6B6-07FE-68CF7508A6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7" name="Line 8">
            <a:extLst>
              <a:ext uri="{FF2B5EF4-FFF2-40B4-BE49-F238E27FC236}">
                <a16:creationId xmlns:a16="http://schemas.microsoft.com/office/drawing/2014/main" id="{B2FE02F7-DB38-B222-3668-126A74CF4D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</xdr:row>
      <xdr:rowOff>58616</xdr:rowOff>
    </xdr:from>
    <xdr:to>
      <xdr:col>3</xdr:col>
      <xdr:colOff>977635</xdr:colOff>
      <xdr:row>19</xdr:row>
      <xdr:rowOff>249116</xdr:rowOff>
    </xdr:to>
    <xdr:grpSp>
      <xdr:nvGrpSpPr>
        <xdr:cNvPr id="378" name="hinh2">
          <a:extLst>
            <a:ext uri="{FF2B5EF4-FFF2-40B4-BE49-F238E27FC236}">
              <a16:creationId xmlns:a16="http://schemas.microsoft.com/office/drawing/2014/main" id="{35B3FE92-F304-4B53-9ABA-1EC64408D90E}"/>
            </a:ext>
          </a:extLst>
        </xdr:cNvPr>
        <xdr:cNvGrpSpPr>
          <a:grpSpLocks noChangeAspect="1"/>
        </xdr:cNvGrpSpPr>
      </xdr:nvGrpSpPr>
      <xdr:grpSpPr bwMode="auto">
        <a:xfrm>
          <a:off x="2374970" y="6522009"/>
          <a:ext cx="875058" cy="190500"/>
          <a:chOff x="206" y="86"/>
          <a:chExt cx="73" cy="16"/>
        </a:xfrm>
      </xdr:grpSpPr>
      <xdr:sp macro="" textlink="">
        <xdr:nvSpPr>
          <xdr:cNvPr id="379" name="Line 6">
            <a:extLst>
              <a:ext uri="{FF2B5EF4-FFF2-40B4-BE49-F238E27FC236}">
                <a16:creationId xmlns:a16="http://schemas.microsoft.com/office/drawing/2014/main" id="{498E85D1-4027-D75B-F909-429159409D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0" name="Line 7">
            <a:extLst>
              <a:ext uri="{FF2B5EF4-FFF2-40B4-BE49-F238E27FC236}">
                <a16:creationId xmlns:a16="http://schemas.microsoft.com/office/drawing/2014/main" id="{7D811B81-F3DA-0DF9-545B-FCFF72E556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" name="Line 8">
            <a:extLst>
              <a:ext uri="{FF2B5EF4-FFF2-40B4-BE49-F238E27FC236}">
                <a16:creationId xmlns:a16="http://schemas.microsoft.com/office/drawing/2014/main" id="{D273C5BF-9173-85B3-DCF4-3A4F0D9AF1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</xdr:row>
      <xdr:rowOff>58616</xdr:rowOff>
    </xdr:from>
    <xdr:to>
      <xdr:col>3</xdr:col>
      <xdr:colOff>977635</xdr:colOff>
      <xdr:row>20</xdr:row>
      <xdr:rowOff>249116</xdr:rowOff>
    </xdr:to>
    <xdr:grpSp>
      <xdr:nvGrpSpPr>
        <xdr:cNvPr id="398" name="hinh2">
          <a:extLst>
            <a:ext uri="{FF2B5EF4-FFF2-40B4-BE49-F238E27FC236}">
              <a16:creationId xmlns:a16="http://schemas.microsoft.com/office/drawing/2014/main" id="{D28F1A19-F852-43AE-828F-A2A82386DA91}"/>
            </a:ext>
          </a:extLst>
        </xdr:cNvPr>
        <xdr:cNvGrpSpPr>
          <a:grpSpLocks noChangeAspect="1"/>
        </xdr:cNvGrpSpPr>
      </xdr:nvGrpSpPr>
      <xdr:grpSpPr bwMode="auto">
        <a:xfrm>
          <a:off x="2374970" y="6916616"/>
          <a:ext cx="875058" cy="190500"/>
          <a:chOff x="206" y="86"/>
          <a:chExt cx="73" cy="16"/>
        </a:xfrm>
      </xdr:grpSpPr>
      <xdr:sp macro="" textlink="">
        <xdr:nvSpPr>
          <xdr:cNvPr id="399" name="Line 6">
            <a:extLst>
              <a:ext uri="{FF2B5EF4-FFF2-40B4-BE49-F238E27FC236}">
                <a16:creationId xmlns:a16="http://schemas.microsoft.com/office/drawing/2014/main" id="{9E013673-8D84-9355-24C4-4BA8F55B64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" name="Line 7">
            <a:extLst>
              <a:ext uri="{FF2B5EF4-FFF2-40B4-BE49-F238E27FC236}">
                <a16:creationId xmlns:a16="http://schemas.microsoft.com/office/drawing/2014/main" id="{D1AEA118-2906-D2E4-5AE1-3397685882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" name="Line 8">
            <a:extLst>
              <a:ext uri="{FF2B5EF4-FFF2-40B4-BE49-F238E27FC236}">
                <a16:creationId xmlns:a16="http://schemas.microsoft.com/office/drawing/2014/main" id="{6B8837C7-7DA0-99AE-0506-58D462D7BB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</xdr:row>
      <xdr:rowOff>58616</xdr:rowOff>
    </xdr:from>
    <xdr:to>
      <xdr:col>3</xdr:col>
      <xdr:colOff>977635</xdr:colOff>
      <xdr:row>22</xdr:row>
      <xdr:rowOff>249116</xdr:rowOff>
    </xdr:to>
    <xdr:grpSp>
      <xdr:nvGrpSpPr>
        <xdr:cNvPr id="406" name="hinh2">
          <a:extLst>
            <a:ext uri="{FF2B5EF4-FFF2-40B4-BE49-F238E27FC236}">
              <a16:creationId xmlns:a16="http://schemas.microsoft.com/office/drawing/2014/main" id="{C542C2FE-F1B5-48DD-9523-0667369B875D}"/>
            </a:ext>
          </a:extLst>
        </xdr:cNvPr>
        <xdr:cNvGrpSpPr>
          <a:grpSpLocks noChangeAspect="1"/>
        </xdr:cNvGrpSpPr>
      </xdr:nvGrpSpPr>
      <xdr:grpSpPr bwMode="auto">
        <a:xfrm>
          <a:off x="2374970" y="7705830"/>
          <a:ext cx="875058" cy="190500"/>
          <a:chOff x="206" y="86"/>
          <a:chExt cx="73" cy="16"/>
        </a:xfrm>
      </xdr:grpSpPr>
      <xdr:sp macro="" textlink="">
        <xdr:nvSpPr>
          <xdr:cNvPr id="407" name="Line 6">
            <a:extLst>
              <a:ext uri="{FF2B5EF4-FFF2-40B4-BE49-F238E27FC236}">
                <a16:creationId xmlns:a16="http://schemas.microsoft.com/office/drawing/2014/main" id="{25035224-99EE-5BA4-E0EE-02BF1E0F84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" name="Line 7">
            <a:extLst>
              <a:ext uri="{FF2B5EF4-FFF2-40B4-BE49-F238E27FC236}">
                <a16:creationId xmlns:a16="http://schemas.microsoft.com/office/drawing/2014/main" id="{59453E06-7975-B026-5987-B31EC13BE0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9" name="Line 8">
            <a:extLst>
              <a:ext uri="{FF2B5EF4-FFF2-40B4-BE49-F238E27FC236}">
                <a16:creationId xmlns:a16="http://schemas.microsoft.com/office/drawing/2014/main" id="{BFD86E66-FCE4-0277-4F67-62C481FC63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</xdr:row>
      <xdr:rowOff>58616</xdr:rowOff>
    </xdr:from>
    <xdr:to>
      <xdr:col>3</xdr:col>
      <xdr:colOff>977635</xdr:colOff>
      <xdr:row>21</xdr:row>
      <xdr:rowOff>249116</xdr:rowOff>
    </xdr:to>
    <xdr:grpSp>
      <xdr:nvGrpSpPr>
        <xdr:cNvPr id="414" name="hinh2">
          <a:extLst>
            <a:ext uri="{FF2B5EF4-FFF2-40B4-BE49-F238E27FC236}">
              <a16:creationId xmlns:a16="http://schemas.microsoft.com/office/drawing/2014/main" id="{4BFF67D2-2B3B-40C7-9A8F-CE00FF81483F}"/>
            </a:ext>
          </a:extLst>
        </xdr:cNvPr>
        <xdr:cNvGrpSpPr>
          <a:grpSpLocks noChangeAspect="1"/>
        </xdr:cNvGrpSpPr>
      </xdr:nvGrpSpPr>
      <xdr:grpSpPr bwMode="auto">
        <a:xfrm>
          <a:off x="2374970" y="7311223"/>
          <a:ext cx="875058" cy="190500"/>
          <a:chOff x="206" y="86"/>
          <a:chExt cx="73" cy="16"/>
        </a:xfrm>
      </xdr:grpSpPr>
      <xdr:sp macro="" textlink="">
        <xdr:nvSpPr>
          <xdr:cNvPr id="415" name="Line 6">
            <a:extLst>
              <a:ext uri="{FF2B5EF4-FFF2-40B4-BE49-F238E27FC236}">
                <a16:creationId xmlns:a16="http://schemas.microsoft.com/office/drawing/2014/main" id="{DD0BE8B6-09FB-30BD-1350-11EB08146A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" name="Line 7">
            <a:extLst>
              <a:ext uri="{FF2B5EF4-FFF2-40B4-BE49-F238E27FC236}">
                <a16:creationId xmlns:a16="http://schemas.microsoft.com/office/drawing/2014/main" id="{5D9D4E2D-58E8-3993-FCF7-DD18085F43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" name="Line 8">
            <a:extLst>
              <a:ext uri="{FF2B5EF4-FFF2-40B4-BE49-F238E27FC236}">
                <a16:creationId xmlns:a16="http://schemas.microsoft.com/office/drawing/2014/main" id="{14BAF8C0-7034-59F6-25A0-0CB6B8543B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</xdr:row>
      <xdr:rowOff>58616</xdr:rowOff>
    </xdr:from>
    <xdr:to>
      <xdr:col>3</xdr:col>
      <xdr:colOff>977635</xdr:colOff>
      <xdr:row>18</xdr:row>
      <xdr:rowOff>249116</xdr:rowOff>
    </xdr:to>
    <xdr:grpSp>
      <xdr:nvGrpSpPr>
        <xdr:cNvPr id="422" name="hinh2">
          <a:extLst>
            <a:ext uri="{FF2B5EF4-FFF2-40B4-BE49-F238E27FC236}">
              <a16:creationId xmlns:a16="http://schemas.microsoft.com/office/drawing/2014/main" id="{501CB66D-563A-471B-8092-68CB7679A8A5}"/>
            </a:ext>
          </a:extLst>
        </xdr:cNvPr>
        <xdr:cNvGrpSpPr>
          <a:grpSpLocks noChangeAspect="1"/>
        </xdr:cNvGrpSpPr>
      </xdr:nvGrpSpPr>
      <xdr:grpSpPr bwMode="auto">
        <a:xfrm>
          <a:off x="2374970" y="6127402"/>
          <a:ext cx="875058" cy="190500"/>
          <a:chOff x="206" y="86"/>
          <a:chExt cx="73" cy="16"/>
        </a:xfrm>
      </xdr:grpSpPr>
      <xdr:sp macro="" textlink="">
        <xdr:nvSpPr>
          <xdr:cNvPr id="423" name="Line 6">
            <a:extLst>
              <a:ext uri="{FF2B5EF4-FFF2-40B4-BE49-F238E27FC236}">
                <a16:creationId xmlns:a16="http://schemas.microsoft.com/office/drawing/2014/main" id="{B2398807-85A1-C3EE-A691-F7F59869DF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4" name="Line 7">
            <a:extLst>
              <a:ext uri="{FF2B5EF4-FFF2-40B4-BE49-F238E27FC236}">
                <a16:creationId xmlns:a16="http://schemas.microsoft.com/office/drawing/2014/main" id="{C3681905-6E93-11BA-55E6-85358FBB22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5" name="Line 8">
            <a:extLst>
              <a:ext uri="{FF2B5EF4-FFF2-40B4-BE49-F238E27FC236}">
                <a16:creationId xmlns:a16="http://schemas.microsoft.com/office/drawing/2014/main" id="{404CACAE-44A7-A32B-3197-6207A2FD18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</xdr:row>
      <xdr:rowOff>58616</xdr:rowOff>
    </xdr:from>
    <xdr:to>
      <xdr:col>3</xdr:col>
      <xdr:colOff>977635</xdr:colOff>
      <xdr:row>19</xdr:row>
      <xdr:rowOff>249116</xdr:rowOff>
    </xdr:to>
    <xdr:grpSp>
      <xdr:nvGrpSpPr>
        <xdr:cNvPr id="430" name="hinh2">
          <a:extLst>
            <a:ext uri="{FF2B5EF4-FFF2-40B4-BE49-F238E27FC236}">
              <a16:creationId xmlns:a16="http://schemas.microsoft.com/office/drawing/2014/main" id="{960327C1-FD93-475A-95B7-85E7DA802C9B}"/>
            </a:ext>
          </a:extLst>
        </xdr:cNvPr>
        <xdr:cNvGrpSpPr>
          <a:grpSpLocks noChangeAspect="1"/>
        </xdr:cNvGrpSpPr>
      </xdr:nvGrpSpPr>
      <xdr:grpSpPr bwMode="auto">
        <a:xfrm>
          <a:off x="2374970" y="6522009"/>
          <a:ext cx="875058" cy="190500"/>
          <a:chOff x="206" y="86"/>
          <a:chExt cx="73" cy="16"/>
        </a:xfrm>
      </xdr:grpSpPr>
      <xdr:sp macro="" textlink="">
        <xdr:nvSpPr>
          <xdr:cNvPr id="431" name="Line 6">
            <a:extLst>
              <a:ext uri="{FF2B5EF4-FFF2-40B4-BE49-F238E27FC236}">
                <a16:creationId xmlns:a16="http://schemas.microsoft.com/office/drawing/2014/main" id="{BCCA5FA1-1497-ECF2-4725-61F6370958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7">
            <a:extLst>
              <a:ext uri="{FF2B5EF4-FFF2-40B4-BE49-F238E27FC236}">
                <a16:creationId xmlns:a16="http://schemas.microsoft.com/office/drawing/2014/main" id="{FCFB0E8F-8267-A22D-F18C-E86056202C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8">
            <a:extLst>
              <a:ext uri="{FF2B5EF4-FFF2-40B4-BE49-F238E27FC236}">
                <a16:creationId xmlns:a16="http://schemas.microsoft.com/office/drawing/2014/main" id="{0EE3C620-8932-BDF9-46D8-D7889C4D74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</xdr:row>
      <xdr:rowOff>58616</xdr:rowOff>
    </xdr:from>
    <xdr:to>
      <xdr:col>3</xdr:col>
      <xdr:colOff>977635</xdr:colOff>
      <xdr:row>19</xdr:row>
      <xdr:rowOff>249116</xdr:rowOff>
    </xdr:to>
    <xdr:grpSp>
      <xdr:nvGrpSpPr>
        <xdr:cNvPr id="434" name="hinh2">
          <a:extLst>
            <a:ext uri="{FF2B5EF4-FFF2-40B4-BE49-F238E27FC236}">
              <a16:creationId xmlns:a16="http://schemas.microsoft.com/office/drawing/2014/main" id="{C1CC05F8-251B-48AA-A614-79C1B928985E}"/>
            </a:ext>
          </a:extLst>
        </xdr:cNvPr>
        <xdr:cNvGrpSpPr>
          <a:grpSpLocks noChangeAspect="1"/>
        </xdr:cNvGrpSpPr>
      </xdr:nvGrpSpPr>
      <xdr:grpSpPr bwMode="auto">
        <a:xfrm>
          <a:off x="2374970" y="6522009"/>
          <a:ext cx="875058" cy="190500"/>
          <a:chOff x="206" y="86"/>
          <a:chExt cx="73" cy="16"/>
        </a:xfrm>
      </xdr:grpSpPr>
      <xdr:sp macro="" textlink="">
        <xdr:nvSpPr>
          <xdr:cNvPr id="435" name="Line 6">
            <a:extLst>
              <a:ext uri="{FF2B5EF4-FFF2-40B4-BE49-F238E27FC236}">
                <a16:creationId xmlns:a16="http://schemas.microsoft.com/office/drawing/2014/main" id="{A464D4DB-F696-4C91-FA45-EC283B4EDE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" name="Line 7">
            <a:extLst>
              <a:ext uri="{FF2B5EF4-FFF2-40B4-BE49-F238E27FC236}">
                <a16:creationId xmlns:a16="http://schemas.microsoft.com/office/drawing/2014/main" id="{BAAF036C-1736-5746-01B0-92F90A7D13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" name="Line 8">
            <a:extLst>
              <a:ext uri="{FF2B5EF4-FFF2-40B4-BE49-F238E27FC236}">
                <a16:creationId xmlns:a16="http://schemas.microsoft.com/office/drawing/2014/main" id="{41C9D374-FCF2-47EC-99C0-478CB27212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</xdr:row>
      <xdr:rowOff>58616</xdr:rowOff>
    </xdr:from>
    <xdr:to>
      <xdr:col>3</xdr:col>
      <xdr:colOff>977635</xdr:colOff>
      <xdr:row>20</xdr:row>
      <xdr:rowOff>249116</xdr:rowOff>
    </xdr:to>
    <xdr:grpSp>
      <xdr:nvGrpSpPr>
        <xdr:cNvPr id="438" name="hinh2">
          <a:extLst>
            <a:ext uri="{FF2B5EF4-FFF2-40B4-BE49-F238E27FC236}">
              <a16:creationId xmlns:a16="http://schemas.microsoft.com/office/drawing/2014/main" id="{C14013CC-FF6E-40E7-B4DA-8CBBC53598F0}"/>
            </a:ext>
          </a:extLst>
        </xdr:cNvPr>
        <xdr:cNvGrpSpPr>
          <a:grpSpLocks noChangeAspect="1"/>
        </xdr:cNvGrpSpPr>
      </xdr:nvGrpSpPr>
      <xdr:grpSpPr bwMode="auto">
        <a:xfrm>
          <a:off x="2374970" y="6916616"/>
          <a:ext cx="875058" cy="190500"/>
          <a:chOff x="206" y="86"/>
          <a:chExt cx="73" cy="16"/>
        </a:xfrm>
      </xdr:grpSpPr>
      <xdr:sp macro="" textlink="">
        <xdr:nvSpPr>
          <xdr:cNvPr id="439" name="Line 6">
            <a:extLst>
              <a:ext uri="{FF2B5EF4-FFF2-40B4-BE49-F238E27FC236}">
                <a16:creationId xmlns:a16="http://schemas.microsoft.com/office/drawing/2014/main" id="{C086057E-7459-470A-9318-B095880523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" name="Line 7">
            <a:extLst>
              <a:ext uri="{FF2B5EF4-FFF2-40B4-BE49-F238E27FC236}">
                <a16:creationId xmlns:a16="http://schemas.microsoft.com/office/drawing/2014/main" id="{1CC2DCBA-8F48-6D29-2575-84C3D37B12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" name="Line 8">
            <a:extLst>
              <a:ext uri="{FF2B5EF4-FFF2-40B4-BE49-F238E27FC236}">
                <a16:creationId xmlns:a16="http://schemas.microsoft.com/office/drawing/2014/main" id="{756BBA43-BBCD-6682-1695-521251C78D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</xdr:row>
      <xdr:rowOff>58616</xdr:rowOff>
    </xdr:from>
    <xdr:to>
      <xdr:col>3</xdr:col>
      <xdr:colOff>977635</xdr:colOff>
      <xdr:row>20</xdr:row>
      <xdr:rowOff>249116</xdr:rowOff>
    </xdr:to>
    <xdr:grpSp>
      <xdr:nvGrpSpPr>
        <xdr:cNvPr id="442" name="hinh2">
          <a:extLst>
            <a:ext uri="{FF2B5EF4-FFF2-40B4-BE49-F238E27FC236}">
              <a16:creationId xmlns:a16="http://schemas.microsoft.com/office/drawing/2014/main" id="{1A8E04FF-5A1D-4EEB-91AE-E02004FC148D}"/>
            </a:ext>
          </a:extLst>
        </xdr:cNvPr>
        <xdr:cNvGrpSpPr>
          <a:grpSpLocks noChangeAspect="1"/>
        </xdr:cNvGrpSpPr>
      </xdr:nvGrpSpPr>
      <xdr:grpSpPr bwMode="auto">
        <a:xfrm>
          <a:off x="2374970" y="6916616"/>
          <a:ext cx="875058" cy="190500"/>
          <a:chOff x="206" y="86"/>
          <a:chExt cx="73" cy="16"/>
        </a:xfrm>
      </xdr:grpSpPr>
      <xdr:sp macro="" textlink="">
        <xdr:nvSpPr>
          <xdr:cNvPr id="443" name="Line 6">
            <a:extLst>
              <a:ext uri="{FF2B5EF4-FFF2-40B4-BE49-F238E27FC236}">
                <a16:creationId xmlns:a16="http://schemas.microsoft.com/office/drawing/2014/main" id="{B08DA2EF-B41F-C1F9-CFE2-49436198E4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" name="Line 7">
            <a:extLst>
              <a:ext uri="{FF2B5EF4-FFF2-40B4-BE49-F238E27FC236}">
                <a16:creationId xmlns:a16="http://schemas.microsoft.com/office/drawing/2014/main" id="{E4BA0789-5748-E3F3-F2CB-ADD11FEE96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" name="Line 8">
            <a:extLst>
              <a:ext uri="{FF2B5EF4-FFF2-40B4-BE49-F238E27FC236}">
                <a16:creationId xmlns:a16="http://schemas.microsoft.com/office/drawing/2014/main" id="{079D25AE-B14D-95A6-A18A-596BF59517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</xdr:row>
      <xdr:rowOff>58616</xdr:rowOff>
    </xdr:from>
    <xdr:to>
      <xdr:col>3</xdr:col>
      <xdr:colOff>977635</xdr:colOff>
      <xdr:row>20</xdr:row>
      <xdr:rowOff>249116</xdr:rowOff>
    </xdr:to>
    <xdr:grpSp>
      <xdr:nvGrpSpPr>
        <xdr:cNvPr id="446" name="hinh2">
          <a:extLst>
            <a:ext uri="{FF2B5EF4-FFF2-40B4-BE49-F238E27FC236}">
              <a16:creationId xmlns:a16="http://schemas.microsoft.com/office/drawing/2014/main" id="{DAC4F016-C388-4B91-9800-0269153FC2DC}"/>
            </a:ext>
          </a:extLst>
        </xdr:cNvPr>
        <xdr:cNvGrpSpPr>
          <a:grpSpLocks noChangeAspect="1"/>
        </xdr:cNvGrpSpPr>
      </xdr:nvGrpSpPr>
      <xdr:grpSpPr bwMode="auto">
        <a:xfrm>
          <a:off x="2374970" y="6916616"/>
          <a:ext cx="875058" cy="190500"/>
          <a:chOff x="206" y="86"/>
          <a:chExt cx="73" cy="16"/>
        </a:xfrm>
      </xdr:grpSpPr>
      <xdr:sp macro="" textlink="">
        <xdr:nvSpPr>
          <xdr:cNvPr id="447" name="Line 6">
            <a:extLst>
              <a:ext uri="{FF2B5EF4-FFF2-40B4-BE49-F238E27FC236}">
                <a16:creationId xmlns:a16="http://schemas.microsoft.com/office/drawing/2014/main" id="{7769AAEB-256F-4808-D8BC-0B032992C7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" name="Line 7">
            <a:extLst>
              <a:ext uri="{FF2B5EF4-FFF2-40B4-BE49-F238E27FC236}">
                <a16:creationId xmlns:a16="http://schemas.microsoft.com/office/drawing/2014/main" id="{1A546BFA-96D4-DE78-FA36-85E027B477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" name="Line 8">
            <a:extLst>
              <a:ext uri="{FF2B5EF4-FFF2-40B4-BE49-F238E27FC236}">
                <a16:creationId xmlns:a16="http://schemas.microsoft.com/office/drawing/2014/main" id="{78F022C5-A7E7-ED41-CBFB-4DFB837C38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</xdr:row>
      <xdr:rowOff>58616</xdr:rowOff>
    </xdr:from>
    <xdr:to>
      <xdr:col>3</xdr:col>
      <xdr:colOff>977635</xdr:colOff>
      <xdr:row>21</xdr:row>
      <xdr:rowOff>249116</xdr:rowOff>
    </xdr:to>
    <xdr:grpSp>
      <xdr:nvGrpSpPr>
        <xdr:cNvPr id="450" name="hinh2">
          <a:extLst>
            <a:ext uri="{FF2B5EF4-FFF2-40B4-BE49-F238E27FC236}">
              <a16:creationId xmlns:a16="http://schemas.microsoft.com/office/drawing/2014/main" id="{CDD412C7-671E-4F61-9886-947E79E0D970}"/>
            </a:ext>
          </a:extLst>
        </xdr:cNvPr>
        <xdr:cNvGrpSpPr>
          <a:grpSpLocks noChangeAspect="1"/>
        </xdr:cNvGrpSpPr>
      </xdr:nvGrpSpPr>
      <xdr:grpSpPr bwMode="auto">
        <a:xfrm>
          <a:off x="2374970" y="7311223"/>
          <a:ext cx="875058" cy="190500"/>
          <a:chOff x="206" y="86"/>
          <a:chExt cx="73" cy="16"/>
        </a:xfrm>
      </xdr:grpSpPr>
      <xdr:sp macro="" textlink="">
        <xdr:nvSpPr>
          <xdr:cNvPr id="451" name="Line 6">
            <a:extLst>
              <a:ext uri="{FF2B5EF4-FFF2-40B4-BE49-F238E27FC236}">
                <a16:creationId xmlns:a16="http://schemas.microsoft.com/office/drawing/2014/main" id="{04515FC9-CD64-D2D3-D302-1F70DD350D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" name="Line 7">
            <a:extLst>
              <a:ext uri="{FF2B5EF4-FFF2-40B4-BE49-F238E27FC236}">
                <a16:creationId xmlns:a16="http://schemas.microsoft.com/office/drawing/2014/main" id="{7430927D-D376-0144-B343-A56CB001ED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" name="Line 8">
            <a:extLst>
              <a:ext uri="{FF2B5EF4-FFF2-40B4-BE49-F238E27FC236}">
                <a16:creationId xmlns:a16="http://schemas.microsoft.com/office/drawing/2014/main" id="{B710B487-54DA-9887-B36E-CACE03E7BC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</xdr:row>
      <xdr:rowOff>58616</xdr:rowOff>
    </xdr:from>
    <xdr:to>
      <xdr:col>3</xdr:col>
      <xdr:colOff>977635</xdr:colOff>
      <xdr:row>21</xdr:row>
      <xdr:rowOff>249116</xdr:rowOff>
    </xdr:to>
    <xdr:grpSp>
      <xdr:nvGrpSpPr>
        <xdr:cNvPr id="454" name="hinh2">
          <a:extLst>
            <a:ext uri="{FF2B5EF4-FFF2-40B4-BE49-F238E27FC236}">
              <a16:creationId xmlns:a16="http://schemas.microsoft.com/office/drawing/2014/main" id="{52F2DA65-E225-4789-8EC9-78849D6C2813}"/>
            </a:ext>
          </a:extLst>
        </xdr:cNvPr>
        <xdr:cNvGrpSpPr>
          <a:grpSpLocks noChangeAspect="1"/>
        </xdr:cNvGrpSpPr>
      </xdr:nvGrpSpPr>
      <xdr:grpSpPr bwMode="auto">
        <a:xfrm>
          <a:off x="2374970" y="7311223"/>
          <a:ext cx="875058" cy="190500"/>
          <a:chOff x="206" y="86"/>
          <a:chExt cx="73" cy="16"/>
        </a:xfrm>
      </xdr:grpSpPr>
      <xdr:sp macro="" textlink="">
        <xdr:nvSpPr>
          <xdr:cNvPr id="455" name="Line 6">
            <a:extLst>
              <a:ext uri="{FF2B5EF4-FFF2-40B4-BE49-F238E27FC236}">
                <a16:creationId xmlns:a16="http://schemas.microsoft.com/office/drawing/2014/main" id="{C64CD539-24C9-A468-B1D6-2B0D977ED2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" name="Line 7">
            <a:extLst>
              <a:ext uri="{FF2B5EF4-FFF2-40B4-BE49-F238E27FC236}">
                <a16:creationId xmlns:a16="http://schemas.microsoft.com/office/drawing/2014/main" id="{30E7CEB1-1424-9D04-CEBF-BFB3FD22CD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" name="Line 8">
            <a:extLst>
              <a:ext uri="{FF2B5EF4-FFF2-40B4-BE49-F238E27FC236}">
                <a16:creationId xmlns:a16="http://schemas.microsoft.com/office/drawing/2014/main" id="{B2DB3EE9-BCD4-F4EC-D484-543C926570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</xdr:row>
      <xdr:rowOff>58616</xdr:rowOff>
    </xdr:from>
    <xdr:to>
      <xdr:col>3</xdr:col>
      <xdr:colOff>977635</xdr:colOff>
      <xdr:row>21</xdr:row>
      <xdr:rowOff>249116</xdr:rowOff>
    </xdr:to>
    <xdr:grpSp>
      <xdr:nvGrpSpPr>
        <xdr:cNvPr id="458" name="hinh2">
          <a:extLst>
            <a:ext uri="{FF2B5EF4-FFF2-40B4-BE49-F238E27FC236}">
              <a16:creationId xmlns:a16="http://schemas.microsoft.com/office/drawing/2014/main" id="{35F79C69-6F39-429B-8CBF-83A067FB63C7}"/>
            </a:ext>
          </a:extLst>
        </xdr:cNvPr>
        <xdr:cNvGrpSpPr>
          <a:grpSpLocks noChangeAspect="1"/>
        </xdr:cNvGrpSpPr>
      </xdr:nvGrpSpPr>
      <xdr:grpSpPr bwMode="auto">
        <a:xfrm>
          <a:off x="2374970" y="7311223"/>
          <a:ext cx="875058" cy="190500"/>
          <a:chOff x="206" y="86"/>
          <a:chExt cx="73" cy="16"/>
        </a:xfrm>
      </xdr:grpSpPr>
      <xdr:sp macro="" textlink="">
        <xdr:nvSpPr>
          <xdr:cNvPr id="459" name="Line 6">
            <a:extLst>
              <a:ext uri="{FF2B5EF4-FFF2-40B4-BE49-F238E27FC236}">
                <a16:creationId xmlns:a16="http://schemas.microsoft.com/office/drawing/2014/main" id="{B5E9272E-15A5-A7A1-DEDC-1607811549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0" name="Line 7">
            <a:extLst>
              <a:ext uri="{FF2B5EF4-FFF2-40B4-BE49-F238E27FC236}">
                <a16:creationId xmlns:a16="http://schemas.microsoft.com/office/drawing/2014/main" id="{F654A67F-D134-54AE-B9C4-DC86D66112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" name="Line 8">
            <a:extLst>
              <a:ext uri="{FF2B5EF4-FFF2-40B4-BE49-F238E27FC236}">
                <a16:creationId xmlns:a16="http://schemas.microsoft.com/office/drawing/2014/main" id="{4ECBAC7F-14CC-DAC8-67A8-1F91C75AC9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</xdr:row>
      <xdr:rowOff>58616</xdr:rowOff>
    </xdr:from>
    <xdr:to>
      <xdr:col>3</xdr:col>
      <xdr:colOff>977635</xdr:colOff>
      <xdr:row>21</xdr:row>
      <xdr:rowOff>249116</xdr:rowOff>
    </xdr:to>
    <xdr:grpSp>
      <xdr:nvGrpSpPr>
        <xdr:cNvPr id="462" name="hinh2">
          <a:extLst>
            <a:ext uri="{FF2B5EF4-FFF2-40B4-BE49-F238E27FC236}">
              <a16:creationId xmlns:a16="http://schemas.microsoft.com/office/drawing/2014/main" id="{85742DE8-0EFE-45C0-8FDA-24EA0635BF2D}"/>
            </a:ext>
          </a:extLst>
        </xdr:cNvPr>
        <xdr:cNvGrpSpPr>
          <a:grpSpLocks noChangeAspect="1"/>
        </xdr:cNvGrpSpPr>
      </xdr:nvGrpSpPr>
      <xdr:grpSpPr bwMode="auto">
        <a:xfrm>
          <a:off x="2374970" y="7311223"/>
          <a:ext cx="875058" cy="190500"/>
          <a:chOff x="206" y="86"/>
          <a:chExt cx="73" cy="16"/>
        </a:xfrm>
      </xdr:grpSpPr>
      <xdr:sp macro="" textlink="">
        <xdr:nvSpPr>
          <xdr:cNvPr id="463" name="Line 6">
            <a:extLst>
              <a:ext uri="{FF2B5EF4-FFF2-40B4-BE49-F238E27FC236}">
                <a16:creationId xmlns:a16="http://schemas.microsoft.com/office/drawing/2014/main" id="{F2FB5039-6C75-3600-A1FD-0EC5C469EB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" name="Line 7">
            <a:extLst>
              <a:ext uri="{FF2B5EF4-FFF2-40B4-BE49-F238E27FC236}">
                <a16:creationId xmlns:a16="http://schemas.microsoft.com/office/drawing/2014/main" id="{903DD55A-927E-1536-4AA8-7F7B4CD749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" name="Line 8">
            <a:extLst>
              <a:ext uri="{FF2B5EF4-FFF2-40B4-BE49-F238E27FC236}">
                <a16:creationId xmlns:a16="http://schemas.microsoft.com/office/drawing/2014/main" id="{EB319FCB-D663-A7A3-AB1F-598C624862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23</xdr:row>
      <xdr:rowOff>80596</xdr:rowOff>
    </xdr:from>
    <xdr:to>
      <xdr:col>3</xdr:col>
      <xdr:colOff>970308</xdr:colOff>
      <xdr:row>23</xdr:row>
      <xdr:rowOff>244279</xdr:rowOff>
    </xdr:to>
    <xdr:grpSp>
      <xdr:nvGrpSpPr>
        <xdr:cNvPr id="466" name="hinh2">
          <a:extLst>
            <a:ext uri="{FF2B5EF4-FFF2-40B4-BE49-F238E27FC236}">
              <a16:creationId xmlns:a16="http://schemas.microsoft.com/office/drawing/2014/main" id="{A9C20B01-C8A4-4542-B1DD-C140B8E48020}"/>
            </a:ext>
          </a:extLst>
        </xdr:cNvPr>
        <xdr:cNvGrpSpPr>
          <a:grpSpLocks noChangeAspect="1"/>
        </xdr:cNvGrpSpPr>
      </xdr:nvGrpSpPr>
      <xdr:grpSpPr bwMode="auto">
        <a:xfrm>
          <a:off x="2367643" y="8122417"/>
          <a:ext cx="875058" cy="163683"/>
          <a:chOff x="206" y="86"/>
          <a:chExt cx="73" cy="16"/>
        </a:xfrm>
      </xdr:grpSpPr>
      <xdr:sp macro="" textlink="">
        <xdr:nvSpPr>
          <xdr:cNvPr id="467" name="Line 6">
            <a:extLst>
              <a:ext uri="{FF2B5EF4-FFF2-40B4-BE49-F238E27FC236}">
                <a16:creationId xmlns:a16="http://schemas.microsoft.com/office/drawing/2014/main" id="{0F354D11-9964-7AAB-43A1-AB3F87B6BA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" name="Line 7">
            <a:extLst>
              <a:ext uri="{FF2B5EF4-FFF2-40B4-BE49-F238E27FC236}">
                <a16:creationId xmlns:a16="http://schemas.microsoft.com/office/drawing/2014/main" id="{960CE4E8-4E96-9BF9-3EAC-5D3845C057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" name="Line 8">
            <a:extLst>
              <a:ext uri="{FF2B5EF4-FFF2-40B4-BE49-F238E27FC236}">
                <a16:creationId xmlns:a16="http://schemas.microsoft.com/office/drawing/2014/main" id="{FC2E4FC4-EAF2-35DB-A350-252DFF42EE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</xdr:row>
      <xdr:rowOff>58616</xdr:rowOff>
    </xdr:from>
    <xdr:to>
      <xdr:col>3</xdr:col>
      <xdr:colOff>977635</xdr:colOff>
      <xdr:row>24</xdr:row>
      <xdr:rowOff>249116</xdr:rowOff>
    </xdr:to>
    <xdr:grpSp>
      <xdr:nvGrpSpPr>
        <xdr:cNvPr id="470" name="hinh2">
          <a:extLst>
            <a:ext uri="{FF2B5EF4-FFF2-40B4-BE49-F238E27FC236}">
              <a16:creationId xmlns:a16="http://schemas.microsoft.com/office/drawing/2014/main" id="{B4A1D927-30CF-4673-8D4A-A936B4621B5F}"/>
            </a:ext>
          </a:extLst>
        </xdr:cNvPr>
        <xdr:cNvGrpSpPr>
          <a:grpSpLocks noChangeAspect="1"/>
        </xdr:cNvGrpSpPr>
      </xdr:nvGrpSpPr>
      <xdr:grpSpPr bwMode="auto">
        <a:xfrm>
          <a:off x="2374970" y="8495045"/>
          <a:ext cx="875058" cy="190500"/>
          <a:chOff x="206" y="86"/>
          <a:chExt cx="73" cy="16"/>
        </a:xfrm>
      </xdr:grpSpPr>
      <xdr:sp macro="" textlink="">
        <xdr:nvSpPr>
          <xdr:cNvPr id="471" name="Line 6">
            <a:extLst>
              <a:ext uri="{FF2B5EF4-FFF2-40B4-BE49-F238E27FC236}">
                <a16:creationId xmlns:a16="http://schemas.microsoft.com/office/drawing/2014/main" id="{0AFD5563-28F7-A513-9249-509FF2AE56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" name="Line 7">
            <a:extLst>
              <a:ext uri="{FF2B5EF4-FFF2-40B4-BE49-F238E27FC236}">
                <a16:creationId xmlns:a16="http://schemas.microsoft.com/office/drawing/2014/main" id="{53A8BCFF-C5EA-236D-4358-A77E1283F2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" name="Line 8">
            <a:extLst>
              <a:ext uri="{FF2B5EF4-FFF2-40B4-BE49-F238E27FC236}">
                <a16:creationId xmlns:a16="http://schemas.microsoft.com/office/drawing/2014/main" id="{B6DEC3E4-2C67-A727-853F-3DF4F320DB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25</xdr:row>
      <xdr:rowOff>58616</xdr:rowOff>
    </xdr:from>
    <xdr:to>
      <xdr:col>3</xdr:col>
      <xdr:colOff>977635</xdr:colOff>
      <xdr:row>25</xdr:row>
      <xdr:rowOff>249116</xdr:rowOff>
    </xdr:to>
    <xdr:grpSp>
      <xdr:nvGrpSpPr>
        <xdr:cNvPr id="474" name="hinh2">
          <a:extLst>
            <a:ext uri="{FF2B5EF4-FFF2-40B4-BE49-F238E27FC236}">
              <a16:creationId xmlns:a16="http://schemas.microsoft.com/office/drawing/2014/main" id="{EE57CF2F-11B0-4829-8CD8-112A89D7AFA6}"/>
            </a:ext>
          </a:extLst>
        </xdr:cNvPr>
        <xdr:cNvGrpSpPr>
          <a:grpSpLocks noChangeAspect="1"/>
        </xdr:cNvGrpSpPr>
      </xdr:nvGrpSpPr>
      <xdr:grpSpPr bwMode="auto">
        <a:xfrm>
          <a:off x="2374970" y="8889652"/>
          <a:ext cx="875058" cy="190500"/>
          <a:chOff x="206" y="86"/>
          <a:chExt cx="73" cy="16"/>
        </a:xfrm>
      </xdr:grpSpPr>
      <xdr:sp macro="" textlink="">
        <xdr:nvSpPr>
          <xdr:cNvPr id="475" name="Line 6">
            <a:extLst>
              <a:ext uri="{FF2B5EF4-FFF2-40B4-BE49-F238E27FC236}">
                <a16:creationId xmlns:a16="http://schemas.microsoft.com/office/drawing/2014/main" id="{DD332D18-6C9D-E448-96C0-52BADD8294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" name="Line 7">
            <a:extLst>
              <a:ext uri="{FF2B5EF4-FFF2-40B4-BE49-F238E27FC236}">
                <a16:creationId xmlns:a16="http://schemas.microsoft.com/office/drawing/2014/main" id="{FE653142-B382-90D8-6D2F-406138F138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" name="Line 8">
            <a:extLst>
              <a:ext uri="{FF2B5EF4-FFF2-40B4-BE49-F238E27FC236}">
                <a16:creationId xmlns:a16="http://schemas.microsoft.com/office/drawing/2014/main" id="{AC544B4A-BB25-BA98-2127-B45015BBFE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26</xdr:row>
      <xdr:rowOff>58616</xdr:rowOff>
    </xdr:from>
    <xdr:to>
      <xdr:col>3</xdr:col>
      <xdr:colOff>977635</xdr:colOff>
      <xdr:row>26</xdr:row>
      <xdr:rowOff>249116</xdr:rowOff>
    </xdr:to>
    <xdr:grpSp>
      <xdr:nvGrpSpPr>
        <xdr:cNvPr id="478" name="hinh2">
          <a:extLst>
            <a:ext uri="{FF2B5EF4-FFF2-40B4-BE49-F238E27FC236}">
              <a16:creationId xmlns:a16="http://schemas.microsoft.com/office/drawing/2014/main" id="{A56D8D52-E33F-4508-9602-2BEE8EBA44DD}"/>
            </a:ext>
          </a:extLst>
        </xdr:cNvPr>
        <xdr:cNvGrpSpPr>
          <a:grpSpLocks noChangeAspect="1"/>
        </xdr:cNvGrpSpPr>
      </xdr:nvGrpSpPr>
      <xdr:grpSpPr bwMode="auto">
        <a:xfrm>
          <a:off x="2374970" y="9284259"/>
          <a:ext cx="875058" cy="190500"/>
          <a:chOff x="206" y="86"/>
          <a:chExt cx="73" cy="16"/>
        </a:xfrm>
      </xdr:grpSpPr>
      <xdr:sp macro="" textlink="">
        <xdr:nvSpPr>
          <xdr:cNvPr id="479" name="Line 6">
            <a:extLst>
              <a:ext uri="{FF2B5EF4-FFF2-40B4-BE49-F238E27FC236}">
                <a16:creationId xmlns:a16="http://schemas.microsoft.com/office/drawing/2014/main" id="{8497EF06-8CD8-3CE5-2350-BF8FCBE92A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" name="Line 7">
            <a:extLst>
              <a:ext uri="{FF2B5EF4-FFF2-40B4-BE49-F238E27FC236}">
                <a16:creationId xmlns:a16="http://schemas.microsoft.com/office/drawing/2014/main" id="{FB23987B-403A-61C7-BC1F-2CDA624BBB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" name="Line 8">
            <a:extLst>
              <a:ext uri="{FF2B5EF4-FFF2-40B4-BE49-F238E27FC236}">
                <a16:creationId xmlns:a16="http://schemas.microsoft.com/office/drawing/2014/main" id="{4DC2A0CE-9D13-0BDB-27F0-695CE671B3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482" name="hinh2">
          <a:extLst>
            <a:ext uri="{FF2B5EF4-FFF2-40B4-BE49-F238E27FC236}">
              <a16:creationId xmlns:a16="http://schemas.microsoft.com/office/drawing/2014/main" id="{A9E948D4-405A-4F54-9208-92AB8B7B5F3F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483" name="Line 6">
            <a:extLst>
              <a:ext uri="{FF2B5EF4-FFF2-40B4-BE49-F238E27FC236}">
                <a16:creationId xmlns:a16="http://schemas.microsoft.com/office/drawing/2014/main" id="{CC44F920-6930-0C9C-182F-BC1DDBA2CD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" name="Line 7">
            <a:extLst>
              <a:ext uri="{FF2B5EF4-FFF2-40B4-BE49-F238E27FC236}">
                <a16:creationId xmlns:a16="http://schemas.microsoft.com/office/drawing/2014/main" id="{4BF50651-09CD-34A6-F540-1603F221E8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" name="Line 8">
            <a:extLst>
              <a:ext uri="{FF2B5EF4-FFF2-40B4-BE49-F238E27FC236}">
                <a16:creationId xmlns:a16="http://schemas.microsoft.com/office/drawing/2014/main" id="{2738324B-A8F3-69A7-ABF0-14A57570C2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29</xdr:row>
      <xdr:rowOff>58616</xdr:rowOff>
    </xdr:from>
    <xdr:to>
      <xdr:col>3</xdr:col>
      <xdr:colOff>977635</xdr:colOff>
      <xdr:row>29</xdr:row>
      <xdr:rowOff>249116</xdr:rowOff>
    </xdr:to>
    <xdr:grpSp>
      <xdr:nvGrpSpPr>
        <xdr:cNvPr id="658" name="hinh2">
          <a:extLst>
            <a:ext uri="{FF2B5EF4-FFF2-40B4-BE49-F238E27FC236}">
              <a16:creationId xmlns:a16="http://schemas.microsoft.com/office/drawing/2014/main" id="{ECC05BA0-858B-4275-9665-AB7013EB1ADD}"/>
            </a:ext>
          </a:extLst>
        </xdr:cNvPr>
        <xdr:cNvGrpSpPr>
          <a:grpSpLocks noChangeAspect="1"/>
        </xdr:cNvGrpSpPr>
      </xdr:nvGrpSpPr>
      <xdr:grpSpPr bwMode="auto">
        <a:xfrm>
          <a:off x="2374970" y="10468080"/>
          <a:ext cx="875058" cy="190500"/>
          <a:chOff x="206" y="86"/>
          <a:chExt cx="73" cy="16"/>
        </a:xfrm>
      </xdr:grpSpPr>
      <xdr:sp macro="" textlink="">
        <xdr:nvSpPr>
          <xdr:cNvPr id="659" name="Line 6">
            <a:extLst>
              <a:ext uri="{FF2B5EF4-FFF2-40B4-BE49-F238E27FC236}">
                <a16:creationId xmlns:a16="http://schemas.microsoft.com/office/drawing/2014/main" id="{7E2C314F-EB97-5ECC-2F56-68F68B791C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0" name="Line 7">
            <a:extLst>
              <a:ext uri="{FF2B5EF4-FFF2-40B4-BE49-F238E27FC236}">
                <a16:creationId xmlns:a16="http://schemas.microsoft.com/office/drawing/2014/main" id="{86E1DDBA-83E4-27B5-FE7B-1659BF1B3E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1" name="Line 8">
            <a:extLst>
              <a:ext uri="{FF2B5EF4-FFF2-40B4-BE49-F238E27FC236}">
                <a16:creationId xmlns:a16="http://schemas.microsoft.com/office/drawing/2014/main" id="{6F994ED4-4C12-8590-B042-CDFBF85EF6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25</xdr:row>
      <xdr:rowOff>58616</xdr:rowOff>
    </xdr:from>
    <xdr:to>
      <xdr:col>3</xdr:col>
      <xdr:colOff>977635</xdr:colOff>
      <xdr:row>25</xdr:row>
      <xdr:rowOff>249116</xdr:rowOff>
    </xdr:to>
    <xdr:grpSp>
      <xdr:nvGrpSpPr>
        <xdr:cNvPr id="798" name="hinh2">
          <a:extLst>
            <a:ext uri="{FF2B5EF4-FFF2-40B4-BE49-F238E27FC236}">
              <a16:creationId xmlns:a16="http://schemas.microsoft.com/office/drawing/2014/main" id="{A65C147D-7EA2-43C5-9464-937DAA2276C0}"/>
            </a:ext>
          </a:extLst>
        </xdr:cNvPr>
        <xdr:cNvGrpSpPr>
          <a:grpSpLocks noChangeAspect="1"/>
        </xdr:cNvGrpSpPr>
      </xdr:nvGrpSpPr>
      <xdr:grpSpPr bwMode="auto">
        <a:xfrm>
          <a:off x="2374970" y="8889652"/>
          <a:ext cx="875058" cy="190500"/>
          <a:chOff x="206" y="86"/>
          <a:chExt cx="73" cy="16"/>
        </a:xfrm>
      </xdr:grpSpPr>
      <xdr:sp macro="" textlink="">
        <xdr:nvSpPr>
          <xdr:cNvPr id="799" name="Line 6">
            <a:extLst>
              <a:ext uri="{FF2B5EF4-FFF2-40B4-BE49-F238E27FC236}">
                <a16:creationId xmlns:a16="http://schemas.microsoft.com/office/drawing/2014/main" id="{998A765D-8567-8BDA-5428-CD6BD40747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0" name="Line 7">
            <a:extLst>
              <a:ext uri="{FF2B5EF4-FFF2-40B4-BE49-F238E27FC236}">
                <a16:creationId xmlns:a16="http://schemas.microsoft.com/office/drawing/2014/main" id="{AB3297F2-A878-6207-C608-3D48F22DF1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1" name="Line 8">
            <a:extLst>
              <a:ext uri="{FF2B5EF4-FFF2-40B4-BE49-F238E27FC236}">
                <a16:creationId xmlns:a16="http://schemas.microsoft.com/office/drawing/2014/main" id="{CC9E4B2E-7538-753C-D245-188E34CCD2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26</xdr:row>
      <xdr:rowOff>58616</xdr:rowOff>
    </xdr:from>
    <xdr:to>
      <xdr:col>3</xdr:col>
      <xdr:colOff>977635</xdr:colOff>
      <xdr:row>26</xdr:row>
      <xdr:rowOff>249116</xdr:rowOff>
    </xdr:to>
    <xdr:grpSp>
      <xdr:nvGrpSpPr>
        <xdr:cNvPr id="802" name="hinh2">
          <a:extLst>
            <a:ext uri="{FF2B5EF4-FFF2-40B4-BE49-F238E27FC236}">
              <a16:creationId xmlns:a16="http://schemas.microsoft.com/office/drawing/2014/main" id="{7779FDD1-B9C4-4603-A2E5-0FC19859E816}"/>
            </a:ext>
          </a:extLst>
        </xdr:cNvPr>
        <xdr:cNvGrpSpPr>
          <a:grpSpLocks noChangeAspect="1"/>
        </xdr:cNvGrpSpPr>
      </xdr:nvGrpSpPr>
      <xdr:grpSpPr bwMode="auto">
        <a:xfrm>
          <a:off x="2374970" y="9284259"/>
          <a:ext cx="875058" cy="190500"/>
          <a:chOff x="206" y="86"/>
          <a:chExt cx="73" cy="16"/>
        </a:xfrm>
      </xdr:grpSpPr>
      <xdr:sp macro="" textlink="">
        <xdr:nvSpPr>
          <xdr:cNvPr id="803" name="Line 6">
            <a:extLst>
              <a:ext uri="{FF2B5EF4-FFF2-40B4-BE49-F238E27FC236}">
                <a16:creationId xmlns:a16="http://schemas.microsoft.com/office/drawing/2014/main" id="{73F0C1ED-69D3-96BC-8B90-A0D5BD51F6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4" name="Line 7">
            <a:extLst>
              <a:ext uri="{FF2B5EF4-FFF2-40B4-BE49-F238E27FC236}">
                <a16:creationId xmlns:a16="http://schemas.microsoft.com/office/drawing/2014/main" id="{7E2BDEAD-30CD-FFBB-E1F5-E793BB514B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5" name="Line 8">
            <a:extLst>
              <a:ext uri="{FF2B5EF4-FFF2-40B4-BE49-F238E27FC236}">
                <a16:creationId xmlns:a16="http://schemas.microsoft.com/office/drawing/2014/main" id="{4D97AB29-ADDB-335B-8AED-87CAC81F5B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26</xdr:row>
      <xdr:rowOff>58616</xdr:rowOff>
    </xdr:from>
    <xdr:to>
      <xdr:col>3</xdr:col>
      <xdr:colOff>977635</xdr:colOff>
      <xdr:row>26</xdr:row>
      <xdr:rowOff>249116</xdr:rowOff>
    </xdr:to>
    <xdr:grpSp>
      <xdr:nvGrpSpPr>
        <xdr:cNvPr id="806" name="hinh2">
          <a:extLst>
            <a:ext uri="{FF2B5EF4-FFF2-40B4-BE49-F238E27FC236}">
              <a16:creationId xmlns:a16="http://schemas.microsoft.com/office/drawing/2014/main" id="{CC3FAF99-EA54-4DCE-8A43-7EE6E01CE1F6}"/>
            </a:ext>
          </a:extLst>
        </xdr:cNvPr>
        <xdr:cNvGrpSpPr>
          <a:grpSpLocks noChangeAspect="1"/>
        </xdr:cNvGrpSpPr>
      </xdr:nvGrpSpPr>
      <xdr:grpSpPr bwMode="auto">
        <a:xfrm>
          <a:off x="2374970" y="9284259"/>
          <a:ext cx="875058" cy="190500"/>
          <a:chOff x="206" y="86"/>
          <a:chExt cx="73" cy="16"/>
        </a:xfrm>
      </xdr:grpSpPr>
      <xdr:sp macro="" textlink="">
        <xdr:nvSpPr>
          <xdr:cNvPr id="807" name="Line 6">
            <a:extLst>
              <a:ext uri="{FF2B5EF4-FFF2-40B4-BE49-F238E27FC236}">
                <a16:creationId xmlns:a16="http://schemas.microsoft.com/office/drawing/2014/main" id="{FE45EBAD-581D-1503-7F59-235F9416FB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8" name="Line 7">
            <a:extLst>
              <a:ext uri="{FF2B5EF4-FFF2-40B4-BE49-F238E27FC236}">
                <a16:creationId xmlns:a16="http://schemas.microsoft.com/office/drawing/2014/main" id="{1BC89944-03DE-8FB4-6CC5-1ED2A8D7EB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9" name="Line 8">
            <a:extLst>
              <a:ext uri="{FF2B5EF4-FFF2-40B4-BE49-F238E27FC236}">
                <a16:creationId xmlns:a16="http://schemas.microsoft.com/office/drawing/2014/main" id="{B8CB2C6F-43BD-3853-E73B-006548828A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10" name="hinh2">
          <a:extLst>
            <a:ext uri="{FF2B5EF4-FFF2-40B4-BE49-F238E27FC236}">
              <a16:creationId xmlns:a16="http://schemas.microsoft.com/office/drawing/2014/main" id="{8B355E1C-69DD-43FC-A990-F6B5CC089763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11" name="Line 6">
            <a:extLst>
              <a:ext uri="{FF2B5EF4-FFF2-40B4-BE49-F238E27FC236}">
                <a16:creationId xmlns:a16="http://schemas.microsoft.com/office/drawing/2014/main" id="{2A779770-CE78-BCE6-052C-E69612A2E5C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2" name="Line 7">
            <a:extLst>
              <a:ext uri="{FF2B5EF4-FFF2-40B4-BE49-F238E27FC236}">
                <a16:creationId xmlns:a16="http://schemas.microsoft.com/office/drawing/2014/main" id="{D2CF7A75-6A68-7DBD-5FD7-12AC01556B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3" name="Line 8">
            <a:extLst>
              <a:ext uri="{FF2B5EF4-FFF2-40B4-BE49-F238E27FC236}">
                <a16:creationId xmlns:a16="http://schemas.microsoft.com/office/drawing/2014/main" id="{C7A9853E-B73A-6C90-2B63-B5B362A38F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14" name="hinh2">
          <a:extLst>
            <a:ext uri="{FF2B5EF4-FFF2-40B4-BE49-F238E27FC236}">
              <a16:creationId xmlns:a16="http://schemas.microsoft.com/office/drawing/2014/main" id="{47DFBAAC-BCBD-4EEA-A511-54B4DCB796BB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15" name="Line 6">
            <a:extLst>
              <a:ext uri="{FF2B5EF4-FFF2-40B4-BE49-F238E27FC236}">
                <a16:creationId xmlns:a16="http://schemas.microsoft.com/office/drawing/2014/main" id="{5F9953B3-514B-462B-F0D2-1FE32F3A44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6" name="Line 7">
            <a:extLst>
              <a:ext uri="{FF2B5EF4-FFF2-40B4-BE49-F238E27FC236}">
                <a16:creationId xmlns:a16="http://schemas.microsoft.com/office/drawing/2014/main" id="{B72127F4-BEF5-45EE-E175-183A561E50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7" name="Line 8">
            <a:extLst>
              <a:ext uri="{FF2B5EF4-FFF2-40B4-BE49-F238E27FC236}">
                <a16:creationId xmlns:a16="http://schemas.microsoft.com/office/drawing/2014/main" id="{1ABC7BB8-C07F-8925-2A15-AE272A7756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18" name="hinh2">
          <a:extLst>
            <a:ext uri="{FF2B5EF4-FFF2-40B4-BE49-F238E27FC236}">
              <a16:creationId xmlns:a16="http://schemas.microsoft.com/office/drawing/2014/main" id="{77395079-3683-454D-AD51-7836E283C57D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19" name="Line 6">
            <a:extLst>
              <a:ext uri="{FF2B5EF4-FFF2-40B4-BE49-F238E27FC236}">
                <a16:creationId xmlns:a16="http://schemas.microsoft.com/office/drawing/2014/main" id="{1DC59223-C18B-D29A-912B-BBEFC49CE6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0" name="Line 7">
            <a:extLst>
              <a:ext uri="{FF2B5EF4-FFF2-40B4-BE49-F238E27FC236}">
                <a16:creationId xmlns:a16="http://schemas.microsoft.com/office/drawing/2014/main" id="{F0993003-9D47-8BE2-1FB7-755A184D3E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1" name="Line 8">
            <a:extLst>
              <a:ext uri="{FF2B5EF4-FFF2-40B4-BE49-F238E27FC236}">
                <a16:creationId xmlns:a16="http://schemas.microsoft.com/office/drawing/2014/main" id="{ED0C78F3-5BCE-D1FC-649B-2CBA1A4DFC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29</xdr:row>
      <xdr:rowOff>58616</xdr:rowOff>
    </xdr:from>
    <xdr:to>
      <xdr:col>3</xdr:col>
      <xdr:colOff>977635</xdr:colOff>
      <xdr:row>29</xdr:row>
      <xdr:rowOff>249116</xdr:rowOff>
    </xdr:to>
    <xdr:grpSp>
      <xdr:nvGrpSpPr>
        <xdr:cNvPr id="822" name="hinh2">
          <a:extLst>
            <a:ext uri="{FF2B5EF4-FFF2-40B4-BE49-F238E27FC236}">
              <a16:creationId xmlns:a16="http://schemas.microsoft.com/office/drawing/2014/main" id="{4337F825-D26E-4214-BBED-8CBCA5715C83}"/>
            </a:ext>
          </a:extLst>
        </xdr:cNvPr>
        <xdr:cNvGrpSpPr>
          <a:grpSpLocks noChangeAspect="1"/>
        </xdr:cNvGrpSpPr>
      </xdr:nvGrpSpPr>
      <xdr:grpSpPr bwMode="auto">
        <a:xfrm>
          <a:off x="2374970" y="10468080"/>
          <a:ext cx="875058" cy="190500"/>
          <a:chOff x="206" y="86"/>
          <a:chExt cx="73" cy="16"/>
        </a:xfrm>
      </xdr:grpSpPr>
      <xdr:sp macro="" textlink="">
        <xdr:nvSpPr>
          <xdr:cNvPr id="823" name="Line 6">
            <a:extLst>
              <a:ext uri="{FF2B5EF4-FFF2-40B4-BE49-F238E27FC236}">
                <a16:creationId xmlns:a16="http://schemas.microsoft.com/office/drawing/2014/main" id="{E41B0780-BD8B-F905-B971-3CB7C085CC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4" name="Line 7">
            <a:extLst>
              <a:ext uri="{FF2B5EF4-FFF2-40B4-BE49-F238E27FC236}">
                <a16:creationId xmlns:a16="http://schemas.microsoft.com/office/drawing/2014/main" id="{065E06F0-8AF6-2E4D-368D-4528B7723B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5" name="Line 8">
            <a:extLst>
              <a:ext uri="{FF2B5EF4-FFF2-40B4-BE49-F238E27FC236}">
                <a16:creationId xmlns:a16="http://schemas.microsoft.com/office/drawing/2014/main" id="{EDA525D2-A819-87AD-E19F-0E482002DD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29</xdr:row>
      <xdr:rowOff>58616</xdr:rowOff>
    </xdr:from>
    <xdr:to>
      <xdr:col>3</xdr:col>
      <xdr:colOff>977635</xdr:colOff>
      <xdr:row>29</xdr:row>
      <xdr:rowOff>249116</xdr:rowOff>
    </xdr:to>
    <xdr:grpSp>
      <xdr:nvGrpSpPr>
        <xdr:cNvPr id="826" name="hinh2">
          <a:extLst>
            <a:ext uri="{FF2B5EF4-FFF2-40B4-BE49-F238E27FC236}">
              <a16:creationId xmlns:a16="http://schemas.microsoft.com/office/drawing/2014/main" id="{0315AC97-B22A-4533-B474-ED889FAC2665}"/>
            </a:ext>
          </a:extLst>
        </xdr:cNvPr>
        <xdr:cNvGrpSpPr>
          <a:grpSpLocks noChangeAspect="1"/>
        </xdr:cNvGrpSpPr>
      </xdr:nvGrpSpPr>
      <xdr:grpSpPr bwMode="auto">
        <a:xfrm>
          <a:off x="2374970" y="10468080"/>
          <a:ext cx="875058" cy="190500"/>
          <a:chOff x="206" y="86"/>
          <a:chExt cx="73" cy="16"/>
        </a:xfrm>
      </xdr:grpSpPr>
      <xdr:sp macro="" textlink="">
        <xdr:nvSpPr>
          <xdr:cNvPr id="827" name="Line 6">
            <a:extLst>
              <a:ext uri="{FF2B5EF4-FFF2-40B4-BE49-F238E27FC236}">
                <a16:creationId xmlns:a16="http://schemas.microsoft.com/office/drawing/2014/main" id="{04A1E79E-4C3E-6610-1F8F-BC95066CC9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8" name="Line 7">
            <a:extLst>
              <a:ext uri="{FF2B5EF4-FFF2-40B4-BE49-F238E27FC236}">
                <a16:creationId xmlns:a16="http://schemas.microsoft.com/office/drawing/2014/main" id="{0D351713-0589-7491-CF70-3F10538F89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9" name="Line 8">
            <a:extLst>
              <a:ext uri="{FF2B5EF4-FFF2-40B4-BE49-F238E27FC236}">
                <a16:creationId xmlns:a16="http://schemas.microsoft.com/office/drawing/2014/main" id="{D593378C-E2DF-696B-4F31-95FAC570B6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29</xdr:row>
      <xdr:rowOff>58616</xdr:rowOff>
    </xdr:from>
    <xdr:to>
      <xdr:col>3</xdr:col>
      <xdr:colOff>977635</xdr:colOff>
      <xdr:row>29</xdr:row>
      <xdr:rowOff>249116</xdr:rowOff>
    </xdr:to>
    <xdr:grpSp>
      <xdr:nvGrpSpPr>
        <xdr:cNvPr id="830" name="hinh2">
          <a:extLst>
            <a:ext uri="{FF2B5EF4-FFF2-40B4-BE49-F238E27FC236}">
              <a16:creationId xmlns:a16="http://schemas.microsoft.com/office/drawing/2014/main" id="{F63B6338-8C81-4D7A-BBD4-EAAAA4376F39}"/>
            </a:ext>
          </a:extLst>
        </xdr:cNvPr>
        <xdr:cNvGrpSpPr>
          <a:grpSpLocks noChangeAspect="1"/>
        </xdr:cNvGrpSpPr>
      </xdr:nvGrpSpPr>
      <xdr:grpSpPr bwMode="auto">
        <a:xfrm>
          <a:off x="2374970" y="10468080"/>
          <a:ext cx="875058" cy="190500"/>
          <a:chOff x="206" y="86"/>
          <a:chExt cx="73" cy="16"/>
        </a:xfrm>
      </xdr:grpSpPr>
      <xdr:sp macro="" textlink="">
        <xdr:nvSpPr>
          <xdr:cNvPr id="831" name="Line 6">
            <a:extLst>
              <a:ext uri="{FF2B5EF4-FFF2-40B4-BE49-F238E27FC236}">
                <a16:creationId xmlns:a16="http://schemas.microsoft.com/office/drawing/2014/main" id="{3FB104F3-EB26-0986-F5FA-89D8E158E1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2" name="Line 7">
            <a:extLst>
              <a:ext uri="{FF2B5EF4-FFF2-40B4-BE49-F238E27FC236}">
                <a16:creationId xmlns:a16="http://schemas.microsoft.com/office/drawing/2014/main" id="{4433CB89-BC19-46A3-93D6-F934A5A5A8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3" name="Line 8">
            <a:extLst>
              <a:ext uri="{FF2B5EF4-FFF2-40B4-BE49-F238E27FC236}">
                <a16:creationId xmlns:a16="http://schemas.microsoft.com/office/drawing/2014/main" id="{2D0AAA41-AB78-6B8E-F478-266C3EE363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29</xdr:row>
      <xdr:rowOff>58616</xdr:rowOff>
    </xdr:from>
    <xdr:to>
      <xdr:col>3</xdr:col>
      <xdr:colOff>977635</xdr:colOff>
      <xdr:row>29</xdr:row>
      <xdr:rowOff>249116</xdr:rowOff>
    </xdr:to>
    <xdr:grpSp>
      <xdr:nvGrpSpPr>
        <xdr:cNvPr id="834" name="hinh2">
          <a:extLst>
            <a:ext uri="{FF2B5EF4-FFF2-40B4-BE49-F238E27FC236}">
              <a16:creationId xmlns:a16="http://schemas.microsoft.com/office/drawing/2014/main" id="{1DF2C0F8-A5B8-4FD2-A6BA-92496B829C58}"/>
            </a:ext>
          </a:extLst>
        </xdr:cNvPr>
        <xdr:cNvGrpSpPr>
          <a:grpSpLocks noChangeAspect="1"/>
        </xdr:cNvGrpSpPr>
      </xdr:nvGrpSpPr>
      <xdr:grpSpPr bwMode="auto">
        <a:xfrm>
          <a:off x="2374970" y="10468080"/>
          <a:ext cx="875058" cy="190500"/>
          <a:chOff x="206" y="86"/>
          <a:chExt cx="73" cy="16"/>
        </a:xfrm>
      </xdr:grpSpPr>
      <xdr:sp macro="" textlink="">
        <xdr:nvSpPr>
          <xdr:cNvPr id="835" name="Line 6">
            <a:extLst>
              <a:ext uri="{FF2B5EF4-FFF2-40B4-BE49-F238E27FC236}">
                <a16:creationId xmlns:a16="http://schemas.microsoft.com/office/drawing/2014/main" id="{307F83D7-182E-147C-D9FE-B921EC0D07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6" name="Line 7">
            <a:extLst>
              <a:ext uri="{FF2B5EF4-FFF2-40B4-BE49-F238E27FC236}">
                <a16:creationId xmlns:a16="http://schemas.microsoft.com/office/drawing/2014/main" id="{FDCAA063-F257-AAAC-E937-1C18F76FC6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7" name="Line 8">
            <a:extLst>
              <a:ext uri="{FF2B5EF4-FFF2-40B4-BE49-F238E27FC236}">
                <a16:creationId xmlns:a16="http://schemas.microsoft.com/office/drawing/2014/main" id="{DAFA9A5D-3A7B-5D15-C0F8-630FE1560C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28</xdr:row>
      <xdr:rowOff>58616</xdr:rowOff>
    </xdr:from>
    <xdr:to>
      <xdr:col>3</xdr:col>
      <xdr:colOff>977635</xdr:colOff>
      <xdr:row>28</xdr:row>
      <xdr:rowOff>249116</xdr:rowOff>
    </xdr:to>
    <xdr:grpSp>
      <xdr:nvGrpSpPr>
        <xdr:cNvPr id="838" name="hinh2">
          <a:extLst>
            <a:ext uri="{FF2B5EF4-FFF2-40B4-BE49-F238E27FC236}">
              <a16:creationId xmlns:a16="http://schemas.microsoft.com/office/drawing/2014/main" id="{0FEBA6DB-6EBF-4E20-9C0F-2175EAA9A572}"/>
            </a:ext>
          </a:extLst>
        </xdr:cNvPr>
        <xdr:cNvGrpSpPr>
          <a:grpSpLocks noChangeAspect="1"/>
        </xdr:cNvGrpSpPr>
      </xdr:nvGrpSpPr>
      <xdr:grpSpPr bwMode="auto">
        <a:xfrm>
          <a:off x="2374970" y="10073473"/>
          <a:ext cx="875058" cy="190500"/>
          <a:chOff x="206" y="86"/>
          <a:chExt cx="73" cy="16"/>
        </a:xfrm>
      </xdr:grpSpPr>
      <xdr:sp macro="" textlink="">
        <xdr:nvSpPr>
          <xdr:cNvPr id="839" name="Line 6">
            <a:extLst>
              <a:ext uri="{FF2B5EF4-FFF2-40B4-BE49-F238E27FC236}">
                <a16:creationId xmlns:a16="http://schemas.microsoft.com/office/drawing/2014/main" id="{1D780391-AC41-0DFC-3930-861977F31A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0" name="Line 7">
            <a:extLst>
              <a:ext uri="{FF2B5EF4-FFF2-40B4-BE49-F238E27FC236}">
                <a16:creationId xmlns:a16="http://schemas.microsoft.com/office/drawing/2014/main" id="{AFD9F53B-B86E-0F88-179B-12E1E0E868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1" name="Line 8">
            <a:extLst>
              <a:ext uri="{FF2B5EF4-FFF2-40B4-BE49-F238E27FC236}">
                <a16:creationId xmlns:a16="http://schemas.microsoft.com/office/drawing/2014/main" id="{581347B0-A217-8803-FDB7-001DD5693B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28</xdr:row>
      <xdr:rowOff>58616</xdr:rowOff>
    </xdr:from>
    <xdr:to>
      <xdr:col>3</xdr:col>
      <xdr:colOff>977635</xdr:colOff>
      <xdr:row>28</xdr:row>
      <xdr:rowOff>249116</xdr:rowOff>
    </xdr:to>
    <xdr:grpSp>
      <xdr:nvGrpSpPr>
        <xdr:cNvPr id="842" name="hinh2">
          <a:extLst>
            <a:ext uri="{FF2B5EF4-FFF2-40B4-BE49-F238E27FC236}">
              <a16:creationId xmlns:a16="http://schemas.microsoft.com/office/drawing/2014/main" id="{06EADA4B-4600-4339-B0F8-398F791A5C69}"/>
            </a:ext>
          </a:extLst>
        </xdr:cNvPr>
        <xdr:cNvGrpSpPr>
          <a:grpSpLocks noChangeAspect="1"/>
        </xdr:cNvGrpSpPr>
      </xdr:nvGrpSpPr>
      <xdr:grpSpPr bwMode="auto">
        <a:xfrm>
          <a:off x="2374970" y="10073473"/>
          <a:ext cx="875058" cy="190500"/>
          <a:chOff x="206" y="86"/>
          <a:chExt cx="73" cy="16"/>
        </a:xfrm>
      </xdr:grpSpPr>
      <xdr:sp macro="" textlink="">
        <xdr:nvSpPr>
          <xdr:cNvPr id="843" name="Line 6">
            <a:extLst>
              <a:ext uri="{FF2B5EF4-FFF2-40B4-BE49-F238E27FC236}">
                <a16:creationId xmlns:a16="http://schemas.microsoft.com/office/drawing/2014/main" id="{B54DE365-75A3-0674-FC38-4B2CAB9865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4" name="Line 7">
            <a:extLst>
              <a:ext uri="{FF2B5EF4-FFF2-40B4-BE49-F238E27FC236}">
                <a16:creationId xmlns:a16="http://schemas.microsoft.com/office/drawing/2014/main" id="{E09A432D-B759-3BB7-64B5-9045800A5A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5" name="Line 8">
            <a:extLst>
              <a:ext uri="{FF2B5EF4-FFF2-40B4-BE49-F238E27FC236}">
                <a16:creationId xmlns:a16="http://schemas.microsoft.com/office/drawing/2014/main" id="{287E5DCB-A45F-F32B-142A-FC6EB49E2C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28</xdr:row>
      <xdr:rowOff>58616</xdr:rowOff>
    </xdr:from>
    <xdr:to>
      <xdr:col>3</xdr:col>
      <xdr:colOff>977635</xdr:colOff>
      <xdr:row>28</xdr:row>
      <xdr:rowOff>249116</xdr:rowOff>
    </xdr:to>
    <xdr:grpSp>
      <xdr:nvGrpSpPr>
        <xdr:cNvPr id="846" name="hinh2">
          <a:extLst>
            <a:ext uri="{FF2B5EF4-FFF2-40B4-BE49-F238E27FC236}">
              <a16:creationId xmlns:a16="http://schemas.microsoft.com/office/drawing/2014/main" id="{ECBE79E4-25B6-4350-9C0A-525A2367CA8C}"/>
            </a:ext>
          </a:extLst>
        </xdr:cNvPr>
        <xdr:cNvGrpSpPr>
          <a:grpSpLocks noChangeAspect="1"/>
        </xdr:cNvGrpSpPr>
      </xdr:nvGrpSpPr>
      <xdr:grpSpPr bwMode="auto">
        <a:xfrm>
          <a:off x="2374970" y="10073473"/>
          <a:ext cx="875058" cy="190500"/>
          <a:chOff x="206" y="86"/>
          <a:chExt cx="73" cy="16"/>
        </a:xfrm>
      </xdr:grpSpPr>
      <xdr:sp macro="" textlink="">
        <xdr:nvSpPr>
          <xdr:cNvPr id="847" name="Line 6">
            <a:extLst>
              <a:ext uri="{FF2B5EF4-FFF2-40B4-BE49-F238E27FC236}">
                <a16:creationId xmlns:a16="http://schemas.microsoft.com/office/drawing/2014/main" id="{E6ADDEDE-9054-06A0-0354-E6D22CF0AB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8" name="Line 7">
            <a:extLst>
              <a:ext uri="{FF2B5EF4-FFF2-40B4-BE49-F238E27FC236}">
                <a16:creationId xmlns:a16="http://schemas.microsoft.com/office/drawing/2014/main" id="{11EF0365-C189-0C89-CA5D-03F3049344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" name="Line 8">
            <a:extLst>
              <a:ext uri="{FF2B5EF4-FFF2-40B4-BE49-F238E27FC236}">
                <a16:creationId xmlns:a16="http://schemas.microsoft.com/office/drawing/2014/main" id="{D29D7786-A1BE-CC70-CD8F-9FE44134F4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28</xdr:row>
      <xdr:rowOff>58616</xdr:rowOff>
    </xdr:from>
    <xdr:to>
      <xdr:col>3</xdr:col>
      <xdr:colOff>977635</xdr:colOff>
      <xdr:row>28</xdr:row>
      <xdr:rowOff>249116</xdr:rowOff>
    </xdr:to>
    <xdr:grpSp>
      <xdr:nvGrpSpPr>
        <xdr:cNvPr id="850" name="hinh2">
          <a:extLst>
            <a:ext uri="{FF2B5EF4-FFF2-40B4-BE49-F238E27FC236}">
              <a16:creationId xmlns:a16="http://schemas.microsoft.com/office/drawing/2014/main" id="{BB8E3B21-7123-4E55-AFE1-97BF0C5FA0C7}"/>
            </a:ext>
          </a:extLst>
        </xdr:cNvPr>
        <xdr:cNvGrpSpPr>
          <a:grpSpLocks noChangeAspect="1"/>
        </xdr:cNvGrpSpPr>
      </xdr:nvGrpSpPr>
      <xdr:grpSpPr bwMode="auto">
        <a:xfrm>
          <a:off x="2374970" y="10073473"/>
          <a:ext cx="875058" cy="190500"/>
          <a:chOff x="206" y="86"/>
          <a:chExt cx="73" cy="16"/>
        </a:xfrm>
      </xdr:grpSpPr>
      <xdr:sp macro="" textlink="">
        <xdr:nvSpPr>
          <xdr:cNvPr id="851" name="Line 6">
            <a:extLst>
              <a:ext uri="{FF2B5EF4-FFF2-40B4-BE49-F238E27FC236}">
                <a16:creationId xmlns:a16="http://schemas.microsoft.com/office/drawing/2014/main" id="{FCC799A8-2B89-327F-69EC-ACF4ECC2B1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2" name="Line 7">
            <a:extLst>
              <a:ext uri="{FF2B5EF4-FFF2-40B4-BE49-F238E27FC236}">
                <a16:creationId xmlns:a16="http://schemas.microsoft.com/office/drawing/2014/main" id="{37BFD744-FCF4-64C7-FA16-36CBACABFD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3" name="Line 8">
            <a:extLst>
              <a:ext uri="{FF2B5EF4-FFF2-40B4-BE49-F238E27FC236}">
                <a16:creationId xmlns:a16="http://schemas.microsoft.com/office/drawing/2014/main" id="{E72CE89D-2761-9A66-BAAA-3D80978F08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54" name="hinh2">
          <a:extLst>
            <a:ext uri="{FF2B5EF4-FFF2-40B4-BE49-F238E27FC236}">
              <a16:creationId xmlns:a16="http://schemas.microsoft.com/office/drawing/2014/main" id="{BE1BAF7E-7FC9-42F8-A842-EADE15FD3ACA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55" name="Line 6">
            <a:extLst>
              <a:ext uri="{FF2B5EF4-FFF2-40B4-BE49-F238E27FC236}">
                <a16:creationId xmlns:a16="http://schemas.microsoft.com/office/drawing/2014/main" id="{B2C28F10-FED6-3ED9-8768-4E7F49E59A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6" name="Line 7">
            <a:extLst>
              <a:ext uri="{FF2B5EF4-FFF2-40B4-BE49-F238E27FC236}">
                <a16:creationId xmlns:a16="http://schemas.microsoft.com/office/drawing/2014/main" id="{336FEF35-AA42-D961-8A40-5AB207BB82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7" name="Line 8">
            <a:extLst>
              <a:ext uri="{FF2B5EF4-FFF2-40B4-BE49-F238E27FC236}">
                <a16:creationId xmlns:a16="http://schemas.microsoft.com/office/drawing/2014/main" id="{6B30204D-09B9-11D8-55B4-3EF61BFF7C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58" name="hinh2">
          <a:extLst>
            <a:ext uri="{FF2B5EF4-FFF2-40B4-BE49-F238E27FC236}">
              <a16:creationId xmlns:a16="http://schemas.microsoft.com/office/drawing/2014/main" id="{A9AA63ED-A4EA-420C-BA41-C59578EBF16B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59" name="Line 6">
            <a:extLst>
              <a:ext uri="{FF2B5EF4-FFF2-40B4-BE49-F238E27FC236}">
                <a16:creationId xmlns:a16="http://schemas.microsoft.com/office/drawing/2014/main" id="{8C1306FB-F2D7-D042-DEE4-B61E785735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0" name="Line 7">
            <a:extLst>
              <a:ext uri="{FF2B5EF4-FFF2-40B4-BE49-F238E27FC236}">
                <a16:creationId xmlns:a16="http://schemas.microsoft.com/office/drawing/2014/main" id="{A407B478-AFCD-AE0C-543E-D818D42364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1" name="Line 8">
            <a:extLst>
              <a:ext uri="{FF2B5EF4-FFF2-40B4-BE49-F238E27FC236}">
                <a16:creationId xmlns:a16="http://schemas.microsoft.com/office/drawing/2014/main" id="{DEBBA1AD-2794-B501-7B55-6D806D8695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62" name="hinh2">
          <a:extLst>
            <a:ext uri="{FF2B5EF4-FFF2-40B4-BE49-F238E27FC236}">
              <a16:creationId xmlns:a16="http://schemas.microsoft.com/office/drawing/2014/main" id="{3F8BAD9E-CB50-400E-9B4A-F83490866B4F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63" name="Line 6">
            <a:extLst>
              <a:ext uri="{FF2B5EF4-FFF2-40B4-BE49-F238E27FC236}">
                <a16:creationId xmlns:a16="http://schemas.microsoft.com/office/drawing/2014/main" id="{B127062C-508B-B761-B515-3E3F50D275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4" name="Line 7">
            <a:extLst>
              <a:ext uri="{FF2B5EF4-FFF2-40B4-BE49-F238E27FC236}">
                <a16:creationId xmlns:a16="http://schemas.microsoft.com/office/drawing/2014/main" id="{70024F25-D073-F511-88C6-982A15E2D7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5" name="Line 8">
            <a:extLst>
              <a:ext uri="{FF2B5EF4-FFF2-40B4-BE49-F238E27FC236}">
                <a16:creationId xmlns:a16="http://schemas.microsoft.com/office/drawing/2014/main" id="{91C30EB3-CD0E-553F-68E3-061201B808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866" name="hinh2">
          <a:extLst>
            <a:ext uri="{FF2B5EF4-FFF2-40B4-BE49-F238E27FC236}">
              <a16:creationId xmlns:a16="http://schemas.microsoft.com/office/drawing/2014/main" id="{CCBCB1A7-2357-43B1-BD31-F6D7FA82684F}"/>
            </a:ext>
          </a:extLst>
        </xdr:cNvPr>
        <xdr:cNvGrpSpPr>
          <a:grpSpLocks noChangeAspect="1"/>
        </xdr:cNvGrpSpPr>
      </xdr:nvGrpSpPr>
      <xdr:grpSpPr bwMode="auto">
        <a:xfrm>
          <a:off x="2374970" y="9678866"/>
          <a:ext cx="875058" cy="190500"/>
          <a:chOff x="206" y="86"/>
          <a:chExt cx="73" cy="16"/>
        </a:xfrm>
      </xdr:grpSpPr>
      <xdr:sp macro="" textlink="">
        <xdr:nvSpPr>
          <xdr:cNvPr id="867" name="Line 6">
            <a:extLst>
              <a:ext uri="{FF2B5EF4-FFF2-40B4-BE49-F238E27FC236}">
                <a16:creationId xmlns:a16="http://schemas.microsoft.com/office/drawing/2014/main" id="{CA17A25C-ACEF-6D36-97E7-58E52AAC7F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8" name="Line 7">
            <a:extLst>
              <a:ext uri="{FF2B5EF4-FFF2-40B4-BE49-F238E27FC236}">
                <a16:creationId xmlns:a16="http://schemas.microsoft.com/office/drawing/2014/main" id="{237DE6D3-D5BA-7D76-46C5-FF617D0D90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9" name="Line 8">
            <a:extLst>
              <a:ext uri="{FF2B5EF4-FFF2-40B4-BE49-F238E27FC236}">
                <a16:creationId xmlns:a16="http://schemas.microsoft.com/office/drawing/2014/main" id="{5F092133-81B8-1793-ADB1-CA9CE3FF7E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30</xdr:row>
      <xdr:rowOff>58616</xdr:rowOff>
    </xdr:from>
    <xdr:to>
      <xdr:col>3</xdr:col>
      <xdr:colOff>977635</xdr:colOff>
      <xdr:row>30</xdr:row>
      <xdr:rowOff>249116</xdr:rowOff>
    </xdr:to>
    <xdr:grpSp>
      <xdr:nvGrpSpPr>
        <xdr:cNvPr id="870" name="hinh2">
          <a:extLst>
            <a:ext uri="{FF2B5EF4-FFF2-40B4-BE49-F238E27FC236}">
              <a16:creationId xmlns:a16="http://schemas.microsoft.com/office/drawing/2014/main" id="{7E282F14-3A99-437D-93DA-E7633894CF89}"/>
            </a:ext>
          </a:extLst>
        </xdr:cNvPr>
        <xdr:cNvGrpSpPr>
          <a:grpSpLocks noChangeAspect="1"/>
        </xdr:cNvGrpSpPr>
      </xdr:nvGrpSpPr>
      <xdr:grpSpPr bwMode="auto">
        <a:xfrm>
          <a:off x="2374970" y="10862687"/>
          <a:ext cx="875058" cy="190500"/>
          <a:chOff x="206" y="86"/>
          <a:chExt cx="73" cy="16"/>
        </a:xfrm>
      </xdr:grpSpPr>
      <xdr:sp macro="" textlink="">
        <xdr:nvSpPr>
          <xdr:cNvPr id="871" name="Line 6">
            <a:extLst>
              <a:ext uri="{FF2B5EF4-FFF2-40B4-BE49-F238E27FC236}">
                <a16:creationId xmlns:a16="http://schemas.microsoft.com/office/drawing/2014/main" id="{678A442D-65D2-8CB3-50D4-E609F828D6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2" name="Line 7">
            <a:extLst>
              <a:ext uri="{FF2B5EF4-FFF2-40B4-BE49-F238E27FC236}">
                <a16:creationId xmlns:a16="http://schemas.microsoft.com/office/drawing/2014/main" id="{D29EFECC-3D84-C270-1CEF-C24C3E3977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3" name="Line 8">
            <a:extLst>
              <a:ext uri="{FF2B5EF4-FFF2-40B4-BE49-F238E27FC236}">
                <a16:creationId xmlns:a16="http://schemas.microsoft.com/office/drawing/2014/main" id="{461F14EA-774E-ABCB-4E82-05C69CC980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30</xdr:row>
      <xdr:rowOff>58616</xdr:rowOff>
    </xdr:from>
    <xdr:to>
      <xdr:col>3</xdr:col>
      <xdr:colOff>977635</xdr:colOff>
      <xdr:row>30</xdr:row>
      <xdr:rowOff>249116</xdr:rowOff>
    </xdr:to>
    <xdr:grpSp>
      <xdr:nvGrpSpPr>
        <xdr:cNvPr id="874" name="hinh2">
          <a:extLst>
            <a:ext uri="{FF2B5EF4-FFF2-40B4-BE49-F238E27FC236}">
              <a16:creationId xmlns:a16="http://schemas.microsoft.com/office/drawing/2014/main" id="{EBB7CC5F-735D-4905-BA4F-3BB60579B5FF}"/>
            </a:ext>
          </a:extLst>
        </xdr:cNvPr>
        <xdr:cNvGrpSpPr>
          <a:grpSpLocks noChangeAspect="1"/>
        </xdr:cNvGrpSpPr>
      </xdr:nvGrpSpPr>
      <xdr:grpSpPr bwMode="auto">
        <a:xfrm>
          <a:off x="2374970" y="10862687"/>
          <a:ext cx="875058" cy="190500"/>
          <a:chOff x="206" y="86"/>
          <a:chExt cx="73" cy="16"/>
        </a:xfrm>
      </xdr:grpSpPr>
      <xdr:sp macro="" textlink="">
        <xdr:nvSpPr>
          <xdr:cNvPr id="875" name="Line 6">
            <a:extLst>
              <a:ext uri="{FF2B5EF4-FFF2-40B4-BE49-F238E27FC236}">
                <a16:creationId xmlns:a16="http://schemas.microsoft.com/office/drawing/2014/main" id="{2144AFC4-9BE2-3886-E09D-421A6B46BF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6" name="Line 7">
            <a:extLst>
              <a:ext uri="{FF2B5EF4-FFF2-40B4-BE49-F238E27FC236}">
                <a16:creationId xmlns:a16="http://schemas.microsoft.com/office/drawing/2014/main" id="{8C7AE1BE-BDB6-8B4F-ABD4-04FF820776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7" name="Line 8">
            <a:extLst>
              <a:ext uri="{FF2B5EF4-FFF2-40B4-BE49-F238E27FC236}">
                <a16:creationId xmlns:a16="http://schemas.microsoft.com/office/drawing/2014/main" id="{1799762C-0E56-12B7-9030-8FA023D1FD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30</xdr:row>
      <xdr:rowOff>58616</xdr:rowOff>
    </xdr:from>
    <xdr:to>
      <xdr:col>3</xdr:col>
      <xdr:colOff>977635</xdr:colOff>
      <xdr:row>30</xdr:row>
      <xdr:rowOff>249116</xdr:rowOff>
    </xdr:to>
    <xdr:grpSp>
      <xdr:nvGrpSpPr>
        <xdr:cNvPr id="878" name="hinh2">
          <a:extLst>
            <a:ext uri="{FF2B5EF4-FFF2-40B4-BE49-F238E27FC236}">
              <a16:creationId xmlns:a16="http://schemas.microsoft.com/office/drawing/2014/main" id="{985BA2D5-EB86-4600-83C0-68AF85DB66B8}"/>
            </a:ext>
          </a:extLst>
        </xdr:cNvPr>
        <xdr:cNvGrpSpPr>
          <a:grpSpLocks noChangeAspect="1"/>
        </xdr:cNvGrpSpPr>
      </xdr:nvGrpSpPr>
      <xdr:grpSpPr bwMode="auto">
        <a:xfrm>
          <a:off x="2374970" y="10862687"/>
          <a:ext cx="875058" cy="190500"/>
          <a:chOff x="206" y="86"/>
          <a:chExt cx="73" cy="16"/>
        </a:xfrm>
      </xdr:grpSpPr>
      <xdr:sp macro="" textlink="">
        <xdr:nvSpPr>
          <xdr:cNvPr id="879" name="Line 6">
            <a:extLst>
              <a:ext uri="{FF2B5EF4-FFF2-40B4-BE49-F238E27FC236}">
                <a16:creationId xmlns:a16="http://schemas.microsoft.com/office/drawing/2014/main" id="{9D9EFAA1-2C35-F8B2-BC0A-C5EE1987F2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0" name="Line 7">
            <a:extLst>
              <a:ext uri="{FF2B5EF4-FFF2-40B4-BE49-F238E27FC236}">
                <a16:creationId xmlns:a16="http://schemas.microsoft.com/office/drawing/2014/main" id="{1AB429E4-31F7-2146-3C34-DC16137EFA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1" name="Line 8">
            <a:extLst>
              <a:ext uri="{FF2B5EF4-FFF2-40B4-BE49-F238E27FC236}">
                <a16:creationId xmlns:a16="http://schemas.microsoft.com/office/drawing/2014/main" id="{003450D6-7119-831B-9D5A-C887B097E6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30</xdr:row>
      <xdr:rowOff>58616</xdr:rowOff>
    </xdr:from>
    <xdr:to>
      <xdr:col>3</xdr:col>
      <xdr:colOff>977635</xdr:colOff>
      <xdr:row>30</xdr:row>
      <xdr:rowOff>249116</xdr:rowOff>
    </xdr:to>
    <xdr:grpSp>
      <xdr:nvGrpSpPr>
        <xdr:cNvPr id="882" name="hinh2">
          <a:extLst>
            <a:ext uri="{FF2B5EF4-FFF2-40B4-BE49-F238E27FC236}">
              <a16:creationId xmlns:a16="http://schemas.microsoft.com/office/drawing/2014/main" id="{6308DCB0-5190-4B26-BD02-722AE5F2323F}"/>
            </a:ext>
          </a:extLst>
        </xdr:cNvPr>
        <xdr:cNvGrpSpPr>
          <a:grpSpLocks noChangeAspect="1"/>
        </xdr:cNvGrpSpPr>
      </xdr:nvGrpSpPr>
      <xdr:grpSpPr bwMode="auto">
        <a:xfrm>
          <a:off x="2374970" y="10862687"/>
          <a:ext cx="875058" cy="190500"/>
          <a:chOff x="206" y="86"/>
          <a:chExt cx="73" cy="16"/>
        </a:xfrm>
      </xdr:grpSpPr>
      <xdr:sp macro="" textlink="">
        <xdr:nvSpPr>
          <xdr:cNvPr id="883" name="Line 6">
            <a:extLst>
              <a:ext uri="{FF2B5EF4-FFF2-40B4-BE49-F238E27FC236}">
                <a16:creationId xmlns:a16="http://schemas.microsoft.com/office/drawing/2014/main" id="{153436B6-4D74-41C6-6278-ADE645345B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4" name="Line 7">
            <a:extLst>
              <a:ext uri="{FF2B5EF4-FFF2-40B4-BE49-F238E27FC236}">
                <a16:creationId xmlns:a16="http://schemas.microsoft.com/office/drawing/2014/main" id="{CF896FA3-2519-77CB-67F7-91DA18CCE5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5" name="Line 8">
            <a:extLst>
              <a:ext uri="{FF2B5EF4-FFF2-40B4-BE49-F238E27FC236}">
                <a16:creationId xmlns:a16="http://schemas.microsoft.com/office/drawing/2014/main" id="{10F99E1B-BDEB-DBCF-57F7-E93D851851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30</xdr:row>
      <xdr:rowOff>58616</xdr:rowOff>
    </xdr:from>
    <xdr:to>
      <xdr:col>3</xdr:col>
      <xdr:colOff>977635</xdr:colOff>
      <xdr:row>30</xdr:row>
      <xdr:rowOff>249116</xdr:rowOff>
    </xdr:to>
    <xdr:grpSp>
      <xdr:nvGrpSpPr>
        <xdr:cNvPr id="886" name="hinh2">
          <a:extLst>
            <a:ext uri="{FF2B5EF4-FFF2-40B4-BE49-F238E27FC236}">
              <a16:creationId xmlns:a16="http://schemas.microsoft.com/office/drawing/2014/main" id="{C59B67FE-98F8-4565-83F6-F73634786CAD}"/>
            </a:ext>
          </a:extLst>
        </xdr:cNvPr>
        <xdr:cNvGrpSpPr>
          <a:grpSpLocks noChangeAspect="1"/>
        </xdr:cNvGrpSpPr>
      </xdr:nvGrpSpPr>
      <xdr:grpSpPr bwMode="auto">
        <a:xfrm>
          <a:off x="2374970" y="10862687"/>
          <a:ext cx="875058" cy="190500"/>
          <a:chOff x="206" y="86"/>
          <a:chExt cx="73" cy="16"/>
        </a:xfrm>
      </xdr:grpSpPr>
      <xdr:sp macro="" textlink="">
        <xdr:nvSpPr>
          <xdr:cNvPr id="887" name="Line 6">
            <a:extLst>
              <a:ext uri="{FF2B5EF4-FFF2-40B4-BE49-F238E27FC236}">
                <a16:creationId xmlns:a16="http://schemas.microsoft.com/office/drawing/2014/main" id="{BE9BAAE5-6EE6-022B-5869-7664AAC114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8" name="Line 7">
            <a:extLst>
              <a:ext uri="{FF2B5EF4-FFF2-40B4-BE49-F238E27FC236}">
                <a16:creationId xmlns:a16="http://schemas.microsoft.com/office/drawing/2014/main" id="{02A443FC-3323-8254-3223-8C18C77F07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9" name="Line 8">
            <a:extLst>
              <a:ext uri="{FF2B5EF4-FFF2-40B4-BE49-F238E27FC236}">
                <a16:creationId xmlns:a16="http://schemas.microsoft.com/office/drawing/2014/main" id="{8688C646-CF2D-9274-DDDA-B49C125FAF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31</xdr:row>
      <xdr:rowOff>80596</xdr:rowOff>
    </xdr:from>
    <xdr:to>
      <xdr:col>3</xdr:col>
      <xdr:colOff>970308</xdr:colOff>
      <xdr:row>31</xdr:row>
      <xdr:rowOff>244279</xdr:rowOff>
    </xdr:to>
    <xdr:grpSp>
      <xdr:nvGrpSpPr>
        <xdr:cNvPr id="894" name="hinh2">
          <a:extLst>
            <a:ext uri="{FF2B5EF4-FFF2-40B4-BE49-F238E27FC236}">
              <a16:creationId xmlns:a16="http://schemas.microsoft.com/office/drawing/2014/main" id="{4ABD6DAF-91D3-41A8-869D-8DD0E266186E}"/>
            </a:ext>
          </a:extLst>
        </xdr:cNvPr>
        <xdr:cNvGrpSpPr>
          <a:grpSpLocks noChangeAspect="1"/>
        </xdr:cNvGrpSpPr>
      </xdr:nvGrpSpPr>
      <xdr:grpSpPr bwMode="auto">
        <a:xfrm>
          <a:off x="2367643" y="11279275"/>
          <a:ext cx="875058" cy="163683"/>
          <a:chOff x="206" y="86"/>
          <a:chExt cx="73" cy="16"/>
        </a:xfrm>
      </xdr:grpSpPr>
      <xdr:sp macro="" textlink="">
        <xdr:nvSpPr>
          <xdr:cNvPr id="895" name="Line 6">
            <a:extLst>
              <a:ext uri="{FF2B5EF4-FFF2-40B4-BE49-F238E27FC236}">
                <a16:creationId xmlns:a16="http://schemas.microsoft.com/office/drawing/2014/main" id="{7601A2A1-99B6-A016-9511-B275FA796E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6" name="Line 7">
            <a:extLst>
              <a:ext uri="{FF2B5EF4-FFF2-40B4-BE49-F238E27FC236}">
                <a16:creationId xmlns:a16="http://schemas.microsoft.com/office/drawing/2014/main" id="{B5B3257A-41B2-8085-4E66-4547813DE3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7" name="Line 8">
            <a:extLst>
              <a:ext uri="{FF2B5EF4-FFF2-40B4-BE49-F238E27FC236}">
                <a16:creationId xmlns:a16="http://schemas.microsoft.com/office/drawing/2014/main" id="{6818F027-2C62-941F-758C-9E44C1D882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32</xdr:row>
      <xdr:rowOff>58616</xdr:rowOff>
    </xdr:from>
    <xdr:to>
      <xdr:col>3</xdr:col>
      <xdr:colOff>977635</xdr:colOff>
      <xdr:row>32</xdr:row>
      <xdr:rowOff>249116</xdr:rowOff>
    </xdr:to>
    <xdr:grpSp>
      <xdr:nvGrpSpPr>
        <xdr:cNvPr id="898" name="hinh2">
          <a:extLst>
            <a:ext uri="{FF2B5EF4-FFF2-40B4-BE49-F238E27FC236}">
              <a16:creationId xmlns:a16="http://schemas.microsoft.com/office/drawing/2014/main" id="{4E1AFC59-3899-4B8D-AA05-7AFC75AFAF26}"/>
            </a:ext>
          </a:extLst>
        </xdr:cNvPr>
        <xdr:cNvGrpSpPr>
          <a:grpSpLocks noChangeAspect="1"/>
        </xdr:cNvGrpSpPr>
      </xdr:nvGrpSpPr>
      <xdr:grpSpPr bwMode="auto">
        <a:xfrm>
          <a:off x="2374970" y="11651902"/>
          <a:ext cx="875058" cy="190500"/>
          <a:chOff x="206" y="86"/>
          <a:chExt cx="73" cy="16"/>
        </a:xfrm>
      </xdr:grpSpPr>
      <xdr:sp macro="" textlink="">
        <xdr:nvSpPr>
          <xdr:cNvPr id="899" name="Line 6">
            <a:extLst>
              <a:ext uri="{FF2B5EF4-FFF2-40B4-BE49-F238E27FC236}">
                <a16:creationId xmlns:a16="http://schemas.microsoft.com/office/drawing/2014/main" id="{74B76BB9-77D8-411A-E333-D40D5EC9335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0" name="Line 7">
            <a:extLst>
              <a:ext uri="{FF2B5EF4-FFF2-40B4-BE49-F238E27FC236}">
                <a16:creationId xmlns:a16="http://schemas.microsoft.com/office/drawing/2014/main" id="{C517A4C7-BBAB-F589-4AAD-8C89F7824A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1" name="Line 8">
            <a:extLst>
              <a:ext uri="{FF2B5EF4-FFF2-40B4-BE49-F238E27FC236}">
                <a16:creationId xmlns:a16="http://schemas.microsoft.com/office/drawing/2014/main" id="{C2BA1F40-189F-31E3-4FDF-574FBB9257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33</xdr:row>
      <xdr:rowOff>58616</xdr:rowOff>
    </xdr:from>
    <xdr:to>
      <xdr:col>3</xdr:col>
      <xdr:colOff>977635</xdr:colOff>
      <xdr:row>33</xdr:row>
      <xdr:rowOff>249116</xdr:rowOff>
    </xdr:to>
    <xdr:grpSp>
      <xdr:nvGrpSpPr>
        <xdr:cNvPr id="902" name="hinh2">
          <a:extLst>
            <a:ext uri="{FF2B5EF4-FFF2-40B4-BE49-F238E27FC236}">
              <a16:creationId xmlns:a16="http://schemas.microsoft.com/office/drawing/2014/main" id="{AD2CB052-B309-4AC6-B727-FB2AFE9AAD9B}"/>
            </a:ext>
          </a:extLst>
        </xdr:cNvPr>
        <xdr:cNvGrpSpPr>
          <a:grpSpLocks noChangeAspect="1"/>
        </xdr:cNvGrpSpPr>
      </xdr:nvGrpSpPr>
      <xdr:grpSpPr bwMode="auto">
        <a:xfrm>
          <a:off x="2374970" y="12046509"/>
          <a:ext cx="875058" cy="190500"/>
          <a:chOff x="206" y="86"/>
          <a:chExt cx="73" cy="16"/>
        </a:xfrm>
      </xdr:grpSpPr>
      <xdr:sp macro="" textlink="">
        <xdr:nvSpPr>
          <xdr:cNvPr id="903" name="Line 6">
            <a:extLst>
              <a:ext uri="{FF2B5EF4-FFF2-40B4-BE49-F238E27FC236}">
                <a16:creationId xmlns:a16="http://schemas.microsoft.com/office/drawing/2014/main" id="{2568B9A8-DCDB-9B2D-EB7A-3F328484D9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4" name="Line 7">
            <a:extLst>
              <a:ext uri="{FF2B5EF4-FFF2-40B4-BE49-F238E27FC236}">
                <a16:creationId xmlns:a16="http://schemas.microsoft.com/office/drawing/2014/main" id="{CB6928C8-C229-1E3B-E442-8688ED9AD1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5" name="Line 8">
            <a:extLst>
              <a:ext uri="{FF2B5EF4-FFF2-40B4-BE49-F238E27FC236}">
                <a16:creationId xmlns:a16="http://schemas.microsoft.com/office/drawing/2014/main" id="{DAE163A9-6DB3-C4D1-0E9B-D7DBC637DF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906" name="hinh2">
          <a:extLst>
            <a:ext uri="{FF2B5EF4-FFF2-40B4-BE49-F238E27FC236}">
              <a16:creationId xmlns:a16="http://schemas.microsoft.com/office/drawing/2014/main" id="{A6F494E4-EB07-4C0A-A6EB-4C3048A2ECF5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907" name="Line 6">
            <a:extLst>
              <a:ext uri="{FF2B5EF4-FFF2-40B4-BE49-F238E27FC236}">
                <a16:creationId xmlns:a16="http://schemas.microsoft.com/office/drawing/2014/main" id="{3E718F33-C3F1-B8DC-BA7B-93AEF5D23D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8" name="Line 7">
            <a:extLst>
              <a:ext uri="{FF2B5EF4-FFF2-40B4-BE49-F238E27FC236}">
                <a16:creationId xmlns:a16="http://schemas.microsoft.com/office/drawing/2014/main" id="{70567868-A385-776B-3E66-9ADAD42B63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9" name="Line 8">
            <a:extLst>
              <a:ext uri="{FF2B5EF4-FFF2-40B4-BE49-F238E27FC236}">
                <a16:creationId xmlns:a16="http://schemas.microsoft.com/office/drawing/2014/main" id="{2EAD6270-5337-7C1E-7130-BB2A544C0A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10" name="hinh2">
          <a:extLst>
            <a:ext uri="{FF2B5EF4-FFF2-40B4-BE49-F238E27FC236}">
              <a16:creationId xmlns:a16="http://schemas.microsoft.com/office/drawing/2014/main" id="{7A1AB4C9-3BF6-4980-B0FE-3E5EEC8A1942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11" name="Line 6">
            <a:extLst>
              <a:ext uri="{FF2B5EF4-FFF2-40B4-BE49-F238E27FC236}">
                <a16:creationId xmlns:a16="http://schemas.microsoft.com/office/drawing/2014/main" id="{F2D3D7E3-C545-83A8-E3DF-CA6C568D7D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2" name="Line 7">
            <a:extLst>
              <a:ext uri="{FF2B5EF4-FFF2-40B4-BE49-F238E27FC236}">
                <a16:creationId xmlns:a16="http://schemas.microsoft.com/office/drawing/2014/main" id="{EFAEBAFA-C656-EC7F-4145-21524EACF1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3" name="Line 8">
            <a:extLst>
              <a:ext uri="{FF2B5EF4-FFF2-40B4-BE49-F238E27FC236}">
                <a16:creationId xmlns:a16="http://schemas.microsoft.com/office/drawing/2014/main" id="{BB3A0839-2C11-EC9B-17A0-B348E6A6AA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37</xdr:row>
      <xdr:rowOff>58616</xdr:rowOff>
    </xdr:from>
    <xdr:to>
      <xdr:col>3</xdr:col>
      <xdr:colOff>977635</xdr:colOff>
      <xdr:row>37</xdr:row>
      <xdr:rowOff>249116</xdr:rowOff>
    </xdr:to>
    <xdr:grpSp>
      <xdr:nvGrpSpPr>
        <xdr:cNvPr id="918" name="hinh2">
          <a:extLst>
            <a:ext uri="{FF2B5EF4-FFF2-40B4-BE49-F238E27FC236}">
              <a16:creationId xmlns:a16="http://schemas.microsoft.com/office/drawing/2014/main" id="{433A5FDD-C69E-4387-9C78-D0D0EEA7A3E3}"/>
            </a:ext>
          </a:extLst>
        </xdr:cNvPr>
        <xdr:cNvGrpSpPr>
          <a:grpSpLocks noChangeAspect="1"/>
        </xdr:cNvGrpSpPr>
      </xdr:nvGrpSpPr>
      <xdr:grpSpPr bwMode="auto">
        <a:xfrm>
          <a:off x="2374970" y="13624937"/>
          <a:ext cx="875058" cy="190500"/>
          <a:chOff x="206" y="86"/>
          <a:chExt cx="73" cy="16"/>
        </a:xfrm>
      </xdr:grpSpPr>
      <xdr:sp macro="" textlink="">
        <xdr:nvSpPr>
          <xdr:cNvPr id="919" name="Line 6">
            <a:extLst>
              <a:ext uri="{FF2B5EF4-FFF2-40B4-BE49-F238E27FC236}">
                <a16:creationId xmlns:a16="http://schemas.microsoft.com/office/drawing/2014/main" id="{A7E04262-2EC8-89B9-B4B3-BD504C1A31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0" name="Line 7">
            <a:extLst>
              <a:ext uri="{FF2B5EF4-FFF2-40B4-BE49-F238E27FC236}">
                <a16:creationId xmlns:a16="http://schemas.microsoft.com/office/drawing/2014/main" id="{9BB32094-ECFF-84A6-36BC-94B9865BFD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1" name="Line 8">
            <a:extLst>
              <a:ext uri="{FF2B5EF4-FFF2-40B4-BE49-F238E27FC236}">
                <a16:creationId xmlns:a16="http://schemas.microsoft.com/office/drawing/2014/main" id="{DF27ECBA-5FEA-7421-ACB6-D94AF15883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33</xdr:row>
      <xdr:rowOff>58616</xdr:rowOff>
    </xdr:from>
    <xdr:to>
      <xdr:col>3</xdr:col>
      <xdr:colOff>977635</xdr:colOff>
      <xdr:row>33</xdr:row>
      <xdr:rowOff>249116</xdr:rowOff>
    </xdr:to>
    <xdr:grpSp>
      <xdr:nvGrpSpPr>
        <xdr:cNvPr id="922" name="hinh2">
          <a:extLst>
            <a:ext uri="{FF2B5EF4-FFF2-40B4-BE49-F238E27FC236}">
              <a16:creationId xmlns:a16="http://schemas.microsoft.com/office/drawing/2014/main" id="{D3522885-6D29-44E9-91CB-E9F4C0552063}"/>
            </a:ext>
          </a:extLst>
        </xdr:cNvPr>
        <xdr:cNvGrpSpPr>
          <a:grpSpLocks noChangeAspect="1"/>
        </xdr:cNvGrpSpPr>
      </xdr:nvGrpSpPr>
      <xdr:grpSpPr bwMode="auto">
        <a:xfrm>
          <a:off x="2374970" y="12046509"/>
          <a:ext cx="875058" cy="190500"/>
          <a:chOff x="206" y="86"/>
          <a:chExt cx="73" cy="16"/>
        </a:xfrm>
      </xdr:grpSpPr>
      <xdr:sp macro="" textlink="">
        <xdr:nvSpPr>
          <xdr:cNvPr id="923" name="Line 6">
            <a:extLst>
              <a:ext uri="{FF2B5EF4-FFF2-40B4-BE49-F238E27FC236}">
                <a16:creationId xmlns:a16="http://schemas.microsoft.com/office/drawing/2014/main" id="{49AA6A77-8786-608A-6539-C5E07B07A6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" name="Line 7">
            <a:extLst>
              <a:ext uri="{FF2B5EF4-FFF2-40B4-BE49-F238E27FC236}">
                <a16:creationId xmlns:a16="http://schemas.microsoft.com/office/drawing/2014/main" id="{2730B445-07C4-899B-2DEF-33FAC78F21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" name="Line 8">
            <a:extLst>
              <a:ext uri="{FF2B5EF4-FFF2-40B4-BE49-F238E27FC236}">
                <a16:creationId xmlns:a16="http://schemas.microsoft.com/office/drawing/2014/main" id="{D0373E90-95BC-31DC-DBD8-4BC53F9F0E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926" name="hinh2">
          <a:extLst>
            <a:ext uri="{FF2B5EF4-FFF2-40B4-BE49-F238E27FC236}">
              <a16:creationId xmlns:a16="http://schemas.microsoft.com/office/drawing/2014/main" id="{7C28025E-F99F-43F6-B5CF-99599B995A9B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927" name="Line 6">
            <a:extLst>
              <a:ext uri="{FF2B5EF4-FFF2-40B4-BE49-F238E27FC236}">
                <a16:creationId xmlns:a16="http://schemas.microsoft.com/office/drawing/2014/main" id="{12E26365-D5C0-13A6-35B2-19607E2099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8" name="Line 7">
            <a:extLst>
              <a:ext uri="{FF2B5EF4-FFF2-40B4-BE49-F238E27FC236}">
                <a16:creationId xmlns:a16="http://schemas.microsoft.com/office/drawing/2014/main" id="{2A3E07CF-772C-7F1E-B897-4E41E6AD2D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9" name="Line 8">
            <a:extLst>
              <a:ext uri="{FF2B5EF4-FFF2-40B4-BE49-F238E27FC236}">
                <a16:creationId xmlns:a16="http://schemas.microsoft.com/office/drawing/2014/main" id="{DCCD35F1-6B19-230D-B332-B5CF288CC5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930" name="hinh2">
          <a:extLst>
            <a:ext uri="{FF2B5EF4-FFF2-40B4-BE49-F238E27FC236}">
              <a16:creationId xmlns:a16="http://schemas.microsoft.com/office/drawing/2014/main" id="{22478F92-1EDB-424B-AC77-9F53A9C0C473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931" name="Line 6">
            <a:extLst>
              <a:ext uri="{FF2B5EF4-FFF2-40B4-BE49-F238E27FC236}">
                <a16:creationId xmlns:a16="http://schemas.microsoft.com/office/drawing/2014/main" id="{E5D9767E-6C91-60AA-D013-5E26B88900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2" name="Line 7">
            <a:extLst>
              <a:ext uri="{FF2B5EF4-FFF2-40B4-BE49-F238E27FC236}">
                <a16:creationId xmlns:a16="http://schemas.microsoft.com/office/drawing/2014/main" id="{D05FE6C5-6ED9-9702-DA4B-CCFB559C49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3" name="Line 8">
            <a:extLst>
              <a:ext uri="{FF2B5EF4-FFF2-40B4-BE49-F238E27FC236}">
                <a16:creationId xmlns:a16="http://schemas.microsoft.com/office/drawing/2014/main" id="{9079B6B5-4333-9B0A-8D7C-9ADD251F67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34" name="hinh2">
          <a:extLst>
            <a:ext uri="{FF2B5EF4-FFF2-40B4-BE49-F238E27FC236}">
              <a16:creationId xmlns:a16="http://schemas.microsoft.com/office/drawing/2014/main" id="{DB332D85-9319-4E44-87C7-9C98B767E97B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35" name="Line 6">
            <a:extLst>
              <a:ext uri="{FF2B5EF4-FFF2-40B4-BE49-F238E27FC236}">
                <a16:creationId xmlns:a16="http://schemas.microsoft.com/office/drawing/2014/main" id="{FC568AF3-E722-A43C-176D-22EF83DD06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6" name="Line 7">
            <a:extLst>
              <a:ext uri="{FF2B5EF4-FFF2-40B4-BE49-F238E27FC236}">
                <a16:creationId xmlns:a16="http://schemas.microsoft.com/office/drawing/2014/main" id="{6370E03D-2C89-3F42-06BF-481E109214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7" name="Line 8">
            <a:extLst>
              <a:ext uri="{FF2B5EF4-FFF2-40B4-BE49-F238E27FC236}">
                <a16:creationId xmlns:a16="http://schemas.microsoft.com/office/drawing/2014/main" id="{E2927945-DD3A-B623-A616-9F9A0A5318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38" name="hinh2">
          <a:extLst>
            <a:ext uri="{FF2B5EF4-FFF2-40B4-BE49-F238E27FC236}">
              <a16:creationId xmlns:a16="http://schemas.microsoft.com/office/drawing/2014/main" id="{7E050E42-75FB-4DDD-8D2D-20D9503E647E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39" name="Line 6">
            <a:extLst>
              <a:ext uri="{FF2B5EF4-FFF2-40B4-BE49-F238E27FC236}">
                <a16:creationId xmlns:a16="http://schemas.microsoft.com/office/drawing/2014/main" id="{D08B21A0-484A-37F8-00B0-7239850CFF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0" name="Line 7">
            <a:extLst>
              <a:ext uri="{FF2B5EF4-FFF2-40B4-BE49-F238E27FC236}">
                <a16:creationId xmlns:a16="http://schemas.microsoft.com/office/drawing/2014/main" id="{74B3BBDE-3116-0B1B-C4E9-3C38494816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1" name="Line 8">
            <a:extLst>
              <a:ext uri="{FF2B5EF4-FFF2-40B4-BE49-F238E27FC236}">
                <a16:creationId xmlns:a16="http://schemas.microsoft.com/office/drawing/2014/main" id="{9BD2850A-01FE-20A4-DFA2-566F800ADE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42" name="hinh2">
          <a:extLst>
            <a:ext uri="{FF2B5EF4-FFF2-40B4-BE49-F238E27FC236}">
              <a16:creationId xmlns:a16="http://schemas.microsoft.com/office/drawing/2014/main" id="{A6421ADF-1D01-4912-B268-546C281E58B0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43" name="Line 6">
            <a:extLst>
              <a:ext uri="{FF2B5EF4-FFF2-40B4-BE49-F238E27FC236}">
                <a16:creationId xmlns:a16="http://schemas.microsoft.com/office/drawing/2014/main" id="{652603C7-D145-896E-6A96-7D2ACB0DF9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4" name="Line 7">
            <a:extLst>
              <a:ext uri="{FF2B5EF4-FFF2-40B4-BE49-F238E27FC236}">
                <a16:creationId xmlns:a16="http://schemas.microsoft.com/office/drawing/2014/main" id="{B7F797AB-5EA1-4222-D934-729911FEEF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5" name="Line 8">
            <a:extLst>
              <a:ext uri="{FF2B5EF4-FFF2-40B4-BE49-F238E27FC236}">
                <a16:creationId xmlns:a16="http://schemas.microsoft.com/office/drawing/2014/main" id="{A57432C0-672E-7930-82ED-98DBB92491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37</xdr:row>
      <xdr:rowOff>58616</xdr:rowOff>
    </xdr:from>
    <xdr:to>
      <xdr:col>3</xdr:col>
      <xdr:colOff>977635</xdr:colOff>
      <xdr:row>37</xdr:row>
      <xdr:rowOff>249116</xdr:rowOff>
    </xdr:to>
    <xdr:grpSp>
      <xdr:nvGrpSpPr>
        <xdr:cNvPr id="946" name="hinh2">
          <a:extLst>
            <a:ext uri="{FF2B5EF4-FFF2-40B4-BE49-F238E27FC236}">
              <a16:creationId xmlns:a16="http://schemas.microsoft.com/office/drawing/2014/main" id="{4DF4A8B8-4D98-4EAC-8456-983FCC7B36E6}"/>
            </a:ext>
          </a:extLst>
        </xdr:cNvPr>
        <xdr:cNvGrpSpPr>
          <a:grpSpLocks noChangeAspect="1"/>
        </xdr:cNvGrpSpPr>
      </xdr:nvGrpSpPr>
      <xdr:grpSpPr bwMode="auto">
        <a:xfrm>
          <a:off x="2374970" y="13624937"/>
          <a:ext cx="875058" cy="190500"/>
          <a:chOff x="206" y="86"/>
          <a:chExt cx="73" cy="16"/>
        </a:xfrm>
      </xdr:grpSpPr>
      <xdr:sp macro="" textlink="">
        <xdr:nvSpPr>
          <xdr:cNvPr id="947" name="Line 6">
            <a:extLst>
              <a:ext uri="{FF2B5EF4-FFF2-40B4-BE49-F238E27FC236}">
                <a16:creationId xmlns:a16="http://schemas.microsoft.com/office/drawing/2014/main" id="{35613979-33E8-A976-CE72-710ADC2C44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8" name="Line 7">
            <a:extLst>
              <a:ext uri="{FF2B5EF4-FFF2-40B4-BE49-F238E27FC236}">
                <a16:creationId xmlns:a16="http://schemas.microsoft.com/office/drawing/2014/main" id="{AB72B97E-19A3-6D08-13AE-EDFE54039E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9" name="Line 8">
            <a:extLst>
              <a:ext uri="{FF2B5EF4-FFF2-40B4-BE49-F238E27FC236}">
                <a16:creationId xmlns:a16="http://schemas.microsoft.com/office/drawing/2014/main" id="{4D493B81-0115-ED21-8E04-342BAB81A4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37</xdr:row>
      <xdr:rowOff>58616</xdr:rowOff>
    </xdr:from>
    <xdr:to>
      <xdr:col>3</xdr:col>
      <xdr:colOff>977635</xdr:colOff>
      <xdr:row>37</xdr:row>
      <xdr:rowOff>249116</xdr:rowOff>
    </xdr:to>
    <xdr:grpSp>
      <xdr:nvGrpSpPr>
        <xdr:cNvPr id="950" name="hinh2">
          <a:extLst>
            <a:ext uri="{FF2B5EF4-FFF2-40B4-BE49-F238E27FC236}">
              <a16:creationId xmlns:a16="http://schemas.microsoft.com/office/drawing/2014/main" id="{B500201F-88EF-4B4B-B6B8-B2934A8708BE}"/>
            </a:ext>
          </a:extLst>
        </xdr:cNvPr>
        <xdr:cNvGrpSpPr>
          <a:grpSpLocks noChangeAspect="1"/>
        </xdr:cNvGrpSpPr>
      </xdr:nvGrpSpPr>
      <xdr:grpSpPr bwMode="auto">
        <a:xfrm>
          <a:off x="2374970" y="13624937"/>
          <a:ext cx="875058" cy="190500"/>
          <a:chOff x="206" y="86"/>
          <a:chExt cx="73" cy="16"/>
        </a:xfrm>
      </xdr:grpSpPr>
      <xdr:sp macro="" textlink="">
        <xdr:nvSpPr>
          <xdr:cNvPr id="951" name="Line 6">
            <a:extLst>
              <a:ext uri="{FF2B5EF4-FFF2-40B4-BE49-F238E27FC236}">
                <a16:creationId xmlns:a16="http://schemas.microsoft.com/office/drawing/2014/main" id="{5CBCC0AC-F9F0-B211-11CF-FB3DB300AF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2" name="Line 7">
            <a:extLst>
              <a:ext uri="{FF2B5EF4-FFF2-40B4-BE49-F238E27FC236}">
                <a16:creationId xmlns:a16="http://schemas.microsoft.com/office/drawing/2014/main" id="{9E0E49EB-87D3-B594-146A-446CC621FC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3" name="Line 8">
            <a:extLst>
              <a:ext uri="{FF2B5EF4-FFF2-40B4-BE49-F238E27FC236}">
                <a16:creationId xmlns:a16="http://schemas.microsoft.com/office/drawing/2014/main" id="{1C219362-6B77-870F-18F8-B24C4E4BD7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37</xdr:row>
      <xdr:rowOff>58616</xdr:rowOff>
    </xdr:from>
    <xdr:to>
      <xdr:col>3</xdr:col>
      <xdr:colOff>977635</xdr:colOff>
      <xdr:row>37</xdr:row>
      <xdr:rowOff>249116</xdr:rowOff>
    </xdr:to>
    <xdr:grpSp>
      <xdr:nvGrpSpPr>
        <xdr:cNvPr id="954" name="hinh2">
          <a:extLst>
            <a:ext uri="{FF2B5EF4-FFF2-40B4-BE49-F238E27FC236}">
              <a16:creationId xmlns:a16="http://schemas.microsoft.com/office/drawing/2014/main" id="{D2E34EFC-CE64-4200-8AD1-ECBFCF4C1FE2}"/>
            </a:ext>
          </a:extLst>
        </xdr:cNvPr>
        <xdr:cNvGrpSpPr>
          <a:grpSpLocks noChangeAspect="1"/>
        </xdr:cNvGrpSpPr>
      </xdr:nvGrpSpPr>
      <xdr:grpSpPr bwMode="auto">
        <a:xfrm>
          <a:off x="2374970" y="13624937"/>
          <a:ext cx="875058" cy="190500"/>
          <a:chOff x="206" y="86"/>
          <a:chExt cx="73" cy="16"/>
        </a:xfrm>
      </xdr:grpSpPr>
      <xdr:sp macro="" textlink="">
        <xdr:nvSpPr>
          <xdr:cNvPr id="955" name="Line 6">
            <a:extLst>
              <a:ext uri="{FF2B5EF4-FFF2-40B4-BE49-F238E27FC236}">
                <a16:creationId xmlns:a16="http://schemas.microsoft.com/office/drawing/2014/main" id="{520B8AAB-E42A-D638-7A1F-3428AA1684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6" name="Line 7">
            <a:extLst>
              <a:ext uri="{FF2B5EF4-FFF2-40B4-BE49-F238E27FC236}">
                <a16:creationId xmlns:a16="http://schemas.microsoft.com/office/drawing/2014/main" id="{F0E0E598-3267-340B-D968-55C15451D8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7" name="Line 8">
            <a:extLst>
              <a:ext uri="{FF2B5EF4-FFF2-40B4-BE49-F238E27FC236}">
                <a16:creationId xmlns:a16="http://schemas.microsoft.com/office/drawing/2014/main" id="{5E21C530-DC8D-D78A-DD9E-1DF4299DC5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37</xdr:row>
      <xdr:rowOff>58616</xdr:rowOff>
    </xdr:from>
    <xdr:to>
      <xdr:col>3</xdr:col>
      <xdr:colOff>977635</xdr:colOff>
      <xdr:row>37</xdr:row>
      <xdr:rowOff>249116</xdr:rowOff>
    </xdr:to>
    <xdr:grpSp>
      <xdr:nvGrpSpPr>
        <xdr:cNvPr id="958" name="hinh2">
          <a:extLst>
            <a:ext uri="{FF2B5EF4-FFF2-40B4-BE49-F238E27FC236}">
              <a16:creationId xmlns:a16="http://schemas.microsoft.com/office/drawing/2014/main" id="{1337FA30-8A48-4B31-B234-36C7061FDAE5}"/>
            </a:ext>
          </a:extLst>
        </xdr:cNvPr>
        <xdr:cNvGrpSpPr>
          <a:grpSpLocks noChangeAspect="1"/>
        </xdr:cNvGrpSpPr>
      </xdr:nvGrpSpPr>
      <xdr:grpSpPr bwMode="auto">
        <a:xfrm>
          <a:off x="2374970" y="13624937"/>
          <a:ext cx="875058" cy="190500"/>
          <a:chOff x="206" y="86"/>
          <a:chExt cx="73" cy="16"/>
        </a:xfrm>
      </xdr:grpSpPr>
      <xdr:sp macro="" textlink="">
        <xdr:nvSpPr>
          <xdr:cNvPr id="959" name="Line 6">
            <a:extLst>
              <a:ext uri="{FF2B5EF4-FFF2-40B4-BE49-F238E27FC236}">
                <a16:creationId xmlns:a16="http://schemas.microsoft.com/office/drawing/2014/main" id="{5A76CE33-B59D-C868-7D33-C7E57DABC8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0" name="Line 7">
            <a:extLst>
              <a:ext uri="{FF2B5EF4-FFF2-40B4-BE49-F238E27FC236}">
                <a16:creationId xmlns:a16="http://schemas.microsoft.com/office/drawing/2014/main" id="{07E2299B-6F05-CD5F-3949-D70DB51C3E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1" name="Line 8">
            <a:extLst>
              <a:ext uri="{FF2B5EF4-FFF2-40B4-BE49-F238E27FC236}">
                <a16:creationId xmlns:a16="http://schemas.microsoft.com/office/drawing/2014/main" id="{D780786A-52C6-F368-6844-E28274AD16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962" name="hinh2">
          <a:extLst>
            <a:ext uri="{FF2B5EF4-FFF2-40B4-BE49-F238E27FC236}">
              <a16:creationId xmlns:a16="http://schemas.microsoft.com/office/drawing/2014/main" id="{895FC59D-4FA8-4F35-A7A7-EF1CC6BB99EB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963" name="Line 6">
            <a:extLst>
              <a:ext uri="{FF2B5EF4-FFF2-40B4-BE49-F238E27FC236}">
                <a16:creationId xmlns:a16="http://schemas.microsoft.com/office/drawing/2014/main" id="{41CA5EE9-CEA0-97E7-3C3B-0E2230E3B4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4" name="Line 7">
            <a:extLst>
              <a:ext uri="{FF2B5EF4-FFF2-40B4-BE49-F238E27FC236}">
                <a16:creationId xmlns:a16="http://schemas.microsoft.com/office/drawing/2014/main" id="{9EAA7A93-C624-17AC-93E3-94EA0201D2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5" name="Line 8">
            <a:extLst>
              <a:ext uri="{FF2B5EF4-FFF2-40B4-BE49-F238E27FC236}">
                <a16:creationId xmlns:a16="http://schemas.microsoft.com/office/drawing/2014/main" id="{041AAC25-50C2-9E71-027F-90B00F75D4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966" name="hinh2">
          <a:extLst>
            <a:ext uri="{FF2B5EF4-FFF2-40B4-BE49-F238E27FC236}">
              <a16:creationId xmlns:a16="http://schemas.microsoft.com/office/drawing/2014/main" id="{6A53A7BF-7A15-4DD2-BC66-D97C7D938F91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967" name="Line 6">
            <a:extLst>
              <a:ext uri="{FF2B5EF4-FFF2-40B4-BE49-F238E27FC236}">
                <a16:creationId xmlns:a16="http://schemas.microsoft.com/office/drawing/2014/main" id="{71A13E7A-B3C5-3738-9C9E-E580745721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8" name="Line 7">
            <a:extLst>
              <a:ext uri="{FF2B5EF4-FFF2-40B4-BE49-F238E27FC236}">
                <a16:creationId xmlns:a16="http://schemas.microsoft.com/office/drawing/2014/main" id="{BE0BA296-3D22-D08C-1A36-C136BFD4A8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9" name="Line 8">
            <a:extLst>
              <a:ext uri="{FF2B5EF4-FFF2-40B4-BE49-F238E27FC236}">
                <a16:creationId xmlns:a16="http://schemas.microsoft.com/office/drawing/2014/main" id="{A7075260-A21D-9503-1FC8-9C53082B42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970" name="hinh2">
          <a:extLst>
            <a:ext uri="{FF2B5EF4-FFF2-40B4-BE49-F238E27FC236}">
              <a16:creationId xmlns:a16="http://schemas.microsoft.com/office/drawing/2014/main" id="{509BF427-D74F-4C65-95CC-FDBE3911A0B3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971" name="Line 6">
            <a:extLst>
              <a:ext uri="{FF2B5EF4-FFF2-40B4-BE49-F238E27FC236}">
                <a16:creationId xmlns:a16="http://schemas.microsoft.com/office/drawing/2014/main" id="{1C2905A5-834D-F8E9-12FA-FA50019613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2" name="Line 7">
            <a:extLst>
              <a:ext uri="{FF2B5EF4-FFF2-40B4-BE49-F238E27FC236}">
                <a16:creationId xmlns:a16="http://schemas.microsoft.com/office/drawing/2014/main" id="{60290114-FE31-AD86-29A5-930D935069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3" name="Line 8">
            <a:extLst>
              <a:ext uri="{FF2B5EF4-FFF2-40B4-BE49-F238E27FC236}">
                <a16:creationId xmlns:a16="http://schemas.microsoft.com/office/drawing/2014/main" id="{CCE5B9CD-3107-247C-311A-861391FBBF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974" name="hinh2">
          <a:extLst>
            <a:ext uri="{FF2B5EF4-FFF2-40B4-BE49-F238E27FC236}">
              <a16:creationId xmlns:a16="http://schemas.microsoft.com/office/drawing/2014/main" id="{21E2CD96-EC62-4B78-9A60-54649F489716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975" name="Line 6">
            <a:extLst>
              <a:ext uri="{FF2B5EF4-FFF2-40B4-BE49-F238E27FC236}">
                <a16:creationId xmlns:a16="http://schemas.microsoft.com/office/drawing/2014/main" id="{8D150AD4-4D18-B9D5-B6EC-8DD651D302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6" name="Line 7">
            <a:extLst>
              <a:ext uri="{FF2B5EF4-FFF2-40B4-BE49-F238E27FC236}">
                <a16:creationId xmlns:a16="http://schemas.microsoft.com/office/drawing/2014/main" id="{F2FAA0F2-0C67-47D9-9AFE-C4D207FE0C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7" name="Line 8">
            <a:extLst>
              <a:ext uri="{FF2B5EF4-FFF2-40B4-BE49-F238E27FC236}">
                <a16:creationId xmlns:a16="http://schemas.microsoft.com/office/drawing/2014/main" id="{C6761921-853A-17E6-9C99-7593B65243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78" name="hinh2">
          <a:extLst>
            <a:ext uri="{FF2B5EF4-FFF2-40B4-BE49-F238E27FC236}">
              <a16:creationId xmlns:a16="http://schemas.microsoft.com/office/drawing/2014/main" id="{3F79636C-9699-446C-A374-482413F52A91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79" name="Line 6">
            <a:extLst>
              <a:ext uri="{FF2B5EF4-FFF2-40B4-BE49-F238E27FC236}">
                <a16:creationId xmlns:a16="http://schemas.microsoft.com/office/drawing/2014/main" id="{BDF57344-FFBB-D87F-9D31-3D3E7CE057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0" name="Line 7">
            <a:extLst>
              <a:ext uri="{FF2B5EF4-FFF2-40B4-BE49-F238E27FC236}">
                <a16:creationId xmlns:a16="http://schemas.microsoft.com/office/drawing/2014/main" id="{CB87ECC8-8E12-C5BC-8C0F-CC6B1FA75E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1" name="Line 8">
            <a:extLst>
              <a:ext uri="{FF2B5EF4-FFF2-40B4-BE49-F238E27FC236}">
                <a16:creationId xmlns:a16="http://schemas.microsoft.com/office/drawing/2014/main" id="{7FD9FD26-9B5D-6D34-F4BD-439F9C677C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82" name="hinh2">
          <a:extLst>
            <a:ext uri="{FF2B5EF4-FFF2-40B4-BE49-F238E27FC236}">
              <a16:creationId xmlns:a16="http://schemas.microsoft.com/office/drawing/2014/main" id="{CBD35F18-5BC6-4D89-BC4B-A6FBFBB35F12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83" name="Line 6">
            <a:extLst>
              <a:ext uri="{FF2B5EF4-FFF2-40B4-BE49-F238E27FC236}">
                <a16:creationId xmlns:a16="http://schemas.microsoft.com/office/drawing/2014/main" id="{2A83EAA1-EEF8-24A3-46A9-6F74656FCB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4" name="Line 7">
            <a:extLst>
              <a:ext uri="{FF2B5EF4-FFF2-40B4-BE49-F238E27FC236}">
                <a16:creationId xmlns:a16="http://schemas.microsoft.com/office/drawing/2014/main" id="{7A7C38A1-486C-3CBD-1ECD-1D9D867E83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5" name="Line 8">
            <a:extLst>
              <a:ext uri="{FF2B5EF4-FFF2-40B4-BE49-F238E27FC236}">
                <a16:creationId xmlns:a16="http://schemas.microsoft.com/office/drawing/2014/main" id="{21389439-92D1-9F54-4230-F34CEF9DDE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86" name="hinh2">
          <a:extLst>
            <a:ext uri="{FF2B5EF4-FFF2-40B4-BE49-F238E27FC236}">
              <a16:creationId xmlns:a16="http://schemas.microsoft.com/office/drawing/2014/main" id="{4BF1F0CD-8A41-4AFE-9A99-A40898B166F1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87" name="Line 6">
            <a:extLst>
              <a:ext uri="{FF2B5EF4-FFF2-40B4-BE49-F238E27FC236}">
                <a16:creationId xmlns:a16="http://schemas.microsoft.com/office/drawing/2014/main" id="{9DFE3D26-73D8-B5E1-1484-75DFC1221A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8" name="Line 7">
            <a:extLst>
              <a:ext uri="{FF2B5EF4-FFF2-40B4-BE49-F238E27FC236}">
                <a16:creationId xmlns:a16="http://schemas.microsoft.com/office/drawing/2014/main" id="{4876A5BD-5E4F-501E-4ECF-F44928BB12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9" name="Line 8">
            <a:extLst>
              <a:ext uri="{FF2B5EF4-FFF2-40B4-BE49-F238E27FC236}">
                <a16:creationId xmlns:a16="http://schemas.microsoft.com/office/drawing/2014/main" id="{8BF6AA42-8B4D-145C-7075-3750FE8240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990" name="hinh2">
          <a:extLst>
            <a:ext uri="{FF2B5EF4-FFF2-40B4-BE49-F238E27FC236}">
              <a16:creationId xmlns:a16="http://schemas.microsoft.com/office/drawing/2014/main" id="{0E61136B-EC0E-4D4B-929C-6333C70E6B98}"/>
            </a:ext>
          </a:extLst>
        </xdr:cNvPr>
        <xdr:cNvGrpSpPr>
          <a:grpSpLocks noChangeAspect="1"/>
        </xdr:cNvGrpSpPr>
      </xdr:nvGrpSpPr>
      <xdr:grpSpPr bwMode="auto">
        <a:xfrm>
          <a:off x="2374970" y="12835723"/>
          <a:ext cx="875058" cy="190500"/>
          <a:chOff x="206" y="86"/>
          <a:chExt cx="73" cy="16"/>
        </a:xfrm>
      </xdr:grpSpPr>
      <xdr:sp macro="" textlink="">
        <xdr:nvSpPr>
          <xdr:cNvPr id="991" name="Line 6">
            <a:extLst>
              <a:ext uri="{FF2B5EF4-FFF2-40B4-BE49-F238E27FC236}">
                <a16:creationId xmlns:a16="http://schemas.microsoft.com/office/drawing/2014/main" id="{359151A8-7436-FA78-B1E3-8AA4FE5018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2" name="Line 7">
            <a:extLst>
              <a:ext uri="{FF2B5EF4-FFF2-40B4-BE49-F238E27FC236}">
                <a16:creationId xmlns:a16="http://schemas.microsoft.com/office/drawing/2014/main" id="{76E8DD22-D838-1006-32D2-3EB3625DD5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3" name="Line 8">
            <a:extLst>
              <a:ext uri="{FF2B5EF4-FFF2-40B4-BE49-F238E27FC236}">
                <a16:creationId xmlns:a16="http://schemas.microsoft.com/office/drawing/2014/main" id="{A7B85FDD-C4A0-489D-8B92-7036730A6A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33</xdr:row>
      <xdr:rowOff>58616</xdr:rowOff>
    </xdr:from>
    <xdr:to>
      <xdr:col>3</xdr:col>
      <xdr:colOff>977635</xdr:colOff>
      <xdr:row>33</xdr:row>
      <xdr:rowOff>249116</xdr:rowOff>
    </xdr:to>
    <xdr:grpSp>
      <xdr:nvGrpSpPr>
        <xdr:cNvPr id="1018" name="hinh2">
          <a:extLst>
            <a:ext uri="{FF2B5EF4-FFF2-40B4-BE49-F238E27FC236}">
              <a16:creationId xmlns:a16="http://schemas.microsoft.com/office/drawing/2014/main" id="{D8ADF0C3-7765-4049-A997-32EAD2075CAB}"/>
            </a:ext>
          </a:extLst>
        </xdr:cNvPr>
        <xdr:cNvGrpSpPr>
          <a:grpSpLocks noChangeAspect="1"/>
        </xdr:cNvGrpSpPr>
      </xdr:nvGrpSpPr>
      <xdr:grpSpPr bwMode="auto">
        <a:xfrm>
          <a:off x="2374970" y="12046509"/>
          <a:ext cx="875058" cy="190500"/>
          <a:chOff x="206" y="86"/>
          <a:chExt cx="73" cy="16"/>
        </a:xfrm>
      </xdr:grpSpPr>
      <xdr:sp macro="" textlink="">
        <xdr:nvSpPr>
          <xdr:cNvPr id="1019" name="Line 6">
            <a:extLst>
              <a:ext uri="{FF2B5EF4-FFF2-40B4-BE49-F238E27FC236}">
                <a16:creationId xmlns:a16="http://schemas.microsoft.com/office/drawing/2014/main" id="{B9DAAF21-7B88-B393-1F0E-5425DDAAF3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0" name="Line 7">
            <a:extLst>
              <a:ext uri="{FF2B5EF4-FFF2-40B4-BE49-F238E27FC236}">
                <a16:creationId xmlns:a16="http://schemas.microsoft.com/office/drawing/2014/main" id="{A7F9CD56-23A0-BB1D-36E8-B2473336F4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1" name="Line 8">
            <a:extLst>
              <a:ext uri="{FF2B5EF4-FFF2-40B4-BE49-F238E27FC236}">
                <a16:creationId xmlns:a16="http://schemas.microsoft.com/office/drawing/2014/main" id="{BABD8142-B48B-91A8-3A28-8E6FB1B46F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1022" name="hinh2">
          <a:extLst>
            <a:ext uri="{FF2B5EF4-FFF2-40B4-BE49-F238E27FC236}">
              <a16:creationId xmlns:a16="http://schemas.microsoft.com/office/drawing/2014/main" id="{3A04984D-B18F-4379-9207-57328D3B4F37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1023" name="Line 6">
            <a:extLst>
              <a:ext uri="{FF2B5EF4-FFF2-40B4-BE49-F238E27FC236}">
                <a16:creationId xmlns:a16="http://schemas.microsoft.com/office/drawing/2014/main" id="{F3B45901-8C75-5F52-E458-0A16DCEC33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4" name="Line 7">
            <a:extLst>
              <a:ext uri="{FF2B5EF4-FFF2-40B4-BE49-F238E27FC236}">
                <a16:creationId xmlns:a16="http://schemas.microsoft.com/office/drawing/2014/main" id="{1918066B-8548-6E15-E2D4-4B77202A64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5" name="Line 8">
            <a:extLst>
              <a:ext uri="{FF2B5EF4-FFF2-40B4-BE49-F238E27FC236}">
                <a16:creationId xmlns:a16="http://schemas.microsoft.com/office/drawing/2014/main" id="{92D73817-F235-C72A-25D7-BF1034E2B7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1026" name="hinh2">
          <a:extLst>
            <a:ext uri="{FF2B5EF4-FFF2-40B4-BE49-F238E27FC236}">
              <a16:creationId xmlns:a16="http://schemas.microsoft.com/office/drawing/2014/main" id="{F9D11BCB-F3B2-46A5-8B86-831CAFF80AAA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1027" name="Line 6">
            <a:extLst>
              <a:ext uri="{FF2B5EF4-FFF2-40B4-BE49-F238E27FC236}">
                <a16:creationId xmlns:a16="http://schemas.microsoft.com/office/drawing/2014/main" id="{77B535A6-F4B7-1BCB-76E4-8F893E90890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7">
            <a:extLst>
              <a:ext uri="{FF2B5EF4-FFF2-40B4-BE49-F238E27FC236}">
                <a16:creationId xmlns:a16="http://schemas.microsoft.com/office/drawing/2014/main" id="{E5CD4EA9-360F-4B90-F7BE-F1045AFA24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8">
            <a:extLst>
              <a:ext uri="{FF2B5EF4-FFF2-40B4-BE49-F238E27FC236}">
                <a16:creationId xmlns:a16="http://schemas.microsoft.com/office/drawing/2014/main" id="{A95A9E4D-AC95-B1AC-7534-57243359F8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34</xdr:row>
      <xdr:rowOff>58616</xdr:rowOff>
    </xdr:from>
    <xdr:to>
      <xdr:col>3</xdr:col>
      <xdr:colOff>977635</xdr:colOff>
      <xdr:row>34</xdr:row>
      <xdr:rowOff>249116</xdr:rowOff>
    </xdr:to>
    <xdr:grpSp>
      <xdr:nvGrpSpPr>
        <xdr:cNvPr id="1030" name="hinh2">
          <a:extLst>
            <a:ext uri="{FF2B5EF4-FFF2-40B4-BE49-F238E27FC236}">
              <a16:creationId xmlns:a16="http://schemas.microsoft.com/office/drawing/2014/main" id="{B9CF53BE-F5ED-40ED-AD02-EED577D23591}"/>
            </a:ext>
          </a:extLst>
        </xdr:cNvPr>
        <xdr:cNvGrpSpPr>
          <a:grpSpLocks noChangeAspect="1"/>
        </xdr:cNvGrpSpPr>
      </xdr:nvGrpSpPr>
      <xdr:grpSpPr bwMode="auto">
        <a:xfrm>
          <a:off x="2374970" y="12441116"/>
          <a:ext cx="875058" cy="190500"/>
          <a:chOff x="206" y="86"/>
          <a:chExt cx="73" cy="16"/>
        </a:xfrm>
      </xdr:grpSpPr>
      <xdr:sp macro="" textlink="">
        <xdr:nvSpPr>
          <xdr:cNvPr id="1031" name="Line 6">
            <a:extLst>
              <a:ext uri="{FF2B5EF4-FFF2-40B4-BE49-F238E27FC236}">
                <a16:creationId xmlns:a16="http://schemas.microsoft.com/office/drawing/2014/main" id="{0FE37B63-FC95-F13A-8DBE-FBD06FA05F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7">
            <a:extLst>
              <a:ext uri="{FF2B5EF4-FFF2-40B4-BE49-F238E27FC236}">
                <a16:creationId xmlns:a16="http://schemas.microsoft.com/office/drawing/2014/main" id="{5DD3EBCA-CD44-08C5-BB7A-C19988A3BE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Line 8">
            <a:extLst>
              <a:ext uri="{FF2B5EF4-FFF2-40B4-BE49-F238E27FC236}">
                <a16:creationId xmlns:a16="http://schemas.microsoft.com/office/drawing/2014/main" id="{22FD77B0-35D5-FC0E-3F3B-35E5477D1B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34" name="hinh2">
          <a:extLst>
            <a:ext uri="{FF2B5EF4-FFF2-40B4-BE49-F238E27FC236}">
              <a16:creationId xmlns:a16="http://schemas.microsoft.com/office/drawing/2014/main" id="{B71934D9-5632-4153-9FA9-EF8DBD88055B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35" name="Line 6">
            <a:extLst>
              <a:ext uri="{FF2B5EF4-FFF2-40B4-BE49-F238E27FC236}">
                <a16:creationId xmlns:a16="http://schemas.microsoft.com/office/drawing/2014/main" id="{4233BA4C-981F-BFE3-F428-BA12013C23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7">
            <a:extLst>
              <a:ext uri="{FF2B5EF4-FFF2-40B4-BE49-F238E27FC236}">
                <a16:creationId xmlns:a16="http://schemas.microsoft.com/office/drawing/2014/main" id="{0FB2DA99-FF8D-D928-2020-A3B82456E6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8">
            <a:extLst>
              <a:ext uri="{FF2B5EF4-FFF2-40B4-BE49-F238E27FC236}">
                <a16:creationId xmlns:a16="http://schemas.microsoft.com/office/drawing/2014/main" id="{B24EAD1F-3D66-9117-D0A6-9CAC4C5E56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38" name="hinh2">
          <a:extLst>
            <a:ext uri="{FF2B5EF4-FFF2-40B4-BE49-F238E27FC236}">
              <a16:creationId xmlns:a16="http://schemas.microsoft.com/office/drawing/2014/main" id="{1C65A072-DF0A-46C0-B64F-AF4A275BD93E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39" name="Line 6">
            <a:extLst>
              <a:ext uri="{FF2B5EF4-FFF2-40B4-BE49-F238E27FC236}">
                <a16:creationId xmlns:a16="http://schemas.microsoft.com/office/drawing/2014/main" id="{262965F3-4FA4-246D-1E3F-8AED9A8D66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7">
            <a:extLst>
              <a:ext uri="{FF2B5EF4-FFF2-40B4-BE49-F238E27FC236}">
                <a16:creationId xmlns:a16="http://schemas.microsoft.com/office/drawing/2014/main" id="{8DBD98E7-7A65-6AA6-D1F1-97A16FB1F3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8">
            <a:extLst>
              <a:ext uri="{FF2B5EF4-FFF2-40B4-BE49-F238E27FC236}">
                <a16:creationId xmlns:a16="http://schemas.microsoft.com/office/drawing/2014/main" id="{66872183-079D-B13C-28DA-954B30A3A7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42" name="hinh2">
          <a:extLst>
            <a:ext uri="{FF2B5EF4-FFF2-40B4-BE49-F238E27FC236}">
              <a16:creationId xmlns:a16="http://schemas.microsoft.com/office/drawing/2014/main" id="{B18524EB-8EB4-4A11-8482-E0DFD320B1A2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43" name="Line 6">
            <a:extLst>
              <a:ext uri="{FF2B5EF4-FFF2-40B4-BE49-F238E27FC236}">
                <a16:creationId xmlns:a16="http://schemas.microsoft.com/office/drawing/2014/main" id="{0E2B602C-3CE4-5B72-AE17-829573FE5D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7">
            <a:extLst>
              <a:ext uri="{FF2B5EF4-FFF2-40B4-BE49-F238E27FC236}">
                <a16:creationId xmlns:a16="http://schemas.microsoft.com/office/drawing/2014/main" id="{A59D16EC-985E-57D7-6775-2097063AE6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8">
            <a:extLst>
              <a:ext uri="{FF2B5EF4-FFF2-40B4-BE49-F238E27FC236}">
                <a16:creationId xmlns:a16="http://schemas.microsoft.com/office/drawing/2014/main" id="{DCEA0E58-59C0-D577-F678-22A9AB5D2C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46" name="hinh2">
          <a:extLst>
            <a:ext uri="{FF2B5EF4-FFF2-40B4-BE49-F238E27FC236}">
              <a16:creationId xmlns:a16="http://schemas.microsoft.com/office/drawing/2014/main" id="{526CE155-4E94-4883-A5C8-D0C26F75B6DE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47" name="Line 6">
            <a:extLst>
              <a:ext uri="{FF2B5EF4-FFF2-40B4-BE49-F238E27FC236}">
                <a16:creationId xmlns:a16="http://schemas.microsoft.com/office/drawing/2014/main" id="{DB164ADC-C068-3D6E-7342-94BB9E5391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7">
            <a:extLst>
              <a:ext uri="{FF2B5EF4-FFF2-40B4-BE49-F238E27FC236}">
                <a16:creationId xmlns:a16="http://schemas.microsoft.com/office/drawing/2014/main" id="{B78D8CBF-8668-3D2A-E95A-2C58E6E8F7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8">
            <a:extLst>
              <a:ext uri="{FF2B5EF4-FFF2-40B4-BE49-F238E27FC236}">
                <a16:creationId xmlns:a16="http://schemas.microsoft.com/office/drawing/2014/main" id="{888E14B9-C724-1EC0-8588-2823B741F2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50" name="hinh2">
          <a:extLst>
            <a:ext uri="{FF2B5EF4-FFF2-40B4-BE49-F238E27FC236}">
              <a16:creationId xmlns:a16="http://schemas.microsoft.com/office/drawing/2014/main" id="{1C4BC00C-D046-4ADC-992B-A26E6DD2BFD8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51" name="Line 6">
            <a:extLst>
              <a:ext uri="{FF2B5EF4-FFF2-40B4-BE49-F238E27FC236}">
                <a16:creationId xmlns:a16="http://schemas.microsoft.com/office/drawing/2014/main" id="{BB4D57C2-CA7B-EFB7-8EAF-7E4EBFAD69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Line 7">
            <a:extLst>
              <a:ext uri="{FF2B5EF4-FFF2-40B4-BE49-F238E27FC236}">
                <a16:creationId xmlns:a16="http://schemas.microsoft.com/office/drawing/2014/main" id="{EBAB59E8-BC15-8183-7BF1-98BC1F7F9B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3" name="Line 8">
            <a:extLst>
              <a:ext uri="{FF2B5EF4-FFF2-40B4-BE49-F238E27FC236}">
                <a16:creationId xmlns:a16="http://schemas.microsoft.com/office/drawing/2014/main" id="{039D94B9-2899-8DD1-85D0-90FA3DD506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54" name="hinh2">
          <a:extLst>
            <a:ext uri="{FF2B5EF4-FFF2-40B4-BE49-F238E27FC236}">
              <a16:creationId xmlns:a16="http://schemas.microsoft.com/office/drawing/2014/main" id="{1B2B616D-E66C-45C1-A8B3-1920A0B3D286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55" name="Line 6">
            <a:extLst>
              <a:ext uri="{FF2B5EF4-FFF2-40B4-BE49-F238E27FC236}">
                <a16:creationId xmlns:a16="http://schemas.microsoft.com/office/drawing/2014/main" id="{F5A2D6BE-80D9-2573-1ABC-990E6962D7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7">
            <a:extLst>
              <a:ext uri="{FF2B5EF4-FFF2-40B4-BE49-F238E27FC236}">
                <a16:creationId xmlns:a16="http://schemas.microsoft.com/office/drawing/2014/main" id="{1CBB9E6E-16A1-F368-92F4-17D45B2727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Line 8">
            <a:extLst>
              <a:ext uri="{FF2B5EF4-FFF2-40B4-BE49-F238E27FC236}">
                <a16:creationId xmlns:a16="http://schemas.microsoft.com/office/drawing/2014/main" id="{BFEDC9F1-6EFE-15F7-902B-F55C535E25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58" name="hinh2">
          <a:extLst>
            <a:ext uri="{FF2B5EF4-FFF2-40B4-BE49-F238E27FC236}">
              <a16:creationId xmlns:a16="http://schemas.microsoft.com/office/drawing/2014/main" id="{64EF46F2-9AD5-4756-B30D-CB0A0FBD321D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59" name="Line 6">
            <a:extLst>
              <a:ext uri="{FF2B5EF4-FFF2-40B4-BE49-F238E27FC236}">
                <a16:creationId xmlns:a16="http://schemas.microsoft.com/office/drawing/2014/main" id="{1878BF62-0303-87B1-9670-3A11A18E6D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Line 7">
            <a:extLst>
              <a:ext uri="{FF2B5EF4-FFF2-40B4-BE49-F238E27FC236}">
                <a16:creationId xmlns:a16="http://schemas.microsoft.com/office/drawing/2014/main" id="{73CB056C-1F02-4CED-B3B6-D5F36F4CFB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Line 8">
            <a:extLst>
              <a:ext uri="{FF2B5EF4-FFF2-40B4-BE49-F238E27FC236}">
                <a16:creationId xmlns:a16="http://schemas.microsoft.com/office/drawing/2014/main" id="{2C609A93-A90C-08B5-1D5D-AAF2393929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36</xdr:row>
      <xdr:rowOff>58616</xdr:rowOff>
    </xdr:from>
    <xdr:to>
      <xdr:col>3</xdr:col>
      <xdr:colOff>977635</xdr:colOff>
      <xdr:row>36</xdr:row>
      <xdr:rowOff>249116</xdr:rowOff>
    </xdr:to>
    <xdr:grpSp>
      <xdr:nvGrpSpPr>
        <xdr:cNvPr id="1062" name="hinh2">
          <a:extLst>
            <a:ext uri="{FF2B5EF4-FFF2-40B4-BE49-F238E27FC236}">
              <a16:creationId xmlns:a16="http://schemas.microsoft.com/office/drawing/2014/main" id="{FC683D17-661F-4DD7-86EA-DF5522A8D0C6}"/>
            </a:ext>
          </a:extLst>
        </xdr:cNvPr>
        <xdr:cNvGrpSpPr>
          <a:grpSpLocks noChangeAspect="1"/>
        </xdr:cNvGrpSpPr>
      </xdr:nvGrpSpPr>
      <xdr:grpSpPr bwMode="auto">
        <a:xfrm>
          <a:off x="2374970" y="13230330"/>
          <a:ext cx="875058" cy="190500"/>
          <a:chOff x="206" y="86"/>
          <a:chExt cx="73" cy="16"/>
        </a:xfrm>
      </xdr:grpSpPr>
      <xdr:sp macro="" textlink="">
        <xdr:nvSpPr>
          <xdr:cNvPr id="1063" name="Line 6">
            <a:extLst>
              <a:ext uri="{FF2B5EF4-FFF2-40B4-BE49-F238E27FC236}">
                <a16:creationId xmlns:a16="http://schemas.microsoft.com/office/drawing/2014/main" id="{5C342BB7-4B56-1989-9F43-2802E89C1E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Line 7">
            <a:extLst>
              <a:ext uri="{FF2B5EF4-FFF2-40B4-BE49-F238E27FC236}">
                <a16:creationId xmlns:a16="http://schemas.microsoft.com/office/drawing/2014/main" id="{17331DFC-ADFD-AF01-4573-7EE7839CF2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Line 8">
            <a:extLst>
              <a:ext uri="{FF2B5EF4-FFF2-40B4-BE49-F238E27FC236}">
                <a16:creationId xmlns:a16="http://schemas.microsoft.com/office/drawing/2014/main" id="{786EAFC3-AFAA-2064-A592-970BF80520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127</xdr:row>
      <xdr:rowOff>80596</xdr:rowOff>
    </xdr:from>
    <xdr:to>
      <xdr:col>3</xdr:col>
      <xdr:colOff>970308</xdr:colOff>
      <xdr:row>127</xdr:row>
      <xdr:rowOff>244279</xdr:rowOff>
    </xdr:to>
    <xdr:grpSp>
      <xdr:nvGrpSpPr>
        <xdr:cNvPr id="1066" name="hinh2">
          <a:extLst>
            <a:ext uri="{FF2B5EF4-FFF2-40B4-BE49-F238E27FC236}">
              <a16:creationId xmlns:a16="http://schemas.microsoft.com/office/drawing/2014/main" id="{450FC3C3-FA99-4473-BD87-3AC9BDA08A0B}"/>
            </a:ext>
          </a:extLst>
        </xdr:cNvPr>
        <xdr:cNvGrpSpPr>
          <a:grpSpLocks noChangeAspect="1"/>
        </xdr:cNvGrpSpPr>
      </xdr:nvGrpSpPr>
      <xdr:grpSpPr bwMode="auto">
        <a:xfrm>
          <a:off x="2367643" y="48916632"/>
          <a:ext cx="875058" cy="163683"/>
          <a:chOff x="206" y="86"/>
          <a:chExt cx="73" cy="16"/>
        </a:xfrm>
      </xdr:grpSpPr>
      <xdr:sp macro="" textlink="">
        <xdr:nvSpPr>
          <xdr:cNvPr id="1067" name="Line 6">
            <a:extLst>
              <a:ext uri="{FF2B5EF4-FFF2-40B4-BE49-F238E27FC236}">
                <a16:creationId xmlns:a16="http://schemas.microsoft.com/office/drawing/2014/main" id="{9A52BB35-92BA-BEB1-2FAF-FBDDDF1AD3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Line 7">
            <a:extLst>
              <a:ext uri="{FF2B5EF4-FFF2-40B4-BE49-F238E27FC236}">
                <a16:creationId xmlns:a16="http://schemas.microsoft.com/office/drawing/2014/main" id="{D8B67D59-3982-9298-E9B2-D7DE3D0287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8">
            <a:extLst>
              <a:ext uri="{FF2B5EF4-FFF2-40B4-BE49-F238E27FC236}">
                <a16:creationId xmlns:a16="http://schemas.microsoft.com/office/drawing/2014/main" id="{869731E9-CCB4-C63C-C5E0-4938DAB4D9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132</xdr:row>
      <xdr:rowOff>58616</xdr:rowOff>
    </xdr:from>
    <xdr:to>
      <xdr:col>3</xdr:col>
      <xdr:colOff>977635</xdr:colOff>
      <xdr:row>132</xdr:row>
      <xdr:rowOff>249116</xdr:rowOff>
    </xdr:to>
    <xdr:grpSp>
      <xdr:nvGrpSpPr>
        <xdr:cNvPr id="1070" name="hinh2">
          <a:extLst>
            <a:ext uri="{FF2B5EF4-FFF2-40B4-BE49-F238E27FC236}">
              <a16:creationId xmlns:a16="http://schemas.microsoft.com/office/drawing/2014/main" id="{FE0FF10F-EA73-4205-A901-7142FEE5AFDC}"/>
            </a:ext>
          </a:extLst>
        </xdr:cNvPr>
        <xdr:cNvGrpSpPr>
          <a:grpSpLocks noChangeAspect="1"/>
        </xdr:cNvGrpSpPr>
      </xdr:nvGrpSpPr>
      <xdr:grpSpPr bwMode="auto">
        <a:xfrm>
          <a:off x="2374970" y="50867687"/>
          <a:ext cx="875058" cy="190500"/>
          <a:chOff x="206" y="86"/>
          <a:chExt cx="73" cy="16"/>
        </a:xfrm>
      </xdr:grpSpPr>
      <xdr:sp macro="" textlink="">
        <xdr:nvSpPr>
          <xdr:cNvPr id="1071" name="Line 6">
            <a:extLst>
              <a:ext uri="{FF2B5EF4-FFF2-40B4-BE49-F238E27FC236}">
                <a16:creationId xmlns:a16="http://schemas.microsoft.com/office/drawing/2014/main" id="{FDA1754D-0CAD-3D0B-F24E-D57709CF3B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2" name="Line 7">
            <a:extLst>
              <a:ext uri="{FF2B5EF4-FFF2-40B4-BE49-F238E27FC236}">
                <a16:creationId xmlns:a16="http://schemas.microsoft.com/office/drawing/2014/main" id="{0FC781AE-CFB8-FDBC-C35D-678F2241BA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Line 8">
            <a:extLst>
              <a:ext uri="{FF2B5EF4-FFF2-40B4-BE49-F238E27FC236}">
                <a16:creationId xmlns:a16="http://schemas.microsoft.com/office/drawing/2014/main" id="{C75316B6-E7FF-C090-8D56-3DFCBF4766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133</xdr:row>
      <xdr:rowOff>80596</xdr:rowOff>
    </xdr:from>
    <xdr:to>
      <xdr:col>3</xdr:col>
      <xdr:colOff>970308</xdr:colOff>
      <xdr:row>133</xdr:row>
      <xdr:rowOff>244279</xdr:rowOff>
    </xdr:to>
    <xdr:grpSp>
      <xdr:nvGrpSpPr>
        <xdr:cNvPr id="1230" name="hinh2">
          <a:extLst>
            <a:ext uri="{FF2B5EF4-FFF2-40B4-BE49-F238E27FC236}">
              <a16:creationId xmlns:a16="http://schemas.microsoft.com/office/drawing/2014/main" id="{A663D0F8-97F2-4A24-9FCD-0DDDCFF1D1EA}"/>
            </a:ext>
          </a:extLst>
        </xdr:cNvPr>
        <xdr:cNvGrpSpPr>
          <a:grpSpLocks noChangeAspect="1"/>
        </xdr:cNvGrpSpPr>
      </xdr:nvGrpSpPr>
      <xdr:grpSpPr bwMode="auto">
        <a:xfrm>
          <a:off x="2367643" y="51284275"/>
          <a:ext cx="875058" cy="163683"/>
          <a:chOff x="206" y="86"/>
          <a:chExt cx="73" cy="16"/>
        </a:xfrm>
      </xdr:grpSpPr>
      <xdr:sp macro="" textlink="">
        <xdr:nvSpPr>
          <xdr:cNvPr id="1231" name="Line 6">
            <a:extLst>
              <a:ext uri="{FF2B5EF4-FFF2-40B4-BE49-F238E27FC236}">
                <a16:creationId xmlns:a16="http://schemas.microsoft.com/office/drawing/2014/main" id="{D40C8D84-49E6-DBDC-400E-E4665479E8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2" name="Line 7">
            <a:extLst>
              <a:ext uri="{FF2B5EF4-FFF2-40B4-BE49-F238E27FC236}">
                <a16:creationId xmlns:a16="http://schemas.microsoft.com/office/drawing/2014/main" id="{809C2759-1449-E06F-EB66-EEAC59985F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3" name="Line 8">
            <a:extLst>
              <a:ext uri="{FF2B5EF4-FFF2-40B4-BE49-F238E27FC236}">
                <a16:creationId xmlns:a16="http://schemas.microsoft.com/office/drawing/2014/main" id="{DC713D4B-1EBC-A005-E223-21751FE2F0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134</xdr:row>
      <xdr:rowOff>58616</xdr:rowOff>
    </xdr:from>
    <xdr:to>
      <xdr:col>3</xdr:col>
      <xdr:colOff>977635</xdr:colOff>
      <xdr:row>134</xdr:row>
      <xdr:rowOff>249116</xdr:rowOff>
    </xdr:to>
    <xdr:grpSp>
      <xdr:nvGrpSpPr>
        <xdr:cNvPr id="1234" name="hinh2">
          <a:extLst>
            <a:ext uri="{FF2B5EF4-FFF2-40B4-BE49-F238E27FC236}">
              <a16:creationId xmlns:a16="http://schemas.microsoft.com/office/drawing/2014/main" id="{CC3ADB2B-C01B-41E1-AF91-D37FF9CAEAB0}"/>
            </a:ext>
          </a:extLst>
        </xdr:cNvPr>
        <xdr:cNvGrpSpPr>
          <a:grpSpLocks noChangeAspect="1"/>
        </xdr:cNvGrpSpPr>
      </xdr:nvGrpSpPr>
      <xdr:grpSpPr bwMode="auto">
        <a:xfrm>
          <a:off x="2374970" y="51656902"/>
          <a:ext cx="875058" cy="190500"/>
          <a:chOff x="206" y="86"/>
          <a:chExt cx="73" cy="16"/>
        </a:xfrm>
      </xdr:grpSpPr>
      <xdr:sp macro="" textlink="">
        <xdr:nvSpPr>
          <xdr:cNvPr id="1235" name="Line 6">
            <a:extLst>
              <a:ext uri="{FF2B5EF4-FFF2-40B4-BE49-F238E27FC236}">
                <a16:creationId xmlns:a16="http://schemas.microsoft.com/office/drawing/2014/main" id="{D4633D28-7F01-EE51-F95F-423735D913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6" name="Line 7">
            <a:extLst>
              <a:ext uri="{FF2B5EF4-FFF2-40B4-BE49-F238E27FC236}">
                <a16:creationId xmlns:a16="http://schemas.microsoft.com/office/drawing/2014/main" id="{F4B8AF04-3AF8-003E-72C1-ED38E43963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7" name="Line 8">
            <a:extLst>
              <a:ext uri="{FF2B5EF4-FFF2-40B4-BE49-F238E27FC236}">
                <a16:creationId xmlns:a16="http://schemas.microsoft.com/office/drawing/2014/main" id="{3457EA3B-49FF-2DED-A4E1-2057300A80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135</xdr:row>
      <xdr:rowOff>58616</xdr:rowOff>
    </xdr:from>
    <xdr:to>
      <xdr:col>3</xdr:col>
      <xdr:colOff>977635</xdr:colOff>
      <xdr:row>135</xdr:row>
      <xdr:rowOff>249116</xdr:rowOff>
    </xdr:to>
    <xdr:grpSp>
      <xdr:nvGrpSpPr>
        <xdr:cNvPr id="1238" name="hinh2">
          <a:extLst>
            <a:ext uri="{FF2B5EF4-FFF2-40B4-BE49-F238E27FC236}">
              <a16:creationId xmlns:a16="http://schemas.microsoft.com/office/drawing/2014/main" id="{5F90642A-8E1C-48CB-B9DE-7142E33588C3}"/>
            </a:ext>
          </a:extLst>
        </xdr:cNvPr>
        <xdr:cNvGrpSpPr>
          <a:grpSpLocks noChangeAspect="1"/>
        </xdr:cNvGrpSpPr>
      </xdr:nvGrpSpPr>
      <xdr:grpSpPr bwMode="auto">
        <a:xfrm>
          <a:off x="2374970" y="52051509"/>
          <a:ext cx="875058" cy="190500"/>
          <a:chOff x="206" y="86"/>
          <a:chExt cx="73" cy="16"/>
        </a:xfrm>
      </xdr:grpSpPr>
      <xdr:sp macro="" textlink="">
        <xdr:nvSpPr>
          <xdr:cNvPr id="1239" name="Line 6">
            <a:extLst>
              <a:ext uri="{FF2B5EF4-FFF2-40B4-BE49-F238E27FC236}">
                <a16:creationId xmlns:a16="http://schemas.microsoft.com/office/drawing/2014/main" id="{4099CA87-91B2-9992-3494-3C86E12AE5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0" name="Line 7">
            <a:extLst>
              <a:ext uri="{FF2B5EF4-FFF2-40B4-BE49-F238E27FC236}">
                <a16:creationId xmlns:a16="http://schemas.microsoft.com/office/drawing/2014/main" id="{B027ADF6-3D4E-D9C4-0FB9-F098B8617A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1" name="Line 8">
            <a:extLst>
              <a:ext uri="{FF2B5EF4-FFF2-40B4-BE49-F238E27FC236}">
                <a16:creationId xmlns:a16="http://schemas.microsoft.com/office/drawing/2014/main" id="{A8191F30-1FC0-D8D7-2A95-BCD0773D8B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242" name="hinh2">
          <a:extLst>
            <a:ext uri="{FF2B5EF4-FFF2-40B4-BE49-F238E27FC236}">
              <a16:creationId xmlns:a16="http://schemas.microsoft.com/office/drawing/2014/main" id="{662E9C05-A026-4D66-83B9-D02DA9DA4B46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243" name="Line 6">
            <a:extLst>
              <a:ext uri="{FF2B5EF4-FFF2-40B4-BE49-F238E27FC236}">
                <a16:creationId xmlns:a16="http://schemas.microsoft.com/office/drawing/2014/main" id="{DDA0223E-60DA-9F60-32BC-24D512B8DD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4" name="Line 7">
            <a:extLst>
              <a:ext uri="{FF2B5EF4-FFF2-40B4-BE49-F238E27FC236}">
                <a16:creationId xmlns:a16="http://schemas.microsoft.com/office/drawing/2014/main" id="{5448FCE4-829C-9FEA-90F0-37D651AE13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5" name="Line 8">
            <a:extLst>
              <a:ext uri="{FF2B5EF4-FFF2-40B4-BE49-F238E27FC236}">
                <a16:creationId xmlns:a16="http://schemas.microsoft.com/office/drawing/2014/main" id="{EA29BEEF-FD3C-C014-C266-B3D1F94BA1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246" name="hinh2">
          <a:extLst>
            <a:ext uri="{FF2B5EF4-FFF2-40B4-BE49-F238E27FC236}">
              <a16:creationId xmlns:a16="http://schemas.microsoft.com/office/drawing/2014/main" id="{A2F01DF7-D0C2-4838-A544-A0EE66CD2910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247" name="Line 6">
            <a:extLst>
              <a:ext uri="{FF2B5EF4-FFF2-40B4-BE49-F238E27FC236}">
                <a16:creationId xmlns:a16="http://schemas.microsoft.com/office/drawing/2014/main" id="{19FA443A-9EE2-76B3-B715-E6EE55C33C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8" name="Line 7">
            <a:extLst>
              <a:ext uri="{FF2B5EF4-FFF2-40B4-BE49-F238E27FC236}">
                <a16:creationId xmlns:a16="http://schemas.microsoft.com/office/drawing/2014/main" id="{F11FFD9B-5180-0A2C-B0C3-F882795C32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9" name="Line 8">
            <a:extLst>
              <a:ext uri="{FF2B5EF4-FFF2-40B4-BE49-F238E27FC236}">
                <a16:creationId xmlns:a16="http://schemas.microsoft.com/office/drawing/2014/main" id="{40A3C736-E862-6F96-DB08-8779206360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135</xdr:row>
      <xdr:rowOff>58616</xdr:rowOff>
    </xdr:from>
    <xdr:to>
      <xdr:col>3</xdr:col>
      <xdr:colOff>977635</xdr:colOff>
      <xdr:row>135</xdr:row>
      <xdr:rowOff>249116</xdr:rowOff>
    </xdr:to>
    <xdr:grpSp>
      <xdr:nvGrpSpPr>
        <xdr:cNvPr id="1254" name="hinh2">
          <a:extLst>
            <a:ext uri="{FF2B5EF4-FFF2-40B4-BE49-F238E27FC236}">
              <a16:creationId xmlns:a16="http://schemas.microsoft.com/office/drawing/2014/main" id="{360651A4-5F5E-4604-B2EF-ED3FE60F6F1D}"/>
            </a:ext>
          </a:extLst>
        </xdr:cNvPr>
        <xdr:cNvGrpSpPr>
          <a:grpSpLocks noChangeAspect="1"/>
        </xdr:cNvGrpSpPr>
      </xdr:nvGrpSpPr>
      <xdr:grpSpPr bwMode="auto">
        <a:xfrm>
          <a:off x="2374970" y="52051509"/>
          <a:ext cx="875058" cy="190500"/>
          <a:chOff x="206" y="86"/>
          <a:chExt cx="73" cy="16"/>
        </a:xfrm>
      </xdr:grpSpPr>
      <xdr:sp macro="" textlink="">
        <xdr:nvSpPr>
          <xdr:cNvPr id="1255" name="Line 6">
            <a:extLst>
              <a:ext uri="{FF2B5EF4-FFF2-40B4-BE49-F238E27FC236}">
                <a16:creationId xmlns:a16="http://schemas.microsoft.com/office/drawing/2014/main" id="{C49AA462-DB17-D6D7-E82A-07C9322B62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6" name="Line 7">
            <a:extLst>
              <a:ext uri="{FF2B5EF4-FFF2-40B4-BE49-F238E27FC236}">
                <a16:creationId xmlns:a16="http://schemas.microsoft.com/office/drawing/2014/main" id="{E5B473C8-E69D-4B0B-639D-9F9F6DF6DD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7" name="Line 8">
            <a:extLst>
              <a:ext uri="{FF2B5EF4-FFF2-40B4-BE49-F238E27FC236}">
                <a16:creationId xmlns:a16="http://schemas.microsoft.com/office/drawing/2014/main" id="{802B1272-AE1B-DDE0-1079-5CD0578731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258" name="hinh2">
          <a:extLst>
            <a:ext uri="{FF2B5EF4-FFF2-40B4-BE49-F238E27FC236}">
              <a16:creationId xmlns:a16="http://schemas.microsoft.com/office/drawing/2014/main" id="{80FC6974-9E1B-48F7-B56A-3A88BC05DB5D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259" name="Line 6">
            <a:extLst>
              <a:ext uri="{FF2B5EF4-FFF2-40B4-BE49-F238E27FC236}">
                <a16:creationId xmlns:a16="http://schemas.microsoft.com/office/drawing/2014/main" id="{29245C55-5213-FD9C-550E-5C13B0F165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0" name="Line 7">
            <a:extLst>
              <a:ext uri="{FF2B5EF4-FFF2-40B4-BE49-F238E27FC236}">
                <a16:creationId xmlns:a16="http://schemas.microsoft.com/office/drawing/2014/main" id="{3449193D-A413-E511-F0D1-01FDDEB553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1" name="Line 8">
            <a:extLst>
              <a:ext uri="{FF2B5EF4-FFF2-40B4-BE49-F238E27FC236}">
                <a16:creationId xmlns:a16="http://schemas.microsoft.com/office/drawing/2014/main" id="{FAC3C3E3-47FF-8DEC-27CC-6F11A5280B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262" name="hinh2">
          <a:extLst>
            <a:ext uri="{FF2B5EF4-FFF2-40B4-BE49-F238E27FC236}">
              <a16:creationId xmlns:a16="http://schemas.microsoft.com/office/drawing/2014/main" id="{173CA698-791C-4A2C-A4B1-F8A8507D4FCE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263" name="Line 6">
            <a:extLst>
              <a:ext uri="{FF2B5EF4-FFF2-40B4-BE49-F238E27FC236}">
                <a16:creationId xmlns:a16="http://schemas.microsoft.com/office/drawing/2014/main" id="{82D83EF4-8669-8B82-CAEA-7DD47DDF7D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4" name="Line 7">
            <a:extLst>
              <a:ext uri="{FF2B5EF4-FFF2-40B4-BE49-F238E27FC236}">
                <a16:creationId xmlns:a16="http://schemas.microsoft.com/office/drawing/2014/main" id="{759A2DA2-3374-B67D-81EE-2D80F70001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5" name="Line 8">
            <a:extLst>
              <a:ext uri="{FF2B5EF4-FFF2-40B4-BE49-F238E27FC236}">
                <a16:creationId xmlns:a16="http://schemas.microsoft.com/office/drawing/2014/main" id="{8DC7F6E4-0A65-0A42-FF2F-10058615B6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266" name="hinh2">
          <a:extLst>
            <a:ext uri="{FF2B5EF4-FFF2-40B4-BE49-F238E27FC236}">
              <a16:creationId xmlns:a16="http://schemas.microsoft.com/office/drawing/2014/main" id="{E0592744-3071-4C16-AF23-411260A0CADF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267" name="Line 6">
            <a:extLst>
              <a:ext uri="{FF2B5EF4-FFF2-40B4-BE49-F238E27FC236}">
                <a16:creationId xmlns:a16="http://schemas.microsoft.com/office/drawing/2014/main" id="{667C49F4-285B-233D-FD0E-3649CB7C01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8" name="Line 7">
            <a:extLst>
              <a:ext uri="{FF2B5EF4-FFF2-40B4-BE49-F238E27FC236}">
                <a16:creationId xmlns:a16="http://schemas.microsoft.com/office/drawing/2014/main" id="{ABAFA3A6-062F-1584-6694-B1543D8274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9" name="Line 8">
            <a:extLst>
              <a:ext uri="{FF2B5EF4-FFF2-40B4-BE49-F238E27FC236}">
                <a16:creationId xmlns:a16="http://schemas.microsoft.com/office/drawing/2014/main" id="{2DEBAA19-595C-31BC-56C8-56128DB2E6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270" name="hinh2">
          <a:extLst>
            <a:ext uri="{FF2B5EF4-FFF2-40B4-BE49-F238E27FC236}">
              <a16:creationId xmlns:a16="http://schemas.microsoft.com/office/drawing/2014/main" id="{F1F473A2-6CA2-4156-9C87-231A9C6DBC88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271" name="Line 6">
            <a:extLst>
              <a:ext uri="{FF2B5EF4-FFF2-40B4-BE49-F238E27FC236}">
                <a16:creationId xmlns:a16="http://schemas.microsoft.com/office/drawing/2014/main" id="{BD968DB1-23DF-5C92-DED8-B80BC35409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2" name="Line 7">
            <a:extLst>
              <a:ext uri="{FF2B5EF4-FFF2-40B4-BE49-F238E27FC236}">
                <a16:creationId xmlns:a16="http://schemas.microsoft.com/office/drawing/2014/main" id="{5F78C200-F46D-C29A-8016-125A8EB24F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3" name="Line 8">
            <a:extLst>
              <a:ext uri="{FF2B5EF4-FFF2-40B4-BE49-F238E27FC236}">
                <a16:creationId xmlns:a16="http://schemas.microsoft.com/office/drawing/2014/main" id="{70984669-E78B-9C00-D319-CAD6976076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274" name="hinh2">
          <a:extLst>
            <a:ext uri="{FF2B5EF4-FFF2-40B4-BE49-F238E27FC236}">
              <a16:creationId xmlns:a16="http://schemas.microsoft.com/office/drawing/2014/main" id="{B1AE4584-BE93-4194-8F0D-BF544705DD01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275" name="Line 6">
            <a:extLst>
              <a:ext uri="{FF2B5EF4-FFF2-40B4-BE49-F238E27FC236}">
                <a16:creationId xmlns:a16="http://schemas.microsoft.com/office/drawing/2014/main" id="{4B67948E-E38E-2242-252D-F21E6888D1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6" name="Line 7">
            <a:extLst>
              <a:ext uri="{FF2B5EF4-FFF2-40B4-BE49-F238E27FC236}">
                <a16:creationId xmlns:a16="http://schemas.microsoft.com/office/drawing/2014/main" id="{E8DFD38F-91AD-3C86-17BF-52DBFD5282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" name="Line 8">
            <a:extLst>
              <a:ext uri="{FF2B5EF4-FFF2-40B4-BE49-F238E27FC236}">
                <a16:creationId xmlns:a16="http://schemas.microsoft.com/office/drawing/2014/main" id="{C9E6D8E3-CC8E-BD2C-A7D1-8ECF85CBA5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294" name="hinh2">
          <a:extLst>
            <a:ext uri="{FF2B5EF4-FFF2-40B4-BE49-F238E27FC236}">
              <a16:creationId xmlns:a16="http://schemas.microsoft.com/office/drawing/2014/main" id="{461344FE-B16A-47EF-BB75-90AEA1A330B6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295" name="Line 6">
            <a:extLst>
              <a:ext uri="{FF2B5EF4-FFF2-40B4-BE49-F238E27FC236}">
                <a16:creationId xmlns:a16="http://schemas.microsoft.com/office/drawing/2014/main" id="{48904443-6B34-D294-A0CC-9F74E07A3A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6" name="Line 7">
            <a:extLst>
              <a:ext uri="{FF2B5EF4-FFF2-40B4-BE49-F238E27FC236}">
                <a16:creationId xmlns:a16="http://schemas.microsoft.com/office/drawing/2014/main" id="{60725383-5AB1-02B9-EBD3-8BB31FB1AA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7" name="Line 8">
            <a:extLst>
              <a:ext uri="{FF2B5EF4-FFF2-40B4-BE49-F238E27FC236}">
                <a16:creationId xmlns:a16="http://schemas.microsoft.com/office/drawing/2014/main" id="{03F5CFAD-D89F-D498-937B-0608BC43B3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298" name="hinh2">
          <a:extLst>
            <a:ext uri="{FF2B5EF4-FFF2-40B4-BE49-F238E27FC236}">
              <a16:creationId xmlns:a16="http://schemas.microsoft.com/office/drawing/2014/main" id="{DC67255D-1FCC-416B-8B0E-A1884A4D0FB8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299" name="Line 6">
            <a:extLst>
              <a:ext uri="{FF2B5EF4-FFF2-40B4-BE49-F238E27FC236}">
                <a16:creationId xmlns:a16="http://schemas.microsoft.com/office/drawing/2014/main" id="{00A22DFD-84E8-63F0-F182-C3F991C044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0" name="Line 7">
            <a:extLst>
              <a:ext uri="{FF2B5EF4-FFF2-40B4-BE49-F238E27FC236}">
                <a16:creationId xmlns:a16="http://schemas.microsoft.com/office/drawing/2014/main" id="{98CC8DD2-593A-C0E9-A9C1-1555B19055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1" name="Line 8">
            <a:extLst>
              <a:ext uri="{FF2B5EF4-FFF2-40B4-BE49-F238E27FC236}">
                <a16:creationId xmlns:a16="http://schemas.microsoft.com/office/drawing/2014/main" id="{3CAB3A04-58AC-DB9B-F3BE-FE0C7B62F6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02" name="hinh2">
          <a:extLst>
            <a:ext uri="{FF2B5EF4-FFF2-40B4-BE49-F238E27FC236}">
              <a16:creationId xmlns:a16="http://schemas.microsoft.com/office/drawing/2014/main" id="{B5A5F3E1-4526-46C4-A500-27744C5DF027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03" name="Line 6">
            <a:extLst>
              <a:ext uri="{FF2B5EF4-FFF2-40B4-BE49-F238E27FC236}">
                <a16:creationId xmlns:a16="http://schemas.microsoft.com/office/drawing/2014/main" id="{A1A62AE6-8B6D-2CC7-A305-A05071E99D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4" name="Line 7">
            <a:extLst>
              <a:ext uri="{FF2B5EF4-FFF2-40B4-BE49-F238E27FC236}">
                <a16:creationId xmlns:a16="http://schemas.microsoft.com/office/drawing/2014/main" id="{5EC7485B-B622-4C54-6A44-FC5E4968A8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5" name="Line 8">
            <a:extLst>
              <a:ext uri="{FF2B5EF4-FFF2-40B4-BE49-F238E27FC236}">
                <a16:creationId xmlns:a16="http://schemas.microsoft.com/office/drawing/2014/main" id="{8DDA98B8-34D8-4531-00BF-011D6606A7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06" name="hinh2">
          <a:extLst>
            <a:ext uri="{FF2B5EF4-FFF2-40B4-BE49-F238E27FC236}">
              <a16:creationId xmlns:a16="http://schemas.microsoft.com/office/drawing/2014/main" id="{817FC19D-302C-48B7-A49E-FC665C2574BF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07" name="Line 6">
            <a:extLst>
              <a:ext uri="{FF2B5EF4-FFF2-40B4-BE49-F238E27FC236}">
                <a16:creationId xmlns:a16="http://schemas.microsoft.com/office/drawing/2014/main" id="{6DD65FFF-B206-6D4F-3C71-063466ABA9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8" name="Line 7">
            <a:extLst>
              <a:ext uri="{FF2B5EF4-FFF2-40B4-BE49-F238E27FC236}">
                <a16:creationId xmlns:a16="http://schemas.microsoft.com/office/drawing/2014/main" id="{CBE22511-39B3-B296-90D9-55D23849E4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9" name="Line 8">
            <a:extLst>
              <a:ext uri="{FF2B5EF4-FFF2-40B4-BE49-F238E27FC236}">
                <a16:creationId xmlns:a16="http://schemas.microsoft.com/office/drawing/2014/main" id="{9BB06CB4-A952-A482-5D3C-644D216DBF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310" name="hinh2">
          <a:extLst>
            <a:ext uri="{FF2B5EF4-FFF2-40B4-BE49-F238E27FC236}">
              <a16:creationId xmlns:a16="http://schemas.microsoft.com/office/drawing/2014/main" id="{1B322AF3-98D6-4A43-857A-DB445A8F7A14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311" name="Line 6">
            <a:extLst>
              <a:ext uri="{FF2B5EF4-FFF2-40B4-BE49-F238E27FC236}">
                <a16:creationId xmlns:a16="http://schemas.microsoft.com/office/drawing/2014/main" id="{1D006E93-6298-0DAF-619E-99E7567663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2" name="Line 7">
            <a:extLst>
              <a:ext uri="{FF2B5EF4-FFF2-40B4-BE49-F238E27FC236}">
                <a16:creationId xmlns:a16="http://schemas.microsoft.com/office/drawing/2014/main" id="{9F4EA482-EE43-95E5-A0CD-CFF743D759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3" name="Line 8">
            <a:extLst>
              <a:ext uri="{FF2B5EF4-FFF2-40B4-BE49-F238E27FC236}">
                <a16:creationId xmlns:a16="http://schemas.microsoft.com/office/drawing/2014/main" id="{AE371038-5036-7485-4274-DEC35954EE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314" name="hinh2">
          <a:extLst>
            <a:ext uri="{FF2B5EF4-FFF2-40B4-BE49-F238E27FC236}">
              <a16:creationId xmlns:a16="http://schemas.microsoft.com/office/drawing/2014/main" id="{30084901-3244-4790-B624-FBE16F39F1D1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315" name="Line 6">
            <a:extLst>
              <a:ext uri="{FF2B5EF4-FFF2-40B4-BE49-F238E27FC236}">
                <a16:creationId xmlns:a16="http://schemas.microsoft.com/office/drawing/2014/main" id="{49AFEC8C-F1B6-3104-F67D-4E8047EEAA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" name="Line 7">
            <a:extLst>
              <a:ext uri="{FF2B5EF4-FFF2-40B4-BE49-F238E27FC236}">
                <a16:creationId xmlns:a16="http://schemas.microsoft.com/office/drawing/2014/main" id="{7DC8B1A7-F1D2-45A5-B945-AD182D7B3C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7" name="Line 8">
            <a:extLst>
              <a:ext uri="{FF2B5EF4-FFF2-40B4-BE49-F238E27FC236}">
                <a16:creationId xmlns:a16="http://schemas.microsoft.com/office/drawing/2014/main" id="{4D526EAD-8E2C-F1B2-F449-3728CD3932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318" name="hinh2">
          <a:extLst>
            <a:ext uri="{FF2B5EF4-FFF2-40B4-BE49-F238E27FC236}">
              <a16:creationId xmlns:a16="http://schemas.microsoft.com/office/drawing/2014/main" id="{E9BCF3A1-76BD-44AC-85D2-0E87DB78B813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319" name="Line 6">
            <a:extLst>
              <a:ext uri="{FF2B5EF4-FFF2-40B4-BE49-F238E27FC236}">
                <a16:creationId xmlns:a16="http://schemas.microsoft.com/office/drawing/2014/main" id="{5133EBBE-9D42-E2F2-9A92-3E5C6C06E8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0" name="Line 7">
            <a:extLst>
              <a:ext uri="{FF2B5EF4-FFF2-40B4-BE49-F238E27FC236}">
                <a16:creationId xmlns:a16="http://schemas.microsoft.com/office/drawing/2014/main" id="{7A8987F1-2292-43AE-909D-786B920AB7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1" name="Line 8">
            <a:extLst>
              <a:ext uri="{FF2B5EF4-FFF2-40B4-BE49-F238E27FC236}">
                <a16:creationId xmlns:a16="http://schemas.microsoft.com/office/drawing/2014/main" id="{F47BF396-4759-3D68-E8EC-BD57788E0F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137</xdr:row>
      <xdr:rowOff>58616</xdr:rowOff>
    </xdr:from>
    <xdr:to>
      <xdr:col>3</xdr:col>
      <xdr:colOff>977635</xdr:colOff>
      <xdr:row>137</xdr:row>
      <xdr:rowOff>249116</xdr:rowOff>
    </xdr:to>
    <xdr:grpSp>
      <xdr:nvGrpSpPr>
        <xdr:cNvPr id="1322" name="hinh2">
          <a:extLst>
            <a:ext uri="{FF2B5EF4-FFF2-40B4-BE49-F238E27FC236}">
              <a16:creationId xmlns:a16="http://schemas.microsoft.com/office/drawing/2014/main" id="{1389E630-B836-4FE0-842B-BE7E25AC8F30}"/>
            </a:ext>
          </a:extLst>
        </xdr:cNvPr>
        <xdr:cNvGrpSpPr>
          <a:grpSpLocks noChangeAspect="1"/>
        </xdr:cNvGrpSpPr>
      </xdr:nvGrpSpPr>
      <xdr:grpSpPr bwMode="auto">
        <a:xfrm>
          <a:off x="2374970" y="52840723"/>
          <a:ext cx="875058" cy="190500"/>
          <a:chOff x="206" y="86"/>
          <a:chExt cx="73" cy="16"/>
        </a:xfrm>
      </xdr:grpSpPr>
      <xdr:sp macro="" textlink="">
        <xdr:nvSpPr>
          <xdr:cNvPr id="1323" name="Line 6">
            <a:extLst>
              <a:ext uri="{FF2B5EF4-FFF2-40B4-BE49-F238E27FC236}">
                <a16:creationId xmlns:a16="http://schemas.microsoft.com/office/drawing/2014/main" id="{5BC32488-D190-580F-8F62-473BABC20D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4" name="Line 7">
            <a:extLst>
              <a:ext uri="{FF2B5EF4-FFF2-40B4-BE49-F238E27FC236}">
                <a16:creationId xmlns:a16="http://schemas.microsoft.com/office/drawing/2014/main" id="{E19B9213-A53C-A29C-AA13-1896CE6BD4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5" name="Line 8">
            <a:extLst>
              <a:ext uri="{FF2B5EF4-FFF2-40B4-BE49-F238E27FC236}">
                <a16:creationId xmlns:a16="http://schemas.microsoft.com/office/drawing/2014/main" id="{413AF40A-78EB-622E-8CCF-6C8DE10B36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135</xdr:row>
      <xdr:rowOff>58616</xdr:rowOff>
    </xdr:from>
    <xdr:to>
      <xdr:col>3</xdr:col>
      <xdr:colOff>977635</xdr:colOff>
      <xdr:row>135</xdr:row>
      <xdr:rowOff>249116</xdr:rowOff>
    </xdr:to>
    <xdr:grpSp>
      <xdr:nvGrpSpPr>
        <xdr:cNvPr id="1326" name="hinh2">
          <a:extLst>
            <a:ext uri="{FF2B5EF4-FFF2-40B4-BE49-F238E27FC236}">
              <a16:creationId xmlns:a16="http://schemas.microsoft.com/office/drawing/2014/main" id="{70AF9DEF-B0EB-4924-9499-5D16BA792A1F}"/>
            </a:ext>
          </a:extLst>
        </xdr:cNvPr>
        <xdr:cNvGrpSpPr>
          <a:grpSpLocks noChangeAspect="1"/>
        </xdr:cNvGrpSpPr>
      </xdr:nvGrpSpPr>
      <xdr:grpSpPr bwMode="auto">
        <a:xfrm>
          <a:off x="2374970" y="52051509"/>
          <a:ext cx="875058" cy="190500"/>
          <a:chOff x="206" y="86"/>
          <a:chExt cx="73" cy="16"/>
        </a:xfrm>
      </xdr:grpSpPr>
      <xdr:sp macro="" textlink="">
        <xdr:nvSpPr>
          <xdr:cNvPr id="1327" name="Line 6">
            <a:extLst>
              <a:ext uri="{FF2B5EF4-FFF2-40B4-BE49-F238E27FC236}">
                <a16:creationId xmlns:a16="http://schemas.microsoft.com/office/drawing/2014/main" id="{5A5CB462-4585-B451-6022-012E369C33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8" name="Line 7">
            <a:extLst>
              <a:ext uri="{FF2B5EF4-FFF2-40B4-BE49-F238E27FC236}">
                <a16:creationId xmlns:a16="http://schemas.microsoft.com/office/drawing/2014/main" id="{0C6303F5-594F-DFC5-4821-A293CC9AEB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9" name="Line 8">
            <a:extLst>
              <a:ext uri="{FF2B5EF4-FFF2-40B4-BE49-F238E27FC236}">
                <a16:creationId xmlns:a16="http://schemas.microsoft.com/office/drawing/2014/main" id="{3AEBB6B3-2EBC-015C-CD71-F88B117177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330" name="hinh2">
          <a:extLst>
            <a:ext uri="{FF2B5EF4-FFF2-40B4-BE49-F238E27FC236}">
              <a16:creationId xmlns:a16="http://schemas.microsoft.com/office/drawing/2014/main" id="{2759ABB9-D212-4966-8D76-F339090A69B0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331" name="Line 6">
            <a:extLst>
              <a:ext uri="{FF2B5EF4-FFF2-40B4-BE49-F238E27FC236}">
                <a16:creationId xmlns:a16="http://schemas.microsoft.com/office/drawing/2014/main" id="{1F5647E3-B571-AA94-0F03-81EAECD5E8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2" name="Line 7">
            <a:extLst>
              <a:ext uri="{FF2B5EF4-FFF2-40B4-BE49-F238E27FC236}">
                <a16:creationId xmlns:a16="http://schemas.microsoft.com/office/drawing/2014/main" id="{FB318DB7-5BAC-ECD8-6047-742EE7651E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3" name="Line 8">
            <a:extLst>
              <a:ext uri="{FF2B5EF4-FFF2-40B4-BE49-F238E27FC236}">
                <a16:creationId xmlns:a16="http://schemas.microsoft.com/office/drawing/2014/main" id="{1345631A-AA1C-0685-B650-AFFE82ACCB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334" name="hinh2">
          <a:extLst>
            <a:ext uri="{FF2B5EF4-FFF2-40B4-BE49-F238E27FC236}">
              <a16:creationId xmlns:a16="http://schemas.microsoft.com/office/drawing/2014/main" id="{2E279213-1B51-41D8-8287-C8B45EC4C7D0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335" name="Line 6">
            <a:extLst>
              <a:ext uri="{FF2B5EF4-FFF2-40B4-BE49-F238E27FC236}">
                <a16:creationId xmlns:a16="http://schemas.microsoft.com/office/drawing/2014/main" id="{6C6F216F-CCD2-A94D-72CA-1704BC2FBB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" name="Line 7">
            <a:extLst>
              <a:ext uri="{FF2B5EF4-FFF2-40B4-BE49-F238E27FC236}">
                <a16:creationId xmlns:a16="http://schemas.microsoft.com/office/drawing/2014/main" id="{3B75D9D3-54C6-22D2-1544-F3148E3143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7" name="Line 8">
            <a:extLst>
              <a:ext uri="{FF2B5EF4-FFF2-40B4-BE49-F238E27FC236}">
                <a16:creationId xmlns:a16="http://schemas.microsoft.com/office/drawing/2014/main" id="{D7C9088E-35BB-676B-753B-1E8338D43F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136</xdr:row>
      <xdr:rowOff>58616</xdr:rowOff>
    </xdr:from>
    <xdr:to>
      <xdr:col>3</xdr:col>
      <xdr:colOff>977635</xdr:colOff>
      <xdr:row>136</xdr:row>
      <xdr:rowOff>249116</xdr:rowOff>
    </xdr:to>
    <xdr:grpSp>
      <xdr:nvGrpSpPr>
        <xdr:cNvPr id="1338" name="hinh2">
          <a:extLst>
            <a:ext uri="{FF2B5EF4-FFF2-40B4-BE49-F238E27FC236}">
              <a16:creationId xmlns:a16="http://schemas.microsoft.com/office/drawing/2014/main" id="{AE8D12C8-45F5-444E-A179-F6F8D504B16C}"/>
            </a:ext>
          </a:extLst>
        </xdr:cNvPr>
        <xdr:cNvGrpSpPr>
          <a:grpSpLocks noChangeAspect="1"/>
        </xdr:cNvGrpSpPr>
      </xdr:nvGrpSpPr>
      <xdr:grpSpPr bwMode="auto">
        <a:xfrm>
          <a:off x="2374970" y="52446116"/>
          <a:ext cx="875058" cy="190500"/>
          <a:chOff x="206" y="86"/>
          <a:chExt cx="73" cy="16"/>
        </a:xfrm>
      </xdr:grpSpPr>
      <xdr:sp macro="" textlink="">
        <xdr:nvSpPr>
          <xdr:cNvPr id="1339" name="Line 6">
            <a:extLst>
              <a:ext uri="{FF2B5EF4-FFF2-40B4-BE49-F238E27FC236}">
                <a16:creationId xmlns:a16="http://schemas.microsoft.com/office/drawing/2014/main" id="{6C745FF9-5347-524B-6F61-855F64DC75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0" name="Line 7">
            <a:extLst>
              <a:ext uri="{FF2B5EF4-FFF2-40B4-BE49-F238E27FC236}">
                <a16:creationId xmlns:a16="http://schemas.microsoft.com/office/drawing/2014/main" id="{337C0522-FBF7-3C23-8C03-EDD4E8D538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1" name="Line 8">
            <a:extLst>
              <a:ext uri="{FF2B5EF4-FFF2-40B4-BE49-F238E27FC236}">
                <a16:creationId xmlns:a16="http://schemas.microsoft.com/office/drawing/2014/main" id="{6ACE1FDE-6030-4638-A2FB-8EF431FF9B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42" name="hinh2">
          <a:extLst>
            <a:ext uri="{FF2B5EF4-FFF2-40B4-BE49-F238E27FC236}">
              <a16:creationId xmlns:a16="http://schemas.microsoft.com/office/drawing/2014/main" id="{8D3D8FF8-5339-49BC-9947-8363BE9AA909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43" name="Line 6">
            <a:extLst>
              <a:ext uri="{FF2B5EF4-FFF2-40B4-BE49-F238E27FC236}">
                <a16:creationId xmlns:a16="http://schemas.microsoft.com/office/drawing/2014/main" id="{AE709234-73C0-7944-5967-37CDC614CA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4" name="Line 7">
            <a:extLst>
              <a:ext uri="{FF2B5EF4-FFF2-40B4-BE49-F238E27FC236}">
                <a16:creationId xmlns:a16="http://schemas.microsoft.com/office/drawing/2014/main" id="{83E02641-28E8-2128-1E91-E036A79C9E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5" name="Line 8">
            <a:extLst>
              <a:ext uri="{FF2B5EF4-FFF2-40B4-BE49-F238E27FC236}">
                <a16:creationId xmlns:a16="http://schemas.microsoft.com/office/drawing/2014/main" id="{50A7CB3B-B5E6-5794-0FA6-8FF17B352B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46" name="hinh2">
          <a:extLst>
            <a:ext uri="{FF2B5EF4-FFF2-40B4-BE49-F238E27FC236}">
              <a16:creationId xmlns:a16="http://schemas.microsoft.com/office/drawing/2014/main" id="{9FDE0367-254D-4481-A1C2-DE7A80EA63B9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47" name="Line 6">
            <a:extLst>
              <a:ext uri="{FF2B5EF4-FFF2-40B4-BE49-F238E27FC236}">
                <a16:creationId xmlns:a16="http://schemas.microsoft.com/office/drawing/2014/main" id="{7C0C4DA8-7EB8-6911-4572-73B0BD0F61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8" name="Line 7">
            <a:extLst>
              <a:ext uri="{FF2B5EF4-FFF2-40B4-BE49-F238E27FC236}">
                <a16:creationId xmlns:a16="http://schemas.microsoft.com/office/drawing/2014/main" id="{2325986D-099A-4898-FDC5-1FABD29558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9" name="Line 8">
            <a:extLst>
              <a:ext uri="{FF2B5EF4-FFF2-40B4-BE49-F238E27FC236}">
                <a16:creationId xmlns:a16="http://schemas.microsoft.com/office/drawing/2014/main" id="{B102E1D2-CF6D-A1F2-104C-DA7C1F5805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50" name="hinh2">
          <a:extLst>
            <a:ext uri="{FF2B5EF4-FFF2-40B4-BE49-F238E27FC236}">
              <a16:creationId xmlns:a16="http://schemas.microsoft.com/office/drawing/2014/main" id="{88618F5D-D89A-4FF6-A77C-2259467DB37B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51" name="Line 6">
            <a:extLst>
              <a:ext uri="{FF2B5EF4-FFF2-40B4-BE49-F238E27FC236}">
                <a16:creationId xmlns:a16="http://schemas.microsoft.com/office/drawing/2014/main" id="{1ECE7D60-E818-3E9D-ED10-0B30B8D5F6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2" name="Line 7">
            <a:extLst>
              <a:ext uri="{FF2B5EF4-FFF2-40B4-BE49-F238E27FC236}">
                <a16:creationId xmlns:a16="http://schemas.microsoft.com/office/drawing/2014/main" id="{11B20C29-8D94-E2C0-6F65-9A9B606D41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3" name="Line 8">
            <a:extLst>
              <a:ext uri="{FF2B5EF4-FFF2-40B4-BE49-F238E27FC236}">
                <a16:creationId xmlns:a16="http://schemas.microsoft.com/office/drawing/2014/main" id="{C6330F07-D255-EBD1-5BE7-D4E8770D4E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54" name="hinh2">
          <a:extLst>
            <a:ext uri="{FF2B5EF4-FFF2-40B4-BE49-F238E27FC236}">
              <a16:creationId xmlns:a16="http://schemas.microsoft.com/office/drawing/2014/main" id="{C9A4E82C-9175-4563-AE40-8165895B78B8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55" name="Line 6">
            <a:extLst>
              <a:ext uri="{FF2B5EF4-FFF2-40B4-BE49-F238E27FC236}">
                <a16:creationId xmlns:a16="http://schemas.microsoft.com/office/drawing/2014/main" id="{DB32A17A-0DFF-25C8-AD25-4E4FA32210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6" name="Line 7">
            <a:extLst>
              <a:ext uri="{FF2B5EF4-FFF2-40B4-BE49-F238E27FC236}">
                <a16:creationId xmlns:a16="http://schemas.microsoft.com/office/drawing/2014/main" id="{807BF5D1-31F5-529E-5286-13F5CB1E68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7" name="Line 8">
            <a:extLst>
              <a:ext uri="{FF2B5EF4-FFF2-40B4-BE49-F238E27FC236}">
                <a16:creationId xmlns:a16="http://schemas.microsoft.com/office/drawing/2014/main" id="{C9D16532-955C-2505-9015-ABC64680A5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58" name="hinh2">
          <a:extLst>
            <a:ext uri="{FF2B5EF4-FFF2-40B4-BE49-F238E27FC236}">
              <a16:creationId xmlns:a16="http://schemas.microsoft.com/office/drawing/2014/main" id="{6E17F029-B343-4916-BC57-8192FAA063D7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59" name="Line 6">
            <a:extLst>
              <a:ext uri="{FF2B5EF4-FFF2-40B4-BE49-F238E27FC236}">
                <a16:creationId xmlns:a16="http://schemas.microsoft.com/office/drawing/2014/main" id="{7EA6FEE3-1D62-5386-94B7-F4EAA88CFB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0" name="Line 7">
            <a:extLst>
              <a:ext uri="{FF2B5EF4-FFF2-40B4-BE49-F238E27FC236}">
                <a16:creationId xmlns:a16="http://schemas.microsoft.com/office/drawing/2014/main" id="{A5E8E501-9E31-D73B-67C0-C2958E0B69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1" name="Line 8">
            <a:extLst>
              <a:ext uri="{FF2B5EF4-FFF2-40B4-BE49-F238E27FC236}">
                <a16:creationId xmlns:a16="http://schemas.microsoft.com/office/drawing/2014/main" id="{5760DAFA-08C0-D2FE-AF49-8B3FF4DEDB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62" name="hinh2">
          <a:extLst>
            <a:ext uri="{FF2B5EF4-FFF2-40B4-BE49-F238E27FC236}">
              <a16:creationId xmlns:a16="http://schemas.microsoft.com/office/drawing/2014/main" id="{136C4014-5B89-4A20-9E51-B2103B6C586F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63" name="Line 6">
            <a:extLst>
              <a:ext uri="{FF2B5EF4-FFF2-40B4-BE49-F238E27FC236}">
                <a16:creationId xmlns:a16="http://schemas.microsoft.com/office/drawing/2014/main" id="{920B9DCE-6F00-1B09-E205-DBF9B9CAAF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4" name="Line 7">
            <a:extLst>
              <a:ext uri="{FF2B5EF4-FFF2-40B4-BE49-F238E27FC236}">
                <a16:creationId xmlns:a16="http://schemas.microsoft.com/office/drawing/2014/main" id="{425DB3F8-E301-E648-FA13-195D7B9220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5" name="Line 8">
            <a:extLst>
              <a:ext uri="{FF2B5EF4-FFF2-40B4-BE49-F238E27FC236}">
                <a16:creationId xmlns:a16="http://schemas.microsoft.com/office/drawing/2014/main" id="{622CBF2B-D013-D349-15F8-BA1F3FBFA0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66" name="hinh2">
          <a:extLst>
            <a:ext uri="{FF2B5EF4-FFF2-40B4-BE49-F238E27FC236}">
              <a16:creationId xmlns:a16="http://schemas.microsoft.com/office/drawing/2014/main" id="{11D3156B-929E-4C38-A806-202B14B55512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67" name="Line 6">
            <a:extLst>
              <a:ext uri="{FF2B5EF4-FFF2-40B4-BE49-F238E27FC236}">
                <a16:creationId xmlns:a16="http://schemas.microsoft.com/office/drawing/2014/main" id="{28EACC0F-7397-32BD-4B05-2CCF7500AF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8" name="Line 7">
            <a:extLst>
              <a:ext uri="{FF2B5EF4-FFF2-40B4-BE49-F238E27FC236}">
                <a16:creationId xmlns:a16="http://schemas.microsoft.com/office/drawing/2014/main" id="{F289219C-1215-6A38-81D7-D81B83CA56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9" name="Line 8">
            <a:extLst>
              <a:ext uri="{FF2B5EF4-FFF2-40B4-BE49-F238E27FC236}">
                <a16:creationId xmlns:a16="http://schemas.microsoft.com/office/drawing/2014/main" id="{FB4F6B3D-2C82-8F5F-76AF-160680DDDC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138</xdr:row>
      <xdr:rowOff>58616</xdr:rowOff>
    </xdr:from>
    <xdr:to>
      <xdr:col>3</xdr:col>
      <xdr:colOff>977635</xdr:colOff>
      <xdr:row>138</xdr:row>
      <xdr:rowOff>249116</xdr:rowOff>
    </xdr:to>
    <xdr:grpSp>
      <xdr:nvGrpSpPr>
        <xdr:cNvPr id="1370" name="hinh2">
          <a:extLst>
            <a:ext uri="{FF2B5EF4-FFF2-40B4-BE49-F238E27FC236}">
              <a16:creationId xmlns:a16="http://schemas.microsoft.com/office/drawing/2014/main" id="{6D47F261-F817-452B-92B0-33CEBAB78B4E}"/>
            </a:ext>
          </a:extLst>
        </xdr:cNvPr>
        <xdr:cNvGrpSpPr>
          <a:grpSpLocks noChangeAspect="1"/>
        </xdr:cNvGrpSpPr>
      </xdr:nvGrpSpPr>
      <xdr:grpSpPr bwMode="auto">
        <a:xfrm>
          <a:off x="2374970" y="53235330"/>
          <a:ext cx="875058" cy="190500"/>
          <a:chOff x="206" y="86"/>
          <a:chExt cx="73" cy="16"/>
        </a:xfrm>
      </xdr:grpSpPr>
      <xdr:sp macro="" textlink="">
        <xdr:nvSpPr>
          <xdr:cNvPr id="1371" name="Line 6">
            <a:extLst>
              <a:ext uri="{FF2B5EF4-FFF2-40B4-BE49-F238E27FC236}">
                <a16:creationId xmlns:a16="http://schemas.microsoft.com/office/drawing/2014/main" id="{FD58EA34-C18E-3D8F-166C-2AF27DDC83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2" name="Line 7">
            <a:extLst>
              <a:ext uri="{FF2B5EF4-FFF2-40B4-BE49-F238E27FC236}">
                <a16:creationId xmlns:a16="http://schemas.microsoft.com/office/drawing/2014/main" id="{93DCA942-D869-9021-7639-327414A7BA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3" name="Line 8">
            <a:extLst>
              <a:ext uri="{FF2B5EF4-FFF2-40B4-BE49-F238E27FC236}">
                <a16:creationId xmlns:a16="http://schemas.microsoft.com/office/drawing/2014/main" id="{80207CB2-202B-D6EB-B274-8A1CF601C0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139</xdr:row>
      <xdr:rowOff>80596</xdr:rowOff>
    </xdr:from>
    <xdr:to>
      <xdr:col>3</xdr:col>
      <xdr:colOff>970308</xdr:colOff>
      <xdr:row>139</xdr:row>
      <xdr:rowOff>244279</xdr:rowOff>
    </xdr:to>
    <xdr:grpSp>
      <xdr:nvGrpSpPr>
        <xdr:cNvPr id="1494" name="hinh2">
          <a:extLst>
            <a:ext uri="{FF2B5EF4-FFF2-40B4-BE49-F238E27FC236}">
              <a16:creationId xmlns:a16="http://schemas.microsoft.com/office/drawing/2014/main" id="{2070A01F-8F0A-4B7A-BB43-5B3D5297EF79}"/>
            </a:ext>
          </a:extLst>
        </xdr:cNvPr>
        <xdr:cNvGrpSpPr>
          <a:grpSpLocks noChangeAspect="1"/>
        </xdr:cNvGrpSpPr>
      </xdr:nvGrpSpPr>
      <xdr:grpSpPr bwMode="auto">
        <a:xfrm>
          <a:off x="2367643" y="53651917"/>
          <a:ext cx="875058" cy="163683"/>
          <a:chOff x="206" y="86"/>
          <a:chExt cx="73" cy="16"/>
        </a:xfrm>
      </xdr:grpSpPr>
      <xdr:sp macro="" textlink="">
        <xdr:nvSpPr>
          <xdr:cNvPr id="1495" name="Line 6">
            <a:extLst>
              <a:ext uri="{FF2B5EF4-FFF2-40B4-BE49-F238E27FC236}">
                <a16:creationId xmlns:a16="http://schemas.microsoft.com/office/drawing/2014/main" id="{23635640-7EFE-46FE-0EA2-F724FB5563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6" name="Line 7">
            <a:extLst>
              <a:ext uri="{FF2B5EF4-FFF2-40B4-BE49-F238E27FC236}">
                <a16:creationId xmlns:a16="http://schemas.microsoft.com/office/drawing/2014/main" id="{E5A66333-B2D8-7A65-7980-35A34473A6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7" name="Line 8">
            <a:extLst>
              <a:ext uri="{FF2B5EF4-FFF2-40B4-BE49-F238E27FC236}">
                <a16:creationId xmlns:a16="http://schemas.microsoft.com/office/drawing/2014/main" id="{D8C4EB64-00EF-6EB1-10DE-658936B27F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140</xdr:row>
      <xdr:rowOff>58616</xdr:rowOff>
    </xdr:from>
    <xdr:to>
      <xdr:col>3</xdr:col>
      <xdr:colOff>977635</xdr:colOff>
      <xdr:row>140</xdr:row>
      <xdr:rowOff>249116</xdr:rowOff>
    </xdr:to>
    <xdr:grpSp>
      <xdr:nvGrpSpPr>
        <xdr:cNvPr id="1498" name="hinh2">
          <a:extLst>
            <a:ext uri="{FF2B5EF4-FFF2-40B4-BE49-F238E27FC236}">
              <a16:creationId xmlns:a16="http://schemas.microsoft.com/office/drawing/2014/main" id="{369DF47A-1BC7-4315-B18B-EB706833720A}"/>
            </a:ext>
          </a:extLst>
        </xdr:cNvPr>
        <xdr:cNvGrpSpPr>
          <a:grpSpLocks noChangeAspect="1"/>
        </xdr:cNvGrpSpPr>
      </xdr:nvGrpSpPr>
      <xdr:grpSpPr bwMode="auto">
        <a:xfrm>
          <a:off x="2374970" y="54024545"/>
          <a:ext cx="875058" cy="190500"/>
          <a:chOff x="206" y="86"/>
          <a:chExt cx="73" cy="16"/>
        </a:xfrm>
      </xdr:grpSpPr>
      <xdr:sp macro="" textlink="">
        <xdr:nvSpPr>
          <xdr:cNvPr id="1499" name="Line 6">
            <a:extLst>
              <a:ext uri="{FF2B5EF4-FFF2-40B4-BE49-F238E27FC236}">
                <a16:creationId xmlns:a16="http://schemas.microsoft.com/office/drawing/2014/main" id="{0DC59C38-00AB-1D30-AE75-52639F4137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0" name="Line 7">
            <a:extLst>
              <a:ext uri="{FF2B5EF4-FFF2-40B4-BE49-F238E27FC236}">
                <a16:creationId xmlns:a16="http://schemas.microsoft.com/office/drawing/2014/main" id="{EC043B99-ADDE-7883-B842-7E97267D85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1" name="Line 8">
            <a:extLst>
              <a:ext uri="{FF2B5EF4-FFF2-40B4-BE49-F238E27FC236}">
                <a16:creationId xmlns:a16="http://schemas.microsoft.com/office/drawing/2014/main" id="{387E6B77-B323-69E1-70FB-736E9830A2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141</xdr:row>
      <xdr:rowOff>58616</xdr:rowOff>
    </xdr:from>
    <xdr:to>
      <xdr:col>3</xdr:col>
      <xdr:colOff>977635</xdr:colOff>
      <xdr:row>141</xdr:row>
      <xdr:rowOff>249116</xdr:rowOff>
    </xdr:to>
    <xdr:grpSp>
      <xdr:nvGrpSpPr>
        <xdr:cNvPr id="1502" name="hinh2">
          <a:extLst>
            <a:ext uri="{FF2B5EF4-FFF2-40B4-BE49-F238E27FC236}">
              <a16:creationId xmlns:a16="http://schemas.microsoft.com/office/drawing/2014/main" id="{308AD9F2-83B4-4F6E-854E-531BF79CAE55}"/>
            </a:ext>
          </a:extLst>
        </xdr:cNvPr>
        <xdr:cNvGrpSpPr>
          <a:grpSpLocks noChangeAspect="1"/>
        </xdr:cNvGrpSpPr>
      </xdr:nvGrpSpPr>
      <xdr:grpSpPr bwMode="auto">
        <a:xfrm>
          <a:off x="2374970" y="54419152"/>
          <a:ext cx="875058" cy="190500"/>
          <a:chOff x="206" y="86"/>
          <a:chExt cx="73" cy="16"/>
        </a:xfrm>
      </xdr:grpSpPr>
      <xdr:sp macro="" textlink="">
        <xdr:nvSpPr>
          <xdr:cNvPr id="1503" name="Line 6">
            <a:extLst>
              <a:ext uri="{FF2B5EF4-FFF2-40B4-BE49-F238E27FC236}">
                <a16:creationId xmlns:a16="http://schemas.microsoft.com/office/drawing/2014/main" id="{69688261-69B8-06D4-A5C3-0891EAF003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4" name="Line 7">
            <a:extLst>
              <a:ext uri="{FF2B5EF4-FFF2-40B4-BE49-F238E27FC236}">
                <a16:creationId xmlns:a16="http://schemas.microsoft.com/office/drawing/2014/main" id="{8302735F-51F1-F7A5-FDDD-B67DD16602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5" name="Line 8">
            <a:extLst>
              <a:ext uri="{FF2B5EF4-FFF2-40B4-BE49-F238E27FC236}">
                <a16:creationId xmlns:a16="http://schemas.microsoft.com/office/drawing/2014/main" id="{23EB5520-CFFB-204B-C7D4-5B955DC367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06" name="hinh2">
          <a:extLst>
            <a:ext uri="{FF2B5EF4-FFF2-40B4-BE49-F238E27FC236}">
              <a16:creationId xmlns:a16="http://schemas.microsoft.com/office/drawing/2014/main" id="{11F43288-F497-4279-B8A4-AE07B7FE0912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07" name="Line 6">
            <a:extLst>
              <a:ext uri="{FF2B5EF4-FFF2-40B4-BE49-F238E27FC236}">
                <a16:creationId xmlns:a16="http://schemas.microsoft.com/office/drawing/2014/main" id="{4D9AD2AC-5CBE-4B30-EFA2-ECC4C03188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8" name="Line 7">
            <a:extLst>
              <a:ext uri="{FF2B5EF4-FFF2-40B4-BE49-F238E27FC236}">
                <a16:creationId xmlns:a16="http://schemas.microsoft.com/office/drawing/2014/main" id="{22DDB5EB-9050-8CBB-A6F4-B869FF0024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9" name="Line 8">
            <a:extLst>
              <a:ext uri="{FF2B5EF4-FFF2-40B4-BE49-F238E27FC236}">
                <a16:creationId xmlns:a16="http://schemas.microsoft.com/office/drawing/2014/main" id="{0953AF9A-8B7F-3EA7-84F8-5A62AABA14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141</xdr:row>
      <xdr:rowOff>58616</xdr:rowOff>
    </xdr:from>
    <xdr:to>
      <xdr:col>3</xdr:col>
      <xdr:colOff>977635</xdr:colOff>
      <xdr:row>141</xdr:row>
      <xdr:rowOff>249116</xdr:rowOff>
    </xdr:to>
    <xdr:grpSp>
      <xdr:nvGrpSpPr>
        <xdr:cNvPr id="1514" name="hinh2">
          <a:extLst>
            <a:ext uri="{FF2B5EF4-FFF2-40B4-BE49-F238E27FC236}">
              <a16:creationId xmlns:a16="http://schemas.microsoft.com/office/drawing/2014/main" id="{EC64DF81-D29D-4D4E-B29F-0B74DC54A2EE}"/>
            </a:ext>
          </a:extLst>
        </xdr:cNvPr>
        <xdr:cNvGrpSpPr>
          <a:grpSpLocks noChangeAspect="1"/>
        </xdr:cNvGrpSpPr>
      </xdr:nvGrpSpPr>
      <xdr:grpSpPr bwMode="auto">
        <a:xfrm>
          <a:off x="2374970" y="54419152"/>
          <a:ext cx="875058" cy="190500"/>
          <a:chOff x="206" y="86"/>
          <a:chExt cx="73" cy="16"/>
        </a:xfrm>
      </xdr:grpSpPr>
      <xdr:sp macro="" textlink="">
        <xdr:nvSpPr>
          <xdr:cNvPr id="1515" name="Line 6">
            <a:extLst>
              <a:ext uri="{FF2B5EF4-FFF2-40B4-BE49-F238E27FC236}">
                <a16:creationId xmlns:a16="http://schemas.microsoft.com/office/drawing/2014/main" id="{2AC4FC6A-C030-BB33-ABC2-CB141906F1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6" name="Line 7">
            <a:extLst>
              <a:ext uri="{FF2B5EF4-FFF2-40B4-BE49-F238E27FC236}">
                <a16:creationId xmlns:a16="http://schemas.microsoft.com/office/drawing/2014/main" id="{836A497C-330C-6481-5302-3DBA20E187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7" name="Line 8">
            <a:extLst>
              <a:ext uri="{FF2B5EF4-FFF2-40B4-BE49-F238E27FC236}">
                <a16:creationId xmlns:a16="http://schemas.microsoft.com/office/drawing/2014/main" id="{C8F4FC05-482D-05F4-79AA-45E72A7EEB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18" name="hinh2">
          <a:extLst>
            <a:ext uri="{FF2B5EF4-FFF2-40B4-BE49-F238E27FC236}">
              <a16:creationId xmlns:a16="http://schemas.microsoft.com/office/drawing/2014/main" id="{BDBBCA84-2C9D-49B7-B70E-B40577C92104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19" name="Line 6">
            <a:extLst>
              <a:ext uri="{FF2B5EF4-FFF2-40B4-BE49-F238E27FC236}">
                <a16:creationId xmlns:a16="http://schemas.microsoft.com/office/drawing/2014/main" id="{2A486759-D8CC-AF6A-9528-239A9CD19C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0" name="Line 7">
            <a:extLst>
              <a:ext uri="{FF2B5EF4-FFF2-40B4-BE49-F238E27FC236}">
                <a16:creationId xmlns:a16="http://schemas.microsoft.com/office/drawing/2014/main" id="{E09DC334-C489-C361-DF8C-FAA34B74F4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1" name="Line 8">
            <a:extLst>
              <a:ext uri="{FF2B5EF4-FFF2-40B4-BE49-F238E27FC236}">
                <a16:creationId xmlns:a16="http://schemas.microsoft.com/office/drawing/2014/main" id="{763275DB-B0AC-68F8-5ECE-3BABD2F744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22" name="hinh2">
          <a:extLst>
            <a:ext uri="{FF2B5EF4-FFF2-40B4-BE49-F238E27FC236}">
              <a16:creationId xmlns:a16="http://schemas.microsoft.com/office/drawing/2014/main" id="{651E9D2D-2224-4266-9D7C-29CD4522AB32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23" name="Line 6">
            <a:extLst>
              <a:ext uri="{FF2B5EF4-FFF2-40B4-BE49-F238E27FC236}">
                <a16:creationId xmlns:a16="http://schemas.microsoft.com/office/drawing/2014/main" id="{6355F4AE-171A-9B93-0968-3ACFCEDD35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4" name="Line 7">
            <a:extLst>
              <a:ext uri="{FF2B5EF4-FFF2-40B4-BE49-F238E27FC236}">
                <a16:creationId xmlns:a16="http://schemas.microsoft.com/office/drawing/2014/main" id="{7CBDEBE0-F290-88E6-A4B0-D7D6D3DCE7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5" name="Line 8">
            <a:extLst>
              <a:ext uri="{FF2B5EF4-FFF2-40B4-BE49-F238E27FC236}">
                <a16:creationId xmlns:a16="http://schemas.microsoft.com/office/drawing/2014/main" id="{B2C7D667-DA8D-4719-4F68-B155FCF990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141</xdr:row>
      <xdr:rowOff>58616</xdr:rowOff>
    </xdr:from>
    <xdr:to>
      <xdr:col>3</xdr:col>
      <xdr:colOff>977635</xdr:colOff>
      <xdr:row>141</xdr:row>
      <xdr:rowOff>249116</xdr:rowOff>
    </xdr:to>
    <xdr:grpSp>
      <xdr:nvGrpSpPr>
        <xdr:cNvPr id="1570" name="hinh2">
          <a:extLst>
            <a:ext uri="{FF2B5EF4-FFF2-40B4-BE49-F238E27FC236}">
              <a16:creationId xmlns:a16="http://schemas.microsoft.com/office/drawing/2014/main" id="{D2B2D77E-50F2-45DC-8D09-D6C18FD333E0}"/>
            </a:ext>
          </a:extLst>
        </xdr:cNvPr>
        <xdr:cNvGrpSpPr>
          <a:grpSpLocks noChangeAspect="1"/>
        </xdr:cNvGrpSpPr>
      </xdr:nvGrpSpPr>
      <xdr:grpSpPr bwMode="auto">
        <a:xfrm>
          <a:off x="2374970" y="54419152"/>
          <a:ext cx="875058" cy="190500"/>
          <a:chOff x="206" y="86"/>
          <a:chExt cx="73" cy="16"/>
        </a:xfrm>
      </xdr:grpSpPr>
      <xdr:sp macro="" textlink="">
        <xdr:nvSpPr>
          <xdr:cNvPr id="1571" name="Line 6">
            <a:extLst>
              <a:ext uri="{FF2B5EF4-FFF2-40B4-BE49-F238E27FC236}">
                <a16:creationId xmlns:a16="http://schemas.microsoft.com/office/drawing/2014/main" id="{E7619259-F5F9-5B49-ADB6-107F9F474E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2" name="Line 7">
            <a:extLst>
              <a:ext uri="{FF2B5EF4-FFF2-40B4-BE49-F238E27FC236}">
                <a16:creationId xmlns:a16="http://schemas.microsoft.com/office/drawing/2014/main" id="{ED013013-7A6D-3BFD-1CD5-646527BDD5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3" name="Line 8">
            <a:extLst>
              <a:ext uri="{FF2B5EF4-FFF2-40B4-BE49-F238E27FC236}">
                <a16:creationId xmlns:a16="http://schemas.microsoft.com/office/drawing/2014/main" id="{48998CC8-9832-AB92-84B0-E33C7B1DDE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74" name="hinh2">
          <a:extLst>
            <a:ext uri="{FF2B5EF4-FFF2-40B4-BE49-F238E27FC236}">
              <a16:creationId xmlns:a16="http://schemas.microsoft.com/office/drawing/2014/main" id="{88164AFD-BACF-4FA3-978D-8784BE0304FC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75" name="Line 6">
            <a:extLst>
              <a:ext uri="{FF2B5EF4-FFF2-40B4-BE49-F238E27FC236}">
                <a16:creationId xmlns:a16="http://schemas.microsoft.com/office/drawing/2014/main" id="{947CA063-39A3-3269-F41D-A5E02C4EB0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6" name="Line 7">
            <a:extLst>
              <a:ext uri="{FF2B5EF4-FFF2-40B4-BE49-F238E27FC236}">
                <a16:creationId xmlns:a16="http://schemas.microsoft.com/office/drawing/2014/main" id="{C965FFFF-ECDE-60B5-F9E7-B688384769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7" name="Line 8">
            <a:extLst>
              <a:ext uri="{FF2B5EF4-FFF2-40B4-BE49-F238E27FC236}">
                <a16:creationId xmlns:a16="http://schemas.microsoft.com/office/drawing/2014/main" id="{FC9F84B6-642C-9249-210C-DE64DF0B89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78" name="hinh2">
          <a:extLst>
            <a:ext uri="{FF2B5EF4-FFF2-40B4-BE49-F238E27FC236}">
              <a16:creationId xmlns:a16="http://schemas.microsoft.com/office/drawing/2014/main" id="{C7C5BD9E-87EE-4372-BE9B-9984948B5F72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79" name="Line 6">
            <a:extLst>
              <a:ext uri="{FF2B5EF4-FFF2-40B4-BE49-F238E27FC236}">
                <a16:creationId xmlns:a16="http://schemas.microsoft.com/office/drawing/2014/main" id="{7748FD1C-BC52-687E-0D9C-79E80483F7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0" name="Line 7">
            <a:extLst>
              <a:ext uri="{FF2B5EF4-FFF2-40B4-BE49-F238E27FC236}">
                <a16:creationId xmlns:a16="http://schemas.microsoft.com/office/drawing/2014/main" id="{42EF7C1A-E508-091E-171E-B56FB620C4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1" name="Line 8">
            <a:extLst>
              <a:ext uri="{FF2B5EF4-FFF2-40B4-BE49-F238E27FC236}">
                <a16:creationId xmlns:a16="http://schemas.microsoft.com/office/drawing/2014/main" id="{667188AA-F570-3BF4-81EB-54DFA08EF8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142</xdr:row>
      <xdr:rowOff>58616</xdr:rowOff>
    </xdr:from>
    <xdr:to>
      <xdr:col>3</xdr:col>
      <xdr:colOff>977635</xdr:colOff>
      <xdr:row>142</xdr:row>
      <xdr:rowOff>249116</xdr:rowOff>
    </xdr:to>
    <xdr:grpSp>
      <xdr:nvGrpSpPr>
        <xdr:cNvPr id="1582" name="hinh2">
          <a:extLst>
            <a:ext uri="{FF2B5EF4-FFF2-40B4-BE49-F238E27FC236}">
              <a16:creationId xmlns:a16="http://schemas.microsoft.com/office/drawing/2014/main" id="{560D1B7A-0A15-4798-91F5-73ADF3ED17B5}"/>
            </a:ext>
          </a:extLst>
        </xdr:cNvPr>
        <xdr:cNvGrpSpPr>
          <a:grpSpLocks noChangeAspect="1"/>
        </xdr:cNvGrpSpPr>
      </xdr:nvGrpSpPr>
      <xdr:grpSpPr bwMode="auto">
        <a:xfrm>
          <a:off x="2374970" y="54813759"/>
          <a:ext cx="875058" cy="190500"/>
          <a:chOff x="206" y="86"/>
          <a:chExt cx="73" cy="16"/>
        </a:xfrm>
      </xdr:grpSpPr>
      <xdr:sp macro="" textlink="">
        <xdr:nvSpPr>
          <xdr:cNvPr id="1583" name="Line 6">
            <a:extLst>
              <a:ext uri="{FF2B5EF4-FFF2-40B4-BE49-F238E27FC236}">
                <a16:creationId xmlns:a16="http://schemas.microsoft.com/office/drawing/2014/main" id="{FE9136D6-C1DA-F080-7F7F-4D7B6F6055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4" name="Line 7">
            <a:extLst>
              <a:ext uri="{FF2B5EF4-FFF2-40B4-BE49-F238E27FC236}">
                <a16:creationId xmlns:a16="http://schemas.microsoft.com/office/drawing/2014/main" id="{BDF99CAA-5A01-A3F7-BA62-34D7035ADB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5" name="Line 8">
            <a:extLst>
              <a:ext uri="{FF2B5EF4-FFF2-40B4-BE49-F238E27FC236}">
                <a16:creationId xmlns:a16="http://schemas.microsoft.com/office/drawing/2014/main" id="{605EF99C-2914-1D74-DCCF-2F767788C8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38</xdr:row>
      <xdr:rowOff>80596</xdr:rowOff>
    </xdr:from>
    <xdr:to>
      <xdr:col>3</xdr:col>
      <xdr:colOff>970308</xdr:colOff>
      <xdr:row>38</xdr:row>
      <xdr:rowOff>244279</xdr:rowOff>
    </xdr:to>
    <xdr:grpSp>
      <xdr:nvGrpSpPr>
        <xdr:cNvPr id="42" name="hinh2">
          <a:extLst>
            <a:ext uri="{FF2B5EF4-FFF2-40B4-BE49-F238E27FC236}">
              <a16:creationId xmlns:a16="http://schemas.microsoft.com/office/drawing/2014/main" id="{6DFD7A04-4981-49E6-B02A-5B791AEAA0F5}"/>
            </a:ext>
          </a:extLst>
        </xdr:cNvPr>
        <xdr:cNvGrpSpPr>
          <a:grpSpLocks noChangeAspect="1"/>
        </xdr:cNvGrpSpPr>
      </xdr:nvGrpSpPr>
      <xdr:grpSpPr bwMode="auto">
        <a:xfrm>
          <a:off x="2367643" y="14041525"/>
          <a:ext cx="875058" cy="163683"/>
          <a:chOff x="206" y="86"/>
          <a:chExt cx="73" cy="16"/>
        </a:xfrm>
      </xdr:grpSpPr>
      <xdr:sp macro="" textlink="">
        <xdr:nvSpPr>
          <xdr:cNvPr id="43" name="Line 6">
            <a:extLst>
              <a:ext uri="{FF2B5EF4-FFF2-40B4-BE49-F238E27FC236}">
                <a16:creationId xmlns:a16="http://schemas.microsoft.com/office/drawing/2014/main" id="{1ED3225D-3E00-EBF2-E542-88337FAE72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7">
            <a:extLst>
              <a:ext uri="{FF2B5EF4-FFF2-40B4-BE49-F238E27FC236}">
                <a16:creationId xmlns:a16="http://schemas.microsoft.com/office/drawing/2014/main" id="{448574B4-420F-2E63-B8A3-19A0A96C25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8">
            <a:extLst>
              <a:ext uri="{FF2B5EF4-FFF2-40B4-BE49-F238E27FC236}">
                <a16:creationId xmlns:a16="http://schemas.microsoft.com/office/drawing/2014/main" id="{1F1A7DFE-8C6C-7052-97F2-88AA3A0883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39</xdr:row>
      <xdr:rowOff>58616</xdr:rowOff>
    </xdr:from>
    <xdr:to>
      <xdr:col>3</xdr:col>
      <xdr:colOff>977635</xdr:colOff>
      <xdr:row>39</xdr:row>
      <xdr:rowOff>249116</xdr:rowOff>
    </xdr:to>
    <xdr:grpSp>
      <xdr:nvGrpSpPr>
        <xdr:cNvPr id="46" name="hinh2">
          <a:extLst>
            <a:ext uri="{FF2B5EF4-FFF2-40B4-BE49-F238E27FC236}">
              <a16:creationId xmlns:a16="http://schemas.microsoft.com/office/drawing/2014/main" id="{65C518E2-5D78-45F5-816A-04A15D348DB8}"/>
            </a:ext>
          </a:extLst>
        </xdr:cNvPr>
        <xdr:cNvGrpSpPr>
          <a:grpSpLocks noChangeAspect="1"/>
        </xdr:cNvGrpSpPr>
      </xdr:nvGrpSpPr>
      <xdr:grpSpPr bwMode="auto">
        <a:xfrm>
          <a:off x="2374970" y="14414152"/>
          <a:ext cx="875058" cy="190500"/>
          <a:chOff x="206" y="86"/>
          <a:chExt cx="73" cy="16"/>
        </a:xfrm>
      </xdr:grpSpPr>
      <xdr:sp macro="" textlink="">
        <xdr:nvSpPr>
          <xdr:cNvPr id="47" name="Line 6">
            <a:extLst>
              <a:ext uri="{FF2B5EF4-FFF2-40B4-BE49-F238E27FC236}">
                <a16:creationId xmlns:a16="http://schemas.microsoft.com/office/drawing/2014/main" id="{A30B17BC-68B2-B367-53A8-A696C21081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7">
            <a:extLst>
              <a:ext uri="{FF2B5EF4-FFF2-40B4-BE49-F238E27FC236}">
                <a16:creationId xmlns:a16="http://schemas.microsoft.com/office/drawing/2014/main" id="{12123BF4-C4A5-04F4-3386-DC6CEFEB90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8">
            <a:extLst>
              <a:ext uri="{FF2B5EF4-FFF2-40B4-BE49-F238E27FC236}">
                <a16:creationId xmlns:a16="http://schemas.microsoft.com/office/drawing/2014/main" id="{9652182F-B484-55D8-23F4-BDF53AB1A1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40</xdr:row>
      <xdr:rowOff>58616</xdr:rowOff>
    </xdr:from>
    <xdr:to>
      <xdr:col>3</xdr:col>
      <xdr:colOff>977635</xdr:colOff>
      <xdr:row>40</xdr:row>
      <xdr:rowOff>249116</xdr:rowOff>
    </xdr:to>
    <xdr:grpSp>
      <xdr:nvGrpSpPr>
        <xdr:cNvPr id="50" name="hinh2">
          <a:extLst>
            <a:ext uri="{FF2B5EF4-FFF2-40B4-BE49-F238E27FC236}">
              <a16:creationId xmlns:a16="http://schemas.microsoft.com/office/drawing/2014/main" id="{E6B9FC1D-D0A3-4A09-92D1-F889D74362D4}"/>
            </a:ext>
          </a:extLst>
        </xdr:cNvPr>
        <xdr:cNvGrpSpPr>
          <a:grpSpLocks noChangeAspect="1"/>
        </xdr:cNvGrpSpPr>
      </xdr:nvGrpSpPr>
      <xdr:grpSpPr bwMode="auto">
        <a:xfrm>
          <a:off x="2374970" y="14808759"/>
          <a:ext cx="875058" cy="190500"/>
          <a:chOff x="206" y="86"/>
          <a:chExt cx="73" cy="16"/>
        </a:xfrm>
      </xdr:grpSpPr>
      <xdr:sp macro="" textlink="">
        <xdr:nvSpPr>
          <xdr:cNvPr id="51" name="Line 6">
            <a:extLst>
              <a:ext uri="{FF2B5EF4-FFF2-40B4-BE49-F238E27FC236}">
                <a16:creationId xmlns:a16="http://schemas.microsoft.com/office/drawing/2014/main" id="{17C7E64A-28B2-2F98-5539-700C9556AC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7">
            <a:extLst>
              <a:ext uri="{FF2B5EF4-FFF2-40B4-BE49-F238E27FC236}">
                <a16:creationId xmlns:a16="http://schemas.microsoft.com/office/drawing/2014/main" id="{D5CCC5F9-80EC-3600-650B-A3CF1A391D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8">
            <a:extLst>
              <a:ext uri="{FF2B5EF4-FFF2-40B4-BE49-F238E27FC236}">
                <a16:creationId xmlns:a16="http://schemas.microsoft.com/office/drawing/2014/main" id="{31CFE5F5-87BC-0E60-449B-82FECCD93D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41</xdr:row>
      <xdr:rowOff>58616</xdr:rowOff>
    </xdr:from>
    <xdr:to>
      <xdr:col>3</xdr:col>
      <xdr:colOff>977635</xdr:colOff>
      <xdr:row>41</xdr:row>
      <xdr:rowOff>249116</xdr:rowOff>
    </xdr:to>
    <xdr:grpSp>
      <xdr:nvGrpSpPr>
        <xdr:cNvPr id="54" name="hinh2">
          <a:extLst>
            <a:ext uri="{FF2B5EF4-FFF2-40B4-BE49-F238E27FC236}">
              <a16:creationId xmlns:a16="http://schemas.microsoft.com/office/drawing/2014/main" id="{1F48246F-D0E9-436F-93D5-789B2C476023}"/>
            </a:ext>
          </a:extLst>
        </xdr:cNvPr>
        <xdr:cNvGrpSpPr>
          <a:grpSpLocks noChangeAspect="1"/>
        </xdr:cNvGrpSpPr>
      </xdr:nvGrpSpPr>
      <xdr:grpSpPr bwMode="auto">
        <a:xfrm>
          <a:off x="2374970" y="15203366"/>
          <a:ext cx="875058" cy="190500"/>
          <a:chOff x="206" y="86"/>
          <a:chExt cx="73" cy="16"/>
        </a:xfrm>
      </xdr:grpSpPr>
      <xdr:sp macro="" textlink="">
        <xdr:nvSpPr>
          <xdr:cNvPr id="55" name="Line 6">
            <a:extLst>
              <a:ext uri="{FF2B5EF4-FFF2-40B4-BE49-F238E27FC236}">
                <a16:creationId xmlns:a16="http://schemas.microsoft.com/office/drawing/2014/main" id="{842A626A-EDC9-0351-5F1B-F942FCEEAB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7">
            <a:extLst>
              <a:ext uri="{FF2B5EF4-FFF2-40B4-BE49-F238E27FC236}">
                <a16:creationId xmlns:a16="http://schemas.microsoft.com/office/drawing/2014/main" id="{00DA9EA4-29AF-1827-077A-DB610647B1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8">
            <a:extLst>
              <a:ext uri="{FF2B5EF4-FFF2-40B4-BE49-F238E27FC236}">
                <a16:creationId xmlns:a16="http://schemas.microsoft.com/office/drawing/2014/main" id="{BE59534E-2718-46F2-AB39-578FBD38BF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42</xdr:row>
      <xdr:rowOff>58616</xdr:rowOff>
    </xdr:from>
    <xdr:to>
      <xdr:col>3</xdr:col>
      <xdr:colOff>977635</xdr:colOff>
      <xdr:row>42</xdr:row>
      <xdr:rowOff>249116</xdr:rowOff>
    </xdr:to>
    <xdr:grpSp>
      <xdr:nvGrpSpPr>
        <xdr:cNvPr id="58" name="hinh2">
          <a:extLst>
            <a:ext uri="{FF2B5EF4-FFF2-40B4-BE49-F238E27FC236}">
              <a16:creationId xmlns:a16="http://schemas.microsoft.com/office/drawing/2014/main" id="{52C565DE-4BB1-432E-92A1-D86E2AC36F33}"/>
            </a:ext>
          </a:extLst>
        </xdr:cNvPr>
        <xdr:cNvGrpSpPr>
          <a:grpSpLocks noChangeAspect="1"/>
        </xdr:cNvGrpSpPr>
      </xdr:nvGrpSpPr>
      <xdr:grpSpPr bwMode="auto">
        <a:xfrm>
          <a:off x="2374970" y="15597973"/>
          <a:ext cx="875058" cy="190500"/>
          <a:chOff x="206" y="86"/>
          <a:chExt cx="73" cy="16"/>
        </a:xfrm>
      </xdr:grpSpPr>
      <xdr:sp macro="" textlink="">
        <xdr:nvSpPr>
          <xdr:cNvPr id="59" name="Line 6">
            <a:extLst>
              <a:ext uri="{FF2B5EF4-FFF2-40B4-BE49-F238E27FC236}">
                <a16:creationId xmlns:a16="http://schemas.microsoft.com/office/drawing/2014/main" id="{5190DB9E-F96C-AE89-8510-73FF2AF506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7">
            <a:extLst>
              <a:ext uri="{FF2B5EF4-FFF2-40B4-BE49-F238E27FC236}">
                <a16:creationId xmlns:a16="http://schemas.microsoft.com/office/drawing/2014/main" id="{5F7965EC-7A8E-4380-FC66-36EC3971EB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8">
            <a:extLst>
              <a:ext uri="{FF2B5EF4-FFF2-40B4-BE49-F238E27FC236}">
                <a16:creationId xmlns:a16="http://schemas.microsoft.com/office/drawing/2014/main" id="{80329AF3-3498-481A-2DA9-8A86D4B928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45</xdr:row>
      <xdr:rowOff>58616</xdr:rowOff>
    </xdr:from>
    <xdr:to>
      <xdr:col>3</xdr:col>
      <xdr:colOff>977635</xdr:colOff>
      <xdr:row>45</xdr:row>
      <xdr:rowOff>249116</xdr:rowOff>
    </xdr:to>
    <xdr:grpSp>
      <xdr:nvGrpSpPr>
        <xdr:cNvPr id="62" name="hinh2">
          <a:extLst>
            <a:ext uri="{FF2B5EF4-FFF2-40B4-BE49-F238E27FC236}">
              <a16:creationId xmlns:a16="http://schemas.microsoft.com/office/drawing/2014/main" id="{48F960FA-F20F-4EBE-970C-3EEF7E3D4B6F}"/>
            </a:ext>
          </a:extLst>
        </xdr:cNvPr>
        <xdr:cNvGrpSpPr>
          <a:grpSpLocks noChangeAspect="1"/>
        </xdr:cNvGrpSpPr>
      </xdr:nvGrpSpPr>
      <xdr:grpSpPr bwMode="auto">
        <a:xfrm>
          <a:off x="2374970" y="16781795"/>
          <a:ext cx="875058" cy="190500"/>
          <a:chOff x="206" y="86"/>
          <a:chExt cx="73" cy="16"/>
        </a:xfrm>
      </xdr:grpSpPr>
      <xdr:sp macro="" textlink="">
        <xdr:nvSpPr>
          <xdr:cNvPr id="63" name="Line 6">
            <a:extLst>
              <a:ext uri="{FF2B5EF4-FFF2-40B4-BE49-F238E27FC236}">
                <a16:creationId xmlns:a16="http://schemas.microsoft.com/office/drawing/2014/main" id="{6CAF8809-B98A-3ACB-C609-870311ACDE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" name="Line 7">
            <a:extLst>
              <a:ext uri="{FF2B5EF4-FFF2-40B4-BE49-F238E27FC236}">
                <a16:creationId xmlns:a16="http://schemas.microsoft.com/office/drawing/2014/main" id="{7589C91B-BBF3-A286-8301-13AB8C49EF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" name="Line 8">
            <a:extLst>
              <a:ext uri="{FF2B5EF4-FFF2-40B4-BE49-F238E27FC236}">
                <a16:creationId xmlns:a16="http://schemas.microsoft.com/office/drawing/2014/main" id="{165FB203-1E1E-E046-0501-B8406C4075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43</xdr:row>
      <xdr:rowOff>58616</xdr:rowOff>
    </xdr:from>
    <xdr:to>
      <xdr:col>3</xdr:col>
      <xdr:colOff>977635</xdr:colOff>
      <xdr:row>43</xdr:row>
      <xdr:rowOff>249116</xdr:rowOff>
    </xdr:to>
    <xdr:grpSp>
      <xdr:nvGrpSpPr>
        <xdr:cNvPr id="258" name="hinh2">
          <a:extLst>
            <a:ext uri="{FF2B5EF4-FFF2-40B4-BE49-F238E27FC236}">
              <a16:creationId xmlns:a16="http://schemas.microsoft.com/office/drawing/2014/main" id="{1D5C6648-FB10-42DF-81CF-83DCE4AEB4B0}"/>
            </a:ext>
          </a:extLst>
        </xdr:cNvPr>
        <xdr:cNvGrpSpPr>
          <a:grpSpLocks noChangeAspect="1"/>
        </xdr:cNvGrpSpPr>
      </xdr:nvGrpSpPr>
      <xdr:grpSpPr bwMode="auto">
        <a:xfrm>
          <a:off x="2374970" y="15992580"/>
          <a:ext cx="875058" cy="190500"/>
          <a:chOff x="206" y="86"/>
          <a:chExt cx="73" cy="16"/>
        </a:xfrm>
      </xdr:grpSpPr>
      <xdr:sp macro="" textlink="">
        <xdr:nvSpPr>
          <xdr:cNvPr id="259" name="Line 6">
            <a:extLst>
              <a:ext uri="{FF2B5EF4-FFF2-40B4-BE49-F238E27FC236}">
                <a16:creationId xmlns:a16="http://schemas.microsoft.com/office/drawing/2014/main" id="{47041F25-00C8-9E44-FCE0-3104884E56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" name="Line 7">
            <a:extLst>
              <a:ext uri="{FF2B5EF4-FFF2-40B4-BE49-F238E27FC236}">
                <a16:creationId xmlns:a16="http://schemas.microsoft.com/office/drawing/2014/main" id="{FC95E56D-514B-CD3E-5BFB-C653F66644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8">
            <a:extLst>
              <a:ext uri="{FF2B5EF4-FFF2-40B4-BE49-F238E27FC236}">
                <a16:creationId xmlns:a16="http://schemas.microsoft.com/office/drawing/2014/main" id="{E4DAF1E8-BC23-274F-BAD4-AB4B690418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40</xdr:row>
      <xdr:rowOff>58616</xdr:rowOff>
    </xdr:from>
    <xdr:to>
      <xdr:col>3</xdr:col>
      <xdr:colOff>977635</xdr:colOff>
      <xdr:row>40</xdr:row>
      <xdr:rowOff>249116</xdr:rowOff>
    </xdr:to>
    <xdr:grpSp>
      <xdr:nvGrpSpPr>
        <xdr:cNvPr id="262" name="hinh2">
          <a:extLst>
            <a:ext uri="{FF2B5EF4-FFF2-40B4-BE49-F238E27FC236}">
              <a16:creationId xmlns:a16="http://schemas.microsoft.com/office/drawing/2014/main" id="{99117B14-49D6-40BF-9159-7323CB054FCF}"/>
            </a:ext>
          </a:extLst>
        </xdr:cNvPr>
        <xdr:cNvGrpSpPr>
          <a:grpSpLocks noChangeAspect="1"/>
        </xdr:cNvGrpSpPr>
      </xdr:nvGrpSpPr>
      <xdr:grpSpPr bwMode="auto">
        <a:xfrm>
          <a:off x="2374970" y="14808759"/>
          <a:ext cx="875058" cy="190500"/>
          <a:chOff x="206" y="86"/>
          <a:chExt cx="73" cy="16"/>
        </a:xfrm>
      </xdr:grpSpPr>
      <xdr:sp macro="" textlink="">
        <xdr:nvSpPr>
          <xdr:cNvPr id="263" name="Line 6">
            <a:extLst>
              <a:ext uri="{FF2B5EF4-FFF2-40B4-BE49-F238E27FC236}">
                <a16:creationId xmlns:a16="http://schemas.microsoft.com/office/drawing/2014/main" id="{C938D99A-8E0B-929B-6CE8-72C764E5F7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Line 7">
            <a:extLst>
              <a:ext uri="{FF2B5EF4-FFF2-40B4-BE49-F238E27FC236}">
                <a16:creationId xmlns:a16="http://schemas.microsoft.com/office/drawing/2014/main" id="{A358FE13-3146-C1E4-07A5-124CBDB2E1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" name="Line 8">
            <a:extLst>
              <a:ext uri="{FF2B5EF4-FFF2-40B4-BE49-F238E27FC236}">
                <a16:creationId xmlns:a16="http://schemas.microsoft.com/office/drawing/2014/main" id="{336B68EB-3274-3C16-89A6-1B61EB6492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41</xdr:row>
      <xdr:rowOff>58616</xdr:rowOff>
    </xdr:from>
    <xdr:to>
      <xdr:col>3</xdr:col>
      <xdr:colOff>977635</xdr:colOff>
      <xdr:row>41</xdr:row>
      <xdr:rowOff>249116</xdr:rowOff>
    </xdr:to>
    <xdr:grpSp>
      <xdr:nvGrpSpPr>
        <xdr:cNvPr id="266" name="hinh2">
          <a:extLst>
            <a:ext uri="{FF2B5EF4-FFF2-40B4-BE49-F238E27FC236}">
              <a16:creationId xmlns:a16="http://schemas.microsoft.com/office/drawing/2014/main" id="{0960155E-5C4A-4D21-98A7-07934EEEB24E}"/>
            </a:ext>
          </a:extLst>
        </xdr:cNvPr>
        <xdr:cNvGrpSpPr>
          <a:grpSpLocks noChangeAspect="1"/>
        </xdr:cNvGrpSpPr>
      </xdr:nvGrpSpPr>
      <xdr:grpSpPr bwMode="auto">
        <a:xfrm>
          <a:off x="2374970" y="15203366"/>
          <a:ext cx="875058" cy="190500"/>
          <a:chOff x="206" y="86"/>
          <a:chExt cx="73" cy="16"/>
        </a:xfrm>
      </xdr:grpSpPr>
      <xdr:sp macro="" textlink="">
        <xdr:nvSpPr>
          <xdr:cNvPr id="267" name="Line 6">
            <a:extLst>
              <a:ext uri="{FF2B5EF4-FFF2-40B4-BE49-F238E27FC236}">
                <a16:creationId xmlns:a16="http://schemas.microsoft.com/office/drawing/2014/main" id="{83C30E54-15BB-F7ED-D55B-E98BEFCA7E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" name="Line 7">
            <a:extLst>
              <a:ext uri="{FF2B5EF4-FFF2-40B4-BE49-F238E27FC236}">
                <a16:creationId xmlns:a16="http://schemas.microsoft.com/office/drawing/2014/main" id="{8A44A386-E01B-7B5C-898A-8E3D853746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" name="Line 8">
            <a:extLst>
              <a:ext uri="{FF2B5EF4-FFF2-40B4-BE49-F238E27FC236}">
                <a16:creationId xmlns:a16="http://schemas.microsoft.com/office/drawing/2014/main" id="{534AF808-B5DA-5B9E-C869-0CBC466FA2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41</xdr:row>
      <xdr:rowOff>58616</xdr:rowOff>
    </xdr:from>
    <xdr:to>
      <xdr:col>3</xdr:col>
      <xdr:colOff>977635</xdr:colOff>
      <xdr:row>41</xdr:row>
      <xdr:rowOff>249116</xdr:rowOff>
    </xdr:to>
    <xdr:grpSp>
      <xdr:nvGrpSpPr>
        <xdr:cNvPr id="274" name="hinh2">
          <a:extLst>
            <a:ext uri="{FF2B5EF4-FFF2-40B4-BE49-F238E27FC236}">
              <a16:creationId xmlns:a16="http://schemas.microsoft.com/office/drawing/2014/main" id="{4AFFC5E5-B119-430F-AAB6-4309CAB78CCE}"/>
            </a:ext>
          </a:extLst>
        </xdr:cNvPr>
        <xdr:cNvGrpSpPr>
          <a:grpSpLocks noChangeAspect="1"/>
        </xdr:cNvGrpSpPr>
      </xdr:nvGrpSpPr>
      <xdr:grpSpPr bwMode="auto">
        <a:xfrm>
          <a:off x="2374970" y="15203366"/>
          <a:ext cx="875058" cy="190500"/>
          <a:chOff x="206" y="86"/>
          <a:chExt cx="73" cy="16"/>
        </a:xfrm>
      </xdr:grpSpPr>
      <xdr:sp macro="" textlink="">
        <xdr:nvSpPr>
          <xdr:cNvPr id="275" name="Line 6">
            <a:extLst>
              <a:ext uri="{FF2B5EF4-FFF2-40B4-BE49-F238E27FC236}">
                <a16:creationId xmlns:a16="http://schemas.microsoft.com/office/drawing/2014/main" id="{EEA55325-0ABC-53F9-C2B4-4F5DD011DE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" name="Line 7">
            <a:extLst>
              <a:ext uri="{FF2B5EF4-FFF2-40B4-BE49-F238E27FC236}">
                <a16:creationId xmlns:a16="http://schemas.microsoft.com/office/drawing/2014/main" id="{14D52971-8F20-C6E0-95DD-6E73CF4C77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" name="Line 8">
            <a:extLst>
              <a:ext uri="{FF2B5EF4-FFF2-40B4-BE49-F238E27FC236}">
                <a16:creationId xmlns:a16="http://schemas.microsoft.com/office/drawing/2014/main" id="{6F75782C-4B32-F5DA-FDEE-D3D23E4EBB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44</xdr:row>
      <xdr:rowOff>58616</xdr:rowOff>
    </xdr:from>
    <xdr:to>
      <xdr:col>3</xdr:col>
      <xdr:colOff>977635</xdr:colOff>
      <xdr:row>44</xdr:row>
      <xdr:rowOff>249116</xdr:rowOff>
    </xdr:to>
    <xdr:grpSp>
      <xdr:nvGrpSpPr>
        <xdr:cNvPr id="278" name="hinh2">
          <a:extLst>
            <a:ext uri="{FF2B5EF4-FFF2-40B4-BE49-F238E27FC236}">
              <a16:creationId xmlns:a16="http://schemas.microsoft.com/office/drawing/2014/main" id="{E7CC57B1-A98D-49D8-8D2F-16C1A3193DD8}"/>
            </a:ext>
          </a:extLst>
        </xdr:cNvPr>
        <xdr:cNvGrpSpPr>
          <a:grpSpLocks noChangeAspect="1"/>
        </xdr:cNvGrpSpPr>
      </xdr:nvGrpSpPr>
      <xdr:grpSpPr bwMode="auto">
        <a:xfrm>
          <a:off x="2374970" y="16387187"/>
          <a:ext cx="875058" cy="190500"/>
          <a:chOff x="206" y="86"/>
          <a:chExt cx="73" cy="16"/>
        </a:xfrm>
      </xdr:grpSpPr>
      <xdr:sp macro="" textlink="">
        <xdr:nvSpPr>
          <xdr:cNvPr id="279" name="Line 6">
            <a:extLst>
              <a:ext uri="{FF2B5EF4-FFF2-40B4-BE49-F238E27FC236}">
                <a16:creationId xmlns:a16="http://schemas.microsoft.com/office/drawing/2014/main" id="{336B6C80-FDB1-7FFB-EC6E-6481AA8618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0" name="Line 7">
            <a:extLst>
              <a:ext uri="{FF2B5EF4-FFF2-40B4-BE49-F238E27FC236}">
                <a16:creationId xmlns:a16="http://schemas.microsoft.com/office/drawing/2014/main" id="{E999009B-9255-17AD-DEA7-562789B531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1" name="Line 8">
            <a:extLst>
              <a:ext uri="{FF2B5EF4-FFF2-40B4-BE49-F238E27FC236}">
                <a16:creationId xmlns:a16="http://schemas.microsoft.com/office/drawing/2014/main" id="{52EB033A-75FC-B113-D01F-6B7D69BB75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46</xdr:row>
      <xdr:rowOff>80596</xdr:rowOff>
    </xdr:from>
    <xdr:to>
      <xdr:col>3</xdr:col>
      <xdr:colOff>970308</xdr:colOff>
      <xdr:row>46</xdr:row>
      <xdr:rowOff>244279</xdr:rowOff>
    </xdr:to>
    <xdr:grpSp>
      <xdr:nvGrpSpPr>
        <xdr:cNvPr id="282" name="hinh2">
          <a:extLst>
            <a:ext uri="{FF2B5EF4-FFF2-40B4-BE49-F238E27FC236}">
              <a16:creationId xmlns:a16="http://schemas.microsoft.com/office/drawing/2014/main" id="{C58662C4-8E62-4BAC-A8D4-11B09226B71E}"/>
            </a:ext>
          </a:extLst>
        </xdr:cNvPr>
        <xdr:cNvGrpSpPr>
          <a:grpSpLocks noChangeAspect="1"/>
        </xdr:cNvGrpSpPr>
      </xdr:nvGrpSpPr>
      <xdr:grpSpPr bwMode="auto">
        <a:xfrm>
          <a:off x="2367643" y="17198382"/>
          <a:ext cx="875058" cy="163683"/>
          <a:chOff x="206" y="86"/>
          <a:chExt cx="73" cy="16"/>
        </a:xfrm>
      </xdr:grpSpPr>
      <xdr:sp macro="" textlink="">
        <xdr:nvSpPr>
          <xdr:cNvPr id="283" name="Line 6">
            <a:extLst>
              <a:ext uri="{FF2B5EF4-FFF2-40B4-BE49-F238E27FC236}">
                <a16:creationId xmlns:a16="http://schemas.microsoft.com/office/drawing/2014/main" id="{A04F443C-5880-1A5B-135B-C8FEA1EB6A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4" name="Line 7">
            <a:extLst>
              <a:ext uri="{FF2B5EF4-FFF2-40B4-BE49-F238E27FC236}">
                <a16:creationId xmlns:a16="http://schemas.microsoft.com/office/drawing/2014/main" id="{65F1DBD0-BBDA-855A-E9AC-675024776B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5" name="Line 8">
            <a:extLst>
              <a:ext uri="{FF2B5EF4-FFF2-40B4-BE49-F238E27FC236}">
                <a16:creationId xmlns:a16="http://schemas.microsoft.com/office/drawing/2014/main" id="{5AC81AC9-5085-C1E3-9100-D0F8616FFB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47</xdr:row>
      <xdr:rowOff>58616</xdr:rowOff>
    </xdr:from>
    <xdr:to>
      <xdr:col>3</xdr:col>
      <xdr:colOff>977635</xdr:colOff>
      <xdr:row>47</xdr:row>
      <xdr:rowOff>249116</xdr:rowOff>
    </xdr:to>
    <xdr:grpSp>
      <xdr:nvGrpSpPr>
        <xdr:cNvPr id="286" name="hinh2">
          <a:extLst>
            <a:ext uri="{FF2B5EF4-FFF2-40B4-BE49-F238E27FC236}">
              <a16:creationId xmlns:a16="http://schemas.microsoft.com/office/drawing/2014/main" id="{404A1E84-67E3-4D8E-9258-F889B5459AF1}"/>
            </a:ext>
          </a:extLst>
        </xdr:cNvPr>
        <xdr:cNvGrpSpPr>
          <a:grpSpLocks noChangeAspect="1"/>
        </xdr:cNvGrpSpPr>
      </xdr:nvGrpSpPr>
      <xdr:grpSpPr bwMode="auto">
        <a:xfrm>
          <a:off x="2374970" y="17571009"/>
          <a:ext cx="875058" cy="190500"/>
          <a:chOff x="206" y="86"/>
          <a:chExt cx="73" cy="16"/>
        </a:xfrm>
      </xdr:grpSpPr>
      <xdr:sp macro="" textlink="">
        <xdr:nvSpPr>
          <xdr:cNvPr id="287" name="Line 6">
            <a:extLst>
              <a:ext uri="{FF2B5EF4-FFF2-40B4-BE49-F238E27FC236}">
                <a16:creationId xmlns:a16="http://schemas.microsoft.com/office/drawing/2014/main" id="{6D5C5F2B-A171-A752-CB87-3359BEFD29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" name="Line 7">
            <a:extLst>
              <a:ext uri="{FF2B5EF4-FFF2-40B4-BE49-F238E27FC236}">
                <a16:creationId xmlns:a16="http://schemas.microsoft.com/office/drawing/2014/main" id="{13F965EB-622E-6788-1C73-B7592EA7A9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" name="Line 8">
            <a:extLst>
              <a:ext uri="{FF2B5EF4-FFF2-40B4-BE49-F238E27FC236}">
                <a16:creationId xmlns:a16="http://schemas.microsoft.com/office/drawing/2014/main" id="{1B3791F4-5F1A-FF38-E136-CD4A145E98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48</xdr:row>
      <xdr:rowOff>58616</xdr:rowOff>
    </xdr:from>
    <xdr:to>
      <xdr:col>3</xdr:col>
      <xdr:colOff>977635</xdr:colOff>
      <xdr:row>48</xdr:row>
      <xdr:rowOff>249116</xdr:rowOff>
    </xdr:to>
    <xdr:grpSp>
      <xdr:nvGrpSpPr>
        <xdr:cNvPr id="290" name="hinh2">
          <a:extLst>
            <a:ext uri="{FF2B5EF4-FFF2-40B4-BE49-F238E27FC236}">
              <a16:creationId xmlns:a16="http://schemas.microsoft.com/office/drawing/2014/main" id="{A39743E6-03E9-4068-8EE8-B922FF123897}"/>
            </a:ext>
          </a:extLst>
        </xdr:cNvPr>
        <xdr:cNvGrpSpPr>
          <a:grpSpLocks noChangeAspect="1"/>
        </xdr:cNvGrpSpPr>
      </xdr:nvGrpSpPr>
      <xdr:grpSpPr bwMode="auto">
        <a:xfrm>
          <a:off x="2374970" y="17965616"/>
          <a:ext cx="875058" cy="190500"/>
          <a:chOff x="206" y="86"/>
          <a:chExt cx="73" cy="16"/>
        </a:xfrm>
      </xdr:grpSpPr>
      <xdr:sp macro="" textlink="">
        <xdr:nvSpPr>
          <xdr:cNvPr id="291" name="Line 6">
            <a:extLst>
              <a:ext uri="{FF2B5EF4-FFF2-40B4-BE49-F238E27FC236}">
                <a16:creationId xmlns:a16="http://schemas.microsoft.com/office/drawing/2014/main" id="{FAF2C374-D2F1-4F3C-A6A3-E1DA2490C3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Line 7">
            <a:extLst>
              <a:ext uri="{FF2B5EF4-FFF2-40B4-BE49-F238E27FC236}">
                <a16:creationId xmlns:a16="http://schemas.microsoft.com/office/drawing/2014/main" id="{04A36FB0-B1E7-2BDF-0F1E-B3B1A6F21C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" name="Line 8">
            <a:extLst>
              <a:ext uri="{FF2B5EF4-FFF2-40B4-BE49-F238E27FC236}">
                <a16:creationId xmlns:a16="http://schemas.microsoft.com/office/drawing/2014/main" id="{E26986F6-FC1A-C36C-A278-357C8B8C67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49</xdr:row>
      <xdr:rowOff>58616</xdr:rowOff>
    </xdr:from>
    <xdr:to>
      <xdr:col>3</xdr:col>
      <xdr:colOff>977635</xdr:colOff>
      <xdr:row>49</xdr:row>
      <xdr:rowOff>249116</xdr:rowOff>
    </xdr:to>
    <xdr:grpSp>
      <xdr:nvGrpSpPr>
        <xdr:cNvPr id="314" name="hinh2">
          <a:extLst>
            <a:ext uri="{FF2B5EF4-FFF2-40B4-BE49-F238E27FC236}">
              <a16:creationId xmlns:a16="http://schemas.microsoft.com/office/drawing/2014/main" id="{977FDA1D-7EB0-48FA-BA93-7BD857CEDDF0}"/>
            </a:ext>
          </a:extLst>
        </xdr:cNvPr>
        <xdr:cNvGrpSpPr>
          <a:grpSpLocks noChangeAspect="1"/>
        </xdr:cNvGrpSpPr>
      </xdr:nvGrpSpPr>
      <xdr:grpSpPr bwMode="auto">
        <a:xfrm>
          <a:off x="2374970" y="18360223"/>
          <a:ext cx="875058" cy="190500"/>
          <a:chOff x="206" y="86"/>
          <a:chExt cx="73" cy="16"/>
        </a:xfrm>
      </xdr:grpSpPr>
      <xdr:sp macro="" textlink="">
        <xdr:nvSpPr>
          <xdr:cNvPr id="315" name="Line 6">
            <a:extLst>
              <a:ext uri="{FF2B5EF4-FFF2-40B4-BE49-F238E27FC236}">
                <a16:creationId xmlns:a16="http://schemas.microsoft.com/office/drawing/2014/main" id="{46F3F1E3-AC77-322E-6A1C-CCD65F8784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6" name="Line 7">
            <a:extLst>
              <a:ext uri="{FF2B5EF4-FFF2-40B4-BE49-F238E27FC236}">
                <a16:creationId xmlns:a16="http://schemas.microsoft.com/office/drawing/2014/main" id="{4BDE9900-BB74-E35E-A6C7-92D397DF77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7" name="Line 8">
            <a:extLst>
              <a:ext uri="{FF2B5EF4-FFF2-40B4-BE49-F238E27FC236}">
                <a16:creationId xmlns:a16="http://schemas.microsoft.com/office/drawing/2014/main" id="{0B3DBDD1-8C6C-E68F-32F0-995540D9B1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52</xdr:row>
      <xdr:rowOff>58616</xdr:rowOff>
    </xdr:from>
    <xdr:to>
      <xdr:col>3</xdr:col>
      <xdr:colOff>977635</xdr:colOff>
      <xdr:row>52</xdr:row>
      <xdr:rowOff>249116</xdr:rowOff>
    </xdr:to>
    <xdr:grpSp>
      <xdr:nvGrpSpPr>
        <xdr:cNvPr id="318" name="hinh2">
          <a:extLst>
            <a:ext uri="{FF2B5EF4-FFF2-40B4-BE49-F238E27FC236}">
              <a16:creationId xmlns:a16="http://schemas.microsoft.com/office/drawing/2014/main" id="{5ACFF1FD-7661-45D8-8967-6F149EA3D54D}"/>
            </a:ext>
          </a:extLst>
        </xdr:cNvPr>
        <xdr:cNvGrpSpPr>
          <a:grpSpLocks noChangeAspect="1"/>
        </xdr:cNvGrpSpPr>
      </xdr:nvGrpSpPr>
      <xdr:grpSpPr bwMode="auto">
        <a:xfrm>
          <a:off x="2374970" y="19544045"/>
          <a:ext cx="875058" cy="190500"/>
          <a:chOff x="206" y="86"/>
          <a:chExt cx="73" cy="16"/>
        </a:xfrm>
      </xdr:grpSpPr>
      <xdr:sp macro="" textlink="">
        <xdr:nvSpPr>
          <xdr:cNvPr id="319" name="Line 6">
            <a:extLst>
              <a:ext uri="{FF2B5EF4-FFF2-40B4-BE49-F238E27FC236}">
                <a16:creationId xmlns:a16="http://schemas.microsoft.com/office/drawing/2014/main" id="{FF56F416-1AAE-4CB0-82F8-931D35466B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0" name="Line 7">
            <a:extLst>
              <a:ext uri="{FF2B5EF4-FFF2-40B4-BE49-F238E27FC236}">
                <a16:creationId xmlns:a16="http://schemas.microsoft.com/office/drawing/2014/main" id="{69D4D243-E0D6-8242-F150-E9AE90C16D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" name="Line 8">
            <a:extLst>
              <a:ext uri="{FF2B5EF4-FFF2-40B4-BE49-F238E27FC236}">
                <a16:creationId xmlns:a16="http://schemas.microsoft.com/office/drawing/2014/main" id="{EDBA535C-90CB-0955-71DC-8E09C2AF95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334" name="hinh2">
          <a:extLst>
            <a:ext uri="{FF2B5EF4-FFF2-40B4-BE49-F238E27FC236}">
              <a16:creationId xmlns:a16="http://schemas.microsoft.com/office/drawing/2014/main" id="{C94C0032-8E43-4ADC-9332-43566D88F1E0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335" name="Line 6">
            <a:extLst>
              <a:ext uri="{FF2B5EF4-FFF2-40B4-BE49-F238E27FC236}">
                <a16:creationId xmlns:a16="http://schemas.microsoft.com/office/drawing/2014/main" id="{4827651F-47C1-02E5-8791-A74F0A05B5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6" name="Line 7">
            <a:extLst>
              <a:ext uri="{FF2B5EF4-FFF2-40B4-BE49-F238E27FC236}">
                <a16:creationId xmlns:a16="http://schemas.microsoft.com/office/drawing/2014/main" id="{DCA35BA1-C8C8-95BB-22DF-E531F07F22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7" name="Line 8">
            <a:extLst>
              <a:ext uri="{FF2B5EF4-FFF2-40B4-BE49-F238E27FC236}">
                <a16:creationId xmlns:a16="http://schemas.microsoft.com/office/drawing/2014/main" id="{596AD849-DA79-3E75-A12D-2960C33FF4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48</xdr:row>
      <xdr:rowOff>58616</xdr:rowOff>
    </xdr:from>
    <xdr:to>
      <xdr:col>3</xdr:col>
      <xdr:colOff>977635</xdr:colOff>
      <xdr:row>48</xdr:row>
      <xdr:rowOff>249116</xdr:rowOff>
    </xdr:to>
    <xdr:grpSp>
      <xdr:nvGrpSpPr>
        <xdr:cNvPr id="338" name="hinh2">
          <a:extLst>
            <a:ext uri="{FF2B5EF4-FFF2-40B4-BE49-F238E27FC236}">
              <a16:creationId xmlns:a16="http://schemas.microsoft.com/office/drawing/2014/main" id="{C3476780-954B-4F03-8D8E-7E8C6D135100}"/>
            </a:ext>
          </a:extLst>
        </xdr:cNvPr>
        <xdr:cNvGrpSpPr>
          <a:grpSpLocks noChangeAspect="1"/>
        </xdr:cNvGrpSpPr>
      </xdr:nvGrpSpPr>
      <xdr:grpSpPr bwMode="auto">
        <a:xfrm>
          <a:off x="2374970" y="17965616"/>
          <a:ext cx="875058" cy="190500"/>
          <a:chOff x="206" y="86"/>
          <a:chExt cx="73" cy="16"/>
        </a:xfrm>
      </xdr:grpSpPr>
      <xdr:sp macro="" textlink="">
        <xdr:nvSpPr>
          <xdr:cNvPr id="339" name="Line 6">
            <a:extLst>
              <a:ext uri="{FF2B5EF4-FFF2-40B4-BE49-F238E27FC236}">
                <a16:creationId xmlns:a16="http://schemas.microsoft.com/office/drawing/2014/main" id="{DAB36064-F597-37B0-3E20-8281C7F1BC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7">
            <a:extLst>
              <a:ext uri="{FF2B5EF4-FFF2-40B4-BE49-F238E27FC236}">
                <a16:creationId xmlns:a16="http://schemas.microsoft.com/office/drawing/2014/main" id="{A8D3D8FD-8211-6F3F-67F9-E83DA2C644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1" name="Line 8">
            <a:extLst>
              <a:ext uri="{FF2B5EF4-FFF2-40B4-BE49-F238E27FC236}">
                <a16:creationId xmlns:a16="http://schemas.microsoft.com/office/drawing/2014/main" id="{82435402-2E53-5209-ECBD-AC106303F8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49</xdr:row>
      <xdr:rowOff>58616</xdr:rowOff>
    </xdr:from>
    <xdr:to>
      <xdr:col>3</xdr:col>
      <xdr:colOff>977635</xdr:colOff>
      <xdr:row>49</xdr:row>
      <xdr:rowOff>249116</xdr:rowOff>
    </xdr:to>
    <xdr:grpSp>
      <xdr:nvGrpSpPr>
        <xdr:cNvPr id="358" name="hinh2">
          <a:extLst>
            <a:ext uri="{FF2B5EF4-FFF2-40B4-BE49-F238E27FC236}">
              <a16:creationId xmlns:a16="http://schemas.microsoft.com/office/drawing/2014/main" id="{A04C0D50-8E22-4F1A-A1BE-05C10381682D}"/>
            </a:ext>
          </a:extLst>
        </xdr:cNvPr>
        <xdr:cNvGrpSpPr>
          <a:grpSpLocks noChangeAspect="1"/>
        </xdr:cNvGrpSpPr>
      </xdr:nvGrpSpPr>
      <xdr:grpSpPr bwMode="auto">
        <a:xfrm>
          <a:off x="2374970" y="18360223"/>
          <a:ext cx="875058" cy="190500"/>
          <a:chOff x="206" y="86"/>
          <a:chExt cx="73" cy="16"/>
        </a:xfrm>
      </xdr:grpSpPr>
      <xdr:sp macro="" textlink="">
        <xdr:nvSpPr>
          <xdr:cNvPr id="359" name="Line 6">
            <a:extLst>
              <a:ext uri="{FF2B5EF4-FFF2-40B4-BE49-F238E27FC236}">
                <a16:creationId xmlns:a16="http://schemas.microsoft.com/office/drawing/2014/main" id="{07DA2A71-E5C7-92C3-7222-A7D47A237A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" name="Line 7">
            <a:extLst>
              <a:ext uri="{FF2B5EF4-FFF2-40B4-BE49-F238E27FC236}">
                <a16:creationId xmlns:a16="http://schemas.microsoft.com/office/drawing/2014/main" id="{A8AB24C0-5068-026C-3710-41C3833FE6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1" name="Line 8">
            <a:extLst>
              <a:ext uri="{FF2B5EF4-FFF2-40B4-BE49-F238E27FC236}">
                <a16:creationId xmlns:a16="http://schemas.microsoft.com/office/drawing/2014/main" id="{7B009FE2-BC5F-3577-5193-4C4EB22DDE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49</xdr:row>
      <xdr:rowOff>58616</xdr:rowOff>
    </xdr:from>
    <xdr:to>
      <xdr:col>3</xdr:col>
      <xdr:colOff>977635</xdr:colOff>
      <xdr:row>49</xdr:row>
      <xdr:rowOff>249116</xdr:rowOff>
    </xdr:to>
    <xdr:grpSp>
      <xdr:nvGrpSpPr>
        <xdr:cNvPr id="370" name="hinh2">
          <a:extLst>
            <a:ext uri="{FF2B5EF4-FFF2-40B4-BE49-F238E27FC236}">
              <a16:creationId xmlns:a16="http://schemas.microsoft.com/office/drawing/2014/main" id="{7AD9C69D-B495-48D5-B09A-63D45D7BF678}"/>
            </a:ext>
          </a:extLst>
        </xdr:cNvPr>
        <xdr:cNvGrpSpPr>
          <a:grpSpLocks noChangeAspect="1"/>
        </xdr:cNvGrpSpPr>
      </xdr:nvGrpSpPr>
      <xdr:grpSpPr bwMode="auto">
        <a:xfrm>
          <a:off x="2374970" y="18360223"/>
          <a:ext cx="875058" cy="190500"/>
          <a:chOff x="206" y="86"/>
          <a:chExt cx="73" cy="16"/>
        </a:xfrm>
      </xdr:grpSpPr>
      <xdr:sp macro="" textlink="">
        <xdr:nvSpPr>
          <xdr:cNvPr id="371" name="Line 6">
            <a:extLst>
              <a:ext uri="{FF2B5EF4-FFF2-40B4-BE49-F238E27FC236}">
                <a16:creationId xmlns:a16="http://schemas.microsoft.com/office/drawing/2014/main" id="{040C91B8-FCF5-DE9B-3A35-6CB2BADF97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2" name="Line 7">
            <a:extLst>
              <a:ext uri="{FF2B5EF4-FFF2-40B4-BE49-F238E27FC236}">
                <a16:creationId xmlns:a16="http://schemas.microsoft.com/office/drawing/2014/main" id="{559FC1D4-161D-F9AB-9E78-335C059FDE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3" name="Line 8">
            <a:extLst>
              <a:ext uri="{FF2B5EF4-FFF2-40B4-BE49-F238E27FC236}">
                <a16:creationId xmlns:a16="http://schemas.microsoft.com/office/drawing/2014/main" id="{3C7B4E9E-58DA-9C0D-8B27-AE8015E819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49</xdr:row>
      <xdr:rowOff>58616</xdr:rowOff>
    </xdr:from>
    <xdr:to>
      <xdr:col>3</xdr:col>
      <xdr:colOff>977635</xdr:colOff>
      <xdr:row>49</xdr:row>
      <xdr:rowOff>249116</xdr:rowOff>
    </xdr:to>
    <xdr:grpSp>
      <xdr:nvGrpSpPr>
        <xdr:cNvPr id="382" name="hinh2">
          <a:extLst>
            <a:ext uri="{FF2B5EF4-FFF2-40B4-BE49-F238E27FC236}">
              <a16:creationId xmlns:a16="http://schemas.microsoft.com/office/drawing/2014/main" id="{AB7A0F1B-7839-44BC-8036-C2AFDC46CC87}"/>
            </a:ext>
          </a:extLst>
        </xdr:cNvPr>
        <xdr:cNvGrpSpPr>
          <a:grpSpLocks noChangeAspect="1"/>
        </xdr:cNvGrpSpPr>
      </xdr:nvGrpSpPr>
      <xdr:grpSpPr bwMode="auto">
        <a:xfrm>
          <a:off x="2374970" y="18360223"/>
          <a:ext cx="875058" cy="190500"/>
          <a:chOff x="206" y="86"/>
          <a:chExt cx="73" cy="16"/>
        </a:xfrm>
      </xdr:grpSpPr>
      <xdr:sp macro="" textlink="">
        <xdr:nvSpPr>
          <xdr:cNvPr id="383" name="Line 6">
            <a:extLst>
              <a:ext uri="{FF2B5EF4-FFF2-40B4-BE49-F238E27FC236}">
                <a16:creationId xmlns:a16="http://schemas.microsoft.com/office/drawing/2014/main" id="{1663C28A-7A1E-416D-C80A-6171EB2BD1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" name="Line 7">
            <a:extLst>
              <a:ext uri="{FF2B5EF4-FFF2-40B4-BE49-F238E27FC236}">
                <a16:creationId xmlns:a16="http://schemas.microsoft.com/office/drawing/2014/main" id="{9F8407BD-6FC6-0452-D170-287B0E0A3C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" name="Line 8">
            <a:extLst>
              <a:ext uri="{FF2B5EF4-FFF2-40B4-BE49-F238E27FC236}">
                <a16:creationId xmlns:a16="http://schemas.microsoft.com/office/drawing/2014/main" id="{552573B4-3D03-D7E3-36DD-E0F697BDC3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386" name="hinh2">
          <a:extLst>
            <a:ext uri="{FF2B5EF4-FFF2-40B4-BE49-F238E27FC236}">
              <a16:creationId xmlns:a16="http://schemas.microsoft.com/office/drawing/2014/main" id="{B2A60098-9B83-4576-B479-CCCC1D84981F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387" name="Line 6">
            <a:extLst>
              <a:ext uri="{FF2B5EF4-FFF2-40B4-BE49-F238E27FC236}">
                <a16:creationId xmlns:a16="http://schemas.microsoft.com/office/drawing/2014/main" id="{E0676C56-0D6D-2569-BCB1-5B0A73B2E4C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" name="Line 7">
            <a:extLst>
              <a:ext uri="{FF2B5EF4-FFF2-40B4-BE49-F238E27FC236}">
                <a16:creationId xmlns:a16="http://schemas.microsoft.com/office/drawing/2014/main" id="{2A7FCA35-88A8-DF0B-3676-714B86B9A8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9" name="Line 8">
            <a:extLst>
              <a:ext uri="{FF2B5EF4-FFF2-40B4-BE49-F238E27FC236}">
                <a16:creationId xmlns:a16="http://schemas.microsoft.com/office/drawing/2014/main" id="{F4B0AD26-C568-7F7A-F77D-505D96C794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390" name="hinh2">
          <a:extLst>
            <a:ext uri="{FF2B5EF4-FFF2-40B4-BE49-F238E27FC236}">
              <a16:creationId xmlns:a16="http://schemas.microsoft.com/office/drawing/2014/main" id="{5F29FB14-74E0-4D49-8729-424391F6C621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391" name="Line 6">
            <a:extLst>
              <a:ext uri="{FF2B5EF4-FFF2-40B4-BE49-F238E27FC236}">
                <a16:creationId xmlns:a16="http://schemas.microsoft.com/office/drawing/2014/main" id="{1313E86D-381E-A2D9-12B9-A0AF9C05E3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" name="Line 7">
            <a:extLst>
              <a:ext uri="{FF2B5EF4-FFF2-40B4-BE49-F238E27FC236}">
                <a16:creationId xmlns:a16="http://schemas.microsoft.com/office/drawing/2014/main" id="{B128AA0B-3BC7-29D1-C3C3-F10D2F1732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" name="Line 8">
            <a:extLst>
              <a:ext uri="{FF2B5EF4-FFF2-40B4-BE49-F238E27FC236}">
                <a16:creationId xmlns:a16="http://schemas.microsoft.com/office/drawing/2014/main" id="{E8904743-A368-BA15-4848-807B2F150C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394" name="hinh2">
          <a:extLst>
            <a:ext uri="{FF2B5EF4-FFF2-40B4-BE49-F238E27FC236}">
              <a16:creationId xmlns:a16="http://schemas.microsoft.com/office/drawing/2014/main" id="{6A15E74F-6057-4758-AFE3-01F15BFFB871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395" name="Line 6">
            <a:extLst>
              <a:ext uri="{FF2B5EF4-FFF2-40B4-BE49-F238E27FC236}">
                <a16:creationId xmlns:a16="http://schemas.microsoft.com/office/drawing/2014/main" id="{6BFA4BCF-5A7A-DE1D-2808-11220384AC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" name="Line 7">
            <a:extLst>
              <a:ext uri="{FF2B5EF4-FFF2-40B4-BE49-F238E27FC236}">
                <a16:creationId xmlns:a16="http://schemas.microsoft.com/office/drawing/2014/main" id="{7BD7AB81-848E-06E5-4F03-8B5B784185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" name="Line 8">
            <a:extLst>
              <a:ext uri="{FF2B5EF4-FFF2-40B4-BE49-F238E27FC236}">
                <a16:creationId xmlns:a16="http://schemas.microsoft.com/office/drawing/2014/main" id="{30E76299-783D-802D-B708-A091253FE9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402" name="hinh2">
          <a:extLst>
            <a:ext uri="{FF2B5EF4-FFF2-40B4-BE49-F238E27FC236}">
              <a16:creationId xmlns:a16="http://schemas.microsoft.com/office/drawing/2014/main" id="{691FABB7-9505-400A-B253-7D354021BCF6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403" name="Line 6">
            <a:extLst>
              <a:ext uri="{FF2B5EF4-FFF2-40B4-BE49-F238E27FC236}">
                <a16:creationId xmlns:a16="http://schemas.microsoft.com/office/drawing/2014/main" id="{24AA3E8C-2458-5BA7-175F-A7A1D3624A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" name="Line 7">
            <a:extLst>
              <a:ext uri="{FF2B5EF4-FFF2-40B4-BE49-F238E27FC236}">
                <a16:creationId xmlns:a16="http://schemas.microsoft.com/office/drawing/2014/main" id="{4F3CD0B5-C47F-3301-48E1-EFF55D4466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5" name="Line 8">
            <a:extLst>
              <a:ext uri="{FF2B5EF4-FFF2-40B4-BE49-F238E27FC236}">
                <a16:creationId xmlns:a16="http://schemas.microsoft.com/office/drawing/2014/main" id="{358DE400-738E-7D0C-6C60-A645A3A957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53</xdr:row>
      <xdr:rowOff>80596</xdr:rowOff>
    </xdr:from>
    <xdr:to>
      <xdr:col>3</xdr:col>
      <xdr:colOff>970308</xdr:colOff>
      <xdr:row>53</xdr:row>
      <xdr:rowOff>244279</xdr:rowOff>
    </xdr:to>
    <xdr:grpSp>
      <xdr:nvGrpSpPr>
        <xdr:cNvPr id="410" name="hinh2">
          <a:extLst>
            <a:ext uri="{FF2B5EF4-FFF2-40B4-BE49-F238E27FC236}">
              <a16:creationId xmlns:a16="http://schemas.microsoft.com/office/drawing/2014/main" id="{F0A49E56-497C-427A-A154-1B887FAE58BE}"/>
            </a:ext>
          </a:extLst>
        </xdr:cNvPr>
        <xdr:cNvGrpSpPr>
          <a:grpSpLocks noChangeAspect="1"/>
        </xdr:cNvGrpSpPr>
      </xdr:nvGrpSpPr>
      <xdr:grpSpPr bwMode="auto">
        <a:xfrm>
          <a:off x="2367643" y="19960632"/>
          <a:ext cx="875058" cy="163683"/>
          <a:chOff x="206" y="86"/>
          <a:chExt cx="73" cy="16"/>
        </a:xfrm>
      </xdr:grpSpPr>
      <xdr:sp macro="" textlink="">
        <xdr:nvSpPr>
          <xdr:cNvPr id="411" name="Line 6">
            <a:extLst>
              <a:ext uri="{FF2B5EF4-FFF2-40B4-BE49-F238E27FC236}">
                <a16:creationId xmlns:a16="http://schemas.microsoft.com/office/drawing/2014/main" id="{C35C6677-556B-A14C-7C90-FA0688A235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2" name="Line 7">
            <a:extLst>
              <a:ext uri="{FF2B5EF4-FFF2-40B4-BE49-F238E27FC236}">
                <a16:creationId xmlns:a16="http://schemas.microsoft.com/office/drawing/2014/main" id="{3F238614-617B-9DFA-D67A-DBE411AAF4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3" name="Line 8">
            <a:extLst>
              <a:ext uri="{FF2B5EF4-FFF2-40B4-BE49-F238E27FC236}">
                <a16:creationId xmlns:a16="http://schemas.microsoft.com/office/drawing/2014/main" id="{5077449E-AD86-0C25-2242-5BB494755A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54</xdr:row>
      <xdr:rowOff>58616</xdr:rowOff>
    </xdr:from>
    <xdr:to>
      <xdr:col>3</xdr:col>
      <xdr:colOff>977635</xdr:colOff>
      <xdr:row>54</xdr:row>
      <xdr:rowOff>249116</xdr:rowOff>
    </xdr:to>
    <xdr:grpSp>
      <xdr:nvGrpSpPr>
        <xdr:cNvPr id="418" name="hinh2">
          <a:extLst>
            <a:ext uri="{FF2B5EF4-FFF2-40B4-BE49-F238E27FC236}">
              <a16:creationId xmlns:a16="http://schemas.microsoft.com/office/drawing/2014/main" id="{E0055D28-B46B-4858-877B-16E29C402326}"/>
            </a:ext>
          </a:extLst>
        </xdr:cNvPr>
        <xdr:cNvGrpSpPr>
          <a:grpSpLocks noChangeAspect="1"/>
        </xdr:cNvGrpSpPr>
      </xdr:nvGrpSpPr>
      <xdr:grpSpPr bwMode="auto">
        <a:xfrm>
          <a:off x="2374970" y="20333259"/>
          <a:ext cx="875058" cy="190500"/>
          <a:chOff x="206" y="86"/>
          <a:chExt cx="73" cy="16"/>
        </a:xfrm>
      </xdr:grpSpPr>
      <xdr:sp macro="" textlink="">
        <xdr:nvSpPr>
          <xdr:cNvPr id="419" name="Line 6">
            <a:extLst>
              <a:ext uri="{FF2B5EF4-FFF2-40B4-BE49-F238E27FC236}">
                <a16:creationId xmlns:a16="http://schemas.microsoft.com/office/drawing/2014/main" id="{77241FFA-C073-9B66-4AB4-43440365F3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0" name="Line 7">
            <a:extLst>
              <a:ext uri="{FF2B5EF4-FFF2-40B4-BE49-F238E27FC236}">
                <a16:creationId xmlns:a16="http://schemas.microsoft.com/office/drawing/2014/main" id="{1081E0D2-83C9-280E-8A63-D7BE7C5201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1" name="Line 8">
            <a:extLst>
              <a:ext uri="{FF2B5EF4-FFF2-40B4-BE49-F238E27FC236}">
                <a16:creationId xmlns:a16="http://schemas.microsoft.com/office/drawing/2014/main" id="{A79779D6-717D-B3C5-BD7B-C0A2997833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55</xdr:row>
      <xdr:rowOff>58616</xdr:rowOff>
    </xdr:from>
    <xdr:to>
      <xdr:col>3</xdr:col>
      <xdr:colOff>977635</xdr:colOff>
      <xdr:row>55</xdr:row>
      <xdr:rowOff>249116</xdr:rowOff>
    </xdr:to>
    <xdr:grpSp>
      <xdr:nvGrpSpPr>
        <xdr:cNvPr id="426" name="hinh2">
          <a:extLst>
            <a:ext uri="{FF2B5EF4-FFF2-40B4-BE49-F238E27FC236}">
              <a16:creationId xmlns:a16="http://schemas.microsoft.com/office/drawing/2014/main" id="{E9049B1A-E69E-478C-94D2-A49F7FFC4979}"/>
            </a:ext>
          </a:extLst>
        </xdr:cNvPr>
        <xdr:cNvGrpSpPr>
          <a:grpSpLocks noChangeAspect="1"/>
        </xdr:cNvGrpSpPr>
      </xdr:nvGrpSpPr>
      <xdr:grpSpPr bwMode="auto">
        <a:xfrm>
          <a:off x="2374970" y="20727866"/>
          <a:ext cx="875058" cy="190500"/>
          <a:chOff x="206" y="86"/>
          <a:chExt cx="73" cy="16"/>
        </a:xfrm>
      </xdr:grpSpPr>
      <xdr:sp macro="" textlink="">
        <xdr:nvSpPr>
          <xdr:cNvPr id="427" name="Line 6">
            <a:extLst>
              <a:ext uri="{FF2B5EF4-FFF2-40B4-BE49-F238E27FC236}">
                <a16:creationId xmlns:a16="http://schemas.microsoft.com/office/drawing/2014/main" id="{C7638B5A-305C-B15B-F7EC-FAAA8EA354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7">
            <a:extLst>
              <a:ext uri="{FF2B5EF4-FFF2-40B4-BE49-F238E27FC236}">
                <a16:creationId xmlns:a16="http://schemas.microsoft.com/office/drawing/2014/main" id="{94D1307C-5A74-85FB-3F73-35CE326845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8">
            <a:extLst>
              <a:ext uri="{FF2B5EF4-FFF2-40B4-BE49-F238E27FC236}">
                <a16:creationId xmlns:a16="http://schemas.microsoft.com/office/drawing/2014/main" id="{AEDAFBB7-91D4-F050-F2B1-B9023EF92E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56</xdr:row>
      <xdr:rowOff>58616</xdr:rowOff>
    </xdr:from>
    <xdr:to>
      <xdr:col>3</xdr:col>
      <xdr:colOff>977635</xdr:colOff>
      <xdr:row>56</xdr:row>
      <xdr:rowOff>249116</xdr:rowOff>
    </xdr:to>
    <xdr:grpSp>
      <xdr:nvGrpSpPr>
        <xdr:cNvPr id="486" name="hinh2">
          <a:extLst>
            <a:ext uri="{FF2B5EF4-FFF2-40B4-BE49-F238E27FC236}">
              <a16:creationId xmlns:a16="http://schemas.microsoft.com/office/drawing/2014/main" id="{13544849-7EA9-4B83-8AB7-A3510F238778}"/>
            </a:ext>
          </a:extLst>
        </xdr:cNvPr>
        <xdr:cNvGrpSpPr>
          <a:grpSpLocks noChangeAspect="1"/>
        </xdr:cNvGrpSpPr>
      </xdr:nvGrpSpPr>
      <xdr:grpSpPr bwMode="auto">
        <a:xfrm>
          <a:off x="2374970" y="21122473"/>
          <a:ext cx="875058" cy="190500"/>
          <a:chOff x="206" y="86"/>
          <a:chExt cx="73" cy="16"/>
        </a:xfrm>
      </xdr:grpSpPr>
      <xdr:sp macro="" textlink="">
        <xdr:nvSpPr>
          <xdr:cNvPr id="487" name="Line 6">
            <a:extLst>
              <a:ext uri="{FF2B5EF4-FFF2-40B4-BE49-F238E27FC236}">
                <a16:creationId xmlns:a16="http://schemas.microsoft.com/office/drawing/2014/main" id="{A36CB666-14B2-275D-921F-B91B06F02A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" name="Line 7">
            <a:extLst>
              <a:ext uri="{FF2B5EF4-FFF2-40B4-BE49-F238E27FC236}">
                <a16:creationId xmlns:a16="http://schemas.microsoft.com/office/drawing/2014/main" id="{74796088-5C07-F1F7-6CA4-C7864597AD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" name="Line 8">
            <a:extLst>
              <a:ext uri="{FF2B5EF4-FFF2-40B4-BE49-F238E27FC236}">
                <a16:creationId xmlns:a16="http://schemas.microsoft.com/office/drawing/2014/main" id="{CBD54D6B-6A78-B80C-436A-7831B50D7D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490" name="hinh2">
          <a:extLst>
            <a:ext uri="{FF2B5EF4-FFF2-40B4-BE49-F238E27FC236}">
              <a16:creationId xmlns:a16="http://schemas.microsoft.com/office/drawing/2014/main" id="{5CB17E02-D993-4250-8779-BAF638150A91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491" name="Line 6">
            <a:extLst>
              <a:ext uri="{FF2B5EF4-FFF2-40B4-BE49-F238E27FC236}">
                <a16:creationId xmlns:a16="http://schemas.microsoft.com/office/drawing/2014/main" id="{7F27672E-B25B-5F9D-090D-9C69846095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" name="Line 7">
            <a:extLst>
              <a:ext uri="{FF2B5EF4-FFF2-40B4-BE49-F238E27FC236}">
                <a16:creationId xmlns:a16="http://schemas.microsoft.com/office/drawing/2014/main" id="{00C6262E-A31A-BCB0-DD99-01F05E3520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" name="Line 8">
            <a:extLst>
              <a:ext uri="{FF2B5EF4-FFF2-40B4-BE49-F238E27FC236}">
                <a16:creationId xmlns:a16="http://schemas.microsoft.com/office/drawing/2014/main" id="{5E084196-D44C-D53E-F9CE-6F01E4BC6E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498" name="hinh2">
          <a:extLst>
            <a:ext uri="{FF2B5EF4-FFF2-40B4-BE49-F238E27FC236}">
              <a16:creationId xmlns:a16="http://schemas.microsoft.com/office/drawing/2014/main" id="{F00277FD-32F9-48CD-99D6-512AF80A6834}"/>
            </a:ext>
          </a:extLst>
        </xdr:cNvPr>
        <xdr:cNvGrpSpPr>
          <a:grpSpLocks noChangeAspect="1"/>
        </xdr:cNvGrpSpPr>
      </xdr:nvGrpSpPr>
      <xdr:grpSpPr bwMode="auto">
        <a:xfrm>
          <a:off x="2374970" y="22306295"/>
          <a:ext cx="875058" cy="190500"/>
          <a:chOff x="206" y="86"/>
          <a:chExt cx="73" cy="16"/>
        </a:xfrm>
      </xdr:grpSpPr>
      <xdr:sp macro="" textlink="">
        <xdr:nvSpPr>
          <xdr:cNvPr id="499" name="Line 6">
            <a:extLst>
              <a:ext uri="{FF2B5EF4-FFF2-40B4-BE49-F238E27FC236}">
                <a16:creationId xmlns:a16="http://schemas.microsoft.com/office/drawing/2014/main" id="{ECFD8378-AA58-8CD7-C92B-103246F826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0" name="Line 7">
            <a:extLst>
              <a:ext uri="{FF2B5EF4-FFF2-40B4-BE49-F238E27FC236}">
                <a16:creationId xmlns:a16="http://schemas.microsoft.com/office/drawing/2014/main" id="{D83A7287-B47B-9682-D34D-D39D80703B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1" name="Line 8">
            <a:extLst>
              <a:ext uri="{FF2B5EF4-FFF2-40B4-BE49-F238E27FC236}">
                <a16:creationId xmlns:a16="http://schemas.microsoft.com/office/drawing/2014/main" id="{B660D907-A823-226F-3B7F-9B66ED8B51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55</xdr:row>
      <xdr:rowOff>58616</xdr:rowOff>
    </xdr:from>
    <xdr:to>
      <xdr:col>3</xdr:col>
      <xdr:colOff>977635</xdr:colOff>
      <xdr:row>55</xdr:row>
      <xdr:rowOff>249116</xdr:rowOff>
    </xdr:to>
    <xdr:grpSp>
      <xdr:nvGrpSpPr>
        <xdr:cNvPr id="502" name="hinh2">
          <a:extLst>
            <a:ext uri="{FF2B5EF4-FFF2-40B4-BE49-F238E27FC236}">
              <a16:creationId xmlns:a16="http://schemas.microsoft.com/office/drawing/2014/main" id="{FBD1737D-5DA5-4A3F-91E0-C164F87BEE27}"/>
            </a:ext>
          </a:extLst>
        </xdr:cNvPr>
        <xdr:cNvGrpSpPr>
          <a:grpSpLocks noChangeAspect="1"/>
        </xdr:cNvGrpSpPr>
      </xdr:nvGrpSpPr>
      <xdr:grpSpPr bwMode="auto">
        <a:xfrm>
          <a:off x="2374970" y="20727866"/>
          <a:ext cx="875058" cy="190500"/>
          <a:chOff x="206" y="86"/>
          <a:chExt cx="73" cy="16"/>
        </a:xfrm>
      </xdr:grpSpPr>
      <xdr:sp macro="" textlink="">
        <xdr:nvSpPr>
          <xdr:cNvPr id="503" name="Line 6">
            <a:extLst>
              <a:ext uri="{FF2B5EF4-FFF2-40B4-BE49-F238E27FC236}">
                <a16:creationId xmlns:a16="http://schemas.microsoft.com/office/drawing/2014/main" id="{C67D1347-0FE6-ABCC-F306-83D993B2D4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4" name="Line 7">
            <a:extLst>
              <a:ext uri="{FF2B5EF4-FFF2-40B4-BE49-F238E27FC236}">
                <a16:creationId xmlns:a16="http://schemas.microsoft.com/office/drawing/2014/main" id="{2D5B869A-A0A5-AB29-9706-C7F10A3C83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5" name="Line 8">
            <a:extLst>
              <a:ext uri="{FF2B5EF4-FFF2-40B4-BE49-F238E27FC236}">
                <a16:creationId xmlns:a16="http://schemas.microsoft.com/office/drawing/2014/main" id="{94F56B81-C5DE-9813-403C-D1C0336EF4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56</xdr:row>
      <xdr:rowOff>58616</xdr:rowOff>
    </xdr:from>
    <xdr:to>
      <xdr:col>3</xdr:col>
      <xdr:colOff>977635</xdr:colOff>
      <xdr:row>56</xdr:row>
      <xdr:rowOff>249116</xdr:rowOff>
    </xdr:to>
    <xdr:grpSp>
      <xdr:nvGrpSpPr>
        <xdr:cNvPr id="506" name="hinh2">
          <a:extLst>
            <a:ext uri="{FF2B5EF4-FFF2-40B4-BE49-F238E27FC236}">
              <a16:creationId xmlns:a16="http://schemas.microsoft.com/office/drawing/2014/main" id="{3D24D95E-C90D-4B91-BA14-88FF409FB2C4}"/>
            </a:ext>
          </a:extLst>
        </xdr:cNvPr>
        <xdr:cNvGrpSpPr>
          <a:grpSpLocks noChangeAspect="1"/>
        </xdr:cNvGrpSpPr>
      </xdr:nvGrpSpPr>
      <xdr:grpSpPr bwMode="auto">
        <a:xfrm>
          <a:off x="2374970" y="21122473"/>
          <a:ext cx="875058" cy="190500"/>
          <a:chOff x="206" y="86"/>
          <a:chExt cx="73" cy="16"/>
        </a:xfrm>
      </xdr:grpSpPr>
      <xdr:sp macro="" textlink="">
        <xdr:nvSpPr>
          <xdr:cNvPr id="507" name="Line 6">
            <a:extLst>
              <a:ext uri="{FF2B5EF4-FFF2-40B4-BE49-F238E27FC236}">
                <a16:creationId xmlns:a16="http://schemas.microsoft.com/office/drawing/2014/main" id="{5FAB236F-F47E-EF59-5870-6E171C8E67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" name="Line 7">
            <a:extLst>
              <a:ext uri="{FF2B5EF4-FFF2-40B4-BE49-F238E27FC236}">
                <a16:creationId xmlns:a16="http://schemas.microsoft.com/office/drawing/2014/main" id="{E8BF5F73-B957-5F60-6E3C-E7A45551E7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" name="Line 8">
            <a:extLst>
              <a:ext uri="{FF2B5EF4-FFF2-40B4-BE49-F238E27FC236}">
                <a16:creationId xmlns:a16="http://schemas.microsoft.com/office/drawing/2014/main" id="{5AA6DCA4-65EC-E260-9167-B753D082DF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56</xdr:row>
      <xdr:rowOff>58616</xdr:rowOff>
    </xdr:from>
    <xdr:to>
      <xdr:col>3</xdr:col>
      <xdr:colOff>977635</xdr:colOff>
      <xdr:row>56</xdr:row>
      <xdr:rowOff>249116</xdr:rowOff>
    </xdr:to>
    <xdr:grpSp>
      <xdr:nvGrpSpPr>
        <xdr:cNvPr id="510" name="hinh2">
          <a:extLst>
            <a:ext uri="{FF2B5EF4-FFF2-40B4-BE49-F238E27FC236}">
              <a16:creationId xmlns:a16="http://schemas.microsoft.com/office/drawing/2014/main" id="{AE264BD8-CC74-407C-A8E1-C8C920AF4920}"/>
            </a:ext>
          </a:extLst>
        </xdr:cNvPr>
        <xdr:cNvGrpSpPr>
          <a:grpSpLocks noChangeAspect="1"/>
        </xdr:cNvGrpSpPr>
      </xdr:nvGrpSpPr>
      <xdr:grpSpPr bwMode="auto">
        <a:xfrm>
          <a:off x="2374970" y="21122473"/>
          <a:ext cx="875058" cy="190500"/>
          <a:chOff x="206" y="86"/>
          <a:chExt cx="73" cy="16"/>
        </a:xfrm>
      </xdr:grpSpPr>
      <xdr:sp macro="" textlink="">
        <xdr:nvSpPr>
          <xdr:cNvPr id="511" name="Line 6">
            <a:extLst>
              <a:ext uri="{FF2B5EF4-FFF2-40B4-BE49-F238E27FC236}">
                <a16:creationId xmlns:a16="http://schemas.microsoft.com/office/drawing/2014/main" id="{0AAEF173-F1F9-D103-C7AA-F803DB1344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0" name="Line 7">
            <a:extLst>
              <a:ext uri="{FF2B5EF4-FFF2-40B4-BE49-F238E27FC236}">
                <a16:creationId xmlns:a16="http://schemas.microsoft.com/office/drawing/2014/main" id="{846761C4-E6C2-48D8-835E-1DC0ACD912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1" name="Line 8">
            <a:extLst>
              <a:ext uri="{FF2B5EF4-FFF2-40B4-BE49-F238E27FC236}">
                <a16:creationId xmlns:a16="http://schemas.microsoft.com/office/drawing/2014/main" id="{E9773CCF-FF86-1752-2EAC-947BDA384B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642" name="hinh2">
          <a:extLst>
            <a:ext uri="{FF2B5EF4-FFF2-40B4-BE49-F238E27FC236}">
              <a16:creationId xmlns:a16="http://schemas.microsoft.com/office/drawing/2014/main" id="{6FA45BC8-F810-4A7E-BDB1-DD76A3DD9FCA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643" name="Line 6">
            <a:extLst>
              <a:ext uri="{FF2B5EF4-FFF2-40B4-BE49-F238E27FC236}">
                <a16:creationId xmlns:a16="http://schemas.microsoft.com/office/drawing/2014/main" id="{CFBF110A-FB7C-1D61-5601-07A4462A15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" name="Line 7">
            <a:extLst>
              <a:ext uri="{FF2B5EF4-FFF2-40B4-BE49-F238E27FC236}">
                <a16:creationId xmlns:a16="http://schemas.microsoft.com/office/drawing/2014/main" id="{29FB5047-53C8-BD88-5F8B-C841A7F310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" name="Line 8">
            <a:extLst>
              <a:ext uri="{FF2B5EF4-FFF2-40B4-BE49-F238E27FC236}">
                <a16:creationId xmlns:a16="http://schemas.microsoft.com/office/drawing/2014/main" id="{99C342E6-6ADE-D3F3-50B7-EA605329CF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646" name="hinh2">
          <a:extLst>
            <a:ext uri="{FF2B5EF4-FFF2-40B4-BE49-F238E27FC236}">
              <a16:creationId xmlns:a16="http://schemas.microsoft.com/office/drawing/2014/main" id="{3A2F5858-60DB-4268-A9A0-2CD00402D90C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647" name="Line 6">
            <a:extLst>
              <a:ext uri="{FF2B5EF4-FFF2-40B4-BE49-F238E27FC236}">
                <a16:creationId xmlns:a16="http://schemas.microsoft.com/office/drawing/2014/main" id="{D9F2DDA5-3BB1-FF5C-8F93-C8D1260C58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" name="Line 7">
            <a:extLst>
              <a:ext uri="{FF2B5EF4-FFF2-40B4-BE49-F238E27FC236}">
                <a16:creationId xmlns:a16="http://schemas.microsoft.com/office/drawing/2014/main" id="{8B6C7B7D-7F9F-3E14-4D7B-412A084E43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" name="Line 8">
            <a:extLst>
              <a:ext uri="{FF2B5EF4-FFF2-40B4-BE49-F238E27FC236}">
                <a16:creationId xmlns:a16="http://schemas.microsoft.com/office/drawing/2014/main" id="{CEBFFDE1-C599-4AA0-0E05-461416090A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650" name="hinh2">
          <a:extLst>
            <a:ext uri="{FF2B5EF4-FFF2-40B4-BE49-F238E27FC236}">
              <a16:creationId xmlns:a16="http://schemas.microsoft.com/office/drawing/2014/main" id="{E0234D51-9381-4A26-8A28-7A4CB3E26D82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651" name="Line 6">
            <a:extLst>
              <a:ext uri="{FF2B5EF4-FFF2-40B4-BE49-F238E27FC236}">
                <a16:creationId xmlns:a16="http://schemas.microsoft.com/office/drawing/2014/main" id="{FDD09D7C-8116-9208-B843-C7655CB6DB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" name="Line 7">
            <a:extLst>
              <a:ext uri="{FF2B5EF4-FFF2-40B4-BE49-F238E27FC236}">
                <a16:creationId xmlns:a16="http://schemas.microsoft.com/office/drawing/2014/main" id="{717785A7-8024-425A-7D73-A0CFC7C2F2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" name="Line 8">
            <a:extLst>
              <a:ext uri="{FF2B5EF4-FFF2-40B4-BE49-F238E27FC236}">
                <a16:creationId xmlns:a16="http://schemas.microsoft.com/office/drawing/2014/main" id="{C472F1AD-FC91-C4E8-9F56-50F85B5AD3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662" name="hinh2">
          <a:extLst>
            <a:ext uri="{FF2B5EF4-FFF2-40B4-BE49-F238E27FC236}">
              <a16:creationId xmlns:a16="http://schemas.microsoft.com/office/drawing/2014/main" id="{84810DB1-7865-4E1C-9FD4-4F5413EB706B}"/>
            </a:ext>
          </a:extLst>
        </xdr:cNvPr>
        <xdr:cNvGrpSpPr>
          <a:grpSpLocks noChangeAspect="1"/>
        </xdr:cNvGrpSpPr>
      </xdr:nvGrpSpPr>
      <xdr:grpSpPr bwMode="auto">
        <a:xfrm>
          <a:off x="2374970" y="22306295"/>
          <a:ext cx="875058" cy="190500"/>
          <a:chOff x="206" y="86"/>
          <a:chExt cx="73" cy="16"/>
        </a:xfrm>
      </xdr:grpSpPr>
      <xdr:sp macro="" textlink="">
        <xdr:nvSpPr>
          <xdr:cNvPr id="663" name="Line 6">
            <a:extLst>
              <a:ext uri="{FF2B5EF4-FFF2-40B4-BE49-F238E27FC236}">
                <a16:creationId xmlns:a16="http://schemas.microsoft.com/office/drawing/2014/main" id="{0F2F0EAC-2CF1-F8A7-FE3A-AAF4ED501F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4" name="Line 7">
            <a:extLst>
              <a:ext uri="{FF2B5EF4-FFF2-40B4-BE49-F238E27FC236}">
                <a16:creationId xmlns:a16="http://schemas.microsoft.com/office/drawing/2014/main" id="{BFE6A015-8124-C412-1BD1-44CA3D702B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5" name="Line 8">
            <a:extLst>
              <a:ext uri="{FF2B5EF4-FFF2-40B4-BE49-F238E27FC236}">
                <a16:creationId xmlns:a16="http://schemas.microsoft.com/office/drawing/2014/main" id="{EB44EFBD-96E1-FD1B-10D5-ABFE7DD9A9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666" name="hinh2">
          <a:extLst>
            <a:ext uri="{FF2B5EF4-FFF2-40B4-BE49-F238E27FC236}">
              <a16:creationId xmlns:a16="http://schemas.microsoft.com/office/drawing/2014/main" id="{69FDAE62-4C22-43C6-AFD4-36FE779BA48C}"/>
            </a:ext>
          </a:extLst>
        </xdr:cNvPr>
        <xdr:cNvGrpSpPr>
          <a:grpSpLocks noChangeAspect="1"/>
        </xdr:cNvGrpSpPr>
      </xdr:nvGrpSpPr>
      <xdr:grpSpPr bwMode="auto">
        <a:xfrm>
          <a:off x="2374970" y="22306295"/>
          <a:ext cx="875058" cy="190500"/>
          <a:chOff x="206" y="86"/>
          <a:chExt cx="73" cy="16"/>
        </a:xfrm>
      </xdr:grpSpPr>
      <xdr:sp macro="" textlink="">
        <xdr:nvSpPr>
          <xdr:cNvPr id="667" name="Line 6">
            <a:extLst>
              <a:ext uri="{FF2B5EF4-FFF2-40B4-BE49-F238E27FC236}">
                <a16:creationId xmlns:a16="http://schemas.microsoft.com/office/drawing/2014/main" id="{5661FC40-BBAC-AC11-93E3-2F29064BE6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8" name="Line 7">
            <a:extLst>
              <a:ext uri="{FF2B5EF4-FFF2-40B4-BE49-F238E27FC236}">
                <a16:creationId xmlns:a16="http://schemas.microsoft.com/office/drawing/2014/main" id="{09118F94-7851-A8C4-4749-3124C5423E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9" name="Line 8">
            <a:extLst>
              <a:ext uri="{FF2B5EF4-FFF2-40B4-BE49-F238E27FC236}">
                <a16:creationId xmlns:a16="http://schemas.microsoft.com/office/drawing/2014/main" id="{BBFE0168-0114-5106-5432-A73000BC8F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670" name="hinh2">
          <a:extLst>
            <a:ext uri="{FF2B5EF4-FFF2-40B4-BE49-F238E27FC236}">
              <a16:creationId xmlns:a16="http://schemas.microsoft.com/office/drawing/2014/main" id="{0BE9667F-FD7C-4FB4-84C7-6E98756052BE}"/>
            </a:ext>
          </a:extLst>
        </xdr:cNvPr>
        <xdr:cNvGrpSpPr>
          <a:grpSpLocks noChangeAspect="1"/>
        </xdr:cNvGrpSpPr>
      </xdr:nvGrpSpPr>
      <xdr:grpSpPr bwMode="auto">
        <a:xfrm>
          <a:off x="2374970" y="22306295"/>
          <a:ext cx="875058" cy="190500"/>
          <a:chOff x="206" y="86"/>
          <a:chExt cx="73" cy="16"/>
        </a:xfrm>
      </xdr:grpSpPr>
      <xdr:sp macro="" textlink="">
        <xdr:nvSpPr>
          <xdr:cNvPr id="671" name="Line 6">
            <a:extLst>
              <a:ext uri="{FF2B5EF4-FFF2-40B4-BE49-F238E27FC236}">
                <a16:creationId xmlns:a16="http://schemas.microsoft.com/office/drawing/2014/main" id="{12D7896C-AE6F-603D-D9F9-0D049AA982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2" name="Line 7">
            <a:extLst>
              <a:ext uri="{FF2B5EF4-FFF2-40B4-BE49-F238E27FC236}">
                <a16:creationId xmlns:a16="http://schemas.microsoft.com/office/drawing/2014/main" id="{841E7DB8-A09C-2F59-FD7A-C8DA311D69B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3" name="Line 8">
            <a:extLst>
              <a:ext uri="{FF2B5EF4-FFF2-40B4-BE49-F238E27FC236}">
                <a16:creationId xmlns:a16="http://schemas.microsoft.com/office/drawing/2014/main" id="{68BFA44C-E56D-0835-9400-21D2075AC8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674" name="hinh2">
          <a:extLst>
            <a:ext uri="{FF2B5EF4-FFF2-40B4-BE49-F238E27FC236}">
              <a16:creationId xmlns:a16="http://schemas.microsoft.com/office/drawing/2014/main" id="{FD158C13-7172-4679-AB78-9A41DBAD2027}"/>
            </a:ext>
          </a:extLst>
        </xdr:cNvPr>
        <xdr:cNvGrpSpPr>
          <a:grpSpLocks noChangeAspect="1"/>
        </xdr:cNvGrpSpPr>
      </xdr:nvGrpSpPr>
      <xdr:grpSpPr bwMode="auto">
        <a:xfrm>
          <a:off x="2374970" y="22306295"/>
          <a:ext cx="875058" cy="190500"/>
          <a:chOff x="206" y="86"/>
          <a:chExt cx="73" cy="16"/>
        </a:xfrm>
      </xdr:grpSpPr>
      <xdr:sp macro="" textlink="">
        <xdr:nvSpPr>
          <xdr:cNvPr id="675" name="Line 6">
            <a:extLst>
              <a:ext uri="{FF2B5EF4-FFF2-40B4-BE49-F238E27FC236}">
                <a16:creationId xmlns:a16="http://schemas.microsoft.com/office/drawing/2014/main" id="{B7F68939-1C8F-1C34-A908-C915EB4792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6" name="Line 7">
            <a:extLst>
              <a:ext uri="{FF2B5EF4-FFF2-40B4-BE49-F238E27FC236}">
                <a16:creationId xmlns:a16="http://schemas.microsoft.com/office/drawing/2014/main" id="{672EC024-3106-83A0-EED8-00D760D57E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7" name="Line 8">
            <a:extLst>
              <a:ext uri="{FF2B5EF4-FFF2-40B4-BE49-F238E27FC236}">
                <a16:creationId xmlns:a16="http://schemas.microsoft.com/office/drawing/2014/main" id="{94285BE8-C44D-59F5-35D9-A07C3690FA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58</xdr:row>
      <xdr:rowOff>58616</xdr:rowOff>
    </xdr:from>
    <xdr:to>
      <xdr:col>3</xdr:col>
      <xdr:colOff>977635</xdr:colOff>
      <xdr:row>58</xdr:row>
      <xdr:rowOff>249116</xdr:rowOff>
    </xdr:to>
    <xdr:grpSp>
      <xdr:nvGrpSpPr>
        <xdr:cNvPr id="678" name="hinh2">
          <a:extLst>
            <a:ext uri="{FF2B5EF4-FFF2-40B4-BE49-F238E27FC236}">
              <a16:creationId xmlns:a16="http://schemas.microsoft.com/office/drawing/2014/main" id="{12CFBB48-AFAA-4B79-A261-B84BD812BD16}"/>
            </a:ext>
          </a:extLst>
        </xdr:cNvPr>
        <xdr:cNvGrpSpPr>
          <a:grpSpLocks noChangeAspect="1"/>
        </xdr:cNvGrpSpPr>
      </xdr:nvGrpSpPr>
      <xdr:grpSpPr bwMode="auto">
        <a:xfrm>
          <a:off x="2374970" y="21911687"/>
          <a:ext cx="875058" cy="190500"/>
          <a:chOff x="206" y="86"/>
          <a:chExt cx="73" cy="16"/>
        </a:xfrm>
      </xdr:grpSpPr>
      <xdr:sp macro="" textlink="">
        <xdr:nvSpPr>
          <xdr:cNvPr id="679" name="Line 6">
            <a:extLst>
              <a:ext uri="{FF2B5EF4-FFF2-40B4-BE49-F238E27FC236}">
                <a16:creationId xmlns:a16="http://schemas.microsoft.com/office/drawing/2014/main" id="{EA8ECD38-BFD9-FE4E-9B28-F550916169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0" name="Line 7">
            <a:extLst>
              <a:ext uri="{FF2B5EF4-FFF2-40B4-BE49-F238E27FC236}">
                <a16:creationId xmlns:a16="http://schemas.microsoft.com/office/drawing/2014/main" id="{38F3C042-A7EE-95EB-9C1F-E501CBC3AE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1" name="Line 8">
            <a:extLst>
              <a:ext uri="{FF2B5EF4-FFF2-40B4-BE49-F238E27FC236}">
                <a16:creationId xmlns:a16="http://schemas.microsoft.com/office/drawing/2014/main" id="{4AC5BF00-2577-B0BD-0CD5-E662AF58AE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58</xdr:row>
      <xdr:rowOff>58616</xdr:rowOff>
    </xdr:from>
    <xdr:to>
      <xdr:col>3</xdr:col>
      <xdr:colOff>977635</xdr:colOff>
      <xdr:row>58</xdr:row>
      <xdr:rowOff>249116</xdr:rowOff>
    </xdr:to>
    <xdr:grpSp>
      <xdr:nvGrpSpPr>
        <xdr:cNvPr id="682" name="hinh2">
          <a:extLst>
            <a:ext uri="{FF2B5EF4-FFF2-40B4-BE49-F238E27FC236}">
              <a16:creationId xmlns:a16="http://schemas.microsoft.com/office/drawing/2014/main" id="{34431E6A-F768-4B69-982C-968C994F5D3D}"/>
            </a:ext>
          </a:extLst>
        </xdr:cNvPr>
        <xdr:cNvGrpSpPr>
          <a:grpSpLocks noChangeAspect="1"/>
        </xdr:cNvGrpSpPr>
      </xdr:nvGrpSpPr>
      <xdr:grpSpPr bwMode="auto">
        <a:xfrm>
          <a:off x="2374970" y="21911687"/>
          <a:ext cx="875058" cy="190500"/>
          <a:chOff x="206" y="86"/>
          <a:chExt cx="73" cy="16"/>
        </a:xfrm>
      </xdr:grpSpPr>
      <xdr:sp macro="" textlink="">
        <xdr:nvSpPr>
          <xdr:cNvPr id="683" name="Line 6">
            <a:extLst>
              <a:ext uri="{FF2B5EF4-FFF2-40B4-BE49-F238E27FC236}">
                <a16:creationId xmlns:a16="http://schemas.microsoft.com/office/drawing/2014/main" id="{5280ADB3-DE29-AEE2-F5BE-11FA3118F8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4" name="Line 7">
            <a:extLst>
              <a:ext uri="{FF2B5EF4-FFF2-40B4-BE49-F238E27FC236}">
                <a16:creationId xmlns:a16="http://schemas.microsoft.com/office/drawing/2014/main" id="{15605B76-4905-4D7E-BD6C-D8ABD9208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5" name="Line 8">
            <a:extLst>
              <a:ext uri="{FF2B5EF4-FFF2-40B4-BE49-F238E27FC236}">
                <a16:creationId xmlns:a16="http://schemas.microsoft.com/office/drawing/2014/main" id="{4B04F102-2811-87A1-B537-BEE3CCF6C8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58</xdr:row>
      <xdr:rowOff>58616</xdr:rowOff>
    </xdr:from>
    <xdr:to>
      <xdr:col>3</xdr:col>
      <xdr:colOff>977635</xdr:colOff>
      <xdr:row>58</xdr:row>
      <xdr:rowOff>249116</xdr:rowOff>
    </xdr:to>
    <xdr:grpSp>
      <xdr:nvGrpSpPr>
        <xdr:cNvPr id="686" name="hinh2">
          <a:extLst>
            <a:ext uri="{FF2B5EF4-FFF2-40B4-BE49-F238E27FC236}">
              <a16:creationId xmlns:a16="http://schemas.microsoft.com/office/drawing/2014/main" id="{7D330071-B8AA-4C61-B49F-AE92CE73B17B}"/>
            </a:ext>
          </a:extLst>
        </xdr:cNvPr>
        <xdr:cNvGrpSpPr>
          <a:grpSpLocks noChangeAspect="1"/>
        </xdr:cNvGrpSpPr>
      </xdr:nvGrpSpPr>
      <xdr:grpSpPr bwMode="auto">
        <a:xfrm>
          <a:off x="2374970" y="21911687"/>
          <a:ext cx="875058" cy="190500"/>
          <a:chOff x="206" y="86"/>
          <a:chExt cx="73" cy="16"/>
        </a:xfrm>
      </xdr:grpSpPr>
      <xdr:sp macro="" textlink="">
        <xdr:nvSpPr>
          <xdr:cNvPr id="687" name="Line 6">
            <a:extLst>
              <a:ext uri="{FF2B5EF4-FFF2-40B4-BE49-F238E27FC236}">
                <a16:creationId xmlns:a16="http://schemas.microsoft.com/office/drawing/2014/main" id="{08B5E32F-51A3-782D-2B4D-FB4BA9CEDF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8" name="Line 7">
            <a:extLst>
              <a:ext uri="{FF2B5EF4-FFF2-40B4-BE49-F238E27FC236}">
                <a16:creationId xmlns:a16="http://schemas.microsoft.com/office/drawing/2014/main" id="{45BF4187-B53C-0D3B-9D4B-A857728AAD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9" name="Line 8">
            <a:extLst>
              <a:ext uri="{FF2B5EF4-FFF2-40B4-BE49-F238E27FC236}">
                <a16:creationId xmlns:a16="http://schemas.microsoft.com/office/drawing/2014/main" id="{BB5F5484-80B1-B1C4-CAF8-575F241D81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58</xdr:row>
      <xdr:rowOff>58616</xdr:rowOff>
    </xdr:from>
    <xdr:to>
      <xdr:col>3</xdr:col>
      <xdr:colOff>977635</xdr:colOff>
      <xdr:row>58</xdr:row>
      <xdr:rowOff>249116</xdr:rowOff>
    </xdr:to>
    <xdr:grpSp>
      <xdr:nvGrpSpPr>
        <xdr:cNvPr id="690" name="hinh2">
          <a:extLst>
            <a:ext uri="{FF2B5EF4-FFF2-40B4-BE49-F238E27FC236}">
              <a16:creationId xmlns:a16="http://schemas.microsoft.com/office/drawing/2014/main" id="{8C4A2902-D62F-4410-8E5A-F3B82012BFE6}"/>
            </a:ext>
          </a:extLst>
        </xdr:cNvPr>
        <xdr:cNvGrpSpPr>
          <a:grpSpLocks noChangeAspect="1"/>
        </xdr:cNvGrpSpPr>
      </xdr:nvGrpSpPr>
      <xdr:grpSpPr bwMode="auto">
        <a:xfrm>
          <a:off x="2374970" y="21911687"/>
          <a:ext cx="875058" cy="190500"/>
          <a:chOff x="206" y="86"/>
          <a:chExt cx="73" cy="16"/>
        </a:xfrm>
      </xdr:grpSpPr>
      <xdr:sp macro="" textlink="">
        <xdr:nvSpPr>
          <xdr:cNvPr id="691" name="Line 6">
            <a:extLst>
              <a:ext uri="{FF2B5EF4-FFF2-40B4-BE49-F238E27FC236}">
                <a16:creationId xmlns:a16="http://schemas.microsoft.com/office/drawing/2014/main" id="{9B46A87E-7F8D-1218-80C6-E0BD396780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2" name="Line 7">
            <a:extLst>
              <a:ext uri="{FF2B5EF4-FFF2-40B4-BE49-F238E27FC236}">
                <a16:creationId xmlns:a16="http://schemas.microsoft.com/office/drawing/2014/main" id="{D298AD07-FCB1-E5FD-0CCE-EFC941D03F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3" name="Line 8">
            <a:extLst>
              <a:ext uri="{FF2B5EF4-FFF2-40B4-BE49-F238E27FC236}">
                <a16:creationId xmlns:a16="http://schemas.microsoft.com/office/drawing/2014/main" id="{A221D5C7-2ECC-4E98-FA88-4B7F384685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694" name="hinh2">
          <a:extLst>
            <a:ext uri="{FF2B5EF4-FFF2-40B4-BE49-F238E27FC236}">
              <a16:creationId xmlns:a16="http://schemas.microsoft.com/office/drawing/2014/main" id="{76A4BD95-472F-49AC-B246-20D0BCB9A7FF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695" name="Line 6">
            <a:extLst>
              <a:ext uri="{FF2B5EF4-FFF2-40B4-BE49-F238E27FC236}">
                <a16:creationId xmlns:a16="http://schemas.microsoft.com/office/drawing/2014/main" id="{FA7DAE63-4B24-A00F-6EFC-FF053159FD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6" name="Line 7">
            <a:extLst>
              <a:ext uri="{FF2B5EF4-FFF2-40B4-BE49-F238E27FC236}">
                <a16:creationId xmlns:a16="http://schemas.microsoft.com/office/drawing/2014/main" id="{90DFA6D6-457A-62EF-0069-9A74CDC064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7" name="Line 8">
            <a:extLst>
              <a:ext uri="{FF2B5EF4-FFF2-40B4-BE49-F238E27FC236}">
                <a16:creationId xmlns:a16="http://schemas.microsoft.com/office/drawing/2014/main" id="{EAFF822A-C0DC-0B82-7432-2E1618E619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698" name="hinh2">
          <a:extLst>
            <a:ext uri="{FF2B5EF4-FFF2-40B4-BE49-F238E27FC236}">
              <a16:creationId xmlns:a16="http://schemas.microsoft.com/office/drawing/2014/main" id="{1076BB0F-B8CD-46EB-BFB3-052DF535B27B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699" name="Line 6">
            <a:extLst>
              <a:ext uri="{FF2B5EF4-FFF2-40B4-BE49-F238E27FC236}">
                <a16:creationId xmlns:a16="http://schemas.microsoft.com/office/drawing/2014/main" id="{7124A634-6483-5703-E314-F7844B1FD2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0" name="Line 7">
            <a:extLst>
              <a:ext uri="{FF2B5EF4-FFF2-40B4-BE49-F238E27FC236}">
                <a16:creationId xmlns:a16="http://schemas.microsoft.com/office/drawing/2014/main" id="{4CEEE17D-8DDA-519C-B251-037398C470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" name="Line 8">
            <a:extLst>
              <a:ext uri="{FF2B5EF4-FFF2-40B4-BE49-F238E27FC236}">
                <a16:creationId xmlns:a16="http://schemas.microsoft.com/office/drawing/2014/main" id="{660BE2C7-F450-ED8C-8EEA-F45955F3C8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702" name="hinh2">
          <a:extLst>
            <a:ext uri="{FF2B5EF4-FFF2-40B4-BE49-F238E27FC236}">
              <a16:creationId xmlns:a16="http://schemas.microsoft.com/office/drawing/2014/main" id="{F49D03C9-639B-401A-8FC2-824D2C603413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703" name="Line 6">
            <a:extLst>
              <a:ext uri="{FF2B5EF4-FFF2-40B4-BE49-F238E27FC236}">
                <a16:creationId xmlns:a16="http://schemas.microsoft.com/office/drawing/2014/main" id="{61DC334D-BB47-EC0A-BDCE-0840557E20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8" name="Line 7">
            <a:extLst>
              <a:ext uri="{FF2B5EF4-FFF2-40B4-BE49-F238E27FC236}">
                <a16:creationId xmlns:a16="http://schemas.microsoft.com/office/drawing/2014/main" id="{D46FF2E1-5916-E577-5610-163EF4C377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9" name="Line 8">
            <a:extLst>
              <a:ext uri="{FF2B5EF4-FFF2-40B4-BE49-F238E27FC236}">
                <a16:creationId xmlns:a16="http://schemas.microsoft.com/office/drawing/2014/main" id="{6ABEDD64-E7EF-9DE7-C43C-5CCDDA8E47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57</xdr:row>
      <xdr:rowOff>58616</xdr:rowOff>
    </xdr:from>
    <xdr:to>
      <xdr:col>3</xdr:col>
      <xdr:colOff>977635</xdr:colOff>
      <xdr:row>57</xdr:row>
      <xdr:rowOff>249116</xdr:rowOff>
    </xdr:to>
    <xdr:grpSp>
      <xdr:nvGrpSpPr>
        <xdr:cNvPr id="770" name="hinh2">
          <a:extLst>
            <a:ext uri="{FF2B5EF4-FFF2-40B4-BE49-F238E27FC236}">
              <a16:creationId xmlns:a16="http://schemas.microsoft.com/office/drawing/2014/main" id="{8537496F-2B1E-4703-9344-8222143EEBCF}"/>
            </a:ext>
          </a:extLst>
        </xdr:cNvPr>
        <xdr:cNvGrpSpPr>
          <a:grpSpLocks noChangeAspect="1"/>
        </xdr:cNvGrpSpPr>
      </xdr:nvGrpSpPr>
      <xdr:grpSpPr bwMode="auto">
        <a:xfrm>
          <a:off x="2374970" y="21517080"/>
          <a:ext cx="875058" cy="190500"/>
          <a:chOff x="206" y="86"/>
          <a:chExt cx="73" cy="16"/>
        </a:xfrm>
      </xdr:grpSpPr>
      <xdr:sp macro="" textlink="">
        <xdr:nvSpPr>
          <xdr:cNvPr id="771" name="Line 6">
            <a:extLst>
              <a:ext uri="{FF2B5EF4-FFF2-40B4-BE49-F238E27FC236}">
                <a16:creationId xmlns:a16="http://schemas.microsoft.com/office/drawing/2014/main" id="{E490FE11-8835-88DA-9874-CFCBC66141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2" name="Line 7">
            <a:extLst>
              <a:ext uri="{FF2B5EF4-FFF2-40B4-BE49-F238E27FC236}">
                <a16:creationId xmlns:a16="http://schemas.microsoft.com/office/drawing/2014/main" id="{3B4C098E-5D93-64A9-1BCA-EC0F1CC385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3" name="Line 8">
            <a:extLst>
              <a:ext uri="{FF2B5EF4-FFF2-40B4-BE49-F238E27FC236}">
                <a16:creationId xmlns:a16="http://schemas.microsoft.com/office/drawing/2014/main" id="{0FD13C81-1903-A882-77BF-6C3089AD67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60</xdr:row>
      <xdr:rowOff>80596</xdr:rowOff>
    </xdr:from>
    <xdr:to>
      <xdr:col>3</xdr:col>
      <xdr:colOff>970308</xdr:colOff>
      <xdr:row>60</xdr:row>
      <xdr:rowOff>244279</xdr:rowOff>
    </xdr:to>
    <xdr:grpSp>
      <xdr:nvGrpSpPr>
        <xdr:cNvPr id="914" name="hinh2">
          <a:extLst>
            <a:ext uri="{FF2B5EF4-FFF2-40B4-BE49-F238E27FC236}">
              <a16:creationId xmlns:a16="http://schemas.microsoft.com/office/drawing/2014/main" id="{8552FCA7-0E93-4C67-8370-958A2FA9DD6F}"/>
            </a:ext>
          </a:extLst>
        </xdr:cNvPr>
        <xdr:cNvGrpSpPr>
          <a:grpSpLocks noChangeAspect="1"/>
        </xdr:cNvGrpSpPr>
      </xdr:nvGrpSpPr>
      <xdr:grpSpPr bwMode="auto">
        <a:xfrm>
          <a:off x="2367643" y="22722882"/>
          <a:ext cx="875058" cy="163683"/>
          <a:chOff x="206" y="86"/>
          <a:chExt cx="73" cy="16"/>
        </a:xfrm>
      </xdr:grpSpPr>
      <xdr:sp macro="" textlink="">
        <xdr:nvSpPr>
          <xdr:cNvPr id="915" name="Line 6">
            <a:extLst>
              <a:ext uri="{FF2B5EF4-FFF2-40B4-BE49-F238E27FC236}">
                <a16:creationId xmlns:a16="http://schemas.microsoft.com/office/drawing/2014/main" id="{F0B89FEA-B5A5-A76B-7BC3-CD5AC00C6F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6" name="Line 7">
            <a:extLst>
              <a:ext uri="{FF2B5EF4-FFF2-40B4-BE49-F238E27FC236}">
                <a16:creationId xmlns:a16="http://schemas.microsoft.com/office/drawing/2014/main" id="{B0EF7846-F38A-1B3A-380F-A5E1E0413C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7" name="Line 8">
            <a:extLst>
              <a:ext uri="{FF2B5EF4-FFF2-40B4-BE49-F238E27FC236}">
                <a16:creationId xmlns:a16="http://schemas.microsoft.com/office/drawing/2014/main" id="{51D886DA-576D-C312-2703-8B2F4C0744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61</xdr:row>
      <xdr:rowOff>58616</xdr:rowOff>
    </xdr:from>
    <xdr:to>
      <xdr:col>3</xdr:col>
      <xdr:colOff>977635</xdr:colOff>
      <xdr:row>61</xdr:row>
      <xdr:rowOff>249116</xdr:rowOff>
    </xdr:to>
    <xdr:grpSp>
      <xdr:nvGrpSpPr>
        <xdr:cNvPr id="994" name="hinh2">
          <a:extLst>
            <a:ext uri="{FF2B5EF4-FFF2-40B4-BE49-F238E27FC236}">
              <a16:creationId xmlns:a16="http://schemas.microsoft.com/office/drawing/2014/main" id="{47F38FDF-5A9B-4AE3-8183-CA7DEE68C3EF}"/>
            </a:ext>
          </a:extLst>
        </xdr:cNvPr>
        <xdr:cNvGrpSpPr>
          <a:grpSpLocks noChangeAspect="1"/>
        </xdr:cNvGrpSpPr>
      </xdr:nvGrpSpPr>
      <xdr:grpSpPr bwMode="auto">
        <a:xfrm>
          <a:off x="2374970" y="23095509"/>
          <a:ext cx="875058" cy="190500"/>
          <a:chOff x="206" y="86"/>
          <a:chExt cx="73" cy="16"/>
        </a:xfrm>
      </xdr:grpSpPr>
      <xdr:sp macro="" textlink="">
        <xdr:nvSpPr>
          <xdr:cNvPr id="995" name="Line 6">
            <a:extLst>
              <a:ext uri="{FF2B5EF4-FFF2-40B4-BE49-F238E27FC236}">
                <a16:creationId xmlns:a16="http://schemas.microsoft.com/office/drawing/2014/main" id="{B2AC23EE-81D0-8C94-A4ED-30D7060AE0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" name="Line 7">
            <a:extLst>
              <a:ext uri="{FF2B5EF4-FFF2-40B4-BE49-F238E27FC236}">
                <a16:creationId xmlns:a16="http://schemas.microsoft.com/office/drawing/2014/main" id="{3D05CA7C-114E-79CC-71B9-E07BE64E0C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" name="Line 8">
            <a:extLst>
              <a:ext uri="{FF2B5EF4-FFF2-40B4-BE49-F238E27FC236}">
                <a16:creationId xmlns:a16="http://schemas.microsoft.com/office/drawing/2014/main" id="{5FB5FD35-AE6C-CDAD-6EEE-2D390B8455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62</xdr:row>
      <xdr:rowOff>58616</xdr:rowOff>
    </xdr:from>
    <xdr:to>
      <xdr:col>3</xdr:col>
      <xdr:colOff>977635</xdr:colOff>
      <xdr:row>62</xdr:row>
      <xdr:rowOff>249116</xdr:rowOff>
    </xdr:to>
    <xdr:grpSp>
      <xdr:nvGrpSpPr>
        <xdr:cNvPr id="998" name="hinh2">
          <a:extLst>
            <a:ext uri="{FF2B5EF4-FFF2-40B4-BE49-F238E27FC236}">
              <a16:creationId xmlns:a16="http://schemas.microsoft.com/office/drawing/2014/main" id="{F1AD2BA7-5408-46BD-A2AC-BC373B2D7E6B}"/>
            </a:ext>
          </a:extLst>
        </xdr:cNvPr>
        <xdr:cNvGrpSpPr>
          <a:grpSpLocks noChangeAspect="1"/>
        </xdr:cNvGrpSpPr>
      </xdr:nvGrpSpPr>
      <xdr:grpSpPr bwMode="auto">
        <a:xfrm>
          <a:off x="2374970" y="23490116"/>
          <a:ext cx="875058" cy="190500"/>
          <a:chOff x="206" y="86"/>
          <a:chExt cx="73" cy="16"/>
        </a:xfrm>
      </xdr:grpSpPr>
      <xdr:sp macro="" textlink="">
        <xdr:nvSpPr>
          <xdr:cNvPr id="999" name="Line 6">
            <a:extLst>
              <a:ext uri="{FF2B5EF4-FFF2-40B4-BE49-F238E27FC236}">
                <a16:creationId xmlns:a16="http://schemas.microsoft.com/office/drawing/2014/main" id="{033DA35E-C3D2-ADA5-7F0E-AD00DD8B22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0" name="Line 7">
            <a:extLst>
              <a:ext uri="{FF2B5EF4-FFF2-40B4-BE49-F238E27FC236}">
                <a16:creationId xmlns:a16="http://schemas.microsoft.com/office/drawing/2014/main" id="{F824B41F-2F7A-7D2D-1860-389798686E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1" name="Line 8">
            <a:extLst>
              <a:ext uri="{FF2B5EF4-FFF2-40B4-BE49-F238E27FC236}">
                <a16:creationId xmlns:a16="http://schemas.microsoft.com/office/drawing/2014/main" id="{EF137462-4E3D-A00D-1ECF-55296415E7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002" name="hinh2">
          <a:extLst>
            <a:ext uri="{FF2B5EF4-FFF2-40B4-BE49-F238E27FC236}">
              <a16:creationId xmlns:a16="http://schemas.microsoft.com/office/drawing/2014/main" id="{B1DA05F5-B3C4-4B63-8662-43899DE962D6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003" name="Line 6">
            <a:extLst>
              <a:ext uri="{FF2B5EF4-FFF2-40B4-BE49-F238E27FC236}">
                <a16:creationId xmlns:a16="http://schemas.microsoft.com/office/drawing/2014/main" id="{CE1D5631-88AD-B8AC-EFB3-7E97C72EB7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4" name="Line 7">
            <a:extLst>
              <a:ext uri="{FF2B5EF4-FFF2-40B4-BE49-F238E27FC236}">
                <a16:creationId xmlns:a16="http://schemas.microsoft.com/office/drawing/2014/main" id="{EDBEEFC6-0B35-7D2B-4A41-D61EE301CF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5" name="Line 8">
            <a:extLst>
              <a:ext uri="{FF2B5EF4-FFF2-40B4-BE49-F238E27FC236}">
                <a16:creationId xmlns:a16="http://schemas.microsoft.com/office/drawing/2014/main" id="{7C7E7269-DB57-1827-E7B7-3FCC4B1DB7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006" name="hinh2">
          <a:extLst>
            <a:ext uri="{FF2B5EF4-FFF2-40B4-BE49-F238E27FC236}">
              <a16:creationId xmlns:a16="http://schemas.microsoft.com/office/drawing/2014/main" id="{BC9AD902-2A01-4C28-9A32-13E2F633C7BE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007" name="Line 6">
            <a:extLst>
              <a:ext uri="{FF2B5EF4-FFF2-40B4-BE49-F238E27FC236}">
                <a16:creationId xmlns:a16="http://schemas.microsoft.com/office/drawing/2014/main" id="{C28F1205-FCFC-291B-E244-0F3797AE46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8" name="Line 7">
            <a:extLst>
              <a:ext uri="{FF2B5EF4-FFF2-40B4-BE49-F238E27FC236}">
                <a16:creationId xmlns:a16="http://schemas.microsoft.com/office/drawing/2014/main" id="{5CB1A9AC-79A5-F821-4723-7C0273F964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9" name="Line 8">
            <a:extLst>
              <a:ext uri="{FF2B5EF4-FFF2-40B4-BE49-F238E27FC236}">
                <a16:creationId xmlns:a16="http://schemas.microsoft.com/office/drawing/2014/main" id="{992FCA98-2D97-2164-1E33-EC093D21D1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66</xdr:row>
      <xdr:rowOff>58616</xdr:rowOff>
    </xdr:from>
    <xdr:to>
      <xdr:col>3</xdr:col>
      <xdr:colOff>977635</xdr:colOff>
      <xdr:row>66</xdr:row>
      <xdr:rowOff>249116</xdr:rowOff>
    </xdr:to>
    <xdr:grpSp>
      <xdr:nvGrpSpPr>
        <xdr:cNvPr id="1010" name="hinh2">
          <a:extLst>
            <a:ext uri="{FF2B5EF4-FFF2-40B4-BE49-F238E27FC236}">
              <a16:creationId xmlns:a16="http://schemas.microsoft.com/office/drawing/2014/main" id="{2040AEC8-7CD7-405B-8C34-7D9AC055D727}"/>
            </a:ext>
          </a:extLst>
        </xdr:cNvPr>
        <xdr:cNvGrpSpPr>
          <a:grpSpLocks noChangeAspect="1"/>
        </xdr:cNvGrpSpPr>
      </xdr:nvGrpSpPr>
      <xdr:grpSpPr bwMode="auto">
        <a:xfrm>
          <a:off x="2374970" y="25068545"/>
          <a:ext cx="875058" cy="190500"/>
          <a:chOff x="206" y="86"/>
          <a:chExt cx="73" cy="16"/>
        </a:xfrm>
      </xdr:grpSpPr>
      <xdr:sp macro="" textlink="">
        <xdr:nvSpPr>
          <xdr:cNvPr id="1011" name="Line 6">
            <a:extLst>
              <a:ext uri="{FF2B5EF4-FFF2-40B4-BE49-F238E27FC236}">
                <a16:creationId xmlns:a16="http://schemas.microsoft.com/office/drawing/2014/main" id="{6CC73CDF-8B69-3A48-DEC0-CE042F507C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2" name="Line 7">
            <a:extLst>
              <a:ext uri="{FF2B5EF4-FFF2-40B4-BE49-F238E27FC236}">
                <a16:creationId xmlns:a16="http://schemas.microsoft.com/office/drawing/2014/main" id="{E2FCEFB7-8FDC-705C-22B8-06A1B943C1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3" name="Line 8">
            <a:extLst>
              <a:ext uri="{FF2B5EF4-FFF2-40B4-BE49-F238E27FC236}">
                <a16:creationId xmlns:a16="http://schemas.microsoft.com/office/drawing/2014/main" id="{0C7DEA44-BDE2-FFDA-AF22-419BCBDB90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62</xdr:row>
      <xdr:rowOff>58616</xdr:rowOff>
    </xdr:from>
    <xdr:to>
      <xdr:col>3</xdr:col>
      <xdr:colOff>977635</xdr:colOff>
      <xdr:row>62</xdr:row>
      <xdr:rowOff>249116</xdr:rowOff>
    </xdr:to>
    <xdr:grpSp>
      <xdr:nvGrpSpPr>
        <xdr:cNvPr id="1014" name="hinh2">
          <a:extLst>
            <a:ext uri="{FF2B5EF4-FFF2-40B4-BE49-F238E27FC236}">
              <a16:creationId xmlns:a16="http://schemas.microsoft.com/office/drawing/2014/main" id="{4C2438AC-3D8E-4030-8807-DE9CF68D95CE}"/>
            </a:ext>
          </a:extLst>
        </xdr:cNvPr>
        <xdr:cNvGrpSpPr>
          <a:grpSpLocks noChangeAspect="1"/>
        </xdr:cNvGrpSpPr>
      </xdr:nvGrpSpPr>
      <xdr:grpSpPr bwMode="auto">
        <a:xfrm>
          <a:off x="2374970" y="23490116"/>
          <a:ext cx="875058" cy="190500"/>
          <a:chOff x="206" y="86"/>
          <a:chExt cx="73" cy="16"/>
        </a:xfrm>
      </xdr:grpSpPr>
      <xdr:sp macro="" textlink="">
        <xdr:nvSpPr>
          <xdr:cNvPr id="1015" name="Line 6">
            <a:extLst>
              <a:ext uri="{FF2B5EF4-FFF2-40B4-BE49-F238E27FC236}">
                <a16:creationId xmlns:a16="http://schemas.microsoft.com/office/drawing/2014/main" id="{2B0BEED8-BC53-935C-59C4-F8BA3AB17F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6" name="Line 7">
            <a:extLst>
              <a:ext uri="{FF2B5EF4-FFF2-40B4-BE49-F238E27FC236}">
                <a16:creationId xmlns:a16="http://schemas.microsoft.com/office/drawing/2014/main" id="{DD0B03EB-5BDA-473C-2940-126F185436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" name="Line 8">
            <a:extLst>
              <a:ext uri="{FF2B5EF4-FFF2-40B4-BE49-F238E27FC236}">
                <a16:creationId xmlns:a16="http://schemas.microsoft.com/office/drawing/2014/main" id="{CD73A95A-5FF1-B69A-9E13-5C10DFB111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250" name="hinh2">
          <a:extLst>
            <a:ext uri="{FF2B5EF4-FFF2-40B4-BE49-F238E27FC236}">
              <a16:creationId xmlns:a16="http://schemas.microsoft.com/office/drawing/2014/main" id="{D6F9E1EC-206F-40B7-9F98-D20E32A12E4F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251" name="Line 6">
            <a:extLst>
              <a:ext uri="{FF2B5EF4-FFF2-40B4-BE49-F238E27FC236}">
                <a16:creationId xmlns:a16="http://schemas.microsoft.com/office/drawing/2014/main" id="{18204D87-7540-52BB-9DA8-12646A3B34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2" name="Line 7">
            <a:extLst>
              <a:ext uri="{FF2B5EF4-FFF2-40B4-BE49-F238E27FC236}">
                <a16:creationId xmlns:a16="http://schemas.microsoft.com/office/drawing/2014/main" id="{54368797-AB95-6B35-1900-BA5626A4A1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3" name="Line 8">
            <a:extLst>
              <a:ext uri="{FF2B5EF4-FFF2-40B4-BE49-F238E27FC236}">
                <a16:creationId xmlns:a16="http://schemas.microsoft.com/office/drawing/2014/main" id="{9C4201F1-F7B6-0774-A76D-F37729D884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278" name="hinh2">
          <a:extLst>
            <a:ext uri="{FF2B5EF4-FFF2-40B4-BE49-F238E27FC236}">
              <a16:creationId xmlns:a16="http://schemas.microsoft.com/office/drawing/2014/main" id="{114D24D9-174F-4DCE-9222-C0421241559C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279" name="Line 6">
            <a:extLst>
              <a:ext uri="{FF2B5EF4-FFF2-40B4-BE49-F238E27FC236}">
                <a16:creationId xmlns:a16="http://schemas.microsoft.com/office/drawing/2014/main" id="{55EBC1BE-34D1-0A04-A1DB-BB46280C20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0" name="Line 7">
            <a:extLst>
              <a:ext uri="{FF2B5EF4-FFF2-40B4-BE49-F238E27FC236}">
                <a16:creationId xmlns:a16="http://schemas.microsoft.com/office/drawing/2014/main" id="{075D8317-185A-106A-4954-E685F5DA61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1" name="Line 8">
            <a:extLst>
              <a:ext uri="{FF2B5EF4-FFF2-40B4-BE49-F238E27FC236}">
                <a16:creationId xmlns:a16="http://schemas.microsoft.com/office/drawing/2014/main" id="{BA2BBA97-2BB9-D365-3563-1DC9AA49F4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282" name="hinh2">
          <a:extLst>
            <a:ext uri="{FF2B5EF4-FFF2-40B4-BE49-F238E27FC236}">
              <a16:creationId xmlns:a16="http://schemas.microsoft.com/office/drawing/2014/main" id="{349BFC7B-365A-4BDE-ACF8-FC7850C6AAFF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283" name="Line 6">
            <a:extLst>
              <a:ext uri="{FF2B5EF4-FFF2-40B4-BE49-F238E27FC236}">
                <a16:creationId xmlns:a16="http://schemas.microsoft.com/office/drawing/2014/main" id="{F2C0F226-A031-1D5D-89C9-208EA20278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4" name="Line 7">
            <a:extLst>
              <a:ext uri="{FF2B5EF4-FFF2-40B4-BE49-F238E27FC236}">
                <a16:creationId xmlns:a16="http://schemas.microsoft.com/office/drawing/2014/main" id="{70FC4D94-B3CA-5FF7-D73D-85CC5CAC8F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5" name="Line 8">
            <a:extLst>
              <a:ext uri="{FF2B5EF4-FFF2-40B4-BE49-F238E27FC236}">
                <a16:creationId xmlns:a16="http://schemas.microsoft.com/office/drawing/2014/main" id="{705379E6-A6C8-D25C-0475-AA39B2A965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286" name="hinh2">
          <a:extLst>
            <a:ext uri="{FF2B5EF4-FFF2-40B4-BE49-F238E27FC236}">
              <a16:creationId xmlns:a16="http://schemas.microsoft.com/office/drawing/2014/main" id="{0E1055D2-77AA-424F-BE2C-D10AAD37CE71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287" name="Line 6">
            <a:extLst>
              <a:ext uri="{FF2B5EF4-FFF2-40B4-BE49-F238E27FC236}">
                <a16:creationId xmlns:a16="http://schemas.microsoft.com/office/drawing/2014/main" id="{F3F71018-D966-AAA0-0299-18B4E2327E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8" name="Line 7">
            <a:extLst>
              <a:ext uri="{FF2B5EF4-FFF2-40B4-BE49-F238E27FC236}">
                <a16:creationId xmlns:a16="http://schemas.microsoft.com/office/drawing/2014/main" id="{1ECBF2BD-66D3-C7C6-C86E-CEACDD7DCB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9" name="Line 8">
            <a:extLst>
              <a:ext uri="{FF2B5EF4-FFF2-40B4-BE49-F238E27FC236}">
                <a16:creationId xmlns:a16="http://schemas.microsoft.com/office/drawing/2014/main" id="{6355B376-DD34-57C4-1D39-81E849C38D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290" name="hinh2">
          <a:extLst>
            <a:ext uri="{FF2B5EF4-FFF2-40B4-BE49-F238E27FC236}">
              <a16:creationId xmlns:a16="http://schemas.microsoft.com/office/drawing/2014/main" id="{2CCF75BC-4AF2-48BB-87E7-A7DCAA2B953C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291" name="Line 6">
            <a:extLst>
              <a:ext uri="{FF2B5EF4-FFF2-40B4-BE49-F238E27FC236}">
                <a16:creationId xmlns:a16="http://schemas.microsoft.com/office/drawing/2014/main" id="{CECABF2F-1624-06E9-3883-29BAA33F3D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2" name="Line 7">
            <a:extLst>
              <a:ext uri="{FF2B5EF4-FFF2-40B4-BE49-F238E27FC236}">
                <a16:creationId xmlns:a16="http://schemas.microsoft.com/office/drawing/2014/main" id="{37059E2A-FB27-8ADA-036A-307CDD5A2A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3" name="Line 8">
            <a:extLst>
              <a:ext uri="{FF2B5EF4-FFF2-40B4-BE49-F238E27FC236}">
                <a16:creationId xmlns:a16="http://schemas.microsoft.com/office/drawing/2014/main" id="{3E3EB668-EE53-C5AB-1908-52D8940ABE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66</xdr:row>
      <xdr:rowOff>58616</xdr:rowOff>
    </xdr:from>
    <xdr:to>
      <xdr:col>3</xdr:col>
      <xdr:colOff>977635</xdr:colOff>
      <xdr:row>66</xdr:row>
      <xdr:rowOff>249116</xdr:rowOff>
    </xdr:to>
    <xdr:grpSp>
      <xdr:nvGrpSpPr>
        <xdr:cNvPr id="1434" name="hinh2">
          <a:extLst>
            <a:ext uri="{FF2B5EF4-FFF2-40B4-BE49-F238E27FC236}">
              <a16:creationId xmlns:a16="http://schemas.microsoft.com/office/drawing/2014/main" id="{5ABBB8BA-CC6A-4F8F-BD2E-99BFB0F0E57C}"/>
            </a:ext>
          </a:extLst>
        </xdr:cNvPr>
        <xdr:cNvGrpSpPr>
          <a:grpSpLocks noChangeAspect="1"/>
        </xdr:cNvGrpSpPr>
      </xdr:nvGrpSpPr>
      <xdr:grpSpPr bwMode="auto">
        <a:xfrm>
          <a:off x="2374970" y="25068545"/>
          <a:ext cx="875058" cy="190500"/>
          <a:chOff x="206" y="86"/>
          <a:chExt cx="73" cy="16"/>
        </a:xfrm>
      </xdr:grpSpPr>
      <xdr:sp macro="" textlink="">
        <xdr:nvSpPr>
          <xdr:cNvPr id="1435" name="Line 6">
            <a:extLst>
              <a:ext uri="{FF2B5EF4-FFF2-40B4-BE49-F238E27FC236}">
                <a16:creationId xmlns:a16="http://schemas.microsoft.com/office/drawing/2014/main" id="{70A63074-090D-91E7-3ACD-3B0E953372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6" name="Line 7">
            <a:extLst>
              <a:ext uri="{FF2B5EF4-FFF2-40B4-BE49-F238E27FC236}">
                <a16:creationId xmlns:a16="http://schemas.microsoft.com/office/drawing/2014/main" id="{A3651417-84FA-643B-7C12-C707037D38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7" name="Line 8">
            <a:extLst>
              <a:ext uri="{FF2B5EF4-FFF2-40B4-BE49-F238E27FC236}">
                <a16:creationId xmlns:a16="http://schemas.microsoft.com/office/drawing/2014/main" id="{0CAD6F0B-832C-1E6A-163C-B72F6D9E92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66</xdr:row>
      <xdr:rowOff>58616</xdr:rowOff>
    </xdr:from>
    <xdr:to>
      <xdr:col>3</xdr:col>
      <xdr:colOff>977635</xdr:colOff>
      <xdr:row>66</xdr:row>
      <xdr:rowOff>249116</xdr:rowOff>
    </xdr:to>
    <xdr:grpSp>
      <xdr:nvGrpSpPr>
        <xdr:cNvPr id="1438" name="hinh2">
          <a:extLst>
            <a:ext uri="{FF2B5EF4-FFF2-40B4-BE49-F238E27FC236}">
              <a16:creationId xmlns:a16="http://schemas.microsoft.com/office/drawing/2014/main" id="{583ED6B3-F4D2-40E8-BE4B-16E6C0743632}"/>
            </a:ext>
          </a:extLst>
        </xdr:cNvPr>
        <xdr:cNvGrpSpPr>
          <a:grpSpLocks noChangeAspect="1"/>
        </xdr:cNvGrpSpPr>
      </xdr:nvGrpSpPr>
      <xdr:grpSpPr bwMode="auto">
        <a:xfrm>
          <a:off x="2374970" y="25068545"/>
          <a:ext cx="875058" cy="190500"/>
          <a:chOff x="206" y="86"/>
          <a:chExt cx="73" cy="16"/>
        </a:xfrm>
      </xdr:grpSpPr>
      <xdr:sp macro="" textlink="">
        <xdr:nvSpPr>
          <xdr:cNvPr id="1439" name="Line 6">
            <a:extLst>
              <a:ext uri="{FF2B5EF4-FFF2-40B4-BE49-F238E27FC236}">
                <a16:creationId xmlns:a16="http://schemas.microsoft.com/office/drawing/2014/main" id="{4AC8B6AD-1D26-210D-3A64-CCD9D92EBF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0" name="Line 7">
            <a:extLst>
              <a:ext uri="{FF2B5EF4-FFF2-40B4-BE49-F238E27FC236}">
                <a16:creationId xmlns:a16="http://schemas.microsoft.com/office/drawing/2014/main" id="{0FF90B8B-5334-4537-6083-BDF687F020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1" name="Line 8">
            <a:extLst>
              <a:ext uri="{FF2B5EF4-FFF2-40B4-BE49-F238E27FC236}">
                <a16:creationId xmlns:a16="http://schemas.microsoft.com/office/drawing/2014/main" id="{A90CB48B-A7A5-5260-2CD8-930FCA24B6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66</xdr:row>
      <xdr:rowOff>58616</xdr:rowOff>
    </xdr:from>
    <xdr:to>
      <xdr:col>3</xdr:col>
      <xdr:colOff>977635</xdr:colOff>
      <xdr:row>66</xdr:row>
      <xdr:rowOff>249116</xdr:rowOff>
    </xdr:to>
    <xdr:grpSp>
      <xdr:nvGrpSpPr>
        <xdr:cNvPr id="1442" name="hinh2">
          <a:extLst>
            <a:ext uri="{FF2B5EF4-FFF2-40B4-BE49-F238E27FC236}">
              <a16:creationId xmlns:a16="http://schemas.microsoft.com/office/drawing/2014/main" id="{D8C1DBC2-75C0-4E5B-9DEE-556F904F0909}"/>
            </a:ext>
          </a:extLst>
        </xdr:cNvPr>
        <xdr:cNvGrpSpPr>
          <a:grpSpLocks noChangeAspect="1"/>
        </xdr:cNvGrpSpPr>
      </xdr:nvGrpSpPr>
      <xdr:grpSpPr bwMode="auto">
        <a:xfrm>
          <a:off x="2374970" y="25068545"/>
          <a:ext cx="875058" cy="190500"/>
          <a:chOff x="206" y="86"/>
          <a:chExt cx="73" cy="16"/>
        </a:xfrm>
      </xdr:grpSpPr>
      <xdr:sp macro="" textlink="">
        <xdr:nvSpPr>
          <xdr:cNvPr id="1443" name="Line 6">
            <a:extLst>
              <a:ext uri="{FF2B5EF4-FFF2-40B4-BE49-F238E27FC236}">
                <a16:creationId xmlns:a16="http://schemas.microsoft.com/office/drawing/2014/main" id="{05D10DE1-4347-59D6-D6D3-9392680191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4" name="Line 7">
            <a:extLst>
              <a:ext uri="{FF2B5EF4-FFF2-40B4-BE49-F238E27FC236}">
                <a16:creationId xmlns:a16="http://schemas.microsoft.com/office/drawing/2014/main" id="{97B38441-FAB7-4FC2-97D3-47859D6F38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5" name="Line 8">
            <a:extLst>
              <a:ext uri="{FF2B5EF4-FFF2-40B4-BE49-F238E27FC236}">
                <a16:creationId xmlns:a16="http://schemas.microsoft.com/office/drawing/2014/main" id="{643E9AD7-5DFD-44FB-56F2-515E42FBE8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66</xdr:row>
      <xdr:rowOff>58616</xdr:rowOff>
    </xdr:from>
    <xdr:to>
      <xdr:col>3</xdr:col>
      <xdr:colOff>977635</xdr:colOff>
      <xdr:row>66</xdr:row>
      <xdr:rowOff>249116</xdr:rowOff>
    </xdr:to>
    <xdr:grpSp>
      <xdr:nvGrpSpPr>
        <xdr:cNvPr id="1446" name="hinh2">
          <a:extLst>
            <a:ext uri="{FF2B5EF4-FFF2-40B4-BE49-F238E27FC236}">
              <a16:creationId xmlns:a16="http://schemas.microsoft.com/office/drawing/2014/main" id="{556ACA26-D201-46E0-8D59-9E6616605856}"/>
            </a:ext>
          </a:extLst>
        </xdr:cNvPr>
        <xdr:cNvGrpSpPr>
          <a:grpSpLocks noChangeAspect="1"/>
        </xdr:cNvGrpSpPr>
      </xdr:nvGrpSpPr>
      <xdr:grpSpPr bwMode="auto">
        <a:xfrm>
          <a:off x="2374970" y="25068545"/>
          <a:ext cx="875058" cy="190500"/>
          <a:chOff x="206" y="86"/>
          <a:chExt cx="73" cy="16"/>
        </a:xfrm>
      </xdr:grpSpPr>
      <xdr:sp macro="" textlink="">
        <xdr:nvSpPr>
          <xdr:cNvPr id="1447" name="Line 6">
            <a:extLst>
              <a:ext uri="{FF2B5EF4-FFF2-40B4-BE49-F238E27FC236}">
                <a16:creationId xmlns:a16="http://schemas.microsoft.com/office/drawing/2014/main" id="{6DAFFA82-B378-2671-8E3E-93EC74E197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8" name="Line 7">
            <a:extLst>
              <a:ext uri="{FF2B5EF4-FFF2-40B4-BE49-F238E27FC236}">
                <a16:creationId xmlns:a16="http://schemas.microsoft.com/office/drawing/2014/main" id="{0B9E8CFB-CB02-05F4-0253-929A3727D8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9" name="Line 8">
            <a:extLst>
              <a:ext uri="{FF2B5EF4-FFF2-40B4-BE49-F238E27FC236}">
                <a16:creationId xmlns:a16="http://schemas.microsoft.com/office/drawing/2014/main" id="{3DDDE29C-E584-7751-5FC7-58273E1A12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450" name="hinh2">
          <a:extLst>
            <a:ext uri="{FF2B5EF4-FFF2-40B4-BE49-F238E27FC236}">
              <a16:creationId xmlns:a16="http://schemas.microsoft.com/office/drawing/2014/main" id="{6BE8B97A-5AD7-45A0-927F-C3FA86E18AB3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451" name="Line 6">
            <a:extLst>
              <a:ext uri="{FF2B5EF4-FFF2-40B4-BE49-F238E27FC236}">
                <a16:creationId xmlns:a16="http://schemas.microsoft.com/office/drawing/2014/main" id="{39F0BE53-ACA5-1DA6-84C8-8361B8C40E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2" name="Line 7">
            <a:extLst>
              <a:ext uri="{FF2B5EF4-FFF2-40B4-BE49-F238E27FC236}">
                <a16:creationId xmlns:a16="http://schemas.microsoft.com/office/drawing/2014/main" id="{5ACF3FFE-5C65-4B68-F400-DD6CF4CF95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3" name="Line 8">
            <a:extLst>
              <a:ext uri="{FF2B5EF4-FFF2-40B4-BE49-F238E27FC236}">
                <a16:creationId xmlns:a16="http://schemas.microsoft.com/office/drawing/2014/main" id="{28DD5431-63A1-C09B-1FBC-BB12BDF94C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538" name="hinh2">
          <a:extLst>
            <a:ext uri="{FF2B5EF4-FFF2-40B4-BE49-F238E27FC236}">
              <a16:creationId xmlns:a16="http://schemas.microsoft.com/office/drawing/2014/main" id="{99600AAD-0B15-4ADA-9B58-7B9CB113A1C6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539" name="Line 6">
            <a:extLst>
              <a:ext uri="{FF2B5EF4-FFF2-40B4-BE49-F238E27FC236}">
                <a16:creationId xmlns:a16="http://schemas.microsoft.com/office/drawing/2014/main" id="{E06567DF-74BA-1B3E-CBCD-3A089FEDFD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0" name="Line 7">
            <a:extLst>
              <a:ext uri="{FF2B5EF4-FFF2-40B4-BE49-F238E27FC236}">
                <a16:creationId xmlns:a16="http://schemas.microsoft.com/office/drawing/2014/main" id="{4FDB2453-5ED3-F0D2-A180-8D5A8337DE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1" name="Line 8">
            <a:extLst>
              <a:ext uri="{FF2B5EF4-FFF2-40B4-BE49-F238E27FC236}">
                <a16:creationId xmlns:a16="http://schemas.microsoft.com/office/drawing/2014/main" id="{FD542AF9-2931-AED1-33F0-421D68D8B9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542" name="hinh2">
          <a:extLst>
            <a:ext uri="{FF2B5EF4-FFF2-40B4-BE49-F238E27FC236}">
              <a16:creationId xmlns:a16="http://schemas.microsoft.com/office/drawing/2014/main" id="{789C72DA-248F-4914-8184-4800B97318A5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543" name="Line 6">
            <a:extLst>
              <a:ext uri="{FF2B5EF4-FFF2-40B4-BE49-F238E27FC236}">
                <a16:creationId xmlns:a16="http://schemas.microsoft.com/office/drawing/2014/main" id="{4567A7B7-9E11-3E7C-D6A1-FECA53B778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4" name="Line 7">
            <a:extLst>
              <a:ext uri="{FF2B5EF4-FFF2-40B4-BE49-F238E27FC236}">
                <a16:creationId xmlns:a16="http://schemas.microsoft.com/office/drawing/2014/main" id="{8C29A21D-0C66-A448-75AF-6CAFF4D611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5" name="Line 8">
            <a:extLst>
              <a:ext uri="{FF2B5EF4-FFF2-40B4-BE49-F238E27FC236}">
                <a16:creationId xmlns:a16="http://schemas.microsoft.com/office/drawing/2014/main" id="{7D74E8CE-3611-5EC6-E16D-0F4F6338A9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546" name="hinh2">
          <a:extLst>
            <a:ext uri="{FF2B5EF4-FFF2-40B4-BE49-F238E27FC236}">
              <a16:creationId xmlns:a16="http://schemas.microsoft.com/office/drawing/2014/main" id="{9F2732E1-B35E-43F9-8482-0483CB9C7260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547" name="Line 6">
            <a:extLst>
              <a:ext uri="{FF2B5EF4-FFF2-40B4-BE49-F238E27FC236}">
                <a16:creationId xmlns:a16="http://schemas.microsoft.com/office/drawing/2014/main" id="{4CF3ACA4-EF2B-3678-F8E2-8A83A1C898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8" name="Line 7">
            <a:extLst>
              <a:ext uri="{FF2B5EF4-FFF2-40B4-BE49-F238E27FC236}">
                <a16:creationId xmlns:a16="http://schemas.microsoft.com/office/drawing/2014/main" id="{2E7CA3A7-AB87-62D7-B5E3-2BA9AE9368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9" name="Line 8">
            <a:extLst>
              <a:ext uri="{FF2B5EF4-FFF2-40B4-BE49-F238E27FC236}">
                <a16:creationId xmlns:a16="http://schemas.microsoft.com/office/drawing/2014/main" id="{D063B078-CECD-6392-46FE-8D3706CBDD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550" name="hinh2">
          <a:extLst>
            <a:ext uri="{FF2B5EF4-FFF2-40B4-BE49-F238E27FC236}">
              <a16:creationId xmlns:a16="http://schemas.microsoft.com/office/drawing/2014/main" id="{D4ACDB92-54D7-40B5-B4A0-C7EB5640B80F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551" name="Line 6">
            <a:extLst>
              <a:ext uri="{FF2B5EF4-FFF2-40B4-BE49-F238E27FC236}">
                <a16:creationId xmlns:a16="http://schemas.microsoft.com/office/drawing/2014/main" id="{DF1C5DB3-7A3A-2D43-6027-B6C01E6712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2" name="Line 7">
            <a:extLst>
              <a:ext uri="{FF2B5EF4-FFF2-40B4-BE49-F238E27FC236}">
                <a16:creationId xmlns:a16="http://schemas.microsoft.com/office/drawing/2014/main" id="{D7C59400-F76F-2F14-2F3A-C30E7157D1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3" name="Line 8">
            <a:extLst>
              <a:ext uri="{FF2B5EF4-FFF2-40B4-BE49-F238E27FC236}">
                <a16:creationId xmlns:a16="http://schemas.microsoft.com/office/drawing/2014/main" id="{FB845D3B-4B0C-ED6F-0EE2-9E68883315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586" name="hinh2">
          <a:extLst>
            <a:ext uri="{FF2B5EF4-FFF2-40B4-BE49-F238E27FC236}">
              <a16:creationId xmlns:a16="http://schemas.microsoft.com/office/drawing/2014/main" id="{36DE3387-506C-49B5-994D-75EF19B0A361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587" name="Line 6">
            <a:extLst>
              <a:ext uri="{FF2B5EF4-FFF2-40B4-BE49-F238E27FC236}">
                <a16:creationId xmlns:a16="http://schemas.microsoft.com/office/drawing/2014/main" id="{7DCE03FD-FFB3-8D70-9833-03118EA3C0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8" name="Line 7">
            <a:extLst>
              <a:ext uri="{FF2B5EF4-FFF2-40B4-BE49-F238E27FC236}">
                <a16:creationId xmlns:a16="http://schemas.microsoft.com/office/drawing/2014/main" id="{8B5AFBA1-AAFF-1513-043C-FEA6144D9F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9" name="Line 8">
            <a:extLst>
              <a:ext uri="{FF2B5EF4-FFF2-40B4-BE49-F238E27FC236}">
                <a16:creationId xmlns:a16="http://schemas.microsoft.com/office/drawing/2014/main" id="{98E0DDED-7ECC-E4BD-95A9-F13E698405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590" name="hinh2">
          <a:extLst>
            <a:ext uri="{FF2B5EF4-FFF2-40B4-BE49-F238E27FC236}">
              <a16:creationId xmlns:a16="http://schemas.microsoft.com/office/drawing/2014/main" id="{A37F45E5-0500-4D6B-A0F7-AB898C45400E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591" name="Line 6">
            <a:extLst>
              <a:ext uri="{FF2B5EF4-FFF2-40B4-BE49-F238E27FC236}">
                <a16:creationId xmlns:a16="http://schemas.microsoft.com/office/drawing/2014/main" id="{493776F8-6461-FE5A-3839-38575C697F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2" name="Line 7">
            <a:extLst>
              <a:ext uri="{FF2B5EF4-FFF2-40B4-BE49-F238E27FC236}">
                <a16:creationId xmlns:a16="http://schemas.microsoft.com/office/drawing/2014/main" id="{C964A3D3-4040-1B6E-E231-47D2C6CE2D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3" name="Line 8">
            <a:extLst>
              <a:ext uri="{FF2B5EF4-FFF2-40B4-BE49-F238E27FC236}">
                <a16:creationId xmlns:a16="http://schemas.microsoft.com/office/drawing/2014/main" id="{5AF60F14-EE41-5B9A-9EDF-C626E9106D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64</xdr:row>
      <xdr:rowOff>58616</xdr:rowOff>
    </xdr:from>
    <xdr:to>
      <xdr:col>3</xdr:col>
      <xdr:colOff>977635</xdr:colOff>
      <xdr:row>64</xdr:row>
      <xdr:rowOff>249116</xdr:rowOff>
    </xdr:to>
    <xdr:grpSp>
      <xdr:nvGrpSpPr>
        <xdr:cNvPr id="1594" name="hinh2">
          <a:extLst>
            <a:ext uri="{FF2B5EF4-FFF2-40B4-BE49-F238E27FC236}">
              <a16:creationId xmlns:a16="http://schemas.microsoft.com/office/drawing/2014/main" id="{73A6D265-7CCC-4BBE-9BE7-63AD028667BD}"/>
            </a:ext>
          </a:extLst>
        </xdr:cNvPr>
        <xdr:cNvGrpSpPr>
          <a:grpSpLocks noChangeAspect="1"/>
        </xdr:cNvGrpSpPr>
      </xdr:nvGrpSpPr>
      <xdr:grpSpPr bwMode="auto">
        <a:xfrm>
          <a:off x="2374970" y="24279330"/>
          <a:ext cx="875058" cy="190500"/>
          <a:chOff x="206" y="86"/>
          <a:chExt cx="73" cy="16"/>
        </a:xfrm>
      </xdr:grpSpPr>
      <xdr:sp macro="" textlink="">
        <xdr:nvSpPr>
          <xdr:cNvPr id="1595" name="Line 6">
            <a:extLst>
              <a:ext uri="{FF2B5EF4-FFF2-40B4-BE49-F238E27FC236}">
                <a16:creationId xmlns:a16="http://schemas.microsoft.com/office/drawing/2014/main" id="{A1D2D22B-541B-EE78-EC51-847C6A249D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6" name="Line 7">
            <a:extLst>
              <a:ext uri="{FF2B5EF4-FFF2-40B4-BE49-F238E27FC236}">
                <a16:creationId xmlns:a16="http://schemas.microsoft.com/office/drawing/2014/main" id="{C12DC1D4-7DA0-9BE4-D855-7ABBC218CD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7" name="Line 8">
            <a:extLst>
              <a:ext uri="{FF2B5EF4-FFF2-40B4-BE49-F238E27FC236}">
                <a16:creationId xmlns:a16="http://schemas.microsoft.com/office/drawing/2014/main" id="{ABC66A15-93A2-CE3B-1111-E809246B82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62</xdr:row>
      <xdr:rowOff>58616</xdr:rowOff>
    </xdr:from>
    <xdr:to>
      <xdr:col>3</xdr:col>
      <xdr:colOff>977635</xdr:colOff>
      <xdr:row>62</xdr:row>
      <xdr:rowOff>249116</xdr:rowOff>
    </xdr:to>
    <xdr:grpSp>
      <xdr:nvGrpSpPr>
        <xdr:cNvPr id="1598" name="hinh2">
          <a:extLst>
            <a:ext uri="{FF2B5EF4-FFF2-40B4-BE49-F238E27FC236}">
              <a16:creationId xmlns:a16="http://schemas.microsoft.com/office/drawing/2014/main" id="{90F84E55-0A07-46BD-A514-247C3E870875}"/>
            </a:ext>
          </a:extLst>
        </xdr:cNvPr>
        <xdr:cNvGrpSpPr>
          <a:grpSpLocks noChangeAspect="1"/>
        </xdr:cNvGrpSpPr>
      </xdr:nvGrpSpPr>
      <xdr:grpSpPr bwMode="auto">
        <a:xfrm>
          <a:off x="2374970" y="23490116"/>
          <a:ext cx="875058" cy="190500"/>
          <a:chOff x="206" y="86"/>
          <a:chExt cx="73" cy="16"/>
        </a:xfrm>
      </xdr:grpSpPr>
      <xdr:sp macro="" textlink="">
        <xdr:nvSpPr>
          <xdr:cNvPr id="1599" name="Line 6">
            <a:extLst>
              <a:ext uri="{FF2B5EF4-FFF2-40B4-BE49-F238E27FC236}">
                <a16:creationId xmlns:a16="http://schemas.microsoft.com/office/drawing/2014/main" id="{187B9752-1AA1-0F4A-A09C-40815154A4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0" name="Line 7">
            <a:extLst>
              <a:ext uri="{FF2B5EF4-FFF2-40B4-BE49-F238E27FC236}">
                <a16:creationId xmlns:a16="http://schemas.microsoft.com/office/drawing/2014/main" id="{62D4054A-A8AD-7A3F-8253-FECCBA1BA7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1" name="Line 8">
            <a:extLst>
              <a:ext uri="{FF2B5EF4-FFF2-40B4-BE49-F238E27FC236}">
                <a16:creationId xmlns:a16="http://schemas.microsoft.com/office/drawing/2014/main" id="{F7BF7C19-32A0-FFFE-7A8F-C4DFC0CAB4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602" name="hinh2">
          <a:extLst>
            <a:ext uri="{FF2B5EF4-FFF2-40B4-BE49-F238E27FC236}">
              <a16:creationId xmlns:a16="http://schemas.microsoft.com/office/drawing/2014/main" id="{FEB34CF1-9F78-401C-8C76-21AE8434ACFE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603" name="Line 6">
            <a:extLst>
              <a:ext uri="{FF2B5EF4-FFF2-40B4-BE49-F238E27FC236}">
                <a16:creationId xmlns:a16="http://schemas.microsoft.com/office/drawing/2014/main" id="{55D065A7-0D59-6624-5095-2FF6A35AFE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4" name="Line 7">
            <a:extLst>
              <a:ext uri="{FF2B5EF4-FFF2-40B4-BE49-F238E27FC236}">
                <a16:creationId xmlns:a16="http://schemas.microsoft.com/office/drawing/2014/main" id="{11533055-EC70-E781-00E8-83EB1ED9E1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5" name="Line 8">
            <a:extLst>
              <a:ext uri="{FF2B5EF4-FFF2-40B4-BE49-F238E27FC236}">
                <a16:creationId xmlns:a16="http://schemas.microsoft.com/office/drawing/2014/main" id="{104A0708-7DFF-D412-92F8-F7DD366C75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606" name="hinh2">
          <a:extLst>
            <a:ext uri="{FF2B5EF4-FFF2-40B4-BE49-F238E27FC236}">
              <a16:creationId xmlns:a16="http://schemas.microsoft.com/office/drawing/2014/main" id="{61B53C30-EB05-49CD-9607-032AC40CCE3E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607" name="Line 6">
            <a:extLst>
              <a:ext uri="{FF2B5EF4-FFF2-40B4-BE49-F238E27FC236}">
                <a16:creationId xmlns:a16="http://schemas.microsoft.com/office/drawing/2014/main" id="{37460C44-9A21-090A-BEEF-5A8F524462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8" name="Line 7">
            <a:extLst>
              <a:ext uri="{FF2B5EF4-FFF2-40B4-BE49-F238E27FC236}">
                <a16:creationId xmlns:a16="http://schemas.microsoft.com/office/drawing/2014/main" id="{F561B924-E43F-0620-792E-D0A46168E6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9" name="Line 8">
            <a:extLst>
              <a:ext uri="{FF2B5EF4-FFF2-40B4-BE49-F238E27FC236}">
                <a16:creationId xmlns:a16="http://schemas.microsoft.com/office/drawing/2014/main" id="{4C73D08C-07D8-43FF-A120-C58CFB43AF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1610" name="hinh2">
          <a:extLst>
            <a:ext uri="{FF2B5EF4-FFF2-40B4-BE49-F238E27FC236}">
              <a16:creationId xmlns:a16="http://schemas.microsoft.com/office/drawing/2014/main" id="{5B7A5CD1-0173-4ED0-89DD-2865C8B1A92E}"/>
            </a:ext>
          </a:extLst>
        </xdr:cNvPr>
        <xdr:cNvGrpSpPr>
          <a:grpSpLocks noChangeAspect="1"/>
        </xdr:cNvGrpSpPr>
      </xdr:nvGrpSpPr>
      <xdr:grpSpPr bwMode="auto">
        <a:xfrm>
          <a:off x="2374970" y="23884723"/>
          <a:ext cx="875058" cy="190500"/>
          <a:chOff x="206" y="86"/>
          <a:chExt cx="73" cy="16"/>
        </a:xfrm>
      </xdr:grpSpPr>
      <xdr:sp macro="" textlink="">
        <xdr:nvSpPr>
          <xdr:cNvPr id="1611" name="Line 6">
            <a:extLst>
              <a:ext uri="{FF2B5EF4-FFF2-40B4-BE49-F238E27FC236}">
                <a16:creationId xmlns:a16="http://schemas.microsoft.com/office/drawing/2014/main" id="{09916117-CE48-4CFD-5C78-6FF222A173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2" name="Line 7">
            <a:extLst>
              <a:ext uri="{FF2B5EF4-FFF2-40B4-BE49-F238E27FC236}">
                <a16:creationId xmlns:a16="http://schemas.microsoft.com/office/drawing/2014/main" id="{356DA879-FE75-AFA7-41BE-1BE37F26DD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3" name="Line 8">
            <a:extLst>
              <a:ext uri="{FF2B5EF4-FFF2-40B4-BE49-F238E27FC236}">
                <a16:creationId xmlns:a16="http://schemas.microsoft.com/office/drawing/2014/main" id="{97C9C67C-8097-ADE1-5416-5172129567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14" name="hinh2">
          <a:extLst>
            <a:ext uri="{FF2B5EF4-FFF2-40B4-BE49-F238E27FC236}">
              <a16:creationId xmlns:a16="http://schemas.microsoft.com/office/drawing/2014/main" id="{FA76B3F1-573F-4191-A10A-184EB6551003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15" name="Line 6">
            <a:extLst>
              <a:ext uri="{FF2B5EF4-FFF2-40B4-BE49-F238E27FC236}">
                <a16:creationId xmlns:a16="http://schemas.microsoft.com/office/drawing/2014/main" id="{A77817DC-51BC-9BA6-8607-1CEA1F90F4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6" name="Line 7">
            <a:extLst>
              <a:ext uri="{FF2B5EF4-FFF2-40B4-BE49-F238E27FC236}">
                <a16:creationId xmlns:a16="http://schemas.microsoft.com/office/drawing/2014/main" id="{97050DD8-70FD-2E8B-FEA8-7EF0A220CA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7" name="Line 8">
            <a:extLst>
              <a:ext uri="{FF2B5EF4-FFF2-40B4-BE49-F238E27FC236}">
                <a16:creationId xmlns:a16="http://schemas.microsoft.com/office/drawing/2014/main" id="{EB6ED931-360A-293D-C670-DAD24E81D0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18" name="hinh2">
          <a:extLst>
            <a:ext uri="{FF2B5EF4-FFF2-40B4-BE49-F238E27FC236}">
              <a16:creationId xmlns:a16="http://schemas.microsoft.com/office/drawing/2014/main" id="{5FD100AC-6ECD-49AE-B283-AE7C40AAF41C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19" name="Line 6">
            <a:extLst>
              <a:ext uri="{FF2B5EF4-FFF2-40B4-BE49-F238E27FC236}">
                <a16:creationId xmlns:a16="http://schemas.microsoft.com/office/drawing/2014/main" id="{7097C557-B847-BFBF-34B1-9C4C6BF40A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0" name="Line 7">
            <a:extLst>
              <a:ext uri="{FF2B5EF4-FFF2-40B4-BE49-F238E27FC236}">
                <a16:creationId xmlns:a16="http://schemas.microsoft.com/office/drawing/2014/main" id="{CFDC6534-6503-1987-8365-587541C2D5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1" name="Line 8">
            <a:extLst>
              <a:ext uri="{FF2B5EF4-FFF2-40B4-BE49-F238E27FC236}">
                <a16:creationId xmlns:a16="http://schemas.microsoft.com/office/drawing/2014/main" id="{66CC013C-DD3D-91D5-DBE7-206EDCC4A9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22" name="hinh2">
          <a:extLst>
            <a:ext uri="{FF2B5EF4-FFF2-40B4-BE49-F238E27FC236}">
              <a16:creationId xmlns:a16="http://schemas.microsoft.com/office/drawing/2014/main" id="{8272D928-6A24-4C54-A05C-C884973D474A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23" name="Line 6">
            <a:extLst>
              <a:ext uri="{FF2B5EF4-FFF2-40B4-BE49-F238E27FC236}">
                <a16:creationId xmlns:a16="http://schemas.microsoft.com/office/drawing/2014/main" id="{06B7BE2C-BFD7-4574-9D17-5B2A7DB0AE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4" name="Line 7">
            <a:extLst>
              <a:ext uri="{FF2B5EF4-FFF2-40B4-BE49-F238E27FC236}">
                <a16:creationId xmlns:a16="http://schemas.microsoft.com/office/drawing/2014/main" id="{EDD75936-BD69-2F20-290F-F9E16235F0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5" name="Line 8">
            <a:extLst>
              <a:ext uri="{FF2B5EF4-FFF2-40B4-BE49-F238E27FC236}">
                <a16:creationId xmlns:a16="http://schemas.microsoft.com/office/drawing/2014/main" id="{C6986FF4-14F0-5D62-1B3C-A2A9472904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26" name="hinh2">
          <a:extLst>
            <a:ext uri="{FF2B5EF4-FFF2-40B4-BE49-F238E27FC236}">
              <a16:creationId xmlns:a16="http://schemas.microsoft.com/office/drawing/2014/main" id="{13CCAED7-93DB-4B8E-A1F2-0CFA55EE5A59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27" name="Line 6">
            <a:extLst>
              <a:ext uri="{FF2B5EF4-FFF2-40B4-BE49-F238E27FC236}">
                <a16:creationId xmlns:a16="http://schemas.microsoft.com/office/drawing/2014/main" id="{4FB5BDF4-5165-2455-1526-D9F4AA2D56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8" name="Line 7">
            <a:extLst>
              <a:ext uri="{FF2B5EF4-FFF2-40B4-BE49-F238E27FC236}">
                <a16:creationId xmlns:a16="http://schemas.microsoft.com/office/drawing/2014/main" id="{2AC3B910-6A75-9AAA-F45F-1EA98BE787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9" name="Line 8">
            <a:extLst>
              <a:ext uri="{FF2B5EF4-FFF2-40B4-BE49-F238E27FC236}">
                <a16:creationId xmlns:a16="http://schemas.microsoft.com/office/drawing/2014/main" id="{A5A3C0D7-5022-B3AE-FB0F-B65F0C0826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30" name="hinh2">
          <a:extLst>
            <a:ext uri="{FF2B5EF4-FFF2-40B4-BE49-F238E27FC236}">
              <a16:creationId xmlns:a16="http://schemas.microsoft.com/office/drawing/2014/main" id="{C5EB8255-F29C-45B0-9DAF-03D46C8DADE9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31" name="Line 6">
            <a:extLst>
              <a:ext uri="{FF2B5EF4-FFF2-40B4-BE49-F238E27FC236}">
                <a16:creationId xmlns:a16="http://schemas.microsoft.com/office/drawing/2014/main" id="{9805EF8C-7885-93F7-3C6C-0BE6AD30D6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2" name="Line 7">
            <a:extLst>
              <a:ext uri="{FF2B5EF4-FFF2-40B4-BE49-F238E27FC236}">
                <a16:creationId xmlns:a16="http://schemas.microsoft.com/office/drawing/2014/main" id="{C4DEF7A3-62D2-BC37-BAAE-F144CCBB39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3" name="Line 8">
            <a:extLst>
              <a:ext uri="{FF2B5EF4-FFF2-40B4-BE49-F238E27FC236}">
                <a16:creationId xmlns:a16="http://schemas.microsoft.com/office/drawing/2014/main" id="{FD858D5A-89F3-6E8A-BC86-8F551907BE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34" name="hinh2">
          <a:extLst>
            <a:ext uri="{FF2B5EF4-FFF2-40B4-BE49-F238E27FC236}">
              <a16:creationId xmlns:a16="http://schemas.microsoft.com/office/drawing/2014/main" id="{09CD6BFF-DE1C-4E99-B96A-023EDA84B9DA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35" name="Line 6">
            <a:extLst>
              <a:ext uri="{FF2B5EF4-FFF2-40B4-BE49-F238E27FC236}">
                <a16:creationId xmlns:a16="http://schemas.microsoft.com/office/drawing/2014/main" id="{221E0570-CE3B-6EEC-0CE5-D82680A2C3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6" name="Line 7">
            <a:extLst>
              <a:ext uri="{FF2B5EF4-FFF2-40B4-BE49-F238E27FC236}">
                <a16:creationId xmlns:a16="http://schemas.microsoft.com/office/drawing/2014/main" id="{F1004163-B58E-6831-1BCF-FAAB7F4615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7" name="Line 8">
            <a:extLst>
              <a:ext uri="{FF2B5EF4-FFF2-40B4-BE49-F238E27FC236}">
                <a16:creationId xmlns:a16="http://schemas.microsoft.com/office/drawing/2014/main" id="{F90EEADC-80A8-DC98-9845-A40DB0262B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38" name="hinh2">
          <a:extLst>
            <a:ext uri="{FF2B5EF4-FFF2-40B4-BE49-F238E27FC236}">
              <a16:creationId xmlns:a16="http://schemas.microsoft.com/office/drawing/2014/main" id="{D4F9FC4A-2E9A-4E4A-9563-8666319A803D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39" name="Line 6">
            <a:extLst>
              <a:ext uri="{FF2B5EF4-FFF2-40B4-BE49-F238E27FC236}">
                <a16:creationId xmlns:a16="http://schemas.microsoft.com/office/drawing/2014/main" id="{B726B77D-EFC1-13F3-FCA5-F0DC371C55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0" name="Line 7">
            <a:extLst>
              <a:ext uri="{FF2B5EF4-FFF2-40B4-BE49-F238E27FC236}">
                <a16:creationId xmlns:a16="http://schemas.microsoft.com/office/drawing/2014/main" id="{6C1E1E61-4DE3-7F00-64BF-C5709A01F3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1" name="Line 8">
            <a:extLst>
              <a:ext uri="{FF2B5EF4-FFF2-40B4-BE49-F238E27FC236}">
                <a16:creationId xmlns:a16="http://schemas.microsoft.com/office/drawing/2014/main" id="{A4C49744-1866-13C1-3484-AFF00DE85D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1642" name="hinh2">
          <a:extLst>
            <a:ext uri="{FF2B5EF4-FFF2-40B4-BE49-F238E27FC236}">
              <a16:creationId xmlns:a16="http://schemas.microsoft.com/office/drawing/2014/main" id="{FEAEE3B3-5696-4C63-96C1-FC5432CEC954}"/>
            </a:ext>
          </a:extLst>
        </xdr:cNvPr>
        <xdr:cNvGrpSpPr>
          <a:grpSpLocks noChangeAspect="1"/>
        </xdr:cNvGrpSpPr>
      </xdr:nvGrpSpPr>
      <xdr:grpSpPr bwMode="auto">
        <a:xfrm>
          <a:off x="2374970" y="24673937"/>
          <a:ext cx="875058" cy="190500"/>
          <a:chOff x="206" y="86"/>
          <a:chExt cx="73" cy="16"/>
        </a:xfrm>
      </xdr:grpSpPr>
      <xdr:sp macro="" textlink="">
        <xdr:nvSpPr>
          <xdr:cNvPr id="1643" name="Line 6">
            <a:extLst>
              <a:ext uri="{FF2B5EF4-FFF2-40B4-BE49-F238E27FC236}">
                <a16:creationId xmlns:a16="http://schemas.microsoft.com/office/drawing/2014/main" id="{07E8C07C-83E5-FCB0-EB02-ECACD296F8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4" name="Line 7">
            <a:extLst>
              <a:ext uri="{FF2B5EF4-FFF2-40B4-BE49-F238E27FC236}">
                <a16:creationId xmlns:a16="http://schemas.microsoft.com/office/drawing/2014/main" id="{66C2F4CB-C14D-337C-0DA9-4380BF69EB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5" name="Line 8">
            <a:extLst>
              <a:ext uri="{FF2B5EF4-FFF2-40B4-BE49-F238E27FC236}">
                <a16:creationId xmlns:a16="http://schemas.microsoft.com/office/drawing/2014/main" id="{37827C31-9F9A-2D01-14B3-B58BB28704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2130" name="hinh2">
          <a:extLst>
            <a:ext uri="{FF2B5EF4-FFF2-40B4-BE49-F238E27FC236}">
              <a16:creationId xmlns:a16="http://schemas.microsoft.com/office/drawing/2014/main" id="{8E7309CF-9BF4-4024-A254-5B87E17D5A51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2131" name="Line 6">
            <a:extLst>
              <a:ext uri="{FF2B5EF4-FFF2-40B4-BE49-F238E27FC236}">
                <a16:creationId xmlns:a16="http://schemas.microsoft.com/office/drawing/2014/main" id="{F85D9497-71CC-8893-BA95-1A8E0EACD5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2" name="Line 7">
            <a:extLst>
              <a:ext uri="{FF2B5EF4-FFF2-40B4-BE49-F238E27FC236}">
                <a16:creationId xmlns:a16="http://schemas.microsoft.com/office/drawing/2014/main" id="{73132EA7-6465-AA47-6DE8-95B372D4DB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3" name="Line 8">
            <a:extLst>
              <a:ext uri="{FF2B5EF4-FFF2-40B4-BE49-F238E27FC236}">
                <a16:creationId xmlns:a16="http://schemas.microsoft.com/office/drawing/2014/main" id="{8AF922F0-9A64-86CE-1188-0D9A4BAC31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2134" name="hinh2">
          <a:extLst>
            <a:ext uri="{FF2B5EF4-FFF2-40B4-BE49-F238E27FC236}">
              <a16:creationId xmlns:a16="http://schemas.microsoft.com/office/drawing/2014/main" id="{9B0E7AF6-560E-4C2B-AFB4-9C4962FE1BD6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2135" name="Line 6">
            <a:extLst>
              <a:ext uri="{FF2B5EF4-FFF2-40B4-BE49-F238E27FC236}">
                <a16:creationId xmlns:a16="http://schemas.microsoft.com/office/drawing/2014/main" id="{ED8C500F-06BA-F2FD-2063-11A9DCED0C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6" name="Line 7">
            <a:extLst>
              <a:ext uri="{FF2B5EF4-FFF2-40B4-BE49-F238E27FC236}">
                <a16:creationId xmlns:a16="http://schemas.microsoft.com/office/drawing/2014/main" id="{8EDB6EFC-42F0-82DA-8490-E97EB4AE89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7" name="Line 8">
            <a:extLst>
              <a:ext uri="{FF2B5EF4-FFF2-40B4-BE49-F238E27FC236}">
                <a16:creationId xmlns:a16="http://schemas.microsoft.com/office/drawing/2014/main" id="{EF2469F9-E9A6-BEF2-C56E-C73078F454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2138" name="hinh2">
          <a:extLst>
            <a:ext uri="{FF2B5EF4-FFF2-40B4-BE49-F238E27FC236}">
              <a16:creationId xmlns:a16="http://schemas.microsoft.com/office/drawing/2014/main" id="{D1478278-D6AB-40C8-814F-DFEF17A1C88A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2139" name="Line 6">
            <a:extLst>
              <a:ext uri="{FF2B5EF4-FFF2-40B4-BE49-F238E27FC236}">
                <a16:creationId xmlns:a16="http://schemas.microsoft.com/office/drawing/2014/main" id="{B28078A3-AED5-AFBE-6A48-FBEA3583D5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0" name="Line 7">
            <a:extLst>
              <a:ext uri="{FF2B5EF4-FFF2-40B4-BE49-F238E27FC236}">
                <a16:creationId xmlns:a16="http://schemas.microsoft.com/office/drawing/2014/main" id="{F344A73A-6A58-DB5E-FD72-51892225D7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1" name="Line 8">
            <a:extLst>
              <a:ext uri="{FF2B5EF4-FFF2-40B4-BE49-F238E27FC236}">
                <a16:creationId xmlns:a16="http://schemas.microsoft.com/office/drawing/2014/main" id="{CD87477A-F132-E752-F9F1-121B2418AC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50</xdr:row>
      <xdr:rowOff>58616</xdr:rowOff>
    </xdr:from>
    <xdr:to>
      <xdr:col>3</xdr:col>
      <xdr:colOff>977635</xdr:colOff>
      <xdr:row>50</xdr:row>
      <xdr:rowOff>249116</xdr:rowOff>
    </xdr:to>
    <xdr:grpSp>
      <xdr:nvGrpSpPr>
        <xdr:cNvPr id="2142" name="hinh2">
          <a:extLst>
            <a:ext uri="{FF2B5EF4-FFF2-40B4-BE49-F238E27FC236}">
              <a16:creationId xmlns:a16="http://schemas.microsoft.com/office/drawing/2014/main" id="{474E3D9E-407D-48E8-86CF-E0177F0A75F5}"/>
            </a:ext>
          </a:extLst>
        </xdr:cNvPr>
        <xdr:cNvGrpSpPr>
          <a:grpSpLocks noChangeAspect="1"/>
        </xdr:cNvGrpSpPr>
      </xdr:nvGrpSpPr>
      <xdr:grpSpPr bwMode="auto">
        <a:xfrm>
          <a:off x="2374970" y="18754830"/>
          <a:ext cx="875058" cy="190500"/>
          <a:chOff x="206" y="86"/>
          <a:chExt cx="73" cy="16"/>
        </a:xfrm>
      </xdr:grpSpPr>
      <xdr:sp macro="" textlink="">
        <xdr:nvSpPr>
          <xdr:cNvPr id="2143" name="Line 6">
            <a:extLst>
              <a:ext uri="{FF2B5EF4-FFF2-40B4-BE49-F238E27FC236}">
                <a16:creationId xmlns:a16="http://schemas.microsoft.com/office/drawing/2014/main" id="{B1192C99-1862-095F-0C08-735CA1CDE9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4" name="Line 7">
            <a:extLst>
              <a:ext uri="{FF2B5EF4-FFF2-40B4-BE49-F238E27FC236}">
                <a16:creationId xmlns:a16="http://schemas.microsoft.com/office/drawing/2014/main" id="{37E443D0-C8CD-D43F-CE68-A2159A9E05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5" name="Line 8">
            <a:extLst>
              <a:ext uri="{FF2B5EF4-FFF2-40B4-BE49-F238E27FC236}">
                <a16:creationId xmlns:a16="http://schemas.microsoft.com/office/drawing/2014/main" id="{04C221DA-3EF5-841D-4D6E-D361BF943E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46" name="hinh2">
          <a:extLst>
            <a:ext uri="{FF2B5EF4-FFF2-40B4-BE49-F238E27FC236}">
              <a16:creationId xmlns:a16="http://schemas.microsoft.com/office/drawing/2014/main" id="{0E142F91-F95C-4390-A349-66C2EFD66963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47" name="Line 6">
            <a:extLst>
              <a:ext uri="{FF2B5EF4-FFF2-40B4-BE49-F238E27FC236}">
                <a16:creationId xmlns:a16="http://schemas.microsoft.com/office/drawing/2014/main" id="{EC17B204-44BE-FB50-60A2-E836ACB8F1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8" name="Line 7">
            <a:extLst>
              <a:ext uri="{FF2B5EF4-FFF2-40B4-BE49-F238E27FC236}">
                <a16:creationId xmlns:a16="http://schemas.microsoft.com/office/drawing/2014/main" id="{691F3DAC-75B6-6D66-39E9-324A14924E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9" name="Line 8">
            <a:extLst>
              <a:ext uri="{FF2B5EF4-FFF2-40B4-BE49-F238E27FC236}">
                <a16:creationId xmlns:a16="http://schemas.microsoft.com/office/drawing/2014/main" id="{6C5FF7BA-9470-1D64-89E8-A1234E9046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50" name="hinh2">
          <a:extLst>
            <a:ext uri="{FF2B5EF4-FFF2-40B4-BE49-F238E27FC236}">
              <a16:creationId xmlns:a16="http://schemas.microsoft.com/office/drawing/2014/main" id="{209D5D3B-37B4-4424-A674-1C8775CB83AC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51" name="Line 6">
            <a:extLst>
              <a:ext uri="{FF2B5EF4-FFF2-40B4-BE49-F238E27FC236}">
                <a16:creationId xmlns:a16="http://schemas.microsoft.com/office/drawing/2014/main" id="{F4A3C0EC-8F8A-2971-A144-EBD7CF5CD9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2" name="Line 7">
            <a:extLst>
              <a:ext uri="{FF2B5EF4-FFF2-40B4-BE49-F238E27FC236}">
                <a16:creationId xmlns:a16="http://schemas.microsoft.com/office/drawing/2014/main" id="{7A89F8DC-40B1-330A-3A30-C359D051B2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3" name="Line 8">
            <a:extLst>
              <a:ext uri="{FF2B5EF4-FFF2-40B4-BE49-F238E27FC236}">
                <a16:creationId xmlns:a16="http://schemas.microsoft.com/office/drawing/2014/main" id="{164F272E-DCD6-6D5C-A26D-6498C76A8E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54" name="hinh2">
          <a:extLst>
            <a:ext uri="{FF2B5EF4-FFF2-40B4-BE49-F238E27FC236}">
              <a16:creationId xmlns:a16="http://schemas.microsoft.com/office/drawing/2014/main" id="{F0B5ECF1-AC86-412F-AC5D-8C93EF447642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55" name="Line 6">
            <a:extLst>
              <a:ext uri="{FF2B5EF4-FFF2-40B4-BE49-F238E27FC236}">
                <a16:creationId xmlns:a16="http://schemas.microsoft.com/office/drawing/2014/main" id="{096F4164-E434-5949-6062-1B9375267B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6" name="Line 7">
            <a:extLst>
              <a:ext uri="{FF2B5EF4-FFF2-40B4-BE49-F238E27FC236}">
                <a16:creationId xmlns:a16="http://schemas.microsoft.com/office/drawing/2014/main" id="{485EFD43-3149-96C9-2A77-FB4358DF9F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7" name="Line 8">
            <a:extLst>
              <a:ext uri="{FF2B5EF4-FFF2-40B4-BE49-F238E27FC236}">
                <a16:creationId xmlns:a16="http://schemas.microsoft.com/office/drawing/2014/main" id="{CE5DE019-D010-D80E-4976-AFDCBA61CD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58" name="hinh2">
          <a:extLst>
            <a:ext uri="{FF2B5EF4-FFF2-40B4-BE49-F238E27FC236}">
              <a16:creationId xmlns:a16="http://schemas.microsoft.com/office/drawing/2014/main" id="{F32D9249-FF2F-4310-9BA7-E51FF2290A39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59" name="Line 6">
            <a:extLst>
              <a:ext uri="{FF2B5EF4-FFF2-40B4-BE49-F238E27FC236}">
                <a16:creationId xmlns:a16="http://schemas.microsoft.com/office/drawing/2014/main" id="{77B0BC14-5FA6-1F94-CE1B-3D6B7688AE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0" name="Line 7">
            <a:extLst>
              <a:ext uri="{FF2B5EF4-FFF2-40B4-BE49-F238E27FC236}">
                <a16:creationId xmlns:a16="http://schemas.microsoft.com/office/drawing/2014/main" id="{FD3D35B1-F6B6-79F7-3D90-A182FA448D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1" name="Line 8">
            <a:extLst>
              <a:ext uri="{FF2B5EF4-FFF2-40B4-BE49-F238E27FC236}">
                <a16:creationId xmlns:a16="http://schemas.microsoft.com/office/drawing/2014/main" id="{CDD97387-E1FB-CEB1-459A-B551CCF0D5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62" name="hinh2">
          <a:extLst>
            <a:ext uri="{FF2B5EF4-FFF2-40B4-BE49-F238E27FC236}">
              <a16:creationId xmlns:a16="http://schemas.microsoft.com/office/drawing/2014/main" id="{1059C5A0-BF15-498F-9B0E-B883B3793AFB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63" name="Line 6">
            <a:extLst>
              <a:ext uri="{FF2B5EF4-FFF2-40B4-BE49-F238E27FC236}">
                <a16:creationId xmlns:a16="http://schemas.microsoft.com/office/drawing/2014/main" id="{03212D51-1FD8-E883-A894-579D009B15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4" name="Line 7">
            <a:extLst>
              <a:ext uri="{FF2B5EF4-FFF2-40B4-BE49-F238E27FC236}">
                <a16:creationId xmlns:a16="http://schemas.microsoft.com/office/drawing/2014/main" id="{8D608E13-1ADB-CA05-3250-CB8A8CCD6E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5" name="Line 8">
            <a:extLst>
              <a:ext uri="{FF2B5EF4-FFF2-40B4-BE49-F238E27FC236}">
                <a16:creationId xmlns:a16="http://schemas.microsoft.com/office/drawing/2014/main" id="{C3D21396-B0A3-5E6A-241D-F2176451BC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66" name="hinh2">
          <a:extLst>
            <a:ext uri="{FF2B5EF4-FFF2-40B4-BE49-F238E27FC236}">
              <a16:creationId xmlns:a16="http://schemas.microsoft.com/office/drawing/2014/main" id="{B499D251-89CE-459C-A7F0-1291B2C75B97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67" name="Line 6">
            <a:extLst>
              <a:ext uri="{FF2B5EF4-FFF2-40B4-BE49-F238E27FC236}">
                <a16:creationId xmlns:a16="http://schemas.microsoft.com/office/drawing/2014/main" id="{BADBF4EF-BCBD-0CA8-FA4B-3B54680CFD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8" name="Line 7">
            <a:extLst>
              <a:ext uri="{FF2B5EF4-FFF2-40B4-BE49-F238E27FC236}">
                <a16:creationId xmlns:a16="http://schemas.microsoft.com/office/drawing/2014/main" id="{BE37DA95-4185-B000-0862-63AC15F292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9" name="Line 8">
            <a:extLst>
              <a:ext uri="{FF2B5EF4-FFF2-40B4-BE49-F238E27FC236}">
                <a16:creationId xmlns:a16="http://schemas.microsoft.com/office/drawing/2014/main" id="{41AC56D7-4ED1-B95B-385D-987BF15F9A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70" name="hinh2">
          <a:extLst>
            <a:ext uri="{FF2B5EF4-FFF2-40B4-BE49-F238E27FC236}">
              <a16:creationId xmlns:a16="http://schemas.microsoft.com/office/drawing/2014/main" id="{1D67C5F3-AC51-4292-9850-6047B5ACC604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71" name="Line 6">
            <a:extLst>
              <a:ext uri="{FF2B5EF4-FFF2-40B4-BE49-F238E27FC236}">
                <a16:creationId xmlns:a16="http://schemas.microsoft.com/office/drawing/2014/main" id="{AFFB3D2A-EF5D-2CC5-1543-364FCCD5E0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2" name="Line 7">
            <a:extLst>
              <a:ext uri="{FF2B5EF4-FFF2-40B4-BE49-F238E27FC236}">
                <a16:creationId xmlns:a16="http://schemas.microsoft.com/office/drawing/2014/main" id="{F3E95591-04D0-1A96-8D5A-3773CD50AF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3" name="Line 8">
            <a:extLst>
              <a:ext uri="{FF2B5EF4-FFF2-40B4-BE49-F238E27FC236}">
                <a16:creationId xmlns:a16="http://schemas.microsoft.com/office/drawing/2014/main" id="{5D6900AA-B6F4-BAD4-6FC2-83C8E423F6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74" name="hinh2">
          <a:extLst>
            <a:ext uri="{FF2B5EF4-FFF2-40B4-BE49-F238E27FC236}">
              <a16:creationId xmlns:a16="http://schemas.microsoft.com/office/drawing/2014/main" id="{BF538184-6036-43D8-9209-0616B19C6B17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75" name="Line 6">
            <a:extLst>
              <a:ext uri="{FF2B5EF4-FFF2-40B4-BE49-F238E27FC236}">
                <a16:creationId xmlns:a16="http://schemas.microsoft.com/office/drawing/2014/main" id="{8D1DB299-EB6C-B4A4-FB41-6355262A31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6" name="Line 7">
            <a:extLst>
              <a:ext uri="{FF2B5EF4-FFF2-40B4-BE49-F238E27FC236}">
                <a16:creationId xmlns:a16="http://schemas.microsoft.com/office/drawing/2014/main" id="{88365083-BCB4-FAC6-35E4-21E0A9ACC1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7" name="Line 8">
            <a:extLst>
              <a:ext uri="{FF2B5EF4-FFF2-40B4-BE49-F238E27FC236}">
                <a16:creationId xmlns:a16="http://schemas.microsoft.com/office/drawing/2014/main" id="{B848753C-FFF2-7F37-E992-5381BF87B7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51</xdr:row>
      <xdr:rowOff>58616</xdr:rowOff>
    </xdr:from>
    <xdr:to>
      <xdr:col>3</xdr:col>
      <xdr:colOff>977635</xdr:colOff>
      <xdr:row>51</xdr:row>
      <xdr:rowOff>249116</xdr:rowOff>
    </xdr:to>
    <xdr:grpSp>
      <xdr:nvGrpSpPr>
        <xdr:cNvPr id="2178" name="hinh2">
          <a:extLst>
            <a:ext uri="{FF2B5EF4-FFF2-40B4-BE49-F238E27FC236}">
              <a16:creationId xmlns:a16="http://schemas.microsoft.com/office/drawing/2014/main" id="{0DD81473-1763-4603-9DBC-70279AF9EFCD}"/>
            </a:ext>
          </a:extLst>
        </xdr:cNvPr>
        <xdr:cNvGrpSpPr>
          <a:grpSpLocks noChangeAspect="1"/>
        </xdr:cNvGrpSpPr>
      </xdr:nvGrpSpPr>
      <xdr:grpSpPr bwMode="auto">
        <a:xfrm>
          <a:off x="2374970" y="19149437"/>
          <a:ext cx="875058" cy="190500"/>
          <a:chOff x="206" y="86"/>
          <a:chExt cx="73" cy="16"/>
        </a:xfrm>
      </xdr:grpSpPr>
      <xdr:sp macro="" textlink="">
        <xdr:nvSpPr>
          <xdr:cNvPr id="2179" name="Line 6">
            <a:extLst>
              <a:ext uri="{FF2B5EF4-FFF2-40B4-BE49-F238E27FC236}">
                <a16:creationId xmlns:a16="http://schemas.microsoft.com/office/drawing/2014/main" id="{386F16C6-F31D-57D9-BFE3-7022A8DE31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0" name="Line 7">
            <a:extLst>
              <a:ext uri="{FF2B5EF4-FFF2-40B4-BE49-F238E27FC236}">
                <a16:creationId xmlns:a16="http://schemas.microsoft.com/office/drawing/2014/main" id="{9F0E106C-1806-6389-BBBB-66D50609B6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1" name="Line 8">
            <a:extLst>
              <a:ext uri="{FF2B5EF4-FFF2-40B4-BE49-F238E27FC236}">
                <a16:creationId xmlns:a16="http://schemas.microsoft.com/office/drawing/2014/main" id="{AD16F2E5-E9EA-4471-C7F7-A908A71026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145</xdr:row>
      <xdr:rowOff>80596</xdr:rowOff>
    </xdr:from>
    <xdr:to>
      <xdr:col>3</xdr:col>
      <xdr:colOff>970308</xdr:colOff>
      <xdr:row>145</xdr:row>
      <xdr:rowOff>244279</xdr:rowOff>
    </xdr:to>
    <xdr:grpSp>
      <xdr:nvGrpSpPr>
        <xdr:cNvPr id="2262" name="hinh2">
          <a:extLst>
            <a:ext uri="{FF2B5EF4-FFF2-40B4-BE49-F238E27FC236}">
              <a16:creationId xmlns:a16="http://schemas.microsoft.com/office/drawing/2014/main" id="{62C0E9FE-6FA1-4895-B72A-B16456E528B7}"/>
            </a:ext>
          </a:extLst>
        </xdr:cNvPr>
        <xdr:cNvGrpSpPr>
          <a:grpSpLocks noChangeAspect="1"/>
        </xdr:cNvGrpSpPr>
      </xdr:nvGrpSpPr>
      <xdr:grpSpPr bwMode="auto">
        <a:xfrm>
          <a:off x="2367643" y="55774632"/>
          <a:ext cx="875058" cy="163683"/>
          <a:chOff x="206" y="86"/>
          <a:chExt cx="73" cy="16"/>
        </a:xfrm>
      </xdr:grpSpPr>
      <xdr:sp macro="" textlink="">
        <xdr:nvSpPr>
          <xdr:cNvPr id="2263" name="Line 6">
            <a:extLst>
              <a:ext uri="{FF2B5EF4-FFF2-40B4-BE49-F238E27FC236}">
                <a16:creationId xmlns:a16="http://schemas.microsoft.com/office/drawing/2014/main" id="{7A787735-A427-60E1-A135-58903CB24D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4" name="Line 7">
            <a:extLst>
              <a:ext uri="{FF2B5EF4-FFF2-40B4-BE49-F238E27FC236}">
                <a16:creationId xmlns:a16="http://schemas.microsoft.com/office/drawing/2014/main" id="{AF786D63-B31B-7E23-7C28-AD4E5D8B21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5" name="Line 8">
            <a:extLst>
              <a:ext uri="{FF2B5EF4-FFF2-40B4-BE49-F238E27FC236}">
                <a16:creationId xmlns:a16="http://schemas.microsoft.com/office/drawing/2014/main" id="{9431988C-7C2D-9E23-4435-CDF5EBB1A8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146</xdr:row>
      <xdr:rowOff>58616</xdr:rowOff>
    </xdr:from>
    <xdr:to>
      <xdr:col>3</xdr:col>
      <xdr:colOff>977635</xdr:colOff>
      <xdr:row>146</xdr:row>
      <xdr:rowOff>249116</xdr:rowOff>
    </xdr:to>
    <xdr:grpSp>
      <xdr:nvGrpSpPr>
        <xdr:cNvPr id="2266" name="hinh2">
          <a:extLst>
            <a:ext uri="{FF2B5EF4-FFF2-40B4-BE49-F238E27FC236}">
              <a16:creationId xmlns:a16="http://schemas.microsoft.com/office/drawing/2014/main" id="{DBE1A55A-F632-44B4-AA2E-75DFA66955C5}"/>
            </a:ext>
          </a:extLst>
        </xdr:cNvPr>
        <xdr:cNvGrpSpPr>
          <a:grpSpLocks noChangeAspect="1"/>
        </xdr:cNvGrpSpPr>
      </xdr:nvGrpSpPr>
      <xdr:grpSpPr bwMode="auto">
        <a:xfrm>
          <a:off x="2374970" y="56147259"/>
          <a:ext cx="875058" cy="190500"/>
          <a:chOff x="206" y="86"/>
          <a:chExt cx="73" cy="16"/>
        </a:xfrm>
      </xdr:grpSpPr>
      <xdr:sp macro="" textlink="">
        <xdr:nvSpPr>
          <xdr:cNvPr id="2267" name="Line 6">
            <a:extLst>
              <a:ext uri="{FF2B5EF4-FFF2-40B4-BE49-F238E27FC236}">
                <a16:creationId xmlns:a16="http://schemas.microsoft.com/office/drawing/2014/main" id="{BB95D594-6EA0-3A2E-5A87-163D3501FD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8" name="Line 7">
            <a:extLst>
              <a:ext uri="{FF2B5EF4-FFF2-40B4-BE49-F238E27FC236}">
                <a16:creationId xmlns:a16="http://schemas.microsoft.com/office/drawing/2014/main" id="{B4B3256B-9784-0E53-1006-74E9ACC74E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9" name="Line 8">
            <a:extLst>
              <a:ext uri="{FF2B5EF4-FFF2-40B4-BE49-F238E27FC236}">
                <a16:creationId xmlns:a16="http://schemas.microsoft.com/office/drawing/2014/main" id="{08DD6C70-E2A0-2796-5604-2C4F228A5D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147</xdr:row>
      <xdr:rowOff>58616</xdr:rowOff>
    </xdr:from>
    <xdr:to>
      <xdr:col>3</xdr:col>
      <xdr:colOff>977635</xdr:colOff>
      <xdr:row>147</xdr:row>
      <xdr:rowOff>249116</xdr:rowOff>
    </xdr:to>
    <xdr:grpSp>
      <xdr:nvGrpSpPr>
        <xdr:cNvPr id="2270" name="hinh2">
          <a:extLst>
            <a:ext uri="{FF2B5EF4-FFF2-40B4-BE49-F238E27FC236}">
              <a16:creationId xmlns:a16="http://schemas.microsoft.com/office/drawing/2014/main" id="{A23B75BE-9BC6-4299-AB02-0D1EB6E22D98}"/>
            </a:ext>
          </a:extLst>
        </xdr:cNvPr>
        <xdr:cNvGrpSpPr>
          <a:grpSpLocks noChangeAspect="1"/>
        </xdr:cNvGrpSpPr>
      </xdr:nvGrpSpPr>
      <xdr:grpSpPr bwMode="auto">
        <a:xfrm>
          <a:off x="2374970" y="56541866"/>
          <a:ext cx="875058" cy="190500"/>
          <a:chOff x="206" y="86"/>
          <a:chExt cx="73" cy="16"/>
        </a:xfrm>
      </xdr:grpSpPr>
      <xdr:sp macro="" textlink="">
        <xdr:nvSpPr>
          <xdr:cNvPr id="2271" name="Line 6">
            <a:extLst>
              <a:ext uri="{FF2B5EF4-FFF2-40B4-BE49-F238E27FC236}">
                <a16:creationId xmlns:a16="http://schemas.microsoft.com/office/drawing/2014/main" id="{78422763-1162-FEE0-E8E0-BE004C36A6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2" name="Line 7">
            <a:extLst>
              <a:ext uri="{FF2B5EF4-FFF2-40B4-BE49-F238E27FC236}">
                <a16:creationId xmlns:a16="http://schemas.microsoft.com/office/drawing/2014/main" id="{B78B2DFF-1801-D8DD-C2AD-414FE43F15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3" name="Line 8">
            <a:extLst>
              <a:ext uri="{FF2B5EF4-FFF2-40B4-BE49-F238E27FC236}">
                <a16:creationId xmlns:a16="http://schemas.microsoft.com/office/drawing/2014/main" id="{EBFD4CE0-0999-6455-CC4B-FB693FB8E9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148</xdr:row>
      <xdr:rowOff>58616</xdr:rowOff>
    </xdr:from>
    <xdr:to>
      <xdr:col>3</xdr:col>
      <xdr:colOff>977635</xdr:colOff>
      <xdr:row>148</xdr:row>
      <xdr:rowOff>249116</xdr:rowOff>
    </xdr:to>
    <xdr:grpSp>
      <xdr:nvGrpSpPr>
        <xdr:cNvPr id="2274" name="hinh2">
          <a:extLst>
            <a:ext uri="{FF2B5EF4-FFF2-40B4-BE49-F238E27FC236}">
              <a16:creationId xmlns:a16="http://schemas.microsoft.com/office/drawing/2014/main" id="{E692CEE9-B0A2-4AE0-A893-490C0D6DAAF7}"/>
            </a:ext>
          </a:extLst>
        </xdr:cNvPr>
        <xdr:cNvGrpSpPr>
          <a:grpSpLocks noChangeAspect="1"/>
        </xdr:cNvGrpSpPr>
      </xdr:nvGrpSpPr>
      <xdr:grpSpPr bwMode="auto">
        <a:xfrm>
          <a:off x="2374970" y="56936473"/>
          <a:ext cx="875058" cy="190500"/>
          <a:chOff x="206" y="86"/>
          <a:chExt cx="73" cy="16"/>
        </a:xfrm>
      </xdr:grpSpPr>
      <xdr:sp macro="" textlink="">
        <xdr:nvSpPr>
          <xdr:cNvPr id="2275" name="Line 6">
            <a:extLst>
              <a:ext uri="{FF2B5EF4-FFF2-40B4-BE49-F238E27FC236}">
                <a16:creationId xmlns:a16="http://schemas.microsoft.com/office/drawing/2014/main" id="{8518FC33-6E5A-B839-AA40-26F72A7C62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" name="Line 7">
            <a:extLst>
              <a:ext uri="{FF2B5EF4-FFF2-40B4-BE49-F238E27FC236}">
                <a16:creationId xmlns:a16="http://schemas.microsoft.com/office/drawing/2014/main" id="{0877AE6E-FCC3-236D-C282-F72EA099B6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7" name="Line 8">
            <a:extLst>
              <a:ext uri="{FF2B5EF4-FFF2-40B4-BE49-F238E27FC236}">
                <a16:creationId xmlns:a16="http://schemas.microsoft.com/office/drawing/2014/main" id="{FA10BC9C-74B6-371E-4882-F1EDC7C0D0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149</xdr:row>
      <xdr:rowOff>58616</xdr:rowOff>
    </xdr:from>
    <xdr:to>
      <xdr:col>3</xdr:col>
      <xdr:colOff>977635</xdr:colOff>
      <xdr:row>149</xdr:row>
      <xdr:rowOff>249116</xdr:rowOff>
    </xdr:to>
    <xdr:grpSp>
      <xdr:nvGrpSpPr>
        <xdr:cNvPr id="2278" name="hinh2">
          <a:extLst>
            <a:ext uri="{FF2B5EF4-FFF2-40B4-BE49-F238E27FC236}">
              <a16:creationId xmlns:a16="http://schemas.microsoft.com/office/drawing/2014/main" id="{F169FD8C-90A5-41D5-A856-9A0E3A46445B}"/>
            </a:ext>
          </a:extLst>
        </xdr:cNvPr>
        <xdr:cNvGrpSpPr>
          <a:grpSpLocks noChangeAspect="1"/>
        </xdr:cNvGrpSpPr>
      </xdr:nvGrpSpPr>
      <xdr:grpSpPr bwMode="auto">
        <a:xfrm>
          <a:off x="2374970" y="57331080"/>
          <a:ext cx="875058" cy="190500"/>
          <a:chOff x="206" y="86"/>
          <a:chExt cx="73" cy="16"/>
        </a:xfrm>
      </xdr:grpSpPr>
      <xdr:sp macro="" textlink="">
        <xdr:nvSpPr>
          <xdr:cNvPr id="2279" name="Line 6">
            <a:extLst>
              <a:ext uri="{FF2B5EF4-FFF2-40B4-BE49-F238E27FC236}">
                <a16:creationId xmlns:a16="http://schemas.microsoft.com/office/drawing/2014/main" id="{912496AB-265D-DB98-2A64-53B1E6CA90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" name="Line 7">
            <a:extLst>
              <a:ext uri="{FF2B5EF4-FFF2-40B4-BE49-F238E27FC236}">
                <a16:creationId xmlns:a16="http://schemas.microsoft.com/office/drawing/2014/main" id="{B4F26AAC-D1B8-2EE2-F088-444CE5FE75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1" name="Line 8">
            <a:extLst>
              <a:ext uri="{FF2B5EF4-FFF2-40B4-BE49-F238E27FC236}">
                <a16:creationId xmlns:a16="http://schemas.microsoft.com/office/drawing/2014/main" id="{DA4D3DAB-BBB6-73C9-6D3A-660F758953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151</xdr:row>
      <xdr:rowOff>58616</xdr:rowOff>
    </xdr:from>
    <xdr:to>
      <xdr:col>3</xdr:col>
      <xdr:colOff>977635</xdr:colOff>
      <xdr:row>151</xdr:row>
      <xdr:rowOff>249116</xdr:rowOff>
    </xdr:to>
    <xdr:grpSp>
      <xdr:nvGrpSpPr>
        <xdr:cNvPr id="2282" name="hinh2">
          <a:extLst>
            <a:ext uri="{FF2B5EF4-FFF2-40B4-BE49-F238E27FC236}">
              <a16:creationId xmlns:a16="http://schemas.microsoft.com/office/drawing/2014/main" id="{E76C95A7-5052-4AC0-92B7-7E036A1F1056}"/>
            </a:ext>
          </a:extLst>
        </xdr:cNvPr>
        <xdr:cNvGrpSpPr>
          <a:grpSpLocks noChangeAspect="1"/>
        </xdr:cNvGrpSpPr>
      </xdr:nvGrpSpPr>
      <xdr:grpSpPr bwMode="auto">
        <a:xfrm>
          <a:off x="2374970" y="58120295"/>
          <a:ext cx="875058" cy="190500"/>
          <a:chOff x="206" y="86"/>
          <a:chExt cx="73" cy="16"/>
        </a:xfrm>
      </xdr:grpSpPr>
      <xdr:sp macro="" textlink="">
        <xdr:nvSpPr>
          <xdr:cNvPr id="2283" name="Line 6">
            <a:extLst>
              <a:ext uri="{FF2B5EF4-FFF2-40B4-BE49-F238E27FC236}">
                <a16:creationId xmlns:a16="http://schemas.microsoft.com/office/drawing/2014/main" id="{7381EABE-8EA5-4966-395B-3D34894FEB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4" name="Line 7">
            <a:extLst>
              <a:ext uri="{FF2B5EF4-FFF2-40B4-BE49-F238E27FC236}">
                <a16:creationId xmlns:a16="http://schemas.microsoft.com/office/drawing/2014/main" id="{94DF1495-F3E3-64AF-008C-1988A1266C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5" name="Line 8">
            <a:extLst>
              <a:ext uri="{FF2B5EF4-FFF2-40B4-BE49-F238E27FC236}">
                <a16:creationId xmlns:a16="http://schemas.microsoft.com/office/drawing/2014/main" id="{BD6046FD-ECC8-2DAA-3BFD-34419F0407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150</xdr:row>
      <xdr:rowOff>58616</xdr:rowOff>
    </xdr:from>
    <xdr:to>
      <xdr:col>3</xdr:col>
      <xdr:colOff>977635</xdr:colOff>
      <xdr:row>150</xdr:row>
      <xdr:rowOff>249116</xdr:rowOff>
    </xdr:to>
    <xdr:grpSp>
      <xdr:nvGrpSpPr>
        <xdr:cNvPr id="2286" name="hinh2">
          <a:extLst>
            <a:ext uri="{FF2B5EF4-FFF2-40B4-BE49-F238E27FC236}">
              <a16:creationId xmlns:a16="http://schemas.microsoft.com/office/drawing/2014/main" id="{618C827C-AB02-4601-817A-D6FA161A0A1D}"/>
            </a:ext>
          </a:extLst>
        </xdr:cNvPr>
        <xdr:cNvGrpSpPr>
          <a:grpSpLocks noChangeAspect="1"/>
        </xdr:cNvGrpSpPr>
      </xdr:nvGrpSpPr>
      <xdr:grpSpPr bwMode="auto">
        <a:xfrm>
          <a:off x="2374970" y="57725687"/>
          <a:ext cx="875058" cy="190500"/>
          <a:chOff x="206" y="86"/>
          <a:chExt cx="73" cy="16"/>
        </a:xfrm>
      </xdr:grpSpPr>
      <xdr:sp macro="" textlink="">
        <xdr:nvSpPr>
          <xdr:cNvPr id="2287" name="Line 6">
            <a:extLst>
              <a:ext uri="{FF2B5EF4-FFF2-40B4-BE49-F238E27FC236}">
                <a16:creationId xmlns:a16="http://schemas.microsoft.com/office/drawing/2014/main" id="{43ADD063-A566-4422-BC48-49C95E00BA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8" name="Line 7">
            <a:extLst>
              <a:ext uri="{FF2B5EF4-FFF2-40B4-BE49-F238E27FC236}">
                <a16:creationId xmlns:a16="http://schemas.microsoft.com/office/drawing/2014/main" id="{DD7432A8-04AA-26B0-CCA5-C25A8155E2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9" name="Line 8">
            <a:extLst>
              <a:ext uri="{FF2B5EF4-FFF2-40B4-BE49-F238E27FC236}">
                <a16:creationId xmlns:a16="http://schemas.microsoft.com/office/drawing/2014/main" id="{077003CB-C881-6FBB-25D9-55BA28ED9D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147</xdr:row>
      <xdr:rowOff>58616</xdr:rowOff>
    </xdr:from>
    <xdr:to>
      <xdr:col>3</xdr:col>
      <xdr:colOff>977635</xdr:colOff>
      <xdr:row>147</xdr:row>
      <xdr:rowOff>249116</xdr:rowOff>
    </xdr:to>
    <xdr:grpSp>
      <xdr:nvGrpSpPr>
        <xdr:cNvPr id="2290" name="hinh2">
          <a:extLst>
            <a:ext uri="{FF2B5EF4-FFF2-40B4-BE49-F238E27FC236}">
              <a16:creationId xmlns:a16="http://schemas.microsoft.com/office/drawing/2014/main" id="{A1314452-A51E-45EE-AE5F-8BCC38131239}"/>
            </a:ext>
          </a:extLst>
        </xdr:cNvPr>
        <xdr:cNvGrpSpPr>
          <a:grpSpLocks noChangeAspect="1"/>
        </xdr:cNvGrpSpPr>
      </xdr:nvGrpSpPr>
      <xdr:grpSpPr bwMode="auto">
        <a:xfrm>
          <a:off x="2374970" y="56541866"/>
          <a:ext cx="875058" cy="190500"/>
          <a:chOff x="206" y="86"/>
          <a:chExt cx="73" cy="16"/>
        </a:xfrm>
      </xdr:grpSpPr>
      <xdr:sp macro="" textlink="">
        <xdr:nvSpPr>
          <xdr:cNvPr id="2291" name="Line 6">
            <a:extLst>
              <a:ext uri="{FF2B5EF4-FFF2-40B4-BE49-F238E27FC236}">
                <a16:creationId xmlns:a16="http://schemas.microsoft.com/office/drawing/2014/main" id="{94251673-623B-5676-4698-BA042E6771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2" name="Line 7">
            <a:extLst>
              <a:ext uri="{FF2B5EF4-FFF2-40B4-BE49-F238E27FC236}">
                <a16:creationId xmlns:a16="http://schemas.microsoft.com/office/drawing/2014/main" id="{05AB407C-F39A-9C78-0CDC-E41D4F7ABA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3" name="Line 8">
            <a:extLst>
              <a:ext uri="{FF2B5EF4-FFF2-40B4-BE49-F238E27FC236}">
                <a16:creationId xmlns:a16="http://schemas.microsoft.com/office/drawing/2014/main" id="{0980F3D8-C68B-3FE1-D9C1-F14983E1DE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148</xdr:row>
      <xdr:rowOff>58616</xdr:rowOff>
    </xdr:from>
    <xdr:to>
      <xdr:col>3</xdr:col>
      <xdr:colOff>977635</xdr:colOff>
      <xdr:row>148</xdr:row>
      <xdr:rowOff>249116</xdr:rowOff>
    </xdr:to>
    <xdr:grpSp>
      <xdr:nvGrpSpPr>
        <xdr:cNvPr id="2294" name="hinh2">
          <a:extLst>
            <a:ext uri="{FF2B5EF4-FFF2-40B4-BE49-F238E27FC236}">
              <a16:creationId xmlns:a16="http://schemas.microsoft.com/office/drawing/2014/main" id="{B1BFC7FD-D2C5-40EA-B95B-8D2B886742D5}"/>
            </a:ext>
          </a:extLst>
        </xdr:cNvPr>
        <xdr:cNvGrpSpPr>
          <a:grpSpLocks noChangeAspect="1"/>
        </xdr:cNvGrpSpPr>
      </xdr:nvGrpSpPr>
      <xdr:grpSpPr bwMode="auto">
        <a:xfrm>
          <a:off x="2374970" y="56936473"/>
          <a:ext cx="875058" cy="190500"/>
          <a:chOff x="206" y="86"/>
          <a:chExt cx="73" cy="16"/>
        </a:xfrm>
      </xdr:grpSpPr>
      <xdr:sp macro="" textlink="">
        <xdr:nvSpPr>
          <xdr:cNvPr id="2295" name="Line 6">
            <a:extLst>
              <a:ext uri="{FF2B5EF4-FFF2-40B4-BE49-F238E27FC236}">
                <a16:creationId xmlns:a16="http://schemas.microsoft.com/office/drawing/2014/main" id="{E2786CAE-819A-25DF-E2AA-8956E35F17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6" name="Line 7">
            <a:extLst>
              <a:ext uri="{FF2B5EF4-FFF2-40B4-BE49-F238E27FC236}">
                <a16:creationId xmlns:a16="http://schemas.microsoft.com/office/drawing/2014/main" id="{F15EECD2-0B0A-8A85-C91A-D72569DCF9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7" name="Line 8">
            <a:extLst>
              <a:ext uri="{FF2B5EF4-FFF2-40B4-BE49-F238E27FC236}">
                <a16:creationId xmlns:a16="http://schemas.microsoft.com/office/drawing/2014/main" id="{B4E7905F-F680-42B2-2A57-F794779133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148</xdr:row>
      <xdr:rowOff>58616</xdr:rowOff>
    </xdr:from>
    <xdr:to>
      <xdr:col>3</xdr:col>
      <xdr:colOff>977635</xdr:colOff>
      <xdr:row>148</xdr:row>
      <xdr:rowOff>249116</xdr:rowOff>
    </xdr:to>
    <xdr:grpSp>
      <xdr:nvGrpSpPr>
        <xdr:cNvPr id="2298" name="hinh2">
          <a:extLst>
            <a:ext uri="{FF2B5EF4-FFF2-40B4-BE49-F238E27FC236}">
              <a16:creationId xmlns:a16="http://schemas.microsoft.com/office/drawing/2014/main" id="{76290FEA-0BF4-4711-8CE9-5921C1E219FF}"/>
            </a:ext>
          </a:extLst>
        </xdr:cNvPr>
        <xdr:cNvGrpSpPr>
          <a:grpSpLocks noChangeAspect="1"/>
        </xdr:cNvGrpSpPr>
      </xdr:nvGrpSpPr>
      <xdr:grpSpPr bwMode="auto">
        <a:xfrm>
          <a:off x="2374970" y="56936473"/>
          <a:ext cx="875058" cy="190500"/>
          <a:chOff x="206" y="86"/>
          <a:chExt cx="73" cy="16"/>
        </a:xfrm>
      </xdr:grpSpPr>
      <xdr:sp macro="" textlink="">
        <xdr:nvSpPr>
          <xdr:cNvPr id="2299" name="Line 6">
            <a:extLst>
              <a:ext uri="{FF2B5EF4-FFF2-40B4-BE49-F238E27FC236}">
                <a16:creationId xmlns:a16="http://schemas.microsoft.com/office/drawing/2014/main" id="{FE22E222-513B-4859-C675-EB4AE84BA5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0" name="Line 7">
            <a:extLst>
              <a:ext uri="{FF2B5EF4-FFF2-40B4-BE49-F238E27FC236}">
                <a16:creationId xmlns:a16="http://schemas.microsoft.com/office/drawing/2014/main" id="{FCFCA1CD-6708-DA47-AC5A-4DE74C9B88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1" name="Line 8">
            <a:extLst>
              <a:ext uri="{FF2B5EF4-FFF2-40B4-BE49-F238E27FC236}">
                <a16:creationId xmlns:a16="http://schemas.microsoft.com/office/drawing/2014/main" id="{BAC30DD2-1E8D-582F-9ABA-7F0E86A64F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204</xdr:row>
      <xdr:rowOff>80596</xdr:rowOff>
    </xdr:from>
    <xdr:to>
      <xdr:col>3</xdr:col>
      <xdr:colOff>970308</xdr:colOff>
      <xdr:row>204</xdr:row>
      <xdr:rowOff>244279</xdr:rowOff>
    </xdr:to>
    <xdr:grpSp>
      <xdr:nvGrpSpPr>
        <xdr:cNvPr id="2302" name="hinh2">
          <a:extLst>
            <a:ext uri="{FF2B5EF4-FFF2-40B4-BE49-F238E27FC236}">
              <a16:creationId xmlns:a16="http://schemas.microsoft.com/office/drawing/2014/main" id="{32AB526C-C824-497C-8E97-AA99BECAD17D}"/>
            </a:ext>
          </a:extLst>
        </xdr:cNvPr>
        <xdr:cNvGrpSpPr>
          <a:grpSpLocks noChangeAspect="1"/>
        </xdr:cNvGrpSpPr>
      </xdr:nvGrpSpPr>
      <xdr:grpSpPr bwMode="auto">
        <a:xfrm>
          <a:off x="2367643" y="78933989"/>
          <a:ext cx="875058" cy="163683"/>
          <a:chOff x="206" y="86"/>
          <a:chExt cx="73" cy="16"/>
        </a:xfrm>
      </xdr:grpSpPr>
      <xdr:sp macro="" textlink="">
        <xdr:nvSpPr>
          <xdr:cNvPr id="2303" name="Line 6">
            <a:extLst>
              <a:ext uri="{FF2B5EF4-FFF2-40B4-BE49-F238E27FC236}">
                <a16:creationId xmlns:a16="http://schemas.microsoft.com/office/drawing/2014/main" id="{331C4259-38C1-0F3B-7D34-FD32707D08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4" name="Line 7">
            <a:extLst>
              <a:ext uri="{FF2B5EF4-FFF2-40B4-BE49-F238E27FC236}">
                <a16:creationId xmlns:a16="http://schemas.microsoft.com/office/drawing/2014/main" id="{6DED3160-BB41-8524-1D92-7138255E58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5" name="Line 8">
            <a:extLst>
              <a:ext uri="{FF2B5EF4-FFF2-40B4-BE49-F238E27FC236}">
                <a16:creationId xmlns:a16="http://schemas.microsoft.com/office/drawing/2014/main" id="{8441AEF9-299D-BDE6-3F1E-1225B4E0B5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205</xdr:row>
      <xdr:rowOff>58616</xdr:rowOff>
    </xdr:from>
    <xdr:to>
      <xdr:col>3</xdr:col>
      <xdr:colOff>977635</xdr:colOff>
      <xdr:row>205</xdr:row>
      <xdr:rowOff>249116</xdr:rowOff>
    </xdr:to>
    <xdr:grpSp>
      <xdr:nvGrpSpPr>
        <xdr:cNvPr id="2306" name="hinh2">
          <a:extLst>
            <a:ext uri="{FF2B5EF4-FFF2-40B4-BE49-F238E27FC236}">
              <a16:creationId xmlns:a16="http://schemas.microsoft.com/office/drawing/2014/main" id="{D9A270DE-2515-4AFE-A062-691959D53B4C}"/>
            </a:ext>
          </a:extLst>
        </xdr:cNvPr>
        <xdr:cNvGrpSpPr>
          <a:grpSpLocks noChangeAspect="1"/>
        </xdr:cNvGrpSpPr>
      </xdr:nvGrpSpPr>
      <xdr:grpSpPr bwMode="auto">
        <a:xfrm>
          <a:off x="2374970" y="79306616"/>
          <a:ext cx="875058" cy="190500"/>
          <a:chOff x="206" y="86"/>
          <a:chExt cx="73" cy="16"/>
        </a:xfrm>
      </xdr:grpSpPr>
      <xdr:sp macro="" textlink="">
        <xdr:nvSpPr>
          <xdr:cNvPr id="2307" name="Line 6">
            <a:extLst>
              <a:ext uri="{FF2B5EF4-FFF2-40B4-BE49-F238E27FC236}">
                <a16:creationId xmlns:a16="http://schemas.microsoft.com/office/drawing/2014/main" id="{3FB21875-53F1-563C-231B-98071A6562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8" name="Line 7">
            <a:extLst>
              <a:ext uri="{FF2B5EF4-FFF2-40B4-BE49-F238E27FC236}">
                <a16:creationId xmlns:a16="http://schemas.microsoft.com/office/drawing/2014/main" id="{4789B485-8F34-021F-428E-B565654588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9" name="Line 8">
            <a:extLst>
              <a:ext uri="{FF2B5EF4-FFF2-40B4-BE49-F238E27FC236}">
                <a16:creationId xmlns:a16="http://schemas.microsoft.com/office/drawing/2014/main" id="{7F0D715E-6B4F-D5F6-2C38-F8C8995975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159</xdr:row>
      <xdr:rowOff>80596</xdr:rowOff>
    </xdr:from>
    <xdr:to>
      <xdr:col>3</xdr:col>
      <xdr:colOff>970308</xdr:colOff>
      <xdr:row>159</xdr:row>
      <xdr:rowOff>244279</xdr:rowOff>
    </xdr:to>
    <xdr:grpSp>
      <xdr:nvGrpSpPr>
        <xdr:cNvPr id="2342" name="hinh2">
          <a:extLst>
            <a:ext uri="{FF2B5EF4-FFF2-40B4-BE49-F238E27FC236}">
              <a16:creationId xmlns:a16="http://schemas.microsoft.com/office/drawing/2014/main" id="{D036DE95-1644-46EC-972C-E32EC1BD3550}"/>
            </a:ext>
          </a:extLst>
        </xdr:cNvPr>
        <xdr:cNvGrpSpPr>
          <a:grpSpLocks noChangeAspect="1"/>
        </xdr:cNvGrpSpPr>
      </xdr:nvGrpSpPr>
      <xdr:grpSpPr bwMode="auto">
        <a:xfrm>
          <a:off x="2367643" y="61299132"/>
          <a:ext cx="875058" cy="163683"/>
          <a:chOff x="206" y="86"/>
          <a:chExt cx="73" cy="16"/>
        </a:xfrm>
      </xdr:grpSpPr>
      <xdr:sp macro="" textlink="">
        <xdr:nvSpPr>
          <xdr:cNvPr id="2343" name="Line 6">
            <a:extLst>
              <a:ext uri="{FF2B5EF4-FFF2-40B4-BE49-F238E27FC236}">
                <a16:creationId xmlns:a16="http://schemas.microsoft.com/office/drawing/2014/main" id="{B10DA0C9-F03D-CE86-D4CD-1C840BB603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4" name="Line 7">
            <a:extLst>
              <a:ext uri="{FF2B5EF4-FFF2-40B4-BE49-F238E27FC236}">
                <a16:creationId xmlns:a16="http://schemas.microsoft.com/office/drawing/2014/main" id="{CFB69F0C-1F82-6021-685B-97C894F9EF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5" name="Line 8">
            <a:extLst>
              <a:ext uri="{FF2B5EF4-FFF2-40B4-BE49-F238E27FC236}">
                <a16:creationId xmlns:a16="http://schemas.microsoft.com/office/drawing/2014/main" id="{9AF5256D-22A1-FF7F-F473-DF324A7101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160</xdr:row>
      <xdr:rowOff>58616</xdr:rowOff>
    </xdr:from>
    <xdr:to>
      <xdr:col>3</xdr:col>
      <xdr:colOff>977635</xdr:colOff>
      <xdr:row>160</xdr:row>
      <xdr:rowOff>249116</xdr:rowOff>
    </xdr:to>
    <xdr:grpSp>
      <xdr:nvGrpSpPr>
        <xdr:cNvPr id="2346" name="hinh2">
          <a:extLst>
            <a:ext uri="{FF2B5EF4-FFF2-40B4-BE49-F238E27FC236}">
              <a16:creationId xmlns:a16="http://schemas.microsoft.com/office/drawing/2014/main" id="{6F2A10D1-8A40-4BDB-9B5A-304CB5E0CF2A}"/>
            </a:ext>
          </a:extLst>
        </xdr:cNvPr>
        <xdr:cNvGrpSpPr>
          <a:grpSpLocks noChangeAspect="1"/>
        </xdr:cNvGrpSpPr>
      </xdr:nvGrpSpPr>
      <xdr:grpSpPr bwMode="auto">
        <a:xfrm>
          <a:off x="2374970" y="61671759"/>
          <a:ext cx="875058" cy="190500"/>
          <a:chOff x="206" y="86"/>
          <a:chExt cx="73" cy="16"/>
        </a:xfrm>
      </xdr:grpSpPr>
      <xdr:sp macro="" textlink="">
        <xdr:nvSpPr>
          <xdr:cNvPr id="2347" name="Line 6">
            <a:extLst>
              <a:ext uri="{FF2B5EF4-FFF2-40B4-BE49-F238E27FC236}">
                <a16:creationId xmlns:a16="http://schemas.microsoft.com/office/drawing/2014/main" id="{9B01FF23-67B9-CA26-F17F-7CEFC59FCB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8" name="Line 7">
            <a:extLst>
              <a:ext uri="{FF2B5EF4-FFF2-40B4-BE49-F238E27FC236}">
                <a16:creationId xmlns:a16="http://schemas.microsoft.com/office/drawing/2014/main" id="{D4B1E03F-5A01-01F0-D621-E3EE64889A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9" name="Line 8">
            <a:extLst>
              <a:ext uri="{FF2B5EF4-FFF2-40B4-BE49-F238E27FC236}">
                <a16:creationId xmlns:a16="http://schemas.microsoft.com/office/drawing/2014/main" id="{5A2F105D-D2E9-EC9D-87DD-3219A56081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161</xdr:row>
      <xdr:rowOff>58616</xdr:rowOff>
    </xdr:from>
    <xdr:to>
      <xdr:col>3</xdr:col>
      <xdr:colOff>977635</xdr:colOff>
      <xdr:row>161</xdr:row>
      <xdr:rowOff>249116</xdr:rowOff>
    </xdr:to>
    <xdr:grpSp>
      <xdr:nvGrpSpPr>
        <xdr:cNvPr id="2350" name="hinh2">
          <a:extLst>
            <a:ext uri="{FF2B5EF4-FFF2-40B4-BE49-F238E27FC236}">
              <a16:creationId xmlns:a16="http://schemas.microsoft.com/office/drawing/2014/main" id="{A731A105-973A-4227-BB60-1791A879B0F5}"/>
            </a:ext>
          </a:extLst>
        </xdr:cNvPr>
        <xdr:cNvGrpSpPr>
          <a:grpSpLocks noChangeAspect="1"/>
        </xdr:cNvGrpSpPr>
      </xdr:nvGrpSpPr>
      <xdr:grpSpPr bwMode="auto">
        <a:xfrm>
          <a:off x="2374970" y="62066366"/>
          <a:ext cx="875058" cy="190500"/>
          <a:chOff x="206" y="86"/>
          <a:chExt cx="73" cy="16"/>
        </a:xfrm>
      </xdr:grpSpPr>
      <xdr:sp macro="" textlink="">
        <xdr:nvSpPr>
          <xdr:cNvPr id="2351" name="Line 6">
            <a:extLst>
              <a:ext uri="{FF2B5EF4-FFF2-40B4-BE49-F238E27FC236}">
                <a16:creationId xmlns:a16="http://schemas.microsoft.com/office/drawing/2014/main" id="{46400610-DDE2-C3C2-B6A9-CA1F4E87EF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2" name="Line 7">
            <a:extLst>
              <a:ext uri="{FF2B5EF4-FFF2-40B4-BE49-F238E27FC236}">
                <a16:creationId xmlns:a16="http://schemas.microsoft.com/office/drawing/2014/main" id="{DFFF84F6-D90C-7EFE-1C6A-F75557CA79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3" name="Line 8">
            <a:extLst>
              <a:ext uri="{FF2B5EF4-FFF2-40B4-BE49-F238E27FC236}">
                <a16:creationId xmlns:a16="http://schemas.microsoft.com/office/drawing/2014/main" id="{BC398A43-7814-0752-0D3C-E47B5C40D2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162</xdr:row>
      <xdr:rowOff>58616</xdr:rowOff>
    </xdr:from>
    <xdr:to>
      <xdr:col>3</xdr:col>
      <xdr:colOff>977635</xdr:colOff>
      <xdr:row>162</xdr:row>
      <xdr:rowOff>249116</xdr:rowOff>
    </xdr:to>
    <xdr:grpSp>
      <xdr:nvGrpSpPr>
        <xdr:cNvPr id="2354" name="hinh2">
          <a:extLst>
            <a:ext uri="{FF2B5EF4-FFF2-40B4-BE49-F238E27FC236}">
              <a16:creationId xmlns:a16="http://schemas.microsoft.com/office/drawing/2014/main" id="{282827AD-C78C-45DD-B63F-441A151FCAFE}"/>
            </a:ext>
          </a:extLst>
        </xdr:cNvPr>
        <xdr:cNvGrpSpPr>
          <a:grpSpLocks noChangeAspect="1"/>
        </xdr:cNvGrpSpPr>
      </xdr:nvGrpSpPr>
      <xdr:grpSpPr bwMode="auto">
        <a:xfrm>
          <a:off x="2374970" y="62460973"/>
          <a:ext cx="875058" cy="190500"/>
          <a:chOff x="206" y="86"/>
          <a:chExt cx="73" cy="16"/>
        </a:xfrm>
      </xdr:grpSpPr>
      <xdr:sp macro="" textlink="">
        <xdr:nvSpPr>
          <xdr:cNvPr id="2355" name="Line 6">
            <a:extLst>
              <a:ext uri="{FF2B5EF4-FFF2-40B4-BE49-F238E27FC236}">
                <a16:creationId xmlns:a16="http://schemas.microsoft.com/office/drawing/2014/main" id="{1B438842-1911-C462-E1C1-3C6BB71CB8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6" name="Line 7">
            <a:extLst>
              <a:ext uri="{FF2B5EF4-FFF2-40B4-BE49-F238E27FC236}">
                <a16:creationId xmlns:a16="http://schemas.microsoft.com/office/drawing/2014/main" id="{DDBD0F77-F9EC-0050-9A8E-34E17DA415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7" name="Line 8">
            <a:extLst>
              <a:ext uri="{FF2B5EF4-FFF2-40B4-BE49-F238E27FC236}">
                <a16:creationId xmlns:a16="http://schemas.microsoft.com/office/drawing/2014/main" id="{5207E011-0B99-C931-55C9-A6A8E6C292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163</xdr:row>
      <xdr:rowOff>58616</xdr:rowOff>
    </xdr:from>
    <xdr:to>
      <xdr:col>3</xdr:col>
      <xdr:colOff>977635</xdr:colOff>
      <xdr:row>163</xdr:row>
      <xdr:rowOff>249116</xdr:rowOff>
    </xdr:to>
    <xdr:grpSp>
      <xdr:nvGrpSpPr>
        <xdr:cNvPr id="2358" name="hinh2">
          <a:extLst>
            <a:ext uri="{FF2B5EF4-FFF2-40B4-BE49-F238E27FC236}">
              <a16:creationId xmlns:a16="http://schemas.microsoft.com/office/drawing/2014/main" id="{4401CB39-82EB-4715-BE27-75458DCA1F04}"/>
            </a:ext>
          </a:extLst>
        </xdr:cNvPr>
        <xdr:cNvGrpSpPr>
          <a:grpSpLocks noChangeAspect="1"/>
        </xdr:cNvGrpSpPr>
      </xdr:nvGrpSpPr>
      <xdr:grpSpPr bwMode="auto">
        <a:xfrm>
          <a:off x="2374970" y="62855580"/>
          <a:ext cx="875058" cy="190500"/>
          <a:chOff x="206" y="86"/>
          <a:chExt cx="73" cy="16"/>
        </a:xfrm>
      </xdr:grpSpPr>
      <xdr:sp macro="" textlink="">
        <xdr:nvSpPr>
          <xdr:cNvPr id="2359" name="Line 6">
            <a:extLst>
              <a:ext uri="{FF2B5EF4-FFF2-40B4-BE49-F238E27FC236}">
                <a16:creationId xmlns:a16="http://schemas.microsoft.com/office/drawing/2014/main" id="{1182A0CE-DB7C-AEB2-8E40-1EA7AAD343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0" name="Line 7">
            <a:extLst>
              <a:ext uri="{FF2B5EF4-FFF2-40B4-BE49-F238E27FC236}">
                <a16:creationId xmlns:a16="http://schemas.microsoft.com/office/drawing/2014/main" id="{34CC587F-15F7-CB9A-B4A4-EFB2EBE22A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1" name="Line 8">
            <a:extLst>
              <a:ext uri="{FF2B5EF4-FFF2-40B4-BE49-F238E27FC236}">
                <a16:creationId xmlns:a16="http://schemas.microsoft.com/office/drawing/2014/main" id="{1E40D6E2-0785-F94F-D53B-1F8F882EED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166</xdr:row>
      <xdr:rowOff>58616</xdr:rowOff>
    </xdr:from>
    <xdr:to>
      <xdr:col>3</xdr:col>
      <xdr:colOff>977635</xdr:colOff>
      <xdr:row>166</xdr:row>
      <xdr:rowOff>249116</xdr:rowOff>
    </xdr:to>
    <xdr:grpSp>
      <xdr:nvGrpSpPr>
        <xdr:cNvPr id="2362" name="hinh2">
          <a:extLst>
            <a:ext uri="{FF2B5EF4-FFF2-40B4-BE49-F238E27FC236}">
              <a16:creationId xmlns:a16="http://schemas.microsoft.com/office/drawing/2014/main" id="{478698D0-868F-4AE6-B513-D17A8BBB12E6}"/>
            </a:ext>
          </a:extLst>
        </xdr:cNvPr>
        <xdr:cNvGrpSpPr>
          <a:grpSpLocks noChangeAspect="1"/>
        </xdr:cNvGrpSpPr>
      </xdr:nvGrpSpPr>
      <xdr:grpSpPr bwMode="auto">
        <a:xfrm>
          <a:off x="2374970" y="64039402"/>
          <a:ext cx="875058" cy="190500"/>
          <a:chOff x="206" y="86"/>
          <a:chExt cx="73" cy="16"/>
        </a:xfrm>
      </xdr:grpSpPr>
      <xdr:sp macro="" textlink="">
        <xdr:nvSpPr>
          <xdr:cNvPr id="2363" name="Line 6">
            <a:extLst>
              <a:ext uri="{FF2B5EF4-FFF2-40B4-BE49-F238E27FC236}">
                <a16:creationId xmlns:a16="http://schemas.microsoft.com/office/drawing/2014/main" id="{0907DAAB-6BEE-A8C3-1DE9-39859C2D4F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4" name="Line 7">
            <a:extLst>
              <a:ext uri="{FF2B5EF4-FFF2-40B4-BE49-F238E27FC236}">
                <a16:creationId xmlns:a16="http://schemas.microsoft.com/office/drawing/2014/main" id="{7ED6BB6C-8D8D-F8A9-279D-47D09B0EF1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5" name="Line 8">
            <a:extLst>
              <a:ext uri="{FF2B5EF4-FFF2-40B4-BE49-F238E27FC236}">
                <a16:creationId xmlns:a16="http://schemas.microsoft.com/office/drawing/2014/main" id="{D70EDB51-0C53-59BF-B05A-EE004E6428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165</xdr:row>
      <xdr:rowOff>58616</xdr:rowOff>
    </xdr:from>
    <xdr:to>
      <xdr:col>3</xdr:col>
      <xdr:colOff>977635</xdr:colOff>
      <xdr:row>165</xdr:row>
      <xdr:rowOff>249116</xdr:rowOff>
    </xdr:to>
    <xdr:grpSp>
      <xdr:nvGrpSpPr>
        <xdr:cNvPr id="2366" name="hinh2">
          <a:extLst>
            <a:ext uri="{FF2B5EF4-FFF2-40B4-BE49-F238E27FC236}">
              <a16:creationId xmlns:a16="http://schemas.microsoft.com/office/drawing/2014/main" id="{0F7F7E03-3E4A-428A-9939-F2A64F62B075}"/>
            </a:ext>
          </a:extLst>
        </xdr:cNvPr>
        <xdr:cNvGrpSpPr>
          <a:grpSpLocks noChangeAspect="1"/>
        </xdr:cNvGrpSpPr>
      </xdr:nvGrpSpPr>
      <xdr:grpSpPr bwMode="auto">
        <a:xfrm>
          <a:off x="2374970" y="63644795"/>
          <a:ext cx="875058" cy="190500"/>
          <a:chOff x="206" y="86"/>
          <a:chExt cx="73" cy="16"/>
        </a:xfrm>
      </xdr:grpSpPr>
      <xdr:sp macro="" textlink="">
        <xdr:nvSpPr>
          <xdr:cNvPr id="2367" name="Line 6">
            <a:extLst>
              <a:ext uri="{FF2B5EF4-FFF2-40B4-BE49-F238E27FC236}">
                <a16:creationId xmlns:a16="http://schemas.microsoft.com/office/drawing/2014/main" id="{18C91384-D73E-3097-DDC8-4DBABC7754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8" name="Line 7">
            <a:extLst>
              <a:ext uri="{FF2B5EF4-FFF2-40B4-BE49-F238E27FC236}">
                <a16:creationId xmlns:a16="http://schemas.microsoft.com/office/drawing/2014/main" id="{3BCA57F6-0242-97CE-1321-11FABD9832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9" name="Line 8">
            <a:extLst>
              <a:ext uri="{FF2B5EF4-FFF2-40B4-BE49-F238E27FC236}">
                <a16:creationId xmlns:a16="http://schemas.microsoft.com/office/drawing/2014/main" id="{F259EA10-B316-699A-42B5-B80E9D1B73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161</xdr:row>
      <xdr:rowOff>58616</xdr:rowOff>
    </xdr:from>
    <xdr:to>
      <xdr:col>3</xdr:col>
      <xdr:colOff>977635</xdr:colOff>
      <xdr:row>161</xdr:row>
      <xdr:rowOff>249116</xdr:rowOff>
    </xdr:to>
    <xdr:grpSp>
      <xdr:nvGrpSpPr>
        <xdr:cNvPr id="2370" name="hinh2">
          <a:extLst>
            <a:ext uri="{FF2B5EF4-FFF2-40B4-BE49-F238E27FC236}">
              <a16:creationId xmlns:a16="http://schemas.microsoft.com/office/drawing/2014/main" id="{2036B0AD-9BC4-4DFC-BFD4-2177327DE2B9}"/>
            </a:ext>
          </a:extLst>
        </xdr:cNvPr>
        <xdr:cNvGrpSpPr>
          <a:grpSpLocks noChangeAspect="1"/>
        </xdr:cNvGrpSpPr>
      </xdr:nvGrpSpPr>
      <xdr:grpSpPr bwMode="auto">
        <a:xfrm>
          <a:off x="2374970" y="62066366"/>
          <a:ext cx="875058" cy="190500"/>
          <a:chOff x="206" y="86"/>
          <a:chExt cx="73" cy="16"/>
        </a:xfrm>
      </xdr:grpSpPr>
      <xdr:sp macro="" textlink="">
        <xdr:nvSpPr>
          <xdr:cNvPr id="2371" name="Line 6">
            <a:extLst>
              <a:ext uri="{FF2B5EF4-FFF2-40B4-BE49-F238E27FC236}">
                <a16:creationId xmlns:a16="http://schemas.microsoft.com/office/drawing/2014/main" id="{DFDE9618-3D4E-D165-0B80-3102BA5948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2" name="Line 7">
            <a:extLst>
              <a:ext uri="{FF2B5EF4-FFF2-40B4-BE49-F238E27FC236}">
                <a16:creationId xmlns:a16="http://schemas.microsoft.com/office/drawing/2014/main" id="{E837A1F7-07A6-C3C0-6EE1-A408C4C069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3" name="Line 8">
            <a:extLst>
              <a:ext uri="{FF2B5EF4-FFF2-40B4-BE49-F238E27FC236}">
                <a16:creationId xmlns:a16="http://schemas.microsoft.com/office/drawing/2014/main" id="{3E5A9625-1725-F68B-3E5F-1A9D6F09D4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162</xdr:row>
      <xdr:rowOff>58616</xdr:rowOff>
    </xdr:from>
    <xdr:to>
      <xdr:col>3</xdr:col>
      <xdr:colOff>977635</xdr:colOff>
      <xdr:row>162</xdr:row>
      <xdr:rowOff>249116</xdr:rowOff>
    </xdr:to>
    <xdr:grpSp>
      <xdr:nvGrpSpPr>
        <xdr:cNvPr id="2374" name="hinh2">
          <a:extLst>
            <a:ext uri="{FF2B5EF4-FFF2-40B4-BE49-F238E27FC236}">
              <a16:creationId xmlns:a16="http://schemas.microsoft.com/office/drawing/2014/main" id="{3F3C84D3-FEF9-4832-A15D-2F06B0B517C6}"/>
            </a:ext>
          </a:extLst>
        </xdr:cNvPr>
        <xdr:cNvGrpSpPr>
          <a:grpSpLocks noChangeAspect="1"/>
        </xdr:cNvGrpSpPr>
      </xdr:nvGrpSpPr>
      <xdr:grpSpPr bwMode="auto">
        <a:xfrm>
          <a:off x="2374970" y="62460973"/>
          <a:ext cx="875058" cy="190500"/>
          <a:chOff x="206" y="86"/>
          <a:chExt cx="73" cy="16"/>
        </a:xfrm>
      </xdr:grpSpPr>
      <xdr:sp macro="" textlink="">
        <xdr:nvSpPr>
          <xdr:cNvPr id="2375" name="Line 6">
            <a:extLst>
              <a:ext uri="{FF2B5EF4-FFF2-40B4-BE49-F238E27FC236}">
                <a16:creationId xmlns:a16="http://schemas.microsoft.com/office/drawing/2014/main" id="{26CC92F6-7DC8-47B4-9A04-16B78F743A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6" name="Line 7">
            <a:extLst>
              <a:ext uri="{FF2B5EF4-FFF2-40B4-BE49-F238E27FC236}">
                <a16:creationId xmlns:a16="http://schemas.microsoft.com/office/drawing/2014/main" id="{79329163-2FC8-D458-AB1E-6AB8BCFBCA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7" name="Line 8">
            <a:extLst>
              <a:ext uri="{FF2B5EF4-FFF2-40B4-BE49-F238E27FC236}">
                <a16:creationId xmlns:a16="http://schemas.microsoft.com/office/drawing/2014/main" id="{51E502C6-F7C9-8941-6060-9C51D04698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162</xdr:row>
      <xdr:rowOff>58616</xdr:rowOff>
    </xdr:from>
    <xdr:to>
      <xdr:col>3</xdr:col>
      <xdr:colOff>977635</xdr:colOff>
      <xdr:row>162</xdr:row>
      <xdr:rowOff>249116</xdr:rowOff>
    </xdr:to>
    <xdr:grpSp>
      <xdr:nvGrpSpPr>
        <xdr:cNvPr id="2378" name="hinh2">
          <a:extLst>
            <a:ext uri="{FF2B5EF4-FFF2-40B4-BE49-F238E27FC236}">
              <a16:creationId xmlns:a16="http://schemas.microsoft.com/office/drawing/2014/main" id="{8E0366F5-75CF-4859-9DCE-E845D1C42885}"/>
            </a:ext>
          </a:extLst>
        </xdr:cNvPr>
        <xdr:cNvGrpSpPr>
          <a:grpSpLocks noChangeAspect="1"/>
        </xdr:cNvGrpSpPr>
      </xdr:nvGrpSpPr>
      <xdr:grpSpPr bwMode="auto">
        <a:xfrm>
          <a:off x="2374970" y="62460973"/>
          <a:ext cx="875058" cy="190500"/>
          <a:chOff x="206" y="86"/>
          <a:chExt cx="73" cy="16"/>
        </a:xfrm>
      </xdr:grpSpPr>
      <xdr:sp macro="" textlink="">
        <xdr:nvSpPr>
          <xdr:cNvPr id="2379" name="Line 6">
            <a:extLst>
              <a:ext uri="{FF2B5EF4-FFF2-40B4-BE49-F238E27FC236}">
                <a16:creationId xmlns:a16="http://schemas.microsoft.com/office/drawing/2014/main" id="{9A581B0B-C973-A5B5-2B12-E2EAFDDBC2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0" name="Line 7">
            <a:extLst>
              <a:ext uri="{FF2B5EF4-FFF2-40B4-BE49-F238E27FC236}">
                <a16:creationId xmlns:a16="http://schemas.microsoft.com/office/drawing/2014/main" id="{02CD29E4-9A5C-DDB6-57AA-162038E449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1" name="Line 8">
            <a:extLst>
              <a:ext uri="{FF2B5EF4-FFF2-40B4-BE49-F238E27FC236}">
                <a16:creationId xmlns:a16="http://schemas.microsoft.com/office/drawing/2014/main" id="{5017813E-C49B-7DBF-DA1B-C244733EEB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164</xdr:row>
      <xdr:rowOff>58616</xdr:rowOff>
    </xdr:from>
    <xdr:to>
      <xdr:col>3</xdr:col>
      <xdr:colOff>977635</xdr:colOff>
      <xdr:row>164</xdr:row>
      <xdr:rowOff>249116</xdr:rowOff>
    </xdr:to>
    <xdr:grpSp>
      <xdr:nvGrpSpPr>
        <xdr:cNvPr id="2382" name="hinh2">
          <a:extLst>
            <a:ext uri="{FF2B5EF4-FFF2-40B4-BE49-F238E27FC236}">
              <a16:creationId xmlns:a16="http://schemas.microsoft.com/office/drawing/2014/main" id="{FAF7496A-947B-4600-B0E2-3AB5B8BF55B9}"/>
            </a:ext>
          </a:extLst>
        </xdr:cNvPr>
        <xdr:cNvGrpSpPr>
          <a:grpSpLocks noChangeAspect="1"/>
        </xdr:cNvGrpSpPr>
      </xdr:nvGrpSpPr>
      <xdr:grpSpPr bwMode="auto">
        <a:xfrm>
          <a:off x="2374970" y="63250187"/>
          <a:ext cx="875058" cy="190500"/>
          <a:chOff x="206" y="86"/>
          <a:chExt cx="73" cy="16"/>
        </a:xfrm>
      </xdr:grpSpPr>
      <xdr:sp macro="" textlink="">
        <xdr:nvSpPr>
          <xdr:cNvPr id="2383" name="Line 6">
            <a:extLst>
              <a:ext uri="{FF2B5EF4-FFF2-40B4-BE49-F238E27FC236}">
                <a16:creationId xmlns:a16="http://schemas.microsoft.com/office/drawing/2014/main" id="{9405063C-84AC-3837-99AB-07FC15CCAB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4" name="Line 7">
            <a:extLst>
              <a:ext uri="{FF2B5EF4-FFF2-40B4-BE49-F238E27FC236}">
                <a16:creationId xmlns:a16="http://schemas.microsoft.com/office/drawing/2014/main" id="{3DFACB56-C65B-8622-B359-BD4D10523F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" name="Line 8">
            <a:extLst>
              <a:ext uri="{FF2B5EF4-FFF2-40B4-BE49-F238E27FC236}">
                <a16:creationId xmlns:a16="http://schemas.microsoft.com/office/drawing/2014/main" id="{80D56DF4-F7BE-66AC-115E-E55CE51633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208</xdr:row>
      <xdr:rowOff>80596</xdr:rowOff>
    </xdr:from>
    <xdr:to>
      <xdr:col>3</xdr:col>
      <xdr:colOff>970308</xdr:colOff>
      <xdr:row>208</xdr:row>
      <xdr:rowOff>244279</xdr:rowOff>
    </xdr:to>
    <xdr:grpSp>
      <xdr:nvGrpSpPr>
        <xdr:cNvPr id="2386" name="hinh2">
          <a:extLst>
            <a:ext uri="{FF2B5EF4-FFF2-40B4-BE49-F238E27FC236}">
              <a16:creationId xmlns:a16="http://schemas.microsoft.com/office/drawing/2014/main" id="{6D30A75E-A6A2-4858-83C2-FBDDC1704946}"/>
            </a:ext>
          </a:extLst>
        </xdr:cNvPr>
        <xdr:cNvGrpSpPr>
          <a:grpSpLocks noChangeAspect="1"/>
        </xdr:cNvGrpSpPr>
      </xdr:nvGrpSpPr>
      <xdr:grpSpPr bwMode="auto">
        <a:xfrm>
          <a:off x="2367643" y="80512417"/>
          <a:ext cx="875058" cy="163683"/>
          <a:chOff x="206" y="86"/>
          <a:chExt cx="73" cy="16"/>
        </a:xfrm>
      </xdr:grpSpPr>
      <xdr:sp macro="" textlink="">
        <xdr:nvSpPr>
          <xdr:cNvPr id="2387" name="Line 6">
            <a:extLst>
              <a:ext uri="{FF2B5EF4-FFF2-40B4-BE49-F238E27FC236}">
                <a16:creationId xmlns:a16="http://schemas.microsoft.com/office/drawing/2014/main" id="{2C13FDC8-3D40-79E4-5907-D8A763B828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" name="Line 7">
            <a:extLst>
              <a:ext uri="{FF2B5EF4-FFF2-40B4-BE49-F238E27FC236}">
                <a16:creationId xmlns:a16="http://schemas.microsoft.com/office/drawing/2014/main" id="{6F611C68-9448-DAB8-45A9-C9066112BD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9" name="Line 8">
            <a:extLst>
              <a:ext uri="{FF2B5EF4-FFF2-40B4-BE49-F238E27FC236}">
                <a16:creationId xmlns:a16="http://schemas.microsoft.com/office/drawing/2014/main" id="{99E0BEA3-C5AB-6A5A-886A-6E88C64456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209</xdr:row>
      <xdr:rowOff>58616</xdr:rowOff>
    </xdr:from>
    <xdr:to>
      <xdr:col>3</xdr:col>
      <xdr:colOff>977635</xdr:colOff>
      <xdr:row>209</xdr:row>
      <xdr:rowOff>249116</xdr:rowOff>
    </xdr:to>
    <xdr:grpSp>
      <xdr:nvGrpSpPr>
        <xdr:cNvPr id="2390" name="hinh2">
          <a:extLst>
            <a:ext uri="{FF2B5EF4-FFF2-40B4-BE49-F238E27FC236}">
              <a16:creationId xmlns:a16="http://schemas.microsoft.com/office/drawing/2014/main" id="{16D172CB-FF58-46EB-8F50-CDF9DE8AB6CE}"/>
            </a:ext>
          </a:extLst>
        </xdr:cNvPr>
        <xdr:cNvGrpSpPr>
          <a:grpSpLocks noChangeAspect="1"/>
        </xdr:cNvGrpSpPr>
      </xdr:nvGrpSpPr>
      <xdr:grpSpPr bwMode="auto">
        <a:xfrm>
          <a:off x="2374970" y="80885045"/>
          <a:ext cx="875058" cy="190500"/>
          <a:chOff x="206" y="86"/>
          <a:chExt cx="73" cy="16"/>
        </a:xfrm>
      </xdr:grpSpPr>
      <xdr:sp macro="" textlink="">
        <xdr:nvSpPr>
          <xdr:cNvPr id="2391" name="Line 6">
            <a:extLst>
              <a:ext uri="{FF2B5EF4-FFF2-40B4-BE49-F238E27FC236}">
                <a16:creationId xmlns:a16="http://schemas.microsoft.com/office/drawing/2014/main" id="{C25820BE-76BF-ED51-4457-54D67C5B03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" name="Line 7">
            <a:extLst>
              <a:ext uri="{FF2B5EF4-FFF2-40B4-BE49-F238E27FC236}">
                <a16:creationId xmlns:a16="http://schemas.microsoft.com/office/drawing/2014/main" id="{3164C4B9-EF48-870F-C527-3DB377265C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" name="Line 8">
            <a:extLst>
              <a:ext uri="{FF2B5EF4-FFF2-40B4-BE49-F238E27FC236}">
                <a16:creationId xmlns:a16="http://schemas.microsoft.com/office/drawing/2014/main" id="{8654CBCA-9720-7F54-31F4-FC83ACB356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167</xdr:row>
      <xdr:rowOff>80596</xdr:rowOff>
    </xdr:from>
    <xdr:to>
      <xdr:col>3</xdr:col>
      <xdr:colOff>970308</xdr:colOff>
      <xdr:row>167</xdr:row>
      <xdr:rowOff>244279</xdr:rowOff>
    </xdr:to>
    <xdr:grpSp>
      <xdr:nvGrpSpPr>
        <xdr:cNvPr id="2430" name="hinh2">
          <a:extLst>
            <a:ext uri="{FF2B5EF4-FFF2-40B4-BE49-F238E27FC236}">
              <a16:creationId xmlns:a16="http://schemas.microsoft.com/office/drawing/2014/main" id="{767DDFDA-ED82-43D1-B027-04D2A9B897FC}"/>
            </a:ext>
          </a:extLst>
        </xdr:cNvPr>
        <xdr:cNvGrpSpPr>
          <a:grpSpLocks noChangeAspect="1"/>
        </xdr:cNvGrpSpPr>
      </xdr:nvGrpSpPr>
      <xdr:grpSpPr bwMode="auto">
        <a:xfrm>
          <a:off x="2367643" y="64455989"/>
          <a:ext cx="875058" cy="163683"/>
          <a:chOff x="206" y="86"/>
          <a:chExt cx="73" cy="16"/>
        </a:xfrm>
      </xdr:grpSpPr>
      <xdr:sp macro="" textlink="">
        <xdr:nvSpPr>
          <xdr:cNvPr id="2431" name="Line 6">
            <a:extLst>
              <a:ext uri="{FF2B5EF4-FFF2-40B4-BE49-F238E27FC236}">
                <a16:creationId xmlns:a16="http://schemas.microsoft.com/office/drawing/2014/main" id="{EBC8A777-2DA5-A3C3-5F88-3B88F24C2F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2" name="Line 7">
            <a:extLst>
              <a:ext uri="{FF2B5EF4-FFF2-40B4-BE49-F238E27FC236}">
                <a16:creationId xmlns:a16="http://schemas.microsoft.com/office/drawing/2014/main" id="{0EA2D42B-96BA-3E50-438C-54113AA38C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3" name="Line 8">
            <a:extLst>
              <a:ext uri="{FF2B5EF4-FFF2-40B4-BE49-F238E27FC236}">
                <a16:creationId xmlns:a16="http://schemas.microsoft.com/office/drawing/2014/main" id="{372A490B-7EC4-18A3-0E1A-5CFBAFC332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168</xdr:row>
      <xdr:rowOff>58616</xdr:rowOff>
    </xdr:from>
    <xdr:to>
      <xdr:col>3</xdr:col>
      <xdr:colOff>977635</xdr:colOff>
      <xdr:row>168</xdr:row>
      <xdr:rowOff>249116</xdr:rowOff>
    </xdr:to>
    <xdr:grpSp>
      <xdr:nvGrpSpPr>
        <xdr:cNvPr id="2434" name="hinh2">
          <a:extLst>
            <a:ext uri="{FF2B5EF4-FFF2-40B4-BE49-F238E27FC236}">
              <a16:creationId xmlns:a16="http://schemas.microsoft.com/office/drawing/2014/main" id="{BC5FF260-429E-4EC4-BBCF-184734A46D39}"/>
            </a:ext>
          </a:extLst>
        </xdr:cNvPr>
        <xdr:cNvGrpSpPr>
          <a:grpSpLocks noChangeAspect="1"/>
        </xdr:cNvGrpSpPr>
      </xdr:nvGrpSpPr>
      <xdr:grpSpPr bwMode="auto">
        <a:xfrm>
          <a:off x="2374970" y="64828616"/>
          <a:ext cx="875058" cy="190500"/>
          <a:chOff x="206" y="86"/>
          <a:chExt cx="73" cy="16"/>
        </a:xfrm>
      </xdr:grpSpPr>
      <xdr:sp macro="" textlink="">
        <xdr:nvSpPr>
          <xdr:cNvPr id="2435" name="Line 6">
            <a:extLst>
              <a:ext uri="{FF2B5EF4-FFF2-40B4-BE49-F238E27FC236}">
                <a16:creationId xmlns:a16="http://schemas.microsoft.com/office/drawing/2014/main" id="{669EA866-5C92-6F57-487A-B1D5AFD6DD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6" name="Line 7">
            <a:extLst>
              <a:ext uri="{FF2B5EF4-FFF2-40B4-BE49-F238E27FC236}">
                <a16:creationId xmlns:a16="http://schemas.microsoft.com/office/drawing/2014/main" id="{113DBBBC-AD0E-76A0-3471-8A61019E7B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7" name="Line 8">
            <a:extLst>
              <a:ext uri="{FF2B5EF4-FFF2-40B4-BE49-F238E27FC236}">
                <a16:creationId xmlns:a16="http://schemas.microsoft.com/office/drawing/2014/main" id="{E0A7BA85-6E42-AF0E-5AB0-87210D22C2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169</xdr:row>
      <xdr:rowOff>58616</xdr:rowOff>
    </xdr:from>
    <xdr:to>
      <xdr:col>3</xdr:col>
      <xdr:colOff>977635</xdr:colOff>
      <xdr:row>169</xdr:row>
      <xdr:rowOff>249116</xdr:rowOff>
    </xdr:to>
    <xdr:grpSp>
      <xdr:nvGrpSpPr>
        <xdr:cNvPr id="2438" name="hinh2">
          <a:extLst>
            <a:ext uri="{FF2B5EF4-FFF2-40B4-BE49-F238E27FC236}">
              <a16:creationId xmlns:a16="http://schemas.microsoft.com/office/drawing/2014/main" id="{CF2E6300-C996-45DA-B28E-249FC1774546}"/>
            </a:ext>
          </a:extLst>
        </xdr:cNvPr>
        <xdr:cNvGrpSpPr>
          <a:grpSpLocks noChangeAspect="1"/>
        </xdr:cNvGrpSpPr>
      </xdr:nvGrpSpPr>
      <xdr:grpSpPr bwMode="auto">
        <a:xfrm>
          <a:off x="2374970" y="65223223"/>
          <a:ext cx="875058" cy="190500"/>
          <a:chOff x="206" y="86"/>
          <a:chExt cx="73" cy="16"/>
        </a:xfrm>
      </xdr:grpSpPr>
      <xdr:sp macro="" textlink="">
        <xdr:nvSpPr>
          <xdr:cNvPr id="2439" name="Line 6">
            <a:extLst>
              <a:ext uri="{FF2B5EF4-FFF2-40B4-BE49-F238E27FC236}">
                <a16:creationId xmlns:a16="http://schemas.microsoft.com/office/drawing/2014/main" id="{3CD5BF8D-9889-6865-7141-906FE48BA5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0" name="Line 7">
            <a:extLst>
              <a:ext uri="{FF2B5EF4-FFF2-40B4-BE49-F238E27FC236}">
                <a16:creationId xmlns:a16="http://schemas.microsoft.com/office/drawing/2014/main" id="{93E2A756-46B8-A772-3426-2E4287F7AE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1" name="Line 8">
            <a:extLst>
              <a:ext uri="{FF2B5EF4-FFF2-40B4-BE49-F238E27FC236}">
                <a16:creationId xmlns:a16="http://schemas.microsoft.com/office/drawing/2014/main" id="{A288EA5B-2145-1584-A8B1-2D0CD3C8AF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170</xdr:row>
      <xdr:rowOff>58616</xdr:rowOff>
    </xdr:from>
    <xdr:to>
      <xdr:col>3</xdr:col>
      <xdr:colOff>977635</xdr:colOff>
      <xdr:row>170</xdr:row>
      <xdr:rowOff>249116</xdr:rowOff>
    </xdr:to>
    <xdr:grpSp>
      <xdr:nvGrpSpPr>
        <xdr:cNvPr id="2442" name="hinh2">
          <a:extLst>
            <a:ext uri="{FF2B5EF4-FFF2-40B4-BE49-F238E27FC236}">
              <a16:creationId xmlns:a16="http://schemas.microsoft.com/office/drawing/2014/main" id="{2BE53E8A-A64C-467E-802D-EEE75B625503}"/>
            </a:ext>
          </a:extLst>
        </xdr:cNvPr>
        <xdr:cNvGrpSpPr>
          <a:grpSpLocks noChangeAspect="1"/>
        </xdr:cNvGrpSpPr>
      </xdr:nvGrpSpPr>
      <xdr:grpSpPr bwMode="auto">
        <a:xfrm>
          <a:off x="2374970" y="65617830"/>
          <a:ext cx="875058" cy="190500"/>
          <a:chOff x="206" y="86"/>
          <a:chExt cx="73" cy="16"/>
        </a:xfrm>
      </xdr:grpSpPr>
      <xdr:sp macro="" textlink="">
        <xdr:nvSpPr>
          <xdr:cNvPr id="2443" name="Line 6">
            <a:extLst>
              <a:ext uri="{FF2B5EF4-FFF2-40B4-BE49-F238E27FC236}">
                <a16:creationId xmlns:a16="http://schemas.microsoft.com/office/drawing/2014/main" id="{C0A7359E-EF1B-445E-204B-3770D55FEFA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4" name="Line 7">
            <a:extLst>
              <a:ext uri="{FF2B5EF4-FFF2-40B4-BE49-F238E27FC236}">
                <a16:creationId xmlns:a16="http://schemas.microsoft.com/office/drawing/2014/main" id="{08F372B2-AAFD-DBBF-EB59-8C3604595D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5" name="Line 8">
            <a:extLst>
              <a:ext uri="{FF2B5EF4-FFF2-40B4-BE49-F238E27FC236}">
                <a16:creationId xmlns:a16="http://schemas.microsoft.com/office/drawing/2014/main" id="{BE86FE54-41C2-A181-5C75-6D609BD8DD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171</xdr:row>
      <xdr:rowOff>58616</xdr:rowOff>
    </xdr:from>
    <xdr:to>
      <xdr:col>3</xdr:col>
      <xdr:colOff>977635</xdr:colOff>
      <xdr:row>171</xdr:row>
      <xdr:rowOff>249116</xdr:rowOff>
    </xdr:to>
    <xdr:grpSp>
      <xdr:nvGrpSpPr>
        <xdr:cNvPr id="2446" name="hinh2">
          <a:extLst>
            <a:ext uri="{FF2B5EF4-FFF2-40B4-BE49-F238E27FC236}">
              <a16:creationId xmlns:a16="http://schemas.microsoft.com/office/drawing/2014/main" id="{8FD00896-87CC-4C37-8E3C-41CDF45CBA2B}"/>
            </a:ext>
          </a:extLst>
        </xdr:cNvPr>
        <xdr:cNvGrpSpPr>
          <a:grpSpLocks noChangeAspect="1"/>
        </xdr:cNvGrpSpPr>
      </xdr:nvGrpSpPr>
      <xdr:grpSpPr bwMode="auto">
        <a:xfrm>
          <a:off x="2374970" y="66012437"/>
          <a:ext cx="875058" cy="190500"/>
          <a:chOff x="206" y="86"/>
          <a:chExt cx="73" cy="16"/>
        </a:xfrm>
      </xdr:grpSpPr>
      <xdr:sp macro="" textlink="">
        <xdr:nvSpPr>
          <xdr:cNvPr id="2447" name="Line 6">
            <a:extLst>
              <a:ext uri="{FF2B5EF4-FFF2-40B4-BE49-F238E27FC236}">
                <a16:creationId xmlns:a16="http://schemas.microsoft.com/office/drawing/2014/main" id="{593FD2F8-D546-7558-2A98-3044268122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8" name="Line 7">
            <a:extLst>
              <a:ext uri="{FF2B5EF4-FFF2-40B4-BE49-F238E27FC236}">
                <a16:creationId xmlns:a16="http://schemas.microsoft.com/office/drawing/2014/main" id="{52D3996A-004D-F36E-23E7-106D1FEB0A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9" name="Line 8">
            <a:extLst>
              <a:ext uri="{FF2B5EF4-FFF2-40B4-BE49-F238E27FC236}">
                <a16:creationId xmlns:a16="http://schemas.microsoft.com/office/drawing/2014/main" id="{9F5E1CD8-CB86-9359-0EBF-F3410FE7D3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169</xdr:row>
      <xdr:rowOff>58616</xdr:rowOff>
    </xdr:from>
    <xdr:to>
      <xdr:col>3</xdr:col>
      <xdr:colOff>977635</xdr:colOff>
      <xdr:row>169</xdr:row>
      <xdr:rowOff>249116</xdr:rowOff>
    </xdr:to>
    <xdr:grpSp>
      <xdr:nvGrpSpPr>
        <xdr:cNvPr id="2454" name="hinh2">
          <a:extLst>
            <a:ext uri="{FF2B5EF4-FFF2-40B4-BE49-F238E27FC236}">
              <a16:creationId xmlns:a16="http://schemas.microsoft.com/office/drawing/2014/main" id="{33A3ECED-CAD4-44D8-85B8-4829B5578706}"/>
            </a:ext>
          </a:extLst>
        </xdr:cNvPr>
        <xdr:cNvGrpSpPr>
          <a:grpSpLocks noChangeAspect="1"/>
        </xdr:cNvGrpSpPr>
      </xdr:nvGrpSpPr>
      <xdr:grpSpPr bwMode="auto">
        <a:xfrm>
          <a:off x="2374970" y="65223223"/>
          <a:ext cx="875058" cy="190500"/>
          <a:chOff x="206" y="86"/>
          <a:chExt cx="73" cy="16"/>
        </a:xfrm>
      </xdr:grpSpPr>
      <xdr:sp macro="" textlink="">
        <xdr:nvSpPr>
          <xdr:cNvPr id="2455" name="Line 6">
            <a:extLst>
              <a:ext uri="{FF2B5EF4-FFF2-40B4-BE49-F238E27FC236}">
                <a16:creationId xmlns:a16="http://schemas.microsoft.com/office/drawing/2014/main" id="{FA0D56D4-BB6A-D172-83BD-21464B034E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56" name="Line 7">
            <a:extLst>
              <a:ext uri="{FF2B5EF4-FFF2-40B4-BE49-F238E27FC236}">
                <a16:creationId xmlns:a16="http://schemas.microsoft.com/office/drawing/2014/main" id="{3BC986F8-195B-0CBE-55EA-E5C02D1FB6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57" name="Line 8">
            <a:extLst>
              <a:ext uri="{FF2B5EF4-FFF2-40B4-BE49-F238E27FC236}">
                <a16:creationId xmlns:a16="http://schemas.microsoft.com/office/drawing/2014/main" id="{C007105F-8FA5-70A8-A9EE-D27B7C5A14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170</xdr:row>
      <xdr:rowOff>58616</xdr:rowOff>
    </xdr:from>
    <xdr:to>
      <xdr:col>3</xdr:col>
      <xdr:colOff>977635</xdr:colOff>
      <xdr:row>170</xdr:row>
      <xdr:rowOff>249116</xdr:rowOff>
    </xdr:to>
    <xdr:grpSp>
      <xdr:nvGrpSpPr>
        <xdr:cNvPr id="2458" name="hinh2">
          <a:extLst>
            <a:ext uri="{FF2B5EF4-FFF2-40B4-BE49-F238E27FC236}">
              <a16:creationId xmlns:a16="http://schemas.microsoft.com/office/drawing/2014/main" id="{EC85E3E3-CBA8-4970-A096-B13B9A8E8522}"/>
            </a:ext>
          </a:extLst>
        </xdr:cNvPr>
        <xdr:cNvGrpSpPr>
          <a:grpSpLocks noChangeAspect="1"/>
        </xdr:cNvGrpSpPr>
      </xdr:nvGrpSpPr>
      <xdr:grpSpPr bwMode="auto">
        <a:xfrm>
          <a:off x="2374970" y="65617830"/>
          <a:ext cx="875058" cy="190500"/>
          <a:chOff x="206" y="86"/>
          <a:chExt cx="73" cy="16"/>
        </a:xfrm>
      </xdr:grpSpPr>
      <xdr:sp macro="" textlink="">
        <xdr:nvSpPr>
          <xdr:cNvPr id="2459" name="Line 6">
            <a:extLst>
              <a:ext uri="{FF2B5EF4-FFF2-40B4-BE49-F238E27FC236}">
                <a16:creationId xmlns:a16="http://schemas.microsoft.com/office/drawing/2014/main" id="{21F01E54-1C07-A720-83BC-1D21D12AA5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0" name="Line 7">
            <a:extLst>
              <a:ext uri="{FF2B5EF4-FFF2-40B4-BE49-F238E27FC236}">
                <a16:creationId xmlns:a16="http://schemas.microsoft.com/office/drawing/2014/main" id="{CC80B3BE-1CCA-1FCD-3683-9D7EAC0174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1" name="Line 8">
            <a:extLst>
              <a:ext uri="{FF2B5EF4-FFF2-40B4-BE49-F238E27FC236}">
                <a16:creationId xmlns:a16="http://schemas.microsoft.com/office/drawing/2014/main" id="{4280A54E-EC7D-26FE-F46D-14193A6A32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170</xdr:row>
      <xdr:rowOff>58616</xdr:rowOff>
    </xdr:from>
    <xdr:to>
      <xdr:col>3</xdr:col>
      <xdr:colOff>977635</xdr:colOff>
      <xdr:row>170</xdr:row>
      <xdr:rowOff>249116</xdr:rowOff>
    </xdr:to>
    <xdr:grpSp>
      <xdr:nvGrpSpPr>
        <xdr:cNvPr id="2462" name="hinh2">
          <a:extLst>
            <a:ext uri="{FF2B5EF4-FFF2-40B4-BE49-F238E27FC236}">
              <a16:creationId xmlns:a16="http://schemas.microsoft.com/office/drawing/2014/main" id="{07E41F6B-98E6-4427-8888-661262094DE1}"/>
            </a:ext>
          </a:extLst>
        </xdr:cNvPr>
        <xdr:cNvGrpSpPr>
          <a:grpSpLocks noChangeAspect="1"/>
        </xdr:cNvGrpSpPr>
      </xdr:nvGrpSpPr>
      <xdr:grpSpPr bwMode="auto">
        <a:xfrm>
          <a:off x="2374970" y="65617830"/>
          <a:ext cx="875058" cy="190500"/>
          <a:chOff x="206" y="86"/>
          <a:chExt cx="73" cy="16"/>
        </a:xfrm>
      </xdr:grpSpPr>
      <xdr:sp macro="" textlink="">
        <xdr:nvSpPr>
          <xdr:cNvPr id="2463" name="Line 6">
            <a:extLst>
              <a:ext uri="{FF2B5EF4-FFF2-40B4-BE49-F238E27FC236}">
                <a16:creationId xmlns:a16="http://schemas.microsoft.com/office/drawing/2014/main" id="{2203E4F1-4D88-76D3-F2EB-CB72E7872F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4" name="Line 7">
            <a:extLst>
              <a:ext uri="{FF2B5EF4-FFF2-40B4-BE49-F238E27FC236}">
                <a16:creationId xmlns:a16="http://schemas.microsoft.com/office/drawing/2014/main" id="{8BC59368-001D-0CBF-EA96-C8800DA669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5" name="Line 8">
            <a:extLst>
              <a:ext uri="{FF2B5EF4-FFF2-40B4-BE49-F238E27FC236}">
                <a16:creationId xmlns:a16="http://schemas.microsoft.com/office/drawing/2014/main" id="{F050069B-1437-50FC-D84C-ACD9268873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173</xdr:row>
      <xdr:rowOff>58616</xdr:rowOff>
    </xdr:from>
    <xdr:to>
      <xdr:col>3</xdr:col>
      <xdr:colOff>977635</xdr:colOff>
      <xdr:row>173</xdr:row>
      <xdr:rowOff>249116</xdr:rowOff>
    </xdr:to>
    <xdr:grpSp>
      <xdr:nvGrpSpPr>
        <xdr:cNvPr id="2466" name="hinh2">
          <a:extLst>
            <a:ext uri="{FF2B5EF4-FFF2-40B4-BE49-F238E27FC236}">
              <a16:creationId xmlns:a16="http://schemas.microsoft.com/office/drawing/2014/main" id="{F4B4B6AD-5DAD-432B-A741-5C8CC4D0C761}"/>
            </a:ext>
          </a:extLst>
        </xdr:cNvPr>
        <xdr:cNvGrpSpPr>
          <a:grpSpLocks noChangeAspect="1"/>
        </xdr:cNvGrpSpPr>
      </xdr:nvGrpSpPr>
      <xdr:grpSpPr bwMode="auto">
        <a:xfrm>
          <a:off x="2374970" y="66801652"/>
          <a:ext cx="875058" cy="190500"/>
          <a:chOff x="206" y="86"/>
          <a:chExt cx="73" cy="16"/>
        </a:xfrm>
      </xdr:grpSpPr>
      <xdr:sp macro="" textlink="">
        <xdr:nvSpPr>
          <xdr:cNvPr id="2467" name="Line 6">
            <a:extLst>
              <a:ext uri="{FF2B5EF4-FFF2-40B4-BE49-F238E27FC236}">
                <a16:creationId xmlns:a16="http://schemas.microsoft.com/office/drawing/2014/main" id="{0DEE9FC8-BA9E-955B-6988-AD63C4A3FF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8" name="Line 7">
            <a:extLst>
              <a:ext uri="{FF2B5EF4-FFF2-40B4-BE49-F238E27FC236}">
                <a16:creationId xmlns:a16="http://schemas.microsoft.com/office/drawing/2014/main" id="{292618C8-A194-6171-654B-ECE2ECB545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9" name="Line 8">
            <a:extLst>
              <a:ext uri="{FF2B5EF4-FFF2-40B4-BE49-F238E27FC236}">
                <a16:creationId xmlns:a16="http://schemas.microsoft.com/office/drawing/2014/main" id="{179937C1-9C5F-A47E-3590-1430860FBF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172</xdr:row>
      <xdr:rowOff>58616</xdr:rowOff>
    </xdr:from>
    <xdr:to>
      <xdr:col>3</xdr:col>
      <xdr:colOff>977635</xdr:colOff>
      <xdr:row>172</xdr:row>
      <xdr:rowOff>249116</xdr:rowOff>
    </xdr:to>
    <xdr:grpSp>
      <xdr:nvGrpSpPr>
        <xdr:cNvPr id="2470" name="hinh2">
          <a:extLst>
            <a:ext uri="{FF2B5EF4-FFF2-40B4-BE49-F238E27FC236}">
              <a16:creationId xmlns:a16="http://schemas.microsoft.com/office/drawing/2014/main" id="{6F2F4912-09E9-45FD-860D-D07A510EE1D8}"/>
            </a:ext>
          </a:extLst>
        </xdr:cNvPr>
        <xdr:cNvGrpSpPr>
          <a:grpSpLocks noChangeAspect="1"/>
        </xdr:cNvGrpSpPr>
      </xdr:nvGrpSpPr>
      <xdr:grpSpPr bwMode="auto">
        <a:xfrm>
          <a:off x="2374970" y="66407045"/>
          <a:ext cx="875058" cy="190500"/>
          <a:chOff x="206" y="86"/>
          <a:chExt cx="73" cy="16"/>
        </a:xfrm>
      </xdr:grpSpPr>
      <xdr:sp macro="" textlink="">
        <xdr:nvSpPr>
          <xdr:cNvPr id="2471" name="Line 6">
            <a:extLst>
              <a:ext uri="{FF2B5EF4-FFF2-40B4-BE49-F238E27FC236}">
                <a16:creationId xmlns:a16="http://schemas.microsoft.com/office/drawing/2014/main" id="{EB07C85A-667A-8D28-1C2F-6774ED62024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2" name="Line 7">
            <a:extLst>
              <a:ext uri="{FF2B5EF4-FFF2-40B4-BE49-F238E27FC236}">
                <a16:creationId xmlns:a16="http://schemas.microsoft.com/office/drawing/2014/main" id="{3453030D-1145-5C72-91AD-315FDC6F5D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3" name="Line 8">
            <a:extLst>
              <a:ext uri="{FF2B5EF4-FFF2-40B4-BE49-F238E27FC236}">
                <a16:creationId xmlns:a16="http://schemas.microsoft.com/office/drawing/2014/main" id="{D0492B40-9642-EB2A-F829-D2BFA8CF8B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174</xdr:row>
      <xdr:rowOff>80596</xdr:rowOff>
    </xdr:from>
    <xdr:to>
      <xdr:col>3</xdr:col>
      <xdr:colOff>970308</xdr:colOff>
      <xdr:row>174</xdr:row>
      <xdr:rowOff>244279</xdr:rowOff>
    </xdr:to>
    <xdr:grpSp>
      <xdr:nvGrpSpPr>
        <xdr:cNvPr id="2474" name="hinh2">
          <a:extLst>
            <a:ext uri="{FF2B5EF4-FFF2-40B4-BE49-F238E27FC236}">
              <a16:creationId xmlns:a16="http://schemas.microsoft.com/office/drawing/2014/main" id="{5D64341A-A244-4F1B-B423-49AEDE41D3CD}"/>
            </a:ext>
          </a:extLst>
        </xdr:cNvPr>
        <xdr:cNvGrpSpPr>
          <a:grpSpLocks noChangeAspect="1"/>
        </xdr:cNvGrpSpPr>
      </xdr:nvGrpSpPr>
      <xdr:grpSpPr bwMode="auto">
        <a:xfrm>
          <a:off x="2367643" y="67218239"/>
          <a:ext cx="875058" cy="163683"/>
          <a:chOff x="206" y="86"/>
          <a:chExt cx="73" cy="16"/>
        </a:xfrm>
      </xdr:grpSpPr>
      <xdr:sp macro="" textlink="">
        <xdr:nvSpPr>
          <xdr:cNvPr id="2475" name="Line 6">
            <a:extLst>
              <a:ext uri="{FF2B5EF4-FFF2-40B4-BE49-F238E27FC236}">
                <a16:creationId xmlns:a16="http://schemas.microsoft.com/office/drawing/2014/main" id="{858944FE-E44A-3AFD-F1DF-191AAAB6F8C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6" name="Line 7">
            <a:extLst>
              <a:ext uri="{FF2B5EF4-FFF2-40B4-BE49-F238E27FC236}">
                <a16:creationId xmlns:a16="http://schemas.microsoft.com/office/drawing/2014/main" id="{0A6B0C99-F927-00FA-2FAE-C152779300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7" name="Line 8">
            <a:extLst>
              <a:ext uri="{FF2B5EF4-FFF2-40B4-BE49-F238E27FC236}">
                <a16:creationId xmlns:a16="http://schemas.microsoft.com/office/drawing/2014/main" id="{547B9FE1-F00A-AA8F-4729-600EE88F1C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175</xdr:row>
      <xdr:rowOff>58616</xdr:rowOff>
    </xdr:from>
    <xdr:to>
      <xdr:col>3</xdr:col>
      <xdr:colOff>977635</xdr:colOff>
      <xdr:row>175</xdr:row>
      <xdr:rowOff>249116</xdr:rowOff>
    </xdr:to>
    <xdr:grpSp>
      <xdr:nvGrpSpPr>
        <xdr:cNvPr id="2478" name="hinh2">
          <a:extLst>
            <a:ext uri="{FF2B5EF4-FFF2-40B4-BE49-F238E27FC236}">
              <a16:creationId xmlns:a16="http://schemas.microsoft.com/office/drawing/2014/main" id="{941797E6-F746-4872-9D29-90474966EAEC}"/>
            </a:ext>
          </a:extLst>
        </xdr:cNvPr>
        <xdr:cNvGrpSpPr>
          <a:grpSpLocks noChangeAspect="1"/>
        </xdr:cNvGrpSpPr>
      </xdr:nvGrpSpPr>
      <xdr:grpSpPr bwMode="auto">
        <a:xfrm>
          <a:off x="2374970" y="67590866"/>
          <a:ext cx="875058" cy="190500"/>
          <a:chOff x="206" y="86"/>
          <a:chExt cx="73" cy="16"/>
        </a:xfrm>
      </xdr:grpSpPr>
      <xdr:sp macro="" textlink="">
        <xdr:nvSpPr>
          <xdr:cNvPr id="2479" name="Line 6">
            <a:extLst>
              <a:ext uri="{FF2B5EF4-FFF2-40B4-BE49-F238E27FC236}">
                <a16:creationId xmlns:a16="http://schemas.microsoft.com/office/drawing/2014/main" id="{0DCD0C0B-6CFD-1104-F70E-CBB44BC6C0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0" name="Line 7">
            <a:extLst>
              <a:ext uri="{FF2B5EF4-FFF2-40B4-BE49-F238E27FC236}">
                <a16:creationId xmlns:a16="http://schemas.microsoft.com/office/drawing/2014/main" id="{18A11EB3-B9EC-3516-8499-64966AD965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1" name="Line 8">
            <a:extLst>
              <a:ext uri="{FF2B5EF4-FFF2-40B4-BE49-F238E27FC236}">
                <a16:creationId xmlns:a16="http://schemas.microsoft.com/office/drawing/2014/main" id="{62991218-6DE4-48B5-450E-B34800949A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176</xdr:row>
      <xdr:rowOff>58616</xdr:rowOff>
    </xdr:from>
    <xdr:to>
      <xdr:col>3</xdr:col>
      <xdr:colOff>977635</xdr:colOff>
      <xdr:row>176</xdr:row>
      <xdr:rowOff>249116</xdr:rowOff>
    </xdr:to>
    <xdr:grpSp>
      <xdr:nvGrpSpPr>
        <xdr:cNvPr id="2482" name="hinh2">
          <a:extLst>
            <a:ext uri="{FF2B5EF4-FFF2-40B4-BE49-F238E27FC236}">
              <a16:creationId xmlns:a16="http://schemas.microsoft.com/office/drawing/2014/main" id="{D06DB400-F8E3-4F8B-9D1A-35FBF6A0AC09}"/>
            </a:ext>
          </a:extLst>
        </xdr:cNvPr>
        <xdr:cNvGrpSpPr>
          <a:grpSpLocks noChangeAspect="1"/>
        </xdr:cNvGrpSpPr>
      </xdr:nvGrpSpPr>
      <xdr:grpSpPr bwMode="auto">
        <a:xfrm>
          <a:off x="2374970" y="67985473"/>
          <a:ext cx="875058" cy="190500"/>
          <a:chOff x="206" y="86"/>
          <a:chExt cx="73" cy="16"/>
        </a:xfrm>
      </xdr:grpSpPr>
      <xdr:sp macro="" textlink="">
        <xdr:nvSpPr>
          <xdr:cNvPr id="2483" name="Line 6">
            <a:extLst>
              <a:ext uri="{FF2B5EF4-FFF2-40B4-BE49-F238E27FC236}">
                <a16:creationId xmlns:a16="http://schemas.microsoft.com/office/drawing/2014/main" id="{E7669609-56D0-1FF1-4E94-16F2CE824D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4" name="Line 7">
            <a:extLst>
              <a:ext uri="{FF2B5EF4-FFF2-40B4-BE49-F238E27FC236}">
                <a16:creationId xmlns:a16="http://schemas.microsoft.com/office/drawing/2014/main" id="{5DD6662A-E5D9-4B0C-B836-5DD271CCBD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5" name="Line 8">
            <a:extLst>
              <a:ext uri="{FF2B5EF4-FFF2-40B4-BE49-F238E27FC236}">
                <a16:creationId xmlns:a16="http://schemas.microsoft.com/office/drawing/2014/main" id="{387C20E5-BF17-6FAE-E0B8-2F8689E311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177</xdr:row>
      <xdr:rowOff>58616</xdr:rowOff>
    </xdr:from>
    <xdr:to>
      <xdr:col>3</xdr:col>
      <xdr:colOff>977635</xdr:colOff>
      <xdr:row>177</xdr:row>
      <xdr:rowOff>249116</xdr:rowOff>
    </xdr:to>
    <xdr:grpSp>
      <xdr:nvGrpSpPr>
        <xdr:cNvPr id="2486" name="hinh2">
          <a:extLst>
            <a:ext uri="{FF2B5EF4-FFF2-40B4-BE49-F238E27FC236}">
              <a16:creationId xmlns:a16="http://schemas.microsoft.com/office/drawing/2014/main" id="{96C4C479-117F-46C1-9879-8FA2CF432523}"/>
            </a:ext>
          </a:extLst>
        </xdr:cNvPr>
        <xdr:cNvGrpSpPr>
          <a:grpSpLocks noChangeAspect="1"/>
        </xdr:cNvGrpSpPr>
      </xdr:nvGrpSpPr>
      <xdr:grpSpPr bwMode="auto">
        <a:xfrm>
          <a:off x="2374970" y="68380080"/>
          <a:ext cx="875058" cy="190500"/>
          <a:chOff x="206" y="86"/>
          <a:chExt cx="73" cy="16"/>
        </a:xfrm>
      </xdr:grpSpPr>
      <xdr:sp macro="" textlink="">
        <xdr:nvSpPr>
          <xdr:cNvPr id="2487" name="Line 6">
            <a:extLst>
              <a:ext uri="{FF2B5EF4-FFF2-40B4-BE49-F238E27FC236}">
                <a16:creationId xmlns:a16="http://schemas.microsoft.com/office/drawing/2014/main" id="{4F0E5F9B-AE7A-011C-4D21-6B499EB1AB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8" name="Line 7">
            <a:extLst>
              <a:ext uri="{FF2B5EF4-FFF2-40B4-BE49-F238E27FC236}">
                <a16:creationId xmlns:a16="http://schemas.microsoft.com/office/drawing/2014/main" id="{A0078F82-A846-B13E-5489-AADB341F30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9" name="Line 8">
            <a:extLst>
              <a:ext uri="{FF2B5EF4-FFF2-40B4-BE49-F238E27FC236}">
                <a16:creationId xmlns:a16="http://schemas.microsoft.com/office/drawing/2014/main" id="{A9C088FC-E8FE-95AB-61CC-D30E38F494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178</xdr:row>
      <xdr:rowOff>58616</xdr:rowOff>
    </xdr:from>
    <xdr:to>
      <xdr:col>3</xdr:col>
      <xdr:colOff>977635</xdr:colOff>
      <xdr:row>178</xdr:row>
      <xdr:rowOff>249116</xdr:rowOff>
    </xdr:to>
    <xdr:grpSp>
      <xdr:nvGrpSpPr>
        <xdr:cNvPr id="2490" name="hinh2">
          <a:extLst>
            <a:ext uri="{FF2B5EF4-FFF2-40B4-BE49-F238E27FC236}">
              <a16:creationId xmlns:a16="http://schemas.microsoft.com/office/drawing/2014/main" id="{9D96B71E-7DE6-4E15-961C-2A0668D5D434}"/>
            </a:ext>
          </a:extLst>
        </xdr:cNvPr>
        <xdr:cNvGrpSpPr>
          <a:grpSpLocks noChangeAspect="1"/>
        </xdr:cNvGrpSpPr>
      </xdr:nvGrpSpPr>
      <xdr:grpSpPr bwMode="auto">
        <a:xfrm>
          <a:off x="2374970" y="68774687"/>
          <a:ext cx="875058" cy="190500"/>
          <a:chOff x="206" y="86"/>
          <a:chExt cx="73" cy="16"/>
        </a:xfrm>
      </xdr:grpSpPr>
      <xdr:sp macro="" textlink="">
        <xdr:nvSpPr>
          <xdr:cNvPr id="2491" name="Line 6">
            <a:extLst>
              <a:ext uri="{FF2B5EF4-FFF2-40B4-BE49-F238E27FC236}">
                <a16:creationId xmlns:a16="http://schemas.microsoft.com/office/drawing/2014/main" id="{50846546-E713-A1D7-9E06-1785902013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2" name="Line 7">
            <a:extLst>
              <a:ext uri="{FF2B5EF4-FFF2-40B4-BE49-F238E27FC236}">
                <a16:creationId xmlns:a16="http://schemas.microsoft.com/office/drawing/2014/main" id="{CBC2EC5B-3CEE-CB7B-152D-37F50D0E24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3" name="Line 8">
            <a:extLst>
              <a:ext uri="{FF2B5EF4-FFF2-40B4-BE49-F238E27FC236}">
                <a16:creationId xmlns:a16="http://schemas.microsoft.com/office/drawing/2014/main" id="{5427591B-7991-BF2C-4A23-AF6F1E3F8B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180</xdr:row>
      <xdr:rowOff>58616</xdr:rowOff>
    </xdr:from>
    <xdr:to>
      <xdr:col>3</xdr:col>
      <xdr:colOff>977635</xdr:colOff>
      <xdr:row>180</xdr:row>
      <xdr:rowOff>249116</xdr:rowOff>
    </xdr:to>
    <xdr:grpSp>
      <xdr:nvGrpSpPr>
        <xdr:cNvPr id="2494" name="hinh2">
          <a:extLst>
            <a:ext uri="{FF2B5EF4-FFF2-40B4-BE49-F238E27FC236}">
              <a16:creationId xmlns:a16="http://schemas.microsoft.com/office/drawing/2014/main" id="{BEDBC2CD-B8E7-412C-B097-6B6E59D4A9AF}"/>
            </a:ext>
          </a:extLst>
        </xdr:cNvPr>
        <xdr:cNvGrpSpPr>
          <a:grpSpLocks noChangeAspect="1"/>
        </xdr:cNvGrpSpPr>
      </xdr:nvGrpSpPr>
      <xdr:grpSpPr bwMode="auto">
        <a:xfrm>
          <a:off x="2374970" y="69563902"/>
          <a:ext cx="875058" cy="190500"/>
          <a:chOff x="206" y="86"/>
          <a:chExt cx="73" cy="16"/>
        </a:xfrm>
      </xdr:grpSpPr>
      <xdr:sp macro="" textlink="">
        <xdr:nvSpPr>
          <xdr:cNvPr id="2495" name="Line 6">
            <a:extLst>
              <a:ext uri="{FF2B5EF4-FFF2-40B4-BE49-F238E27FC236}">
                <a16:creationId xmlns:a16="http://schemas.microsoft.com/office/drawing/2014/main" id="{E873D279-2F4B-4942-0750-ECB0FD0A61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6" name="Line 7">
            <a:extLst>
              <a:ext uri="{FF2B5EF4-FFF2-40B4-BE49-F238E27FC236}">
                <a16:creationId xmlns:a16="http://schemas.microsoft.com/office/drawing/2014/main" id="{6E0C6851-7C05-643A-34A5-293B1A018D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7" name="Line 8">
            <a:extLst>
              <a:ext uri="{FF2B5EF4-FFF2-40B4-BE49-F238E27FC236}">
                <a16:creationId xmlns:a16="http://schemas.microsoft.com/office/drawing/2014/main" id="{CAF5414C-C659-4D06-1B10-1B694D14B7C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179</xdr:row>
      <xdr:rowOff>58616</xdr:rowOff>
    </xdr:from>
    <xdr:to>
      <xdr:col>3</xdr:col>
      <xdr:colOff>977635</xdr:colOff>
      <xdr:row>179</xdr:row>
      <xdr:rowOff>249116</xdr:rowOff>
    </xdr:to>
    <xdr:grpSp>
      <xdr:nvGrpSpPr>
        <xdr:cNvPr id="2498" name="hinh2">
          <a:extLst>
            <a:ext uri="{FF2B5EF4-FFF2-40B4-BE49-F238E27FC236}">
              <a16:creationId xmlns:a16="http://schemas.microsoft.com/office/drawing/2014/main" id="{214D7B0E-A3C6-4C31-93DF-EB978B3196AE}"/>
            </a:ext>
          </a:extLst>
        </xdr:cNvPr>
        <xdr:cNvGrpSpPr>
          <a:grpSpLocks noChangeAspect="1"/>
        </xdr:cNvGrpSpPr>
      </xdr:nvGrpSpPr>
      <xdr:grpSpPr bwMode="auto">
        <a:xfrm>
          <a:off x="2374970" y="69169295"/>
          <a:ext cx="875058" cy="190500"/>
          <a:chOff x="206" y="86"/>
          <a:chExt cx="73" cy="16"/>
        </a:xfrm>
      </xdr:grpSpPr>
      <xdr:sp macro="" textlink="">
        <xdr:nvSpPr>
          <xdr:cNvPr id="2499" name="Line 6">
            <a:extLst>
              <a:ext uri="{FF2B5EF4-FFF2-40B4-BE49-F238E27FC236}">
                <a16:creationId xmlns:a16="http://schemas.microsoft.com/office/drawing/2014/main" id="{76F84467-C958-4711-D900-1CA724A93E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0" name="Line 7">
            <a:extLst>
              <a:ext uri="{FF2B5EF4-FFF2-40B4-BE49-F238E27FC236}">
                <a16:creationId xmlns:a16="http://schemas.microsoft.com/office/drawing/2014/main" id="{12862A51-13CB-EE8F-012A-81263C768F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1" name="Line 8">
            <a:extLst>
              <a:ext uri="{FF2B5EF4-FFF2-40B4-BE49-F238E27FC236}">
                <a16:creationId xmlns:a16="http://schemas.microsoft.com/office/drawing/2014/main" id="{485BC50B-9622-96BA-F06E-C4C2D02882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176</xdr:row>
      <xdr:rowOff>58616</xdr:rowOff>
    </xdr:from>
    <xdr:to>
      <xdr:col>3</xdr:col>
      <xdr:colOff>977635</xdr:colOff>
      <xdr:row>176</xdr:row>
      <xdr:rowOff>249116</xdr:rowOff>
    </xdr:to>
    <xdr:grpSp>
      <xdr:nvGrpSpPr>
        <xdr:cNvPr id="2502" name="hinh2">
          <a:extLst>
            <a:ext uri="{FF2B5EF4-FFF2-40B4-BE49-F238E27FC236}">
              <a16:creationId xmlns:a16="http://schemas.microsoft.com/office/drawing/2014/main" id="{37234442-0DB6-4CB5-81FB-080DB6AA8773}"/>
            </a:ext>
          </a:extLst>
        </xdr:cNvPr>
        <xdr:cNvGrpSpPr>
          <a:grpSpLocks noChangeAspect="1"/>
        </xdr:cNvGrpSpPr>
      </xdr:nvGrpSpPr>
      <xdr:grpSpPr bwMode="auto">
        <a:xfrm>
          <a:off x="2374970" y="67985473"/>
          <a:ext cx="875058" cy="190500"/>
          <a:chOff x="206" y="86"/>
          <a:chExt cx="73" cy="16"/>
        </a:xfrm>
      </xdr:grpSpPr>
      <xdr:sp macro="" textlink="">
        <xdr:nvSpPr>
          <xdr:cNvPr id="2503" name="Line 6">
            <a:extLst>
              <a:ext uri="{FF2B5EF4-FFF2-40B4-BE49-F238E27FC236}">
                <a16:creationId xmlns:a16="http://schemas.microsoft.com/office/drawing/2014/main" id="{A5C989AC-6C90-B0AA-E063-94561F2E9F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4" name="Line 7">
            <a:extLst>
              <a:ext uri="{FF2B5EF4-FFF2-40B4-BE49-F238E27FC236}">
                <a16:creationId xmlns:a16="http://schemas.microsoft.com/office/drawing/2014/main" id="{6133CAA8-8547-89F2-7E0C-29AE2449CB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5" name="Line 8">
            <a:extLst>
              <a:ext uri="{FF2B5EF4-FFF2-40B4-BE49-F238E27FC236}">
                <a16:creationId xmlns:a16="http://schemas.microsoft.com/office/drawing/2014/main" id="{02473952-8C54-D873-5C06-0E509192CF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177</xdr:row>
      <xdr:rowOff>58616</xdr:rowOff>
    </xdr:from>
    <xdr:to>
      <xdr:col>3</xdr:col>
      <xdr:colOff>977635</xdr:colOff>
      <xdr:row>177</xdr:row>
      <xdr:rowOff>249116</xdr:rowOff>
    </xdr:to>
    <xdr:grpSp>
      <xdr:nvGrpSpPr>
        <xdr:cNvPr id="2506" name="hinh2">
          <a:extLst>
            <a:ext uri="{FF2B5EF4-FFF2-40B4-BE49-F238E27FC236}">
              <a16:creationId xmlns:a16="http://schemas.microsoft.com/office/drawing/2014/main" id="{278E2823-D52A-4575-941D-1A713EEE3653}"/>
            </a:ext>
          </a:extLst>
        </xdr:cNvPr>
        <xdr:cNvGrpSpPr>
          <a:grpSpLocks noChangeAspect="1"/>
        </xdr:cNvGrpSpPr>
      </xdr:nvGrpSpPr>
      <xdr:grpSpPr bwMode="auto">
        <a:xfrm>
          <a:off x="2374970" y="68380080"/>
          <a:ext cx="875058" cy="190500"/>
          <a:chOff x="206" y="86"/>
          <a:chExt cx="73" cy="16"/>
        </a:xfrm>
      </xdr:grpSpPr>
      <xdr:sp macro="" textlink="">
        <xdr:nvSpPr>
          <xdr:cNvPr id="2507" name="Line 6">
            <a:extLst>
              <a:ext uri="{FF2B5EF4-FFF2-40B4-BE49-F238E27FC236}">
                <a16:creationId xmlns:a16="http://schemas.microsoft.com/office/drawing/2014/main" id="{200C804B-B794-EEF5-EFA9-833D019CF1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8" name="Line 7">
            <a:extLst>
              <a:ext uri="{FF2B5EF4-FFF2-40B4-BE49-F238E27FC236}">
                <a16:creationId xmlns:a16="http://schemas.microsoft.com/office/drawing/2014/main" id="{2B2DBC2F-2868-C7D2-3975-1AD09611A6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9" name="Line 8">
            <a:extLst>
              <a:ext uri="{FF2B5EF4-FFF2-40B4-BE49-F238E27FC236}">
                <a16:creationId xmlns:a16="http://schemas.microsoft.com/office/drawing/2014/main" id="{3C3C9BEE-DFDF-C418-FE46-29E0596585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177</xdr:row>
      <xdr:rowOff>58616</xdr:rowOff>
    </xdr:from>
    <xdr:to>
      <xdr:col>3</xdr:col>
      <xdr:colOff>977635</xdr:colOff>
      <xdr:row>177</xdr:row>
      <xdr:rowOff>249116</xdr:rowOff>
    </xdr:to>
    <xdr:grpSp>
      <xdr:nvGrpSpPr>
        <xdr:cNvPr id="2510" name="hinh2">
          <a:extLst>
            <a:ext uri="{FF2B5EF4-FFF2-40B4-BE49-F238E27FC236}">
              <a16:creationId xmlns:a16="http://schemas.microsoft.com/office/drawing/2014/main" id="{92FD1D14-5F74-403C-9A82-CC7AD723D69A}"/>
            </a:ext>
          </a:extLst>
        </xdr:cNvPr>
        <xdr:cNvGrpSpPr>
          <a:grpSpLocks noChangeAspect="1"/>
        </xdr:cNvGrpSpPr>
      </xdr:nvGrpSpPr>
      <xdr:grpSpPr bwMode="auto">
        <a:xfrm>
          <a:off x="2374970" y="68380080"/>
          <a:ext cx="875058" cy="190500"/>
          <a:chOff x="206" y="86"/>
          <a:chExt cx="73" cy="16"/>
        </a:xfrm>
      </xdr:grpSpPr>
      <xdr:sp macro="" textlink="">
        <xdr:nvSpPr>
          <xdr:cNvPr id="2511" name="Line 6">
            <a:extLst>
              <a:ext uri="{FF2B5EF4-FFF2-40B4-BE49-F238E27FC236}">
                <a16:creationId xmlns:a16="http://schemas.microsoft.com/office/drawing/2014/main" id="{D5C7287B-D5D4-5D2F-7BAD-A7A53A17DB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2" name="Line 7">
            <a:extLst>
              <a:ext uri="{FF2B5EF4-FFF2-40B4-BE49-F238E27FC236}">
                <a16:creationId xmlns:a16="http://schemas.microsoft.com/office/drawing/2014/main" id="{7575C9D1-AAF6-4F3B-7389-03740A9092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3" name="Line 8">
            <a:extLst>
              <a:ext uri="{FF2B5EF4-FFF2-40B4-BE49-F238E27FC236}">
                <a16:creationId xmlns:a16="http://schemas.microsoft.com/office/drawing/2014/main" id="{B3223E83-6E8D-C865-6987-5F4D10314A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181</xdr:row>
      <xdr:rowOff>80596</xdr:rowOff>
    </xdr:from>
    <xdr:to>
      <xdr:col>3</xdr:col>
      <xdr:colOff>970308</xdr:colOff>
      <xdr:row>181</xdr:row>
      <xdr:rowOff>244279</xdr:rowOff>
    </xdr:to>
    <xdr:grpSp>
      <xdr:nvGrpSpPr>
        <xdr:cNvPr id="2558" name="hinh2">
          <a:extLst>
            <a:ext uri="{FF2B5EF4-FFF2-40B4-BE49-F238E27FC236}">
              <a16:creationId xmlns:a16="http://schemas.microsoft.com/office/drawing/2014/main" id="{0A9A5F48-8CA5-4921-B6F1-3C5A88B6B485}"/>
            </a:ext>
          </a:extLst>
        </xdr:cNvPr>
        <xdr:cNvGrpSpPr>
          <a:grpSpLocks noChangeAspect="1"/>
        </xdr:cNvGrpSpPr>
      </xdr:nvGrpSpPr>
      <xdr:grpSpPr bwMode="auto">
        <a:xfrm>
          <a:off x="2367643" y="69980489"/>
          <a:ext cx="875058" cy="163683"/>
          <a:chOff x="206" y="86"/>
          <a:chExt cx="73" cy="16"/>
        </a:xfrm>
      </xdr:grpSpPr>
      <xdr:sp macro="" textlink="">
        <xdr:nvSpPr>
          <xdr:cNvPr id="2559" name="Line 6">
            <a:extLst>
              <a:ext uri="{FF2B5EF4-FFF2-40B4-BE49-F238E27FC236}">
                <a16:creationId xmlns:a16="http://schemas.microsoft.com/office/drawing/2014/main" id="{0F633151-D246-2C88-724F-D063C77350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0" name="Line 7">
            <a:extLst>
              <a:ext uri="{FF2B5EF4-FFF2-40B4-BE49-F238E27FC236}">
                <a16:creationId xmlns:a16="http://schemas.microsoft.com/office/drawing/2014/main" id="{8853E470-ADFE-3579-E11D-D8245A11CB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1" name="Line 8">
            <a:extLst>
              <a:ext uri="{FF2B5EF4-FFF2-40B4-BE49-F238E27FC236}">
                <a16:creationId xmlns:a16="http://schemas.microsoft.com/office/drawing/2014/main" id="{8915EC35-5E77-8AB1-58AE-5863734C76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182</xdr:row>
      <xdr:rowOff>58616</xdr:rowOff>
    </xdr:from>
    <xdr:to>
      <xdr:col>3</xdr:col>
      <xdr:colOff>977635</xdr:colOff>
      <xdr:row>182</xdr:row>
      <xdr:rowOff>249116</xdr:rowOff>
    </xdr:to>
    <xdr:grpSp>
      <xdr:nvGrpSpPr>
        <xdr:cNvPr id="2562" name="hinh2">
          <a:extLst>
            <a:ext uri="{FF2B5EF4-FFF2-40B4-BE49-F238E27FC236}">
              <a16:creationId xmlns:a16="http://schemas.microsoft.com/office/drawing/2014/main" id="{D7621835-9D7F-4600-8240-130A78B542EC}"/>
            </a:ext>
          </a:extLst>
        </xdr:cNvPr>
        <xdr:cNvGrpSpPr>
          <a:grpSpLocks noChangeAspect="1"/>
        </xdr:cNvGrpSpPr>
      </xdr:nvGrpSpPr>
      <xdr:grpSpPr bwMode="auto">
        <a:xfrm>
          <a:off x="2374970" y="70353116"/>
          <a:ext cx="875058" cy="190500"/>
          <a:chOff x="206" y="86"/>
          <a:chExt cx="73" cy="16"/>
        </a:xfrm>
      </xdr:grpSpPr>
      <xdr:sp macro="" textlink="">
        <xdr:nvSpPr>
          <xdr:cNvPr id="2563" name="Line 6">
            <a:extLst>
              <a:ext uri="{FF2B5EF4-FFF2-40B4-BE49-F238E27FC236}">
                <a16:creationId xmlns:a16="http://schemas.microsoft.com/office/drawing/2014/main" id="{6D5C7222-F4B0-A4E7-D5F0-29EF4D3924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4" name="Line 7">
            <a:extLst>
              <a:ext uri="{FF2B5EF4-FFF2-40B4-BE49-F238E27FC236}">
                <a16:creationId xmlns:a16="http://schemas.microsoft.com/office/drawing/2014/main" id="{0B60C6D9-9B0C-FA2A-01A9-75D2223F22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5" name="Line 8">
            <a:extLst>
              <a:ext uri="{FF2B5EF4-FFF2-40B4-BE49-F238E27FC236}">
                <a16:creationId xmlns:a16="http://schemas.microsoft.com/office/drawing/2014/main" id="{978B7760-5ADF-A6CE-223F-D46EB4F18D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183</xdr:row>
      <xdr:rowOff>58616</xdr:rowOff>
    </xdr:from>
    <xdr:to>
      <xdr:col>3</xdr:col>
      <xdr:colOff>977635</xdr:colOff>
      <xdr:row>183</xdr:row>
      <xdr:rowOff>249116</xdr:rowOff>
    </xdr:to>
    <xdr:grpSp>
      <xdr:nvGrpSpPr>
        <xdr:cNvPr id="2566" name="hinh2">
          <a:extLst>
            <a:ext uri="{FF2B5EF4-FFF2-40B4-BE49-F238E27FC236}">
              <a16:creationId xmlns:a16="http://schemas.microsoft.com/office/drawing/2014/main" id="{710131AB-F61F-4B1A-9C18-EAE2F44B84DC}"/>
            </a:ext>
          </a:extLst>
        </xdr:cNvPr>
        <xdr:cNvGrpSpPr>
          <a:grpSpLocks noChangeAspect="1"/>
        </xdr:cNvGrpSpPr>
      </xdr:nvGrpSpPr>
      <xdr:grpSpPr bwMode="auto">
        <a:xfrm>
          <a:off x="2374970" y="70747723"/>
          <a:ext cx="875058" cy="190500"/>
          <a:chOff x="206" y="86"/>
          <a:chExt cx="73" cy="16"/>
        </a:xfrm>
      </xdr:grpSpPr>
      <xdr:sp macro="" textlink="">
        <xdr:nvSpPr>
          <xdr:cNvPr id="2567" name="Line 6">
            <a:extLst>
              <a:ext uri="{FF2B5EF4-FFF2-40B4-BE49-F238E27FC236}">
                <a16:creationId xmlns:a16="http://schemas.microsoft.com/office/drawing/2014/main" id="{BA71E88E-E0FB-103F-3B13-B5AF5AE714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8" name="Line 7">
            <a:extLst>
              <a:ext uri="{FF2B5EF4-FFF2-40B4-BE49-F238E27FC236}">
                <a16:creationId xmlns:a16="http://schemas.microsoft.com/office/drawing/2014/main" id="{C3DBCD0F-4F88-E050-17A9-71FF091DAD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9" name="Line 8">
            <a:extLst>
              <a:ext uri="{FF2B5EF4-FFF2-40B4-BE49-F238E27FC236}">
                <a16:creationId xmlns:a16="http://schemas.microsoft.com/office/drawing/2014/main" id="{A832DFC7-09E3-C72C-5E24-4DBBC3AEE0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184</xdr:row>
      <xdr:rowOff>58616</xdr:rowOff>
    </xdr:from>
    <xdr:to>
      <xdr:col>3</xdr:col>
      <xdr:colOff>977635</xdr:colOff>
      <xdr:row>184</xdr:row>
      <xdr:rowOff>249116</xdr:rowOff>
    </xdr:to>
    <xdr:grpSp>
      <xdr:nvGrpSpPr>
        <xdr:cNvPr id="2570" name="hinh2">
          <a:extLst>
            <a:ext uri="{FF2B5EF4-FFF2-40B4-BE49-F238E27FC236}">
              <a16:creationId xmlns:a16="http://schemas.microsoft.com/office/drawing/2014/main" id="{AD072B29-7A6C-4321-A509-7A13ECFDCDB7}"/>
            </a:ext>
          </a:extLst>
        </xdr:cNvPr>
        <xdr:cNvGrpSpPr>
          <a:grpSpLocks noChangeAspect="1"/>
        </xdr:cNvGrpSpPr>
      </xdr:nvGrpSpPr>
      <xdr:grpSpPr bwMode="auto">
        <a:xfrm>
          <a:off x="2374970" y="71142330"/>
          <a:ext cx="875058" cy="190500"/>
          <a:chOff x="206" y="86"/>
          <a:chExt cx="73" cy="16"/>
        </a:xfrm>
      </xdr:grpSpPr>
      <xdr:sp macro="" textlink="">
        <xdr:nvSpPr>
          <xdr:cNvPr id="2571" name="Line 6">
            <a:extLst>
              <a:ext uri="{FF2B5EF4-FFF2-40B4-BE49-F238E27FC236}">
                <a16:creationId xmlns:a16="http://schemas.microsoft.com/office/drawing/2014/main" id="{F6745AA4-E21D-3971-CEC5-54F8819AF1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2" name="Line 7">
            <a:extLst>
              <a:ext uri="{FF2B5EF4-FFF2-40B4-BE49-F238E27FC236}">
                <a16:creationId xmlns:a16="http://schemas.microsoft.com/office/drawing/2014/main" id="{C3AFC674-B02D-2015-9D7D-657973609B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3" name="Line 8">
            <a:extLst>
              <a:ext uri="{FF2B5EF4-FFF2-40B4-BE49-F238E27FC236}">
                <a16:creationId xmlns:a16="http://schemas.microsoft.com/office/drawing/2014/main" id="{99E07D2F-908E-2C32-00D4-CEB3B0745B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185</xdr:row>
      <xdr:rowOff>58616</xdr:rowOff>
    </xdr:from>
    <xdr:to>
      <xdr:col>3</xdr:col>
      <xdr:colOff>977635</xdr:colOff>
      <xdr:row>185</xdr:row>
      <xdr:rowOff>249116</xdr:rowOff>
    </xdr:to>
    <xdr:grpSp>
      <xdr:nvGrpSpPr>
        <xdr:cNvPr id="2574" name="hinh2">
          <a:extLst>
            <a:ext uri="{FF2B5EF4-FFF2-40B4-BE49-F238E27FC236}">
              <a16:creationId xmlns:a16="http://schemas.microsoft.com/office/drawing/2014/main" id="{E80C39D3-BB3D-4082-B46F-6626369FFE35}"/>
            </a:ext>
          </a:extLst>
        </xdr:cNvPr>
        <xdr:cNvGrpSpPr>
          <a:grpSpLocks noChangeAspect="1"/>
        </xdr:cNvGrpSpPr>
      </xdr:nvGrpSpPr>
      <xdr:grpSpPr bwMode="auto">
        <a:xfrm>
          <a:off x="2374970" y="71536937"/>
          <a:ext cx="875058" cy="190500"/>
          <a:chOff x="206" y="86"/>
          <a:chExt cx="73" cy="16"/>
        </a:xfrm>
      </xdr:grpSpPr>
      <xdr:sp macro="" textlink="">
        <xdr:nvSpPr>
          <xdr:cNvPr id="2575" name="Line 6">
            <a:extLst>
              <a:ext uri="{FF2B5EF4-FFF2-40B4-BE49-F238E27FC236}">
                <a16:creationId xmlns:a16="http://schemas.microsoft.com/office/drawing/2014/main" id="{F282D435-B2C3-C19F-9282-99B151A8EF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6" name="Line 7">
            <a:extLst>
              <a:ext uri="{FF2B5EF4-FFF2-40B4-BE49-F238E27FC236}">
                <a16:creationId xmlns:a16="http://schemas.microsoft.com/office/drawing/2014/main" id="{B600FCD8-9509-EF8D-988C-A6F22E3E12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7" name="Line 8">
            <a:extLst>
              <a:ext uri="{FF2B5EF4-FFF2-40B4-BE49-F238E27FC236}">
                <a16:creationId xmlns:a16="http://schemas.microsoft.com/office/drawing/2014/main" id="{223E09B3-BB3B-0BF1-4392-1E57D6B4CD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187</xdr:row>
      <xdr:rowOff>58616</xdr:rowOff>
    </xdr:from>
    <xdr:to>
      <xdr:col>3</xdr:col>
      <xdr:colOff>977635</xdr:colOff>
      <xdr:row>187</xdr:row>
      <xdr:rowOff>249116</xdr:rowOff>
    </xdr:to>
    <xdr:grpSp>
      <xdr:nvGrpSpPr>
        <xdr:cNvPr id="2578" name="hinh2">
          <a:extLst>
            <a:ext uri="{FF2B5EF4-FFF2-40B4-BE49-F238E27FC236}">
              <a16:creationId xmlns:a16="http://schemas.microsoft.com/office/drawing/2014/main" id="{A695506D-3BF6-4573-9934-A7149DC49C5F}"/>
            </a:ext>
          </a:extLst>
        </xdr:cNvPr>
        <xdr:cNvGrpSpPr>
          <a:grpSpLocks noChangeAspect="1"/>
        </xdr:cNvGrpSpPr>
      </xdr:nvGrpSpPr>
      <xdr:grpSpPr bwMode="auto">
        <a:xfrm>
          <a:off x="2374970" y="72326152"/>
          <a:ext cx="875058" cy="190500"/>
          <a:chOff x="206" y="86"/>
          <a:chExt cx="73" cy="16"/>
        </a:xfrm>
      </xdr:grpSpPr>
      <xdr:sp macro="" textlink="">
        <xdr:nvSpPr>
          <xdr:cNvPr id="2579" name="Line 6">
            <a:extLst>
              <a:ext uri="{FF2B5EF4-FFF2-40B4-BE49-F238E27FC236}">
                <a16:creationId xmlns:a16="http://schemas.microsoft.com/office/drawing/2014/main" id="{0C11E35A-DDC1-DF5E-56B8-05BCFBEE85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0" name="Line 7">
            <a:extLst>
              <a:ext uri="{FF2B5EF4-FFF2-40B4-BE49-F238E27FC236}">
                <a16:creationId xmlns:a16="http://schemas.microsoft.com/office/drawing/2014/main" id="{4EDBEE40-B12A-81F2-8AE7-FAF789924C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1" name="Line 8">
            <a:extLst>
              <a:ext uri="{FF2B5EF4-FFF2-40B4-BE49-F238E27FC236}">
                <a16:creationId xmlns:a16="http://schemas.microsoft.com/office/drawing/2014/main" id="{0D7E3984-7586-9914-A025-462F5FFA5B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183</xdr:row>
      <xdr:rowOff>58616</xdr:rowOff>
    </xdr:from>
    <xdr:to>
      <xdr:col>3</xdr:col>
      <xdr:colOff>977635</xdr:colOff>
      <xdr:row>183</xdr:row>
      <xdr:rowOff>249116</xdr:rowOff>
    </xdr:to>
    <xdr:grpSp>
      <xdr:nvGrpSpPr>
        <xdr:cNvPr id="2582" name="hinh2">
          <a:extLst>
            <a:ext uri="{FF2B5EF4-FFF2-40B4-BE49-F238E27FC236}">
              <a16:creationId xmlns:a16="http://schemas.microsoft.com/office/drawing/2014/main" id="{0BEE3BC0-F963-44C6-A14C-DD4241906169}"/>
            </a:ext>
          </a:extLst>
        </xdr:cNvPr>
        <xdr:cNvGrpSpPr>
          <a:grpSpLocks noChangeAspect="1"/>
        </xdr:cNvGrpSpPr>
      </xdr:nvGrpSpPr>
      <xdr:grpSpPr bwMode="auto">
        <a:xfrm>
          <a:off x="2374970" y="70747723"/>
          <a:ext cx="875058" cy="190500"/>
          <a:chOff x="206" y="86"/>
          <a:chExt cx="73" cy="16"/>
        </a:xfrm>
      </xdr:grpSpPr>
      <xdr:sp macro="" textlink="">
        <xdr:nvSpPr>
          <xdr:cNvPr id="2583" name="Line 6">
            <a:extLst>
              <a:ext uri="{FF2B5EF4-FFF2-40B4-BE49-F238E27FC236}">
                <a16:creationId xmlns:a16="http://schemas.microsoft.com/office/drawing/2014/main" id="{52C6D63E-11D8-1E01-CFD2-C9D03E3B72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4" name="Line 7">
            <a:extLst>
              <a:ext uri="{FF2B5EF4-FFF2-40B4-BE49-F238E27FC236}">
                <a16:creationId xmlns:a16="http://schemas.microsoft.com/office/drawing/2014/main" id="{D906A75D-FA0B-15F8-7C5D-69A4BF91A4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5" name="Line 8">
            <a:extLst>
              <a:ext uri="{FF2B5EF4-FFF2-40B4-BE49-F238E27FC236}">
                <a16:creationId xmlns:a16="http://schemas.microsoft.com/office/drawing/2014/main" id="{76CE7D8B-FE51-6B01-C819-EDF4F88C47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184</xdr:row>
      <xdr:rowOff>58616</xdr:rowOff>
    </xdr:from>
    <xdr:to>
      <xdr:col>3</xdr:col>
      <xdr:colOff>977635</xdr:colOff>
      <xdr:row>184</xdr:row>
      <xdr:rowOff>249116</xdr:rowOff>
    </xdr:to>
    <xdr:grpSp>
      <xdr:nvGrpSpPr>
        <xdr:cNvPr id="2586" name="hinh2">
          <a:extLst>
            <a:ext uri="{FF2B5EF4-FFF2-40B4-BE49-F238E27FC236}">
              <a16:creationId xmlns:a16="http://schemas.microsoft.com/office/drawing/2014/main" id="{EBF8D55C-EA5B-4C37-9D08-545F1DD2D32B}"/>
            </a:ext>
          </a:extLst>
        </xdr:cNvPr>
        <xdr:cNvGrpSpPr>
          <a:grpSpLocks noChangeAspect="1"/>
        </xdr:cNvGrpSpPr>
      </xdr:nvGrpSpPr>
      <xdr:grpSpPr bwMode="auto">
        <a:xfrm>
          <a:off x="2374970" y="71142330"/>
          <a:ext cx="875058" cy="190500"/>
          <a:chOff x="206" y="86"/>
          <a:chExt cx="73" cy="16"/>
        </a:xfrm>
      </xdr:grpSpPr>
      <xdr:sp macro="" textlink="">
        <xdr:nvSpPr>
          <xdr:cNvPr id="2587" name="Line 6">
            <a:extLst>
              <a:ext uri="{FF2B5EF4-FFF2-40B4-BE49-F238E27FC236}">
                <a16:creationId xmlns:a16="http://schemas.microsoft.com/office/drawing/2014/main" id="{69686337-A915-272E-08FE-2C79B318F5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8" name="Line 7">
            <a:extLst>
              <a:ext uri="{FF2B5EF4-FFF2-40B4-BE49-F238E27FC236}">
                <a16:creationId xmlns:a16="http://schemas.microsoft.com/office/drawing/2014/main" id="{B03F5515-E6D3-34CF-0B9D-495E72C9ED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9" name="Line 8">
            <a:extLst>
              <a:ext uri="{FF2B5EF4-FFF2-40B4-BE49-F238E27FC236}">
                <a16:creationId xmlns:a16="http://schemas.microsoft.com/office/drawing/2014/main" id="{5C7A7912-6E3C-FCD1-F48A-12B5C18736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184</xdr:row>
      <xdr:rowOff>58616</xdr:rowOff>
    </xdr:from>
    <xdr:to>
      <xdr:col>3</xdr:col>
      <xdr:colOff>977635</xdr:colOff>
      <xdr:row>184</xdr:row>
      <xdr:rowOff>249116</xdr:rowOff>
    </xdr:to>
    <xdr:grpSp>
      <xdr:nvGrpSpPr>
        <xdr:cNvPr id="2590" name="hinh2">
          <a:extLst>
            <a:ext uri="{FF2B5EF4-FFF2-40B4-BE49-F238E27FC236}">
              <a16:creationId xmlns:a16="http://schemas.microsoft.com/office/drawing/2014/main" id="{FE1E27A3-BB33-4058-92F5-9C3ECF48703F}"/>
            </a:ext>
          </a:extLst>
        </xdr:cNvPr>
        <xdr:cNvGrpSpPr>
          <a:grpSpLocks noChangeAspect="1"/>
        </xdr:cNvGrpSpPr>
      </xdr:nvGrpSpPr>
      <xdr:grpSpPr bwMode="auto">
        <a:xfrm>
          <a:off x="2374970" y="71142330"/>
          <a:ext cx="875058" cy="190500"/>
          <a:chOff x="206" y="86"/>
          <a:chExt cx="73" cy="16"/>
        </a:xfrm>
      </xdr:grpSpPr>
      <xdr:sp macro="" textlink="">
        <xdr:nvSpPr>
          <xdr:cNvPr id="2591" name="Line 6">
            <a:extLst>
              <a:ext uri="{FF2B5EF4-FFF2-40B4-BE49-F238E27FC236}">
                <a16:creationId xmlns:a16="http://schemas.microsoft.com/office/drawing/2014/main" id="{0E935BDD-D1EE-AEE9-7205-71F1959260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2" name="Line 7">
            <a:extLst>
              <a:ext uri="{FF2B5EF4-FFF2-40B4-BE49-F238E27FC236}">
                <a16:creationId xmlns:a16="http://schemas.microsoft.com/office/drawing/2014/main" id="{F15D98C1-6392-8533-0E49-27E1C08C51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3" name="Line 8">
            <a:extLst>
              <a:ext uri="{FF2B5EF4-FFF2-40B4-BE49-F238E27FC236}">
                <a16:creationId xmlns:a16="http://schemas.microsoft.com/office/drawing/2014/main" id="{55674EAC-6273-133D-3F23-17349C3FDE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152</xdr:row>
      <xdr:rowOff>80596</xdr:rowOff>
    </xdr:from>
    <xdr:to>
      <xdr:col>3</xdr:col>
      <xdr:colOff>970308</xdr:colOff>
      <xdr:row>152</xdr:row>
      <xdr:rowOff>244279</xdr:rowOff>
    </xdr:to>
    <xdr:grpSp>
      <xdr:nvGrpSpPr>
        <xdr:cNvPr id="2594" name="hinh2">
          <a:extLst>
            <a:ext uri="{FF2B5EF4-FFF2-40B4-BE49-F238E27FC236}">
              <a16:creationId xmlns:a16="http://schemas.microsoft.com/office/drawing/2014/main" id="{A0F961C6-8038-48F6-8026-39467D0C29DC}"/>
            </a:ext>
          </a:extLst>
        </xdr:cNvPr>
        <xdr:cNvGrpSpPr>
          <a:grpSpLocks noChangeAspect="1"/>
        </xdr:cNvGrpSpPr>
      </xdr:nvGrpSpPr>
      <xdr:grpSpPr bwMode="auto">
        <a:xfrm>
          <a:off x="2367643" y="58536882"/>
          <a:ext cx="875058" cy="163683"/>
          <a:chOff x="206" y="86"/>
          <a:chExt cx="73" cy="16"/>
        </a:xfrm>
      </xdr:grpSpPr>
      <xdr:sp macro="" textlink="">
        <xdr:nvSpPr>
          <xdr:cNvPr id="2595" name="Line 6">
            <a:extLst>
              <a:ext uri="{FF2B5EF4-FFF2-40B4-BE49-F238E27FC236}">
                <a16:creationId xmlns:a16="http://schemas.microsoft.com/office/drawing/2014/main" id="{760F7E7D-0998-2116-7531-0E5522443A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6" name="Line 7">
            <a:extLst>
              <a:ext uri="{FF2B5EF4-FFF2-40B4-BE49-F238E27FC236}">
                <a16:creationId xmlns:a16="http://schemas.microsoft.com/office/drawing/2014/main" id="{854744AF-D864-7DFC-551D-B1ACF8A543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7" name="Line 8">
            <a:extLst>
              <a:ext uri="{FF2B5EF4-FFF2-40B4-BE49-F238E27FC236}">
                <a16:creationId xmlns:a16="http://schemas.microsoft.com/office/drawing/2014/main" id="{C84A15DD-50AF-3F8F-B2A3-7204974FEA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153</xdr:row>
      <xdr:rowOff>58616</xdr:rowOff>
    </xdr:from>
    <xdr:to>
      <xdr:col>3</xdr:col>
      <xdr:colOff>977635</xdr:colOff>
      <xdr:row>153</xdr:row>
      <xdr:rowOff>249116</xdr:rowOff>
    </xdr:to>
    <xdr:grpSp>
      <xdr:nvGrpSpPr>
        <xdr:cNvPr id="2598" name="hinh2">
          <a:extLst>
            <a:ext uri="{FF2B5EF4-FFF2-40B4-BE49-F238E27FC236}">
              <a16:creationId xmlns:a16="http://schemas.microsoft.com/office/drawing/2014/main" id="{625DE356-634A-4E53-A4E2-71FFE66E05CB}"/>
            </a:ext>
          </a:extLst>
        </xdr:cNvPr>
        <xdr:cNvGrpSpPr>
          <a:grpSpLocks noChangeAspect="1"/>
        </xdr:cNvGrpSpPr>
      </xdr:nvGrpSpPr>
      <xdr:grpSpPr bwMode="auto">
        <a:xfrm>
          <a:off x="2374970" y="58909509"/>
          <a:ext cx="875058" cy="190500"/>
          <a:chOff x="206" y="86"/>
          <a:chExt cx="73" cy="16"/>
        </a:xfrm>
      </xdr:grpSpPr>
      <xdr:sp macro="" textlink="">
        <xdr:nvSpPr>
          <xdr:cNvPr id="2599" name="Line 6">
            <a:extLst>
              <a:ext uri="{FF2B5EF4-FFF2-40B4-BE49-F238E27FC236}">
                <a16:creationId xmlns:a16="http://schemas.microsoft.com/office/drawing/2014/main" id="{CFB72B68-A658-7D70-681F-2849DE726E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0" name="Line 7">
            <a:extLst>
              <a:ext uri="{FF2B5EF4-FFF2-40B4-BE49-F238E27FC236}">
                <a16:creationId xmlns:a16="http://schemas.microsoft.com/office/drawing/2014/main" id="{F6A6B43F-9A74-17AA-3276-FBBCDD8CCC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1" name="Line 8">
            <a:extLst>
              <a:ext uri="{FF2B5EF4-FFF2-40B4-BE49-F238E27FC236}">
                <a16:creationId xmlns:a16="http://schemas.microsoft.com/office/drawing/2014/main" id="{F67D7B58-EBFD-06ED-EDB2-CCEFCE3918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154</xdr:row>
      <xdr:rowOff>58616</xdr:rowOff>
    </xdr:from>
    <xdr:to>
      <xdr:col>3</xdr:col>
      <xdr:colOff>977635</xdr:colOff>
      <xdr:row>154</xdr:row>
      <xdr:rowOff>249116</xdr:rowOff>
    </xdr:to>
    <xdr:grpSp>
      <xdr:nvGrpSpPr>
        <xdr:cNvPr id="2602" name="hinh2">
          <a:extLst>
            <a:ext uri="{FF2B5EF4-FFF2-40B4-BE49-F238E27FC236}">
              <a16:creationId xmlns:a16="http://schemas.microsoft.com/office/drawing/2014/main" id="{9DA9BD24-43BD-48A8-BB20-83322FDACA7B}"/>
            </a:ext>
          </a:extLst>
        </xdr:cNvPr>
        <xdr:cNvGrpSpPr>
          <a:grpSpLocks noChangeAspect="1"/>
        </xdr:cNvGrpSpPr>
      </xdr:nvGrpSpPr>
      <xdr:grpSpPr bwMode="auto">
        <a:xfrm>
          <a:off x="2374970" y="59304116"/>
          <a:ext cx="875058" cy="190500"/>
          <a:chOff x="206" y="86"/>
          <a:chExt cx="73" cy="16"/>
        </a:xfrm>
      </xdr:grpSpPr>
      <xdr:sp macro="" textlink="">
        <xdr:nvSpPr>
          <xdr:cNvPr id="2603" name="Line 6">
            <a:extLst>
              <a:ext uri="{FF2B5EF4-FFF2-40B4-BE49-F238E27FC236}">
                <a16:creationId xmlns:a16="http://schemas.microsoft.com/office/drawing/2014/main" id="{414AEB02-98E9-8294-63CA-1419F460CB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4" name="Line 7">
            <a:extLst>
              <a:ext uri="{FF2B5EF4-FFF2-40B4-BE49-F238E27FC236}">
                <a16:creationId xmlns:a16="http://schemas.microsoft.com/office/drawing/2014/main" id="{17081FBD-2D7D-B974-5221-890EB17AAC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5" name="Line 8">
            <a:extLst>
              <a:ext uri="{FF2B5EF4-FFF2-40B4-BE49-F238E27FC236}">
                <a16:creationId xmlns:a16="http://schemas.microsoft.com/office/drawing/2014/main" id="{B1B02231-7FF7-226E-202A-F9716B1B1B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155</xdr:row>
      <xdr:rowOff>58616</xdr:rowOff>
    </xdr:from>
    <xdr:to>
      <xdr:col>3</xdr:col>
      <xdr:colOff>977635</xdr:colOff>
      <xdr:row>155</xdr:row>
      <xdr:rowOff>249116</xdr:rowOff>
    </xdr:to>
    <xdr:grpSp>
      <xdr:nvGrpSpPr>
        <xdr:cNvPr id="2606" name="hinh2">
          <a:extLst>
            <a:ext uri="{FF2B5EF4-FFF2-40B4-BE49-F238E27FC236}">
              <a16:creationId xmlns:a16="http://schemas.microsoft.com/office/drawing/2014/main" id="{CDF4768E-9392-4776-AB0A-7AD0C4BD4C54}"/>
            </a:ext>
          </a:extLst>
        </xdr:cNvPr>
        <xdr:cNvGrpSpPr>
          <a:grpSpLocks noChangeAspect="1"/>
        </xdr:cNvGrpSpPr>
      </xdr:nvGrpSpPr>
      <xdr:grpSpPr bwMode="auto">
        <a:xfrm>
          <a:off x="2374970" y="59698723"/>
          <a:ext cx="875058" cy="190500"/>
          <a:chOff x="206" y="86"/>
          <a:chExt cx="73" cy="16"/>
        </a:xfrm>
      </xdr:grpSpPr>
      <xdr:sp macro="" textlink="">
        <xdr:nvSpPr>
          <xdr:cNvPr id="2607" name="Line 6">
            <a:extLst>
              <a:ext uri="{FF2B5EF4-FFF2-40B4-BE49-F238E27FC236}">
                <a16:creationId xmlns:a16="http://schemas.microsoft.com/office/drawing/2014/main" id="{65B4A916-EE4B-FDD7-E2EF-B2D8DC2B32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8" name="Line 7">
            <a:extLst>
              <a:ext uri="{FF2B5EF4-FFF2-40B4-BE49-F238E27FC236}">
                <a16:creationId xmlns:a16="http://schemas.microsoft.com/office/drawing/2014/main" id="{E7353F40-461C-2491-1F85-B46F5E5906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9" name="Line 8">
            <a:extLst>
              <a:ext uri="{FF2B5EF4-FFF2-40B4-BE49-F238E27FC236}">
                <a16:creationId xmlns:a16="http://schemas.microsoft.com/office/drawing/2014/main" id="{8CE6F8BB-8200-E511-78D3-F7882A1C61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156</xdr:row>
      <xdr:rowOff>58616</xdr:rowOff>
    </xdr:from>
    <xdr:to>
      <xdr:col>3</xdr:col>
      <xdr:colOff>977635</xdr:colOff>
      <xdr:row>156</xdr:row>
      <xdr:rowOff>249116</xdr:rowOff>
    </xdr:to>
    <xdr:grpSp>
      <xdr:nvGrpSpPr>
        <xdr:cNvPr id="2610" name="hinh2">
          <a:extLst>
            <a:ext uri="{FF2B5EF4-FFF2-40B4-BE49-F238E27FC236}">
              <a16:creationId xmlns:a16="http://schemas.microsoft.com/office/drawing/2014/main" id="{9E3CFCA5-1C09-4D05-BF73-841B51631ABB}"/>
            </a:ext>
          </a:extLst>
        </xdr:cNvPr>
        <xdr:cNvGrpSpPr>
          <a:grpSpLocks noChangeAspect="1"/>
        </xdr:cNvGrpSpPr>
      </xdr:nvGrpSpPr>
      <xdr:grpSpPr bwMode="auto">
        <a:xfrm>
          <a:off x="2374970" y="60093330"/>
          <a:ext cx="875058" cy="190500"/>
          <a:chOff x="206" y="86"/>
          <a:chExt cx="73" cy="16"/>
        </a:xfrm>
      </xdr:grpSpPr>
      <xdr:sp macro="" textlink="">
        <xdr:nvSpPr>
          <xdr:cNvPr id="2611" name="Line 6">
            <a:extLst>
              <a:ext uri="{FF2B5EF4-FFF2-40B4-BE49-F238E27FC236}">
                <a16:creationId xmlns:a16="http://schemas.microsoft.com/office/drawing/2014/main" id="{048DAD24-4A1E-2C3E-3BFB-35518FD675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2" name="Line 7">
            <a:extLst>
              <a:ext uri="{FF2B5EF4-FFF2-40B4-BE49-F238E27FC236}">
                <a16:creationId xmlns:a16="http://schemas.microsoft.com/office/drawing/2014/main" id="{B9DD241F-7D51-2F1E-2197-1FBD4996ED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3" name="Line 8">
            <a:extLst>
              <a:ext uri="{FF2B5EF4-FFF2-40B4-BE49-F238E27FC236}">
                <a16:creationId xmlns:a16="http://schemas.microsoft.com/office/drawing/2014/main" id="{403E3643-1CDC-EAF7-E4C4-B50410E20B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158</xdr:row>
      <xdr:rowOff>58616</xdr:rowOff>
    </xdr:from>
    <xdr:to>
      <xdr:col>3</xdr:col>
      <xdr:colOff>977635</xdr:colOff>
      <xdr:row>158</xdr:row>
      <xdr:rowOff>249116</xdr:rowOff>
    </xdr:to>
    <xdr:grpSp>
      <xdr:nvGrpSpPr>
        <xdr:cNvPr id="2618" name="hinh2">
          <a:extLst>
            <a:ext uri="{FF2B5EF4-FFF2-40B4-BE49-F238E27FC236}">
              <a16:creationId xmlns:a16="http://schemas.microsoft.com/office/drawing/2014/main" id="{39514B1E-A9AD-418F-97BC-A8BD73A89B83}"/>
            </a:ext>
          </a:extLst>
        </xdr:cNvPr>
        <xdr:cNvGrpSpPr>
          <a:grpSpLocks noChangeAspect="1"/>
        </xdr:cNvGrpSpPr>
      </xdr:nvGrpSpPr>
      <xdr:grpSpPr bwMode="auto">
        <a:xfrm>
          <a:off x="2374970" y="60882545"/>
          <a:ext cx="875058" cy="190500"/>
          <a:chOff x="206" y="86"/>
          <a:chExt cx="73" cy="16"/>
        </a:xfrm>
      </xdr:grpSpPr>
      <xdr:sp macro="" textlink="">
        <xdr:nvSpPr>
          <xdr:cNvPr id="2619" name="Line 6">
            <a:extLst>
              <a:ext uri="{FF2B5EF4-FFF2-40B4-BE49-F238E27FC236}">
                <a16:creationId xmlns:a16="http://schemas.microsoft.com/office/drawing/2014/main" id="{0305A79B-FE41-9A06-AEAF-A2A40A9669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0" name="Line 7">
            <a:extLst>
              <a:ext uri="{FF2B5EF4-FFF2-40B4-BE49-F238E27FC236}">
                <a16:creationId xmlns:a16="http://schemas.microsoft.com/office/drawing/2014/main" id="{F7A8EFE4-19C2-CE41-DA05-DD87AED5AB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1" name="Line 8">
            <a:extLst>
              <a:ext uri="{FF2B5EF4-FFF2-40B4-BE49-F238E27FC236}">
                <a16:creationId xmlns:a16="http://schemas.microsoft.com/office/drawing/2014/main" id="{089C302B-61BF-0F3D-CDB0-3D08A69CB3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154</xdr:row>
      <xdr:rowOff>58616</xdr:rowOff>
    </xdr:from>
    <xdr:to>
      <xdr:col>3</xdr:col>
      <xdr:colOff>977635</xdr:colOff>
      <xdr:row>154</xdr:row>
      <xdr:rowOff>249116</xdr:rowOff>
    </xdr:to>
    <xdr:grpSp>
      <xdr:nvGrpSpPr>
        <xdr:cNvPr id="2622" name="hinh2">
          <a:extLst>
            <a:ext uri="{FF2B5EF4-FFF2-40B4-BE49-F238E27FC236}">
              <a16:creationId xmlns:a16="http://schemas.microsoft.com/office/drawing/2014/main" id="{19916573-DB04-4551-9558-FB2AA857E20F}"/>
            </a:ext>
          </a:extLst>
        </xdr:cNvPr>
        <xdr:cNvGrpSpPr>
          <a:grpSpLocks noChangeAspect="1"/>
        </xdr:cNvGrpSpPr>
      </xdr:nvGrpSpPr>
      <xdr:grpSpPr bwMode="auto">
        <a:xfrm>
          <a:off x="2374970" y="59304116"/>
          <a:ext cx="875058" cy="190500"/>
          <a:chOff x="206" y="86"/>
          <a:chExt cx="73" cy="16"/>
        </a:xfrm>
      </xdr:grpSpPr>
      <xdr:sp macro="" textlink="">
        <xdr:nvSpPr>
          <xdr:cNvPr id="2623" name="Line 6">
            <a:extLst>
              <a:ext uri="{FF2B5EF4-FFF2-40B4-BE49-F238E27FC236}">
                <a16:creationId xmlns:a16="http://schemas.microsoft.com/office/drawing/2014/main" id="{4D63C382-3381-EE77-A3CC-19CAE556F4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4" name="Line 7">
            <a:extLst>
              <a:ext uri="{FF2B5EF4-FFF2-40B4-BE49-F238E27FC236}">
                <a16:creationId xmlns:a16="http://schemas.microsoft.com/office/drawing/2014/main" id="{269C840C-680B-F904-1EF8-E2EC3A4C60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5" name="Line 8">
            <a:extLst>
              <a:ext uri="{FF2B5EF4-FFF2-40B4-BE49-F238E27FC236}">
                <a16:creationId xmlns:a16="http://schemas.microsoft.com/office/drawing/2014/main" id="{1DB6AA97-0901-B6CC-0375-3908E496A1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155</xdr:row>
      <xdr:rowOff>58616</xdr:rowOff>
    </xdr:from>
    <xdr:to>
      <xdr:col>3</xdr:col>
      <xdr:colOff>977635</xdr:colOff>
      <xdr:row>155</xdr:row>
      <xdr:rowOff>249116</xdr:rowOff>
    </xdr:to>
    <xdr:grpSp>
      <xdr:nvGrpSpPr>
        <xdr:cNvPr id="2626" name="hinh2">
          <a:extLst>
            <a:ext uri="{FF2B5EF4-FFF2-40B4-BE49-F238E27FC236}">
              <a16:creationId xmlns:a16="http://schemas.microsoft.com/office/drawing/2014/main" id="{6BCA6842-B302-4D78-A176-F0AB1326A0E2}"/>
            </a:ext>
          </a:extLst>
        </xdr:cNvPr>
        <xdr:cNvGrpSpPr>
          <a:grpSpLocks noChangeAspect="1"/>
        </xdr:cNvGrpSpPr>
      </xdr:nvGrpSpPr>
      <xdr:grpSpPr bwMode="auto">
        <a:xfrm>
          <a:off x="2374970" y="59698723"/>
          <a:ext cx="875058" cy="190500"/>
          <a:chOff x="206" y="86"/>
          <a:chExt cx="73" cy="16"/>
        </a:xfrm>
      </xdr:grpSpPr>
      <xdr:sp macro="" textlink="">
        <xdr:nvSpPr>
          <xdr:cNvPr id="2627" name="Line 6">
            <a:extLst>
              <a:ext uri="{FF2B5EF4-FFF2-40B4-BE49-F238E27FC236}">
                <a16:creationId xmlns:a16="http://schemas.microsoft.com/office/drawing/2014/main" id="{A24BEF88-7CEE-180C-7BFD-BFB48083FA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8" name="Line 7">
            <a:extLst>
              <a:ext uri="{FF2B5EF4-FFF2-40B4-BE49-F238E27FC236}">
                <a16:creationId xmlns:a16="http://schemas.microsoft.com/office/drawing/2014/main" id="{D79C636E-6354-E6B6-F231-C48543EE27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9" name="Line 8">
            <a:extLst>
              <a:ext uri="{FF2B5EF4-FFF2-40B4-BE49-F238E27FC236}">
                <a16:creationId xmlns:a16="http://schemas.microsoft.com/office/drawing/2014/main" id="{2A4A97EF-5544-1997-E0F3-AB5B8A31ED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155</xdr:row>
      <xdr:rowOff>58616</xdr:rowOff>
    </xdr:from>
    <xdr:to>
      <xdr:col>3</xdr:col>
      <xdr:colOff>977635</xdr:colOff>
      <xdr:row>155</xdr:row>
      <xdr:rowOff>249116</xdr:rowOff>
    </xdr:to>
    <xdr:grpSp>
      <xdr:nvGrpSpPr>
        <xdr:cNvPr id="2630" name="hinh2">
          <a:extLst>
            <a:ext uri="{FF2B5EF4-FFF2-40B4-BE49-F238E27FC236}">
              <a16:creationId xmlns:a16="http://schemas.microsoft.com/office/drawing/2014/main" id="{F0630191-A0A1-46C5-BC4D-A6A7E38CD36A}"/>
            </a:ext>
          </a:extLst>
        </xdr:cNvPr>
        <xdr:cNvGrpSpPr>
          <a:grpSpLocks noChangeAspect="1"/>
        </xdr:cNvGrpSpPr>
      </xdr:nvGrpSpPr>
      <xdr:grpSpPr bwMode="auto">
        <a:xfrm>
          <a:off x="2374970" y="59698723"/>
          <a:ext cx="875058" cy="190500"/>
          <a:chOff x="206" y="86"/>
          <a:chExt cx="73" cy="16"/>
        </a:xfrm>
      </xdr:grpSpPr>
      <xdr:sp macro="" textlink="">
        <xdr:nvSpPr>
          <xdr:cNvPr id="2631" name="Line 6">
            <a:extLst>
              <a:ext uri="{FF2B5EF4-FFF2-40B4-BE49-F238E27FC236}">
                <a16:creationId xmlns:a16="http://schemas.microsoft.com/office/drawing/2014/main" id="{644B3C39-AE3F-6522-1D0F-E761C64522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2" name="Line 7">
            <a:extLst>
              <a:ext uri="{FF2B5EF4-FFF2-40B4-BE49-F238E27FC236}">
                <a16:creationId xmlns:a16="http://schemas.microsoft.com/office/drawing/2014/main" id="{098F36D1-C229-F7C8-AC12-CDB98453A7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3" name="Line 8">
            <a:extLst>
              <a:ext uri="{FF2B5EF4-FFF2-40B4-BE49-F238E27FC236}">
                <a16:creationId xmlns:a16="http://schemas.microsoft.com/office/drawing/2014/main" id="{7199FB36-C16C-486F-5280-48538FD6CA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157</xdr:row>
      <xdr:rowOff>58616</xdr:rowOff>
    </xdr:from>
    <xdr:to>
      <xdr:col>3</xdr:col>
      <xdr:colOff>977635</xdr:colOff>
      <xdr:row>157</xdr:row>
      <xdr:rowOff>249116</xdr:rowOff>
    </xdr:to>
    <xdr:grpSp>
      <xdr:nvGrpSpPr>
        <xdr:cNvPr id="2634" name="hinh2">
          <a:extLst>
            <a:ext uri="{FF2B5EF4-FFF2-40B4-BE49-F238E27FC236}">
              <a16:creationId xmlns:a16="http://schemas.microsoft.com/office/drawing/2014/main" id="{9C792818-3F9F-4AD6-8281-6D3EB63B7770}"/>
            </a:ext>
          </a:extLst>
        </xdr:cNvPr>
        <xdr:cNvGrpSpPr>
          <a:grpSpLocks noChangeAspect="1"/>
        </xdr:cNvGrpSpPr>
      </xdr:nvGrpSpPr>
      <xdr:grpSpPr bwMode="auto">
        <a:xfrm>
          <a:off x="2374970" y="60487937"/>
          <a:ext cx="875058" cy="190500"/>
          <a:chOff x="206" y="86"/>
          <a:chExt cx="73" cy="16"/>
        </a:xfrm>
      </xdr:grpSpPr>
      <xdr:sp macro="" textlink="">
        <xdr:nvSpPr>
          <xdr:cNvPr id="2635" name="Line 6">
            <a:extLst>
              <a:ext uri="{FF2B5EF4-FFF2-40B4-BE49-F238E27FC236}">
                <a16:creationId xmlns:a16="http://schemas.microsoft.com/office/drawing/2014/main" id="{D5EA1A26-5420-ED27-CB6A-D0E5C45B00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6" name="Line 7">
            <a:extLst>
              <a:ext uri="{FF2B5EF4-FFF2-40B4-BE49-F238E27FC236}">
                <a16:creationId xmlns:a16="http://schemas.microsoft.com/office/drawing/2014/main" id="{501E080F-7BA3-AF86-23C9-C02F47C418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7" name="Line 8">
            <a:extLst>
              <a:ext uri="{FF2B5EF4-FFF2-40B4-BE49-F238E27FC236}">
                <a16:creationId xmlns:a16="http://schemas.microsoft.com/office/drawing/2014/main" id="{5335D42F-824D-47A6-5163-85E340CE53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186</xdr:row>
      <xdr:rowOff>58616</xdr:rowOff>
    </xdr:from>
    <xdr:to>
      <xdr:col>3</xdr:col>
      <xdr:colOff>977635</xdr:colOff>
      <xdr:row>186</xdr:row>
      <xdr:rowOff>249116</xdr:rowOff>
    </xdr:to>
    <xdr:grpSp>
      <xdr:nvGrpSpPr>
        <xdr:cNvPr id="2638" name="hinh2">
          <a:extLst>
            <a:ext uri="{FF2B5EF4-FFF2-40B4-BE49-F238E27FC236}">
              <a16:creationId xmlns:a16="http://schemas.microsoft.com/office/drawing/2014/main" id="{6D6DB8DB-61D2-410B-8D22-817051469C81}"/>
            </a:ext>
          </a:extLst>
        </xdr:cNvPr>
        <xdr:cNvGrpSpPr>
          <a:grpSpLocks noChangeAspect="1"/>
        </xdr:cNvGrpSpPr>
      </xdr:nvGrpSpPr>
      <xdr:grpSpPr bwMode="auto">
        <a:xfrm>
          <a:off x="2374970" y="71931545"/>
          <a:ext cx="875058" cy="190500"/>
          <a:chOff x="206" y="86"/>
          <a:chExt cx="73" cy="16"/>
        </a:xfrm>
      </xdr:grpSpPr>
      <xdr:sp macro="" textlink="">
        <xdr:nvSpPr>
          <xdr:cNvPr id="2639" name="Line 6">
            <a:extLst>
              <a:ext uri="{FF2B5EF4-FFF2-40B4-BE49-F238E27FC236}">
                <a16:creationId xmlns:a16="http://schemas.microsoft.com/office/drawing/2014/main" id="{057CEF63-F5CD-A39E-B59E-2E53429161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0" name="Line 7">
            <a:extLst>
              <a:ext uri="{FF2B5EF4-FFF2-40B4-BE49-F238E27FC236}">
                <a16:creationId xmlns:a16="http://schemas.microsoft.com/office/drawing/2014/main" id="{6A23F27D-1397-D723-A41F-49BBEB4412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1" name="Line 8">
            <a:extLst>
              <a:ext uri="{FF2B5EF4-FFF2-40B4-BE49-F238E27FC236}">
                <a16:creationId xmlns:a16="http://schemas.microsoft.com/office/drawing/2014/main" id="{A760152B-3C8A-2686-7F1B-EE72AC14CA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206</xdr:row>
      <xdr:rowOff>80596</xdr:rowOff>
    </xdr:from>
    <xdr:to>
      <xdr:col>3</xdr:col>
      <xdr:colOff>970308</xdr:colOff>
      <xdr:row>206</xdr:row>
      <xdr:rowOff>244279</xdr:rowOff>
    </xdr:to>
    <xdr:grpSp>
      <xdr:nvGrpSpPr>
        <xdr:cNvPr id="2642" name="hinh2">
          <a:extLst>
            <a:ext uri="{FF2B5EF4-FFF2-40B4-BE49-F238E27FC236}">
              <a16:creationId xmlns:a16="http://schemas.microsoft.com/office/drawing/2014/main" id="{5B5F2850-3620-4979-B295-C2CB4E3C888B}"/>
            </a:ext>
          </a:extLst>
        </xdr:cNvPr>
        <xdr:cNvGrpSpPr>
          <a:grpSpLocks noChangeAspect="1"/>
        </xdr:cNvGrpSpPr>
      </xdr:nvGrpSpPr>
      <xdr:grpSpPr bwMode="auto">
        <a:xfrm>
          <a:off x="2367643" y="79723203"/>
          <a:ext cx="875058" cy="163683"/>
          <a:chOff x="206" y="86"/>
          <a:chExt cx="73" cy="16"/>
        </a:xfrm>
      </xdr:grpSpPr>
      <xdr:sp macro="" textlink="">
        <xdr:nvSpPr>
          <xdr:cNvPr id="2643" name="Line 6">
            <a:extLst>
              <a:ext uri="{FF2B5EF4-FFF2-40B4-BE49-F238E27FC236}">
                <a16:creationId xmlns:a16="http://schemas.microsoft.com/office/drawing/2014/main" id="{93429129-BC94-CD69-8F76-2CC68FB091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4" name="Line 7">
            <a:extLst>
              <a:ext uri="{FF2B5EF4-FFF2-40B4-BE49-F238E27FC236}">
                <a16:creationId xmlns:a16="http://schemas.microsoft.com/office/drawing/2014/main" id="{F8BFF594-B6F5-B049-8670-8F4B8B30DC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5" name="Line 8">
            <a:extLst>
              <a:ext uri="{FF2B5EF4-FFF2-40B4-BE49-F238E27FC236}">
                <a16:creationId xmlns:a16="http://schemas.microsoft.com/office/drawing/2014/main" id="{73A5CCA9-BC05-E566-6F8F-5A28954FCA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207</xdr:row>
      <xdr:rowOff>58616</xdr:rowOff>
    </xdr:from>
    <xdr:to>
      <xdr:col>3</xdr:col>
      <xdr:colOff>977635</xdr:colOff>
      <xdr:row>207</xdr:row>
      <xdr:rowOff>249116</xdr:rowOff>
    </xdr:to>
    <xdr:grpSp>
      <xdr:nvGrpSpPr>
        <xdr:cNvPr id="2646" name="hinh2">
          <a:extLst>
            <a:ext uri="{FF2B5EF4-FFF2-40B4-BE49-F238E27FC236}">
              <a16:creationId xmlns:a16="http://schemas.microsoft.com/office/drawing/2014/main" id="{3D079608-B482-495E-A89A-337DA2F01C7A}"/>
            </a:ext>
          </a:extLst>
        </xdr:cNvPr>
        <xdr:cNvGrpSpPr>
          <a:grpSpLocks noChangeAspect="1"/>
        </xdr:cNvGrpSpPr>
      </xdr:nvGrpSpPr>
      <xdr:grpSpPr bwMode="auto">
        <a:xfrm>
          <a:off x="2374970" y="80095830"/>
          <a:ext cx="875058" cy="190500"/>
          <a:chOff x="206" y="86"/>
          <a:chExt cx="73" cy="16"/>
        </a:xfrm>
      </xdr:grpSpPr>
      <xdr:sp macro="" textlink="">
        <xdr:nvSpPr>
          <xdr:cNvPr id="2647" name="Line 6">
            <a:extLst>
              <a:ext uri="{FF2B5EF4-FFF2-40B4-BE49-F238E27FC236}">
                <a16:creationId xmlns:a16="http://schemas.microsoft.com/office/drawing/2014/main" id="{F62B3AEB-3E13-ACF6-69B1-4984BD7B27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8" name="Line 7">
            <a:extLst>
              <a:ext uri="{FF2B5EF4-FFF2-40B4-BE49-F238E27FC236}">
                <a16:creationId xmlns:a16="http://schemas.microsoft.com/office/drawing/2014/main" id="{D9D5CA1C-9FC6-B0B5-19D7-51088DDBF7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9" name="Line 8">
            <a:extLst>
              <a:ext uri="{FF2B5EF4-FFF2-40B4-BE49-F238E27FC236}">
                <a16:creationId xmlns:a16="http://schemas.microsoft.com/office/drawing/2014/main" id="{0EE15996-930D-D9A9-314E-CBD9BB2A96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188</xdr:row>
      <xdr:rowOff>80596</xdr:rowOff>
    </xdr:from>
    <xdr:to>
      <xdr:col>3</xdr:col>
      <xdr:colOff>970308</xdr:colOff>
      <xdr:row>188</xdr:row>
      <xdr:rowOff>244279</xdr:rowOff>
    </xdr:to>
    <xdr:grpSp>
      <xdr:nvGrpSpPr>
        <xdr:cNvPr id="774" name="hinh2">
          <a:extLst>
            <a:ext uri="{FF2B5EF4-FFF2-40B4-BE49-F238E27FC236}">
              <a16:creationId xmlns:a16="http://schemas.microsoft.com/office/drawing/2014/main" id="{E5B3EA4F-1B73-4762-B7F2-AB5B392CBD4E}"/>
            </a:ext>
          </a:extLst>
        </xdr:cNvPr>
        <xdr:cNvGrpSpPr>
          <a:grpSpLocks noChangeAspect="1"/>
        </xdr:cNvGrpSpPr>
      </xdr:nvGrpSpPr>
      <xdr:grpSpPr bwMode="auto">
        <a:xfrm>
          <a:off x="2367643" y="72742739"/>
          <a:ext cx="875058" cy="163683"/>
          <a:chOff x="206" y="86"/>
          <a:chExt cx="73" cy="16"/>
        </a:xfrm>
      </xdr:grpSpPr>
      <xdr:sp macro="" textlink="">
        <xdr:nvSpPr>
          <xdr:cNvPr id="775" name="Line 6">
            <a:extLst>
              <a:ext uri="{FF2B5EF4-FFF2-40B4-BE49-F238E27FC236}">
                <a16:creationId xmlns:a16="http://schemas.microsoft.com/office/drawing/2014/main" id="{7108DE75-C3E0-D547-7A7C-AEA855FF73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6" name="Line 7">
            <a:extLst>
              <a:ext uri="{FF2B5EF4-FFF2-40B4-BE49-F238E27FC236}">
                <a16:creationId xmlns:a16="http://schemas.microsoft.com/office/drawing/2014/main" id="{C2BAB5C6-3D0C-2361-1857-9CCEBB3421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7" name="Line 8">
            <a:extLst>
              <a:ext uri="{FF2B5EF4-FFF2-40B4-BE49-F238E27FC236}">
                <a16:creationId xmlns:a16="http://schemas.microsoft.com/office/drawing/2014/main" id="{D6F109FD-02E9-AD56-4507-570FC2051F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189</xdr:row>
      <xdr:rowOff>58616</xdr:rowOff>
    </xdr:from>
    <xdr:to>
      <xdr:col>3</xdr:col>
      <xdr:colOff>977635</xdr:colOff>
      <xdr:row>189</xdr:row>
      <xdr:rowOff>249116</xdr:rowOff>
    </xdr:to>
    <xdr:grpSp>
      <xdr:nvGrpSpPr>
        <xdr:cNvPr id="778" name="hinh2">
          <a:extLst>
            <a:ext uri="{FF2B5EF4-FFF2-40B4-BE49-F238E27FC236}">
              <a16:creationId xmlns:a16="http://schemas.microsoft.com/office/drawing/2014/main" id="{9D0ED6E1-0D0B-427F-A8F5-4BDDBBAB1130}"/>
            </a:ext>
          </a:extLst>
        </xdr:cNvPr>
        <xdr:cNvGrpSpPr>
          <a:grpSpLocks noChangeAspect="1"/>
        </xdr:cNvGrpSpPr>
      </xdr:nvGrpSpPr>
      <xdr:grpSpPr bwMode="auto">
        <a:xfrm>
          <a:off x="2374970" y="73115366"/>
          <a:ext cx="875058" cy="190500"/>
          <a:chOff x="206" y="86"/>
          <a:chExt cx="73" cy="16"/>
        </a:xfrm>
      </xdr:grpSpPr>
      <xdr:sp macro="" textlink="">
        <xdr:nvSpPr>
          <xdr:cNvPr id="779" name="Line 6">
            <a:extLst>
              <a:ext uri="{FF2B5EF4-FFF2-40B4-BE49-F238E27FC236}">
                <a16:creationId xmlns:a16="http://schemas.microsoft.com/office/drawing/2014/main" id="{80D2C7B7-F41A-A96C-45A6-46506E031F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0" name="Line 7">
            <a:extLst>
              <a:ext uri="{FF2B5EF4-FFF2-40B4-BE49-F238E27FC236}">
                <a16:creationId xmlns:a16="http://schemas.microsoft.com/office/drawing/2014/main" id="{A3D0C5CC-2F9C-2C50-EAF8-C1CC6A0509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1" name="Line 8">
            <a:extLst>
              <a:ext uri="{FF2B5EF4-FFF2-40B4-BE49-F238E27FC236}">
                <a16:creationId xmlns:a16="http://schemas.microsoft.com/office/drawing/2014/main" id="{C65AD4D8-2361-69C5-B310-ECDCFBDDD0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190</xdr:row>
      <xdr:rowOff>58616</xdr:rowOff>
    </xdr:from>
    <xdr:to>
      <xdr:col>3</xdr:col>
      <xdr:colOff>977635</xdr:colOff>
      <xdr:row>190</xdr:row>
      <xdr:rowOff>249116</xdr:rowOff>
    </xdr:to>
    <xdr:grpSp>
      <xdr:nvGrpSpPr>
        <xdr:cNvPr id="782" name="hinh2">
          <a:extLst>
            <a:ext uri="{FF2B5EF4-FFF2-40B4-BE49-F238E27FC236}">
              <a16:creationId xmlns:a16="http://schemas.microsoft.com/office/drawing/2014/main" id="{98B336F7-DE80-4913-83DE-8D44B17169B0}"/>
            </a:ext>
          </a:extLst>
        </xdr:cNvPr>
        <xdr:cNvGrpSpPr>
          <a:grpSpLocks noChangeAspect="1"/>
        </xdr:cNvGrpSpPr>
      </xdr:nvGrpSpPr>
      <xdr:grpSpPr bwMode="auto">
        <a:xfrm>
          <a:off x="2374970" y="73509973"/>
          <a:ext cx="875058" cy="190500"/>
          <a:chOff x="206" y="86"/>
          <a:chExt cx="73" cy="16"/>
        </a:xfrm>
      </xdr:grpSpPr>
      <xdr:sp macro="" textlink="">
        <xdr:nvSpPr>
          <xdr:cNvPr id="783" name="Line 6">
            <a:extLst>
              <a:ext uri="{FF2B5EF4-FFF2-40B4-BE49-F238E27FC236}">
                <a16:creationId xmlns:a16="http://schemas.microsoft.com/office/drawing/2014/main" id="{3AEF144C-2805-F39E-B612-C7F294257A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4" name="Line 7">
            <a:extLst>
              <a:ext uri="{FF2B5EF4-FFF2-40B4-BE49-F238E27FC236}">
                <a16:creationId xmlns:a16="http://schemas.microsoft.com/office/drawing/2014/main" id="{2A99BCDA-0BCB-D017-86C7-52FD56920E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5" name="Line 8">
            <a:extLst>
              <a:ext uri="{FF2B5EF4-FFF2-40B4-BE49-F238E27FC236}">
                <a16:creationId xmlns:a16="http://schemas.microsoft.com/office/drawing/2014/main" id="{5EEC28BF-9C88-6EE2-D30B-F08F3CDCBD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191</xdr:row>
      <xdr:rowOff>58616</xdr:rowOff>
    </xdr:from>
    <xdr:to>
      <xdr:col>3</xdr:col>
      <xdr:colOff>977635</xdr:colOff>
      <xdr:row>191</xdr:row>
      <xdr:rowOff>249116</xdr:rowOff>
    </xdr:to>
    <xdr:grpSp>
      <xdr:nvGrpSpPr>
        <xdr:cNvPr id="786" name="hinh2">
          <a:extLst>
            <a:ext uri="{FF2B5EF4-FFF2-40B4-BE49-F238E27FC236}">
              <a16:creationId xmlns:a16="http://schemas.microsoft.com/office/drawing/2014/main" id="{57794CD2-8E2B-42A2-9AB0-DAA56B71C4F1}"/>
            </a:ext>
          </a:extLst>
        </xdr:cNvPr>
        <xdr:cNvGrpSpPr>
          <a:grpSpLocks noChangeAspect="1"/>
        </xdr:cNvGrpSpPr>
      </xdr:nvGrpSpPr>
      <xdr:grpSpPr bwMode="auto">
        <a:xfrm>
          <a:off x="2374970" y="73904580"/>
          <a:ext cx="875058" cy="190500"/>
          <a:chOff x="206" y="86"/>
          <a:chExt cx="73" cy="16"/>
        </a:xfrm>
      </xdr:grpSpPr>
      <xdr:sp macro="" textlink="">
        <xdr:nvSpPr>
          <xdr:cNvPr id="787" name="Line 6">
            <a:extLst>
              <a:ext uri="{FF2B5EF4-FFF2-40B4-BE49-F238E27FC236}">
                <a16:creationId xmlns:a16="http://schemas.microsoft.com/office/drawing/2014/main" id="{588A2298-0207-CC48-802F-BA5615311D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8" name="Line 7">
            <a:extLst>
              <a:ext uri="{FF2B5EF4-FFF2-40B4-BE49-F238E27FC236}">
                <a16:creationId xmlns:a16="http://schemas.microsoft.com/office/drawing/2014/main" id="{4554D869-308E-0F3B-C7A8-4A256C1F39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9" name="Line 8">
            <a:extLst>
              <a:ext uri="{FF2B5EF4-FFF2-40B4-BE49-F238E27FC236}">
                <a16:creationId xmlns:a16="http://schemas.microsoft.com/office/drawing/2014/main" id="{85E351EB-CE4E-F31B-1882-6355B72702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192</xdr:row>
      <xdr:rowOff>58616</xdr:rowOff>
    </xdr:from>
    <xdr:to>
      <xdr:col>3</xdr:col>
      <xdr:colOff>977635</xdr:colOff>
      <xdr:row>192</xdr:row>
      <xdr:rowOff>249116</xdr:rowOff>
    </xdr:to>
    <xdr:grpSp>
      <xdr:nvGrpSpPr>
        <xdr:cNvPr id="790" name="hinh2">
          <a:extLst>
            <a:ext uri="{FF2B5EF4-FFF2-40B4-BE49-F238E27FC236}">
              <a16:creationId xmlns:a16="http://schemas.microsoft.com/office/drawing/2014/main" id="{DAA00494-D3AA-464F-9491-F7C6AA3D3AB2}"/>
            </a:ext>
          </a:extLst>
        </xdr:cNvPr>
        <xdr:cNvGrpSpPr>
          <a:grpSpLocks noChangeAspect="1"/>
        </xdr:cNvGrpSpPr>
      </xdr:nvGrpSpPr>
      <xdr:grpSpPr bwMode="auto">
        <a:xfrm>
          <a:off x="2374970" y="74299187"/>
          <a:ext cx="875058" cy="190500"/>
          <a:chOff x="206" y="86"/>
          <a:chExt cx="73" cy="16"/>
        </a:xfrm>
      </xdr:grpSpPr>
      <xdr:sp macro="" textlink="">
        <xdr:nvSpPr>
          <xdr:cNvPr id="791" name="Line 6">
            <a:extLst>
              <a:ext uri="{FF2B5EF4-FFF2-40B4-BE49-F238E27FC236}">
                <a16:creationId xmlns:a16="http://schemas.microsoft.com/office/drawing/2014/main" id="{995A2697-221D-F8DE-EA24-CAB15681D8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2" name="Line 7">
            <a:extLst>
              <a:ext uri="{FF2B5EF4-FFF2-40B4-BE49-F238E27FC236}">
                <a16:creationId xmlns:a16="http://schemas.microsoft.com/office/drawing/2014/main" id="{28CAD1F5-5CB1-78CC-1017-685C35BAC4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3" name="Line 8">
            <a:extLst>
              <a:ext uri="{FF2B5EF4-FFF2-40B4-BE49-F238E27FC236}">
                <a16:creationId xmlns:a16="http://schemas.microsoft.com/office/drawing/2014/main" id="{4A1925C6-4D2D-EAF0-9CF0-6E08F32F55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195</xdr:row>
      <xdr:rowOff>58616</xdr:rowOff>
    </xdr:from>
    <xdr:to>
      <xdr:col>3</xdr:col>
      <xdr:colOff>977635</xdr:colOff>
      <xdr:row>195</xdr:row>
      <xdr:rowOff>249116</xdr:rowOff>
    </xdr:to>
    <xdr:grpSp>
      <xdr:nvGrpSpPr>
        <xdr:cNvPr id="794" name="hinh2">
          <a:extLst>
            <a:ext uri="{FF2B5EF4-FFF2-40B4-BE49-F238E27FC236}">
              <a16:creationId xmlns:a16="http://schemas.microsoft.com/office/drawing/2014/main" id="{5145E3DB-DA87-47A1-AA68-C4FC4E9FAF00}"/>
            </a:ext>
          </a:extLst>
        </xdr:cNvPr>
        <xdr:cNvGrpSpPr>
          <a:grpSpLocks noChangeAspect="1"/>
        </xdr:cNvGrpSpPr>
      </xdr:nvGrpSpPr>
      <xdr:grpSpPr bwMode="auto">
        <a:xfrm>
          <a:off x="2374970" y="75483009"/>
          <a:ext cx="875058" cy="190500"/>
          <a:chOff x="206" y="86"/>
          <a:chExt cx="73" cy="16"/>
        </a:xfrm>
      </xdr:grpSpPr>
      <xdr:sp macro="" textlink="">
        <xdr:nvSpPr>
          <xdr:cNvPr id="795" name="Line 6">
            <a:extLst>
              <a:ext uri="{FF2B5EF4-FFF2-40B4-BE49-F238E27FC236}">
                <a16:creationId xmlns:a16="http://schemas.microsoft.com/office/drawing/2014/main" id="{20F72E4C-B6FB-DA29-48B1-389BE08D9F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6" name="Line 7">
            <a:extLst>
              <a:ext uri="{FF2B5EF4-FFF2-40B4-BE49-F238E27FC236}">
                <a16:creationId xmlns:a16="http://schemas.microsoft.com/office/drawing/2014/main" id="{078A867D-5758-96D7-DAF3-077FC72DD8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7" name="Line 8">
            <a:extLst>
              <a:ext uri="{FF2B5EF4-FFF2-40B4-BE49-F238E27FC236}">
                <a16:creationId xmlns:a16="http://schemas.microsoft.com/office/drawing/2014/main" id="{37FBEEBE-37EA-BB5B-7BC2-62E1D2EB71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190</xdr:row>
      <xdr:rowOff>58616</xdr:rowOff>
    </xdr:from>
    <xdr:to>
      <xdr:col>3</xdr:col>
      <xdr:colOff>977635</xdr:colOff>
      <xdr:row>190</xdr:row>
      <xdr:rowOff>249116</xdr:rowOff>
    </xdr:to>
    <xdr:grpSp>
      <xdr:nvGrpSpPr>
        <xdr:cNvPr id="2322" name="hinh2">
          <a:extLst>
            <a:ext uri="{FF2B5EF4-FFF2-40B4-BE49-F238E27FC236}">
              <a16:creationId xmlns:a16="http://schemas.microsoft.com/office/drawing/2014/main" id="{72353929-5E1E-4E01-B342-E6B7BFAF3721}"/>
            </a:ext>
          </a:extLst>
        </xdr:cNvPr>
        <xdr:cNvGrpSpPr>
          <a:grpSpLocks noChangeAspect="1"/>
        </xdr:cNvGrpSpPr>
      </xdr:nvGrpSpPr>
      <xdr:grpSpPr bwMode="auto">
        <a:xfrm>
          <a:off x="2374970" y="73509973"/>
          <a:ext cx="875058" cy="190500"/>
          <a:chOff x="206" y="86"/>
          <a:chExt cx="73" cy="16"/>
        </a:xfrm>
      </xdr:grpSpPr>
      <xdr:sp macro="" textlink="">
        <xdr:nvSpPr>
          <xdr:cNvPr id="2323" name="Line 6">
            <a:extLst>
              <a:ext uri="{FF2B5EF4-FFF2-40B4-BE49-F238E27FC236}">
                <a16:creationId xmlns:a16="http://schemas.microsoft.com/office/drawing/2014/main" id="{9026F5DB-2D46-E419-FD1E-7E93543EA8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4" name="Line 7">
            <a:extLst>
              <a:ext uri="{FF2B5EF4-FFF2-40B4-BE49-F238E27FC236}">
                <a16:creationId xmlns:a16="http://schemas.microsoft.com/office/drawing/2014/main" id="{E6A06D20-3C3D-F744-B906-971EA67238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5" name="Line 8">
            <a:extLst>
              <a:ext uri="{FF2B5EF4-FFF2-40B4-BE49-F238E27FC236}">
                <a16:creationId xmlns:a16="http://schemas.microsoft.com/office/drawing/2014/main" id="{2BADA66C-8452-A9AF-C73B-94399A46A5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191</xdr:row>
      <xdr:rowOff>58616</xdr:rowOff>
    </xdr:from>
    <xdr:to>
      <xdr:col>3</xdr:col>
      <xdr:colOff>977635</xdr:colOff>
      <xdr:row>191</xdr:row>
      <xdr:rowOff>249116</xdr:rowOff>
    </xdr:to>
    <xdr:grpSp>
      <xdr:nvGrpSpPr>
        <xdr:cNvPr id="2402" name="hinh2">
          <a:extLst>
            <a:ext uri="{FF2B5EF4-FFF2-40B4-BE49-F238E27FC236}">
              <a16:creationId xmlns:a16="http://schemas.microsoft.com/office/drawing/2014/main" id="{2A0EFDC0-6712-414B-8F85-C165D940ACE6}"/>
            </a:ext>
          </a:extLst>
        </xdr:cNvPr>
        <xdr:cNvGrpSpPr>
          <a:grpSpLocks noChangeAspect="1"/>
        </xdr:cNvGrpSpPr>
      </xdr:nvGrpSpPr>
      <xdr:grpSpPr bwMode="auto">
        <a:xfrm>
          <a:off x="2374970" y="73904580"/>
          <a:ext cx="875058" cy="190500"/>
          <a:chOff x="206" y="86"/>
          <a:chExt cx="73" cy="16"/>
        </a:xfrm>
      </xdr:grpSpPr>
      <xdr:sp macro="" textlink="">
        <xdr:nvSpPr>
          <xdr:cNvPr id="2403" name="Line 6">
            <a:extLst>
              <a:ext uri="{FF2B5EF4-FFF2-40B4-BE49-F238E27FC236}">
                <a16:creationId xmlns:a16="http://schemas.microsoft.com/office/drawing/2014/main" id="{76FC021B-343B-92F9-4F8B-3F075D549F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4" name="Line 7">
            <a:extLst>
              <a:ext uri="{FF2B5EF4-FFF2-40B4-BE49-F238E27FC236}">
                <a16:creationId xmlns:a16="http://schemas.microsoft.com/office/drawing/2014/main" id="{26FDB558-A0A9-3497-644A-BBBFE4BE3C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5" name="Line 8">
            <a:extLst>
              <a:ext uri="{FF2B5EF4-FFF2-40B4-BE49-F238E27FC236}">
                <a16:creationId xmlns:a16="http://schemas.microsoft.com/office/drawing/2014/main" id="{F7C4C714-CF10-446D-B387-096066424B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191</xdr:row>
      <xdr:rowOff>58616</xdr:rowOff>
    </xdr:from>
    <xdr:to>
      <xdr:col>3</xdr:col>
      <xdr:colOff>977635</xdr:colOff>
      <xdr:row>191</xdr:row>
      <xdr:rowOff>249116</xdr:rowOff>
    </xdr:to>
    <xdr:grpSp>
      <xdr:nvGrpSpPr>
        <xdr:cNvPr id="2406" name="hinh2">
          <a:extLst>
            <a:ext uri="{FF2B5EF4-FFF2-40B4-BE49-F238E27FC236}">
              <a16:creationId xmlns:a16="http://schemas.microsoft.com/office/drawing/2014/main" id="{7A3C9D59-A1AE-4408-AFE6-015D0379BDDF}"/>
            </a:ext>
          </a:extLst>
        </xdr:cNvPr>
        <xdr:cNvGrpSpPr>
          <a:grpSpLocks noChangeAspect="1"/>
        </xdr:cNvGrpSpPr>
      </xdr:nvGrpSpPr>
      <xdr:grpSpPr bwMode="auto">
        <a:xfrm>
          <a:off x="2374970" y="73904580"/>
          <a:ext cx="875058" cy="190500"/>
          <a:chOff x="206" y="86"/>
          <a:chExt cx="73" cy="16"/>
        </a:xfrm>
      </xdr:grpSpPr>
      <xdr:sp macro="" textlink="">
        <xdr:nvSpPr>
          <xdr:cNvPr id="2407" name="Line 6">
            <a:extLst>
              <a:ext uri="{FF2B5EF4-FFF2-40B4-BE49-F238E27FC236}">
                <a16:creationId xmlns:a16="http://schemas.microsoft.com/office/drawing/2014/main" id="{2972AAF4-722D-FEF5-6ADD-2FE08684B0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8" name="Line 7">
            <a:extLst>
              <a:ext uri="{FF2B5EF4-FFF2-40B4-BE49-F238E27FC236}">
                <a16:creationId xmlns:a16="http://schemas.microsoft.com/office/drawing/2014/main" id="{4BA58A68-2A86-9C55-B089-EF87E1B859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9" name="Line 8">
            <a:extLst>
              <a:ext uri="{FF2B5EF4-FFF2-40B4-BE49-F238E27FC236}">
                <a16:creationId xmlns:a16="http://schemas.microsoft.com/office/drawing/2014/main" id="{0EB5A162-922C-C2BF-4995-3FBEB2EC26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193</xdr:row>
      <xdr:rowOff>58616</xdr:rowOff>
    </xdr:from>
    <xdr:to>
      <xdr:col>3</xdr:col>
      <xdr:colOff>977635</xdr:colOff>
      <xdr:row>193</xdr:row>
      <xdr:rowOff>249116</xdr:rowOff>
    </xdr:to>
    <xdr:grpSp>
      <xdr:nvGrpSpPr>
        <xdr:cNvPr id="2410" name="hinh2">
          <a:extLst>
            <a:ext uri="{FF2B5EF4-FFF2-40B4-BE49-F238E27FC236}">
              <a16:creationId xmlns:a16="http://schemas.microsoft.com/office/drawing/2014/main" id="{863D5A4E-EF2C-4AF8-B6E1-C1EC5E4F48A5}"/>
            </a:ext>
          </a:extLst>
        </xdr:cNvPr>
        <xdr:cNvGrpSpPr>
          <a:grpSpLocks noChangeAspect="1"/>
        </xdr:cNvGrpSpPr>
      </xdr:nvGrpSpPr>
      <xdr:grpSpPr bwMode="auto">
        <a:xfrm>
          <a:off x="2374970" y="74693795"/>
          <a:ext cx="875058" cy="190500"/>
          <a:chOff x="206" y="86"/>
          <a:chExt cx="73" cy="16"/>
        </a:xfrm>
      </xdr:grpSpPr>
      <xdr:sp macro="" textlink="">
        <xdr:nvSpPr>
          <xdr:cNvPr id="2411" name="Line 6">
            <a:extLst>
              <a:ext uri="{FF2B5EF4-FFF2-40B4-BE49-F238E27FC236}">
                <a16:creationId xmlns:a16="http://schemas.microsoft.com/office/drawing/2014/main" id="{7D29C535-348A-1574-0365-5ECB6A58B3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12" name="Line 7">
            <a:extLst>
              <a:ext uri="{FF2B5EF4-FFF2-40B4-BE49-F238E27FC236}">
                <a16:creationId xmlns:a16="http://schemas.microsoft.com/office/drawing/2014/main" id="{8052DD61-AE5B-B434-56AE-79AEC57094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13" name="Line 8">
            <a:extLst>
              <a:ext uri="{FF2B5EF4-FFF2-40B4-BE49-F238E27FC236}">
                <a16:creationId xmlns:a16="http://schemas.microsoft.com/office/drawing/2014/main" id="{D816CF73-AFA9-FCBF-4632-45DE5EB9FF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194</xdr:row>
      <xdr:rowOff>58616</xdr:rowOff>
    </xdr:from>
    <xdr:to>
      <xdr:col>3</xdr:col>
      <xdr:colOff>977635</xdr:colOff>
      <xdr:row>194</xdr:row>
      <xdr:rowOff>249116</xdr:rowOff>
    </xdr:to>
    <xdr:grpSp>
      <xdr:nvGrpSpPr>
        <xdr:cNvPr id="2426" name="hinh2">
          <a:extLst>
            <a:ext uri="{FF2B5EF4-FFF2-40B4-BE49-F238E27FC236}">
              <a16:creationId xmlns:a16="http://schemas.microsoft.com/office/drawing/2014/main" id="{A481615E-A379-4BD2-BB1C-11113A020881}"/>
            </a:ext>
          </a:extLst>
        </xdr:cNvPr>
        <xdr:cNvGrpSpPr>
          <a:grpSpLocks noChangeAspect="1"/>
        </xdr:cNvGrpSpPr>
      </xdr:nvGrpSpPr>
      <xdr:grpSpPr bwMode="auto">
        <a:xfrm>
          <a:off x="2374970" y="75088402"/>
          <a:ext cx="875058" cy="190500"/>
          <a:chOff x="206" y="86"/>
          <a:chExt cx="73" cy="16"/>
        </a:xfrm>
      </xdr:grpSpPr>
      <xdr:sp macro="" textlink="">
        <xdr:nvSpPr>
          <xdr:cNvPr id="2427" name="Line 6">
            <a:extLst>
              <a:ext uri="{FF2B5EF4-FFF2-40B4-BE49-F238E27FC236}">
                <a16:creationId xmlns:a16="http://schemas.microsoft.com/office/drawing/2014/main" id="{4C102569-93E5-E647-2155-189A37349C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8" name="Line 7">
            <a:extLst>
              <a:ext uri="{FF2B5EF4-FFF2-40B4-BE49-F238E27FC236}">
                <a16:creationId xmlns:a16="http://schemas.microsoft.com/office/drawing/2014/main" id="{B61A069E-AC9D-441A-5CA6-139A09BC19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9" name="Line 8">
            <a:extLst>
              <a:ext uri="{FF2B5EF4-FFF2-40B4-BE49-F238E27FC236}">
                <a16:creationId xmlns:a16="http://schemas.microsoft.com/office/drawing/2014/main" id="{D4BD6C61-0BFE-4E70-A95D-935A492478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196</xdr:row>
      <xdr:rowOff>80596</xdr:rowOff>
    </xdr:from>
    <xdr:to>
      <xdr:col>3</xdr:col>
      <xdr:colOff>970308</xdr:colOff>
      <xdr:row>196</xdr:row>
      <xdr:rowOff>244279</xdr:rowOff>
    </xdr:to>
    <xdr:grpSp>
      <xdr:nvGrpSpPr>
        <xdr:cNvPr id="2714" name="hinh2">
          <a:extLst>
            <a:ext uri="{FF2B5EF4-FFF2-40B4-BE49-F238E27FC236}">
              <a16:creationId xmlns:a16="http://schemas.microsoft.com/office/drawing/2014/main" id="{7A10BDDB-7B2D-4428-94D5-4839EDFDF713}"/>
            </a:ext>
          </a:extLst>
        </xdr:cNvPr>
        <xdr:cNvGrpSpPr>
          <a:grpSpLocks noChangeAspect="1"/>
        </xdr:cNvGrpSpPr>
      </xdr:nvGrpSpPr>
      <xdr:grpSpPr bwMode="auto">
        <a:xfrm>
          <a:off x="2367643" y="75899596"/>
          <a:ext cx="875058" cy="163683"/>
          <a:chOff x="206" y="86"/>
          <a:chExt cx="73" cy="16"/>
        </a:xfrm>
      </xdr:grpSpPr>
      <xdr:sp macro="" textlink="">
        <xdr:nvSpPr>
          <xdr:cNvPr id="2715" name="Line 6">
            <a:extLst>
              <a:ext uri="{FF2B5EF4-FFF2-40B4-BE49-F238E27FC236}">
                <a16:creationId xmlns:a16="http://schemas.microsoft.com/office/drawing/2014/main" id="{2F738D6C-4EC5-CF5B-2699-20555CB4A8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6" name="Line 7">
            <a:extLst>
              <a:ext uri="{FF2B5EF4-FFF2-40B4-BE49-F238E27FC236}">
                <a16:creationId xmlns:a16="http://schemas.microsoft.com/office/drawing/2014/main" id="{F0BE06C1-1AC1-8F11-9A24-E16BF4C219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7" name="Line 8">
            <a:extLst>
              <a:ext uri="{FF2B5EF4-FFF2-40B4-BE49-F238E27FC236}">
                <a16:creationId xmlns:a16="http://schemas.microsoft.com/office/drawing/2014/main" id="{E8F0058E-0B28-3848-4D94-A01F80395F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197</xdr:row>
      <xdr:rowOff>58616</xdr:rowOff>
    </xdr:from>
    <xdr:to>
      <xdr:col>3</xdr:col>
      <xdr:colOff>977635</xdr:colOff>
      <xdr:row>197</xdr:row>
      <xdr:rowOff>249116</xdr:rowOff>
    </xdr:to>
    <xdr:grpSp>
      <xdr:nvGrpSpPr>
        <xdr:cNvPr id="2718" name="hinh2">
          <a:extLst>
            <a:ext uri="{FF2B5EF4-FFF2-40B4-BE49-F238E27FC236}">
              <a16:creationId xmlns:a16="http://schemas.microsoft.com/office/drawing/2014/main" id="{A20F6E78-0FEF-45BD-8571-CAB877A96DBB}"/>
            </a:ext>
          </a:extLst>
        </xdr:cNvPr>
        <xdr:cNvGrpSpPr>
          <a:grpSpLocks noChangeAspect="1"/>
        </xdr:cNvGrpSpPr>
      </xdr:nvGrpSpPr>
      <xdr:grpSpPr bwMode="auto">
        <a:xfrm>
          <a:off x="2374970" y="76272223"/>
          <a:ext cx="875058" cy="190500"/>
          <a:chOff x="206" y="86"/>
          <a:chExt cx="73" cy="16"/>
        </a:xfrm>
      </xdr:grpSpPr>
      <xdr:sp macro="" textlink="">
        <xdr:nvSpPr>
          <xdr:cNvPr id="2719" name="Line 6">
            <a:extLst>
              <a:ext uri="{FF2B5EF4-FFF2-40B4-BE49-F238E27FC236}">
                <a16:creationId xmlns:a16="http://schemas.microsoft.com/office/drawing/2014/main" id="{BEB3CF21-3B2E-663A-8B01-4A012D2E68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0" name="Line 7">
            <a:extLst>
              <a:ext uri="{FF2B5EF4-FFF2-40B4-BE49-F238E27FC236}">
                <a16:creationId xmlns:a16="http://schemas.microsoft.com/office/drawing/2014/main" id="{C13A38C3-C428-C934-9747-6C47B49C3C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1" name="Line 8">
            <a:extLst>
              <a:ext uri="{FF2B5EF4-FFF2-40B4-BE49-F238E27FC236}">
                <a16:creationId xmlns:a16="http://schemas.microsoft.com/office/drawing/2014/main" id="{C603BAA1-CCA0-7353-A3F7-B55A55D2EF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198</xdr:row>
      <xdr:rowOff>58616</xdr:rowOff>
    </xdr:from>
    <xdr:to>
      <xdr:col>3</xdr:col>
      <xdr:colOff>977635</xdr:colOff>
      <xdr:row>198</xdr:row>
      <xdr:rowOff>249116</xdr:rowOff>
    </xdr:to>
    <xdr:grpSp>
      <xdr:nvGrpSpPr>
        <xdr:cNvPr id="2722" name="hinh2">
          <a:extLst>
            <a:ext uri="{FF2B5EF4-FFF2-40B4-BE49-F238E27FC236}">
              <a16:creationId xmlns:a16="http://schemas.microsoft.com/office/drawing/2014/main" id="{A4E2C64E-2D67-4773-9EFA-E5BBD889BBC2}"/>
            </a:ext>
          </a:extLst>
        </xdr:cNvPr>
        <xdr:cNvGrpSpPr>
          <a:grpSpLocks noChangeAspect="1"/>
        </xdr:cNvGrpSpPr>
      </xdr:nvGrpSpPr>
      <xdr:grpSpPr bwMode="auto">
        <a:xfrm>
          <a:off x="2374970" y="76666830"/>
          <a:ext cx="875058" cy="190500"/>
          <a:chOff x="206" y="86"/>
          <a:chExt cx="73" cy="16"/>
        </a:xfrm>
      </xdr:grpSpPr>
      <xdr:sp macro="" textlink="">
        <xdr:nvSpPr>
          <xdr:cNvPr id="2723" name="Line 6">
            <a:extLst>
              <a:ext uri="{FF2B5EF4-FFF2-40B4-BE49-F238E27FC236}">
                <a16:creationId xmlns:a16="http://schemas.microsoft.com/office/drawing/2014/main" id="{78A83A28-CF65-2FF9-5098-B391E412C0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4" name="Line 7">
            <a:extLst>
              <a:ext uri="{FF2B5EF4-FFF2-40B4-BE49-F238E27FC236}">
                <a16:creationId xmlns:a16="http://schemas.microsoft.com/office/drawing/2014/main" id="{944C98B9-A273-D45F-EC25-D396214BD9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5" name="Line 8">
            <a:extLst>
              <a:ext uri="{FF2B5EF4-FFF2-40B4-BE49-F238E27FC236}">
                <a16:creationId xmlns:a16="http://schemas.microsoft.com/office/drawing/2014/main" id="{7460D812-4CC3-A05F-C0FB-CF868CBF8A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199</xdr:row>
      <xdr:rowOff>58616</xdr:rowOff>
    </xdr:from>
    <xdr:to>
      <xdr:col>3</xdr:col>
      <xdr:colOff>977635</xdr:colOff>
      <xdr:row>199</xdr:row>
      <xdr:rowOff>249116</xdr:rowOff>
    </xdr:to>
    <xdr:grpSp>
      <xdr:nvGrpSpPr>
        <xdr:cNvPr id="2726" name="hinh2">
          <a:extLst>
            <a:ext uri="{FF2B5EF4-FFF2-40B4-BE49-F238E27FC236}">
              <a16:creationId xmlns:a16="http://schemas.microsoft.com/office/drawing/2014/main" id="{C3410F37-9BD8-4831-B0E2-32FB750E2F3B}"/>
            </a:ext>
          </a:extLst>
        </xdr:cNvPr>
        <xdr:cNvGrpSpPr>
          <a:grpSpLocks noChangeAspect="1"/>
        </xdr:cNvGrpSpPr>
      </xdr:nvGrpSpPr>
      <xdr:grpSpPr bwMode="auto">
        <a:xfrm>
          <a:off x="2374970" y="77061437"/>
          <a:ext cx="875058" cy="190500"/>
          <a:chOff x="206" y="86"/>
          <a:chExt cx="73" cy="16"/>
        </a:xfrm>
      </xdr:grpSpPr>
      <xdr:sp macro="" textlink="">
        <xdr:nvSpPr>
          <xdr:cNvPr id="2727" name="Line 6">
            <a:extLst>
              <a:ext uri="{FF2B5EF4-FFF2-40B4-BE49-F238E27FC236}">
                <a16:creationId xmlns:a16="http://schemas.microsoft.com/office/drawing/2014/main" id="{B40BDEBF-1338-5C8E-10A8-3BFCC4BC44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8" name="Line 7">
            <a:extLst>
              <a:ext uri="{FF2B5EF4-FFF2-40B4-BE49-F238E27FC236}">
                <a16:creationId xmlns:a16="http://schemas.microsoft.com/office/drawing/2014/main" id="{46532C30-E607-914D-F905-A7823EB699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9" name="Line 8">
            <a:extLst>
              <a:ext uri="{FF2B5EF4-FFF2-40B4-BE49-F238E27FC236}">
                <a16:creationId xmlns:a16="http://schemas.microsoft.com/office/drawing/2014/main" id="{C2BE0EF7-CDD9-D334-DAC1-E4B6D2654C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200</xdr:row>
      <xdr:rowOff>58616</xdr:rowOff>
    </xdr:from>
    <xdr:to>
      <xdr:col>3</xdr:col>
      <xdr:colOff>977635</xdr:colOff>
      <xdr:row>200</xdr:row>
      <xdr:rowOff>249116</xdr:rowOff>
    </xdr:to>
    <xdr:grpSp>
      <xdr:nvGrpSpPr>
        <xdr:cNvPr id="2730" name="hinh2">
          <a:extLst>
            <a:ext uri="{FF2B5EF4-FFF2-40B4-BE49-F238E27FC236}">
              <a16:creationId xmlns:a16="http://schemas.microsoft.com/office/drawing/2014/main" id="{54431B2D-CD79-4F30-9349-211288921CE0}"/>
            </a:ext>
          </a:extLst>
        </xdr:cNvPr>
        <xdr:cNvGrpSpPr>
          <a:grpSpLocks noChangeAspect="1"/>
        </xdr:cNvGrpSpPr>
      </xdr:nvGrpSpPr>
      <xdr:grpSpPr bwMode="auto">
        <a:xfrm>
          <a:off x="2374970" y="77456045"/>
          <a:ext cx="875058" cy="190500"/>
          <a:chOff x="206" y="86"/>
          <a:chExt cx="73" cy="16"/>
        </a:xfrm>
      </xdr:grpSpPr>
      <xdr:sp macro="" textlink="">
        <xdr:nvSpPr>
          <xdr:cNvPr id="2731" name="Line 6">
            <a:extLst>
              <a:ext uri="{FF2B5EF4-FFF2-40B4-BE49-F238E27FC236}">
                <a16:creationId xmlns:a16="http://schemas.microsoft.com/office/drawing/2014/main" id="{81CDD740-45FD-873B-FBF1-85C064B793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2" name="Line 7">
            <a:extLst>
              <a:ext uri="{FF2B5EF4-FFF2-40B4-BE49-F238E27FC236}">
                <a16:creationId xmlns:a16="http://schemas.microsoft.com/office/drawing/2014/main" id="{08F333C4-A728-CEDF-CE33-968FFA6ABA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3" name="Line 8">
            <a:extLst>
              <a:ext uri="{FF2B5EF4-FFF2-40B4-BE49-F238E27FC236}">
                <a16:creationId xmlns:a16="http://schemas.microsoft.com/office/drawing/2014/main" id="{CCA97C8D-F32B-2098-EBB3-07B6FCBF2E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198</xdr:row>
      <xdr:rowOff>58616</xdr:rowOff>
    </xdr:from>
    <xdr:to>
      <xdr:col>3</xdr:col>
      <xdr:colOff>977635</xdr:colOff>
      <xdr:row>198</xdr:row>
      <xdr:rowOff>249116</xdr:rowOff>
    </xdr:to>
    <xdr:grpSp>
      <xdr:nvGrpSpPr>
        <xdr:cNvPr id="2738" name="hinh2">
          <a:extLst>
            <a:ext uri="{FF2B5EF4-FFF2-40B4-BE49-F238E27FC236}">
              <a16:creationId xmlns:a16="http://schemas.microsoft.com/office/drawing/2014/main" id="{32A31461-B30A-47A6-9335-E37F98FCFA63}"/>
            </a:ext>
          </a:extLst>
        </xdr:cNvPr>
        <xdr:cNvGrpSpPr>
          <a:grpSpLocks noChangeAspect="1"/>
        </xdr:cNvGrpSpPr>
      </xdr:nvGrpSpPr>
      <xdr:grpSpPr bwMode="auto">
        <a:xfrm>
          <a:off x="2374970" y="76666830"/>
          <a:ext cx="875058" cy="190500"/>
          <a:chOff x="206" y="86"/>
          <a:chExt cx="73" cy="16"/>
        </a:xfrm>
      </xdr:grpSpPr>
      <xdr:sp macro="" textlink="">
        <xdr:nvSpPr>
          <xdr:cNvPr id="2739" name="Line 6">
            <a:extLst>
              <a:ext uri="{FF2B5EF4-FFF2-40B4-BE49-F238E27FC236}">
                <a16:creationId xmlns:a16="http://schemas.microsoft.com/office/drawing/2014/main" id="{5C8712CC-0C76-D525-284F-721073F069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0" name="Line 7">
            <a:extLst>
              <a:ext uri="{FF2B5EF4-FFF2-40B4-BE49-F238E27FC236}">
                <a16:creationId xmlns:a16="http://schemas.microsoft.com/office/drawing/2014/main" id="{C64B4735-2957-4B02-546E-52B13FB07D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1" name="Line 8">
            <a:extLst>
              <a:ext uri="{FF2B5EF4-FFF2-40B4-BE49-F238E27FC236}">
                <a16:creationId xmlns:a16="http://schemas.microsoft.com/office/drawing/2014/main" id="{15BEDDE3-0F35-CFCC-83C7-AF0B3B8EFE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199</xdr:row>
      <xdr:rowOff>58616</xdr:rowOff>
    </xdr:from>
    <xdr:to>
      <xdr:col>3</xdr:col>
      <xdr:colOff>977635</xdr:colOff>
      <xdr:row>199</xdr:row>
      <xdr:rowOff>249116</xdr:rowOff>
    </xdr:to>
    <xdr:grpSp>
      <xdr:nvGrpSpPr>
        <xdr:cNvPr id="2742" name="hinh2">
          <a:extLst>
            <a:ext uri="{FF2B5EF4-FFF2-40B4-BE49-F238E27FC236}">
              <a16:creationId xmlns:a16="http://schemas.microsoft.com/office/drawing/2014/main" id="{B323B68E-988F-4BD5-BE7A-F3EA92B2B0F6}"/>
            </a:ext>
          </a:extLst>
        </xdr:cNvPr>
        <xdr:cNvGrpSpPr>
          <a:grpSpLocks noChangeAspect="1"/>
        </xdr:cNvGrpSpPr>
      </xdr:nvGrpSpPr>
      <xdr:grpSpPr bwMode="auto">
        <a:xfrm>
          <a:off x="2374970" y="77061437"/>
          <a:ext cx="875058" cy="190500"/>
          <a:chOff x="206" y="86"/>
          <a:chExt cx="73" cy="16"/>
        </a:xfrm>
      </xdr:grpSpPr>
      <xdr:sp macro="" textlink="">
        <xdr:nvSpPr>
          <xdr:cNvPr id="2743" name="Line 6">
            <a:extLst>
              <a:ext uri="{FF2B5EF4-FFF2-40B4-BE49-F238E27FC236}">
                <a16:creationId xmlns:a16="http://schemas.microsoft.com/office/drawing/2014/main" id="{4D76F3C9-42B2-301A-22A7-66456F83F0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4" name="Line 7">
            <a:extLst>
              <a:ext uri="{FF2B5EF4-FFF2-40B4-BE49-F238E27FC236}">
                <a16:creationId xmlns:a16="http://schemas.microsoft.com/office/drawing/2014/main" id="{BA291F11-BD2E-A2B3-C844-8DCDDEB7A2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5" name="Line 8">
            <a:extLst>
              <a:ext uri="{FF2B5EF4-FFF2-40B4-BE49-F238E27FC236}">
                <a16:creationId xmlns:a16="http://schemas.microsoft.com/office/drawing/2014/main" id="{52200EBE-1936-8C3F-57D8-B183E306BC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199</xdr:row>
      <xdr:rowOff>58616</xdr:rowOff>
    </xdr:from>
    <xdr:to>
      <xdr:col>3</xdr:col>
      <xdr:colOff>977635</xdr:colOff>
      <xdr:row>199</xdr:row>
      <xdr:rowOff>249116</xdr:rowOff>
    </xdr:to>
    <xdr:grpSp>
      <xdr:nvGrpSpPr>
        <xdr:cNvPr id="2746" name="hinh2">
          <a:extLst>
            <a:ext uri="{FF2B5EF4-FFF2-40B4-BE49-F238E27FC236}">
              <a16:creationId xmlns:a16="http://schemas.microsoft.com/office/drawing/2014/main" id="{9E410B6C-7873-47DD-81A6-C7F9F93A009E}"/>
            </a:ext>
          </a:extLst>
        </xdr:cNvPr>
        <xdr:cNvGrpSpPr>
          <a:grpSpLocks noChangeAspect="1"/>
        </xdr:cNvGrpSpPr>
      </xdr:nvGrpSpPr>
      <xdr:grpSpPr bwMode="auto">
        <a:xfrm>
          <a:off x="2374970" y="77061437"/>
          <a:ext cx="875058" cy="190500"/>
          <a:chOff x="206" y="86"/>
          <a:chExt cx="73" cy="16"/>
        </a:xfrm>
      </xdr:grpSpPr>
      <xdr:sp macro="" textlink="">
        <xdr:nvSpPr>
          <xdr:cNvPr id="2747" name="Line 6">
            <a:extLst>
              <a:ext uri="{FF2B5EF4-FFF2-40B4-BE49-F238E27FC236}">
                <a16:creationId xmlns:a16="http://schemas.microsoft.com/office/drawing/2014/main" id="{3C7E408E-805F-7CCC-AF15-ADFA88F099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8" name="Line 7">
            <a:extLst>
              <a:ext uri="{FF2B5EF4-FFF2-40B4-BE49-F238E27FC236}">
                <a16:creationId xmlns:a16="http://schemas.microsoft.com/office/drawing/2014/main" id="{B3A6DC9A-E7F0-27C3-EAB6-482EA7238B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49" name="Line 8">
            <a:extLst>
              <a:ext uri="{FF2B5EF4-FFF2-40B4-BE49-F238E27FC236}">
                <a16:creationId xmlns:a16="http://schemas.microsoft.com/office/drawing/2014/main" id="{0AC6C6D9-A619-978B-98A3-C539C49C57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201</xdr:row>
      <xdr:rowOff>58616</xdr:rowOff>
    </xdr:from>
    <xdr:to>
      <xdr:col>3</xdr:col>
      <xdr:colOff>977635</xdr:colOff>
      <xdr:row>201</xdr:row>
      <xdr:rowOff>249116</xdr:rowOff>
    </xdr:to>
    <xdr:grpSp>
      <xdr:nvGrpSpPr>
        <xdr:cNvPr id="2750" name="hinh2">
          <a:extLst>
            <a:ext uri="{FF2B5EF4-FFF2-40B4-BE49-F238E27FC236}">
              <a16:creationId xmlns:a16="http://schemas.microsoft.com/office/drawing/2014/main" id="{E63AC85C-6EA4-4791-8B48-08D75297A592}"/>
            </a:ext>
          </a:extLst>
        </xdr:cNvPr>
        <xdr:cNvGrpSpPr>
          <a:grpSpLocks noChangeAspect="1"/>
        </xdr:cNvGrpSpPr>
      </xdr:nvGrpSpPr>
      <xdr:grpSpPr bwMode="auto">
        <a:xfrm>
          <a:off x="2374970" y="77850652"/>
          <a:ext cx="875058" cy="190500"/>
          <a:chOff x="206" y="86"/>
          <a:chExt cx="73" cy="16"/>
        </a:xfrm>
      </xdr:grpSpPr>
      <xdr:sp macro="" textlink="">
        <xdr:nvSpPr>
          <xdr:cNvPr id="2751" name="Line 6">
            <a:extLst>
              <a:ext uri="{FF2B5EF4-FFF2-40B4-BE49-F238E27FC236}">
                <a16:creationId xmlns:a16="http://schemas.microsoft.com/office/drawing/2014/main" id="{0429E426-E93D-BE60-C7C8-F1F6B978A4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2" name="Line 7">
            <a:extLst>
              <a:ext uri="{FF2B5EF4-FFF2-40B4-BE49-F238E27FC236}">
                <a16:creationId xmlns:a16="http://schemas.microsoft.com/office/drawing/2014/main" id="{FC1C9EA0-98F6-0107-06E6-A08148947F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3" name="Line 8">
            <a:extLst>
              <a:ext uri="{FF2B5EF4-FFF2-40B4-BE49-F238E27FC236}">
                <a16:creationId xmlns:a16="http://schemas.microsoft.com/office/drawing/2014/main" id="{EC93B412-87D9-1AF3-D1D1-23D81C61B1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202</xdr:row>
      <xdr:rowOff>58616</xdr:rowOff>
    </xdr:from>
    <xdr:to>
      <xdr:col>3</xdr:col>
      <xdr:colOff>977635</xdr:colOff>
      <xdr:row>202</xdr:row>
      <xdr:rowOff>249116</xdr:rowOff>
    </xdr:to>
    <xdr:grpSp>
      <xdr:nvGrpSpPr>
        <xdr:cNvPr id="2754" name="hinh2">
          <a:extLst>
            <a:ext uri="{FF2B5EF4-FFF2-40B4-BE49-F238E27FC236}">
              <a16:creationId xmlns:a16="http://schemas.microsoft.com/office/drawing/2014/main" id="{F8EDC2C2-1E5E-457C-AB66-F0A2736C9A86}"/>
            </a:ext>
          </a:extLst>
        </xdr:cNvPr>
        <xdr:cNvGrpSpPr>
          <a:grpSpLocks noChangeAspect="1"/>
        </xdr:cNvGrpSpPr>
      </xdr:nvGrpSpPr>
      <xdr:grpSpPr bwMode="auto">
        <a:xfrm>
          <a:off x="2374970" y="78245259"/>
          <a:ext cx="875058" cy="190500"/>
          <a:chOff x="206" y="86"/>
          <a:chExt cx="73" cy="16"/>
        </a:xfrm>
      </xdr:grpSpPr>
      <xdr:sp macro="" textlink="">
        <xdr:nvSpPr>
          <xdr:cNvPr id="2755" name="Line 6">
            <a:extLst>
              <a:ext uri="{FF2B5EF4-FFF2-40B4-BE49-F238E27FC236}">
                <a16:creationId xmlns:a16="http://schemas.microsoft.com/office/drawing/2014/main" id="{C8901B71-82F6-EA16-8C4C-9104CEF10C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6" name="Line 7">
            <a:extLst>
              <a:ext uri="{FF2B5EF4-FFF2-40B4-BE49-F238E27FC236}">
                <a16:creationId xmlns:a16="http://schemas.microsoft.com/office/drawing/2014/main" id="{B2811E15-7EA6-C45E-E8CF-94BE3DD701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7" name="Line 8">
            <a:extLst>
              <a:ext uri="{FF2B5EF4-FFF2-40B4-BE49-F238E27FC236}">
                <a16:creationId xmlns:a16="http://schemas.microsoft.com/office/drawing/2014/main" id="{2EA4205F-55E8-DCE7-4897-5133172BB1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68</xdr:row>
      <xdr:rowOff>80596</xdr:rowOff>
    </xdr:from>
    <xdr:to>
      <xdr:col>3</xdr:col>
      <xdr:colOff>970308</xdr:colOff>
      <xdr:row>68</xdr:row>
      <xdr:rowOff>244279</xdr:rowOff>
    </xdr:to>
    <xdr:grpSp>
      <xdr:nvGrpSpPr>
        <xdr:cNvPr id="4606" name="hinh2">
          <a:extLst>
            <a:ext uri="{FF2B5EF4-FFF2-40B4-BE49-F238E27FC236}">
              <a16:creationId xmlns:a16="http://schemas.microsoft.com/office/drawing/2014/main" id="{9B831BED-E0C5-4761-A869-9FA276973B3F}"/>
            </a:ext>
          </a:extLst>
        </xdr:cNvPr>
        <xdr:cNvGrpSpPr>
          <a:grpSpLocks noChangeAspect="1"/>
        </xdr:cNvGrpSpPr>
      </xdr:nvGrpSpPr>
      <xdr:grpSpPr bwMode="auto">
        <a:xfrm>
          <a:off x="2367643" y="25757275"/>
          <a:ext cx="875058" cy="163683"/>
          <a:chOff x="206" y="86"/>
          <a:chExt cx="73" cy="16"/>
        </a:xfrm>
      </xdr:grpSpPr>
      <xdr:sp macro="" textlink="">
        <xdr:nvSpPr>
          <xdr:cNvPr id="4607" name="Line 6">
            <a:extLst>
              <a:ext uri="{FF2B5EF4-FFF2-40B4-BE49-F238E27FC236}">
                <a16:creationId xmlns:a16="http://schemas.microsoft.com/office/drawing/2014/main" id="{4CE05BA5-EA65-0773-1C0A-C232761936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08" name="Line 7">
            <a:extLst>
              <a:ext uri="{FF2B5EF4-FFF2-40B4-BE49-F238E27FC236}">
                <a16:creationId xmlns:a16="http://schemas.microsoft.com/office/drawing/2014/main" id="{B01F02B8-B82A-8304-7709-8439181A5E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09" name="Line 8">
            <a:extLst>
              <a:ext uri="{FF2B5EF4-FFF2-40B4-BE49-F238E27FC236}">
                <a16:creationId xmlns:a16="http://schemas.microsoft.com/office/drawing/2014/main" id="{FFE05709-02C0-B19E-EED5-5462570323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69</xdr:row>
      <xdr:rowOff>58616</xdr:rowOff>
    </xdr:from>
    <xdr:to>
      <xdr:col>3</xdr:col>
      <xdr:colOff>977635</xdr:colOff>
      <xdr:row>69</xdr:row>
      <xdr:rowOff>249116</xdr:rowOff>
    </xdr:to>
    <xdr:grpSp>
      <xdr:nvGrpSpPr>
        <xdr:cNvPr id="4610" name="hinh2">
          <a:extLst>
            <a:ext uri="{FF2B5EF4-FFF2-40B4-BE49-F238E27FC236}">
              <a16:creationId xmlns:a16="http://schemas.microsoft.com/office/drawing/2014/main" id="{D79E065B-8169-46E2-B047-DA1A1E54F683}"/>
            </a:ext>
          </a:extLst>
        </xdr:cNvPr>
        <xdr:cNvGrpSpPr>
          <a:grpSpLocks noChangeAspect="1"/>
        </xdr:cNvGrpSpPr>
      </xdr:nvGrpSpPr>
      <xdr:grpSpPr bwMode="auto">
        <a:xfrm>
          <a:off x="2374970" y="26129902"/>
          <a:ext cx="875058" cy="190500"/>
          <a:chOff x="206" y="86"/>
          <a:chExt cx="73" cy="16"/>
        </a:xfrm>
      </xdr:grpSpPr>
      <xdr:sp macro="" textlink="">
        <xdr:nvSpPr>
          <xdr:cNvPr id="4611" name="Line 6">
            <a:extLst>
              <a:ext uri="{FF2B5EF4-FFF2-40B4-BE49-F238E27FC236}">
                <a16:creationId xmlns:a16="http://schemas.microsoft.com/office/drawing/2014/main" id="{4DAF2C7C-13D3-497B-8E03-AC75158120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2" name="Line 7">
            <a:extLst>
              <a:ext uri="{FF2B5EF4-FFF2-40B4-BE49-F238E27FC236}">
                <a16:creationId xmlns:a16="http://schemas.microsoft.com/office/drawing/2014/main" id="{D3BA97E9-091A-FE39-1EA3-2895B6EF65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3" name="Line 8">
            <a:extLst>
              <a:ext uri="{FF2B5EF4-FFF2-40B4-BE49-F238E27FC236}">
                <a16:creationId xmlns:a16="http://schemas.microsoft.com/office/drawing/2014/main" id="{79A92183-67C4-A80E-0D10-D7A4E3C340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70</xdr:row>
      <xdr:rowOff>58616</xdr:rowOff>
    </xdr:from>
    <xdr:to>
      <xdr:col>3</xdr:col>
      <xdr:colOff>977635</xdr:colOff>
      <xdr:row>70</xdr:row>
      <xdr:rowOff>249116</xdr:rowOff>
    </xdr:to>
    <xdr:grpSp>
      <xdr:nvGrpSpPr>
        <xdr:cNvPr id="4614" name="hinh2">
          <a:extLst>
            <a:ext uri="{FF2B5EF4-FFF2-40B4-BE49-F238E27FC236}">
              <a16:creationId xmlns:a16="http://schemas.microsoft.com/office/drawing/2014/main" id="{4C63FC73-5D23-4D04-8954-FFCAA42EDD9C}"/>
            </a:ext>
          </a:extLst>
        </xdr:cNvPr>
        <xdr:cNvGrpSpPr>
          <a:grpSpLocks noChangeAspect="1"/>
        </xdr:cNvGrpSpPr>
      </xdr:nvGrpSpPr>
      <xdr:grpSpPr bwMode="auto">
        <a:xfrm>
          <a:off x="2374970" y="26524509"/>
          <a:ext cx="875058" cy="190500"/>
          <a:chOff x="206" y="86"/>
          <a:chExt cx="73" cy="16"/>
        </a:xfrm>
      </xdr:grpSpPr>
      <xdr:sp macro="" textlink="">
        <xdr:nvSpPr>
          <xdr:cNvPr id="4615" name="Line 6">
            <a:extLst>
              <a:ext uri="{FF2B5EF4-FFF2-40B4-BE49-F238E27FC236}">
                <a16:creationId xmlns:a16="http://schemas.microsoft.com/office/drawing/2014/main" id="{7D255FB8-18DA-693F-DE81-E9A515B2B8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6" name="Line 7">
            <a:extLst>
              <a:ext uri="{FF2B5EF4-FFF2-40B4-BE49-F238E27FC236}">
                <a16:creationId xmlns:a16="http://schemas.microsoft.com/office/drawing/2014/main" id="{17519D1F-7C33-BE10-2C0A-21C2BEDFEF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7" name="Line 8">
            <a:extLst>
              <a:ext uri="{FF2B5EF4-FFF2-40B4-BE49-F238E27FC236}">
                <a16:creationId xmlns:a16="http://schemas.microsoft.com/office/drawing/2014/main" id="{C7333588-5DBA-5EDD-F635-40BC8049AE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71</xdr:row>
      <xdr:rowOff>58616</xdr:rowOff>
    </xdr:from>
    <xdr:to>
      <xdr:col>3</xdr:col>
      <xdr:colOff>977635</xdr:colOff>
      <xdr:row>71</xdr:row>
      <xdr:rowOff>249116</xdr:rowOff>
    </xdr:to>
    <xdr:grpSp>
      <xdr:nvGrpSpPr>
        <xdr:cNvPr id="4618" name="hinh2">
          <a:extLst>
            <a:ext uri="{FF2B5EF4-FFF2-40B4-BE49-F238E27FC236}">
              <a16:creationId xmlns:a16="http://schemas.microsoft.com/office/drawing/2014/main" id="{B6211A31-EAAF-439B-A4FB-755A17399D50}"/>
            </a:ext>
          </a:extLst>
        </xdr:cNvPr>
        <xdr:cNvGrpSpPr>
          <a:grpSpLocks noChangeAspect="1"/>
        </xdr:cNvGrpSpPr>
      </xdr:nvGrpSpPr>
      <xdr:grpSpPr bwMode="auto">
        <a:xfrm>
          <a:off x="2374970" y="26919116"/>
          <a:ext cx="875058" cy="190500"/>
          <a:chOff x="206" y="86"/>
          <a:chExt cx="73" cy="16"/>
        </a:xfrm>
      </xdr:grpSpPr>
      <xdr:sp macro="" textlink="">
        <xdr:nvSpPr>
          <xdr:cNvPr id="4619" name="Line 6">
            <a:extLst>
              <a:ext uri="{FF2B5EF4-FFF2-40B4-BE49-F238E27FC236}">
                <a16:creationId xmlns:a16="http://schemas.microsoft.com/office/drawing/2014/main" id="{B2FA1AAB-1693-04E8-42A4-880D481EAC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0" name="Line 7">
            <a:extLst>
              <a:ext uri="{FF2B5EF4-FFF2-40B4-BE49-F238E27FC236}">
                <a16:creationId xmlns:a16="http://schemas.microsoft.com/office/drawing/2014/main" id="{D9CEA7FC-AF03-491A-9337-BC426D9767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1" name="Line 8">
            <a:extLst>
              <a:ext uri="{FF2B5EF4-FFF2-40B4-BE49-F238E27FC236}">
                <a16:creationId xmlns:a16="http://schemas.microsoft.com/office/drawing/2014/main" id="{249FD144-E6DA-0AA9-3570-E290C1F2C8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72</xdr:row>
      <xdr:rowOff>58616</xdr:rowOff>
    </xdr:from>
    <xdr:to>
      <xdr:col>3</xdr:col>
      <xdr:colOff>977635</xdr:colOff>
      <xdr:row>72</xdr:row>
      <xdr:rowOff>249116</xdr:rowOff>
    </xdr:to>
    <xdr:grpSp>
      <xdr:nvGrpSpPr>
        <xdr:cNvPr id="4622" name="hinh2">
          <a:extLst>
            <a:ext uri="{FF2B5EF4-FFF2-40B4-BE49-F238E27FC236}">
              <a16:creationId xmlns:a16="http://schemas.microsoft.com/office/drawing/2014/main" id="{884B04DD-FF79-4E2F-9D3C-B397B14D2E2A}"/>
            </a:ext>
          </a:extLst>
        </xdr:cNvPr>
        <xdr:cNvGrpSpPr>
          <a:grpSpLocks noChangeAspect="1"/>
        </xdr:cNvGrpSpPr>
      </xdr:nvGrpSpPr>
      <xdr:grpSpPr bwMode="auto">
        <a:xfrm>
          <a:off x="2374970" y="27313723"/>
          <a:ext cx="875058" cy="190500"/>
          <a:chOff x="206" y="86"/>
          <a:chExt cx="73" cy="16"/>
        </a:xfrm>
      </xdr:grpSpPr>
      <xdr:sp macro="" textlink="">
        <xdr:nvSpPr>
          <xdr:cNvPr id="4623" name="Line 6">
            <a:extLst>
              <a:ext uri="{FF2B5EF4-FFF2-40B4-BE49-F238E27FC236}">
                <a16:creationId xmlns:a16="http://schemas.microsoft.com/office/drawing/2014/main" id="{1E1768BC-A88D-3A52-82E7-8A8EF7BA65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4" name="Line 7">
            <a:extLst>
              <a:ext uri="{FF2B5EF4-FFF2-40B4-BE49-F238E27FC236}">
                <a16:creationId xmlns:a16="http://schemas.microsoft.com/office/drawing/2014/main" id="{805CD963-535C-99A3-60E2-4ECE6A0EF1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5" name="Line 8">
            <a:extLst>
              <a:ext uri="{FF2B5EF4-FFF2-40B4-BE49-F238E27FC236}">
                <a16:creationId xmlns:a16="http://schemas.microsoft.com/office/drawing/2014/main" id="{51F9BD74-749C-47D7-60EE-6CE3DDA15F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74</xdr:row>
      <xdr:rowOff>58616</xdr:rowOff>
    </xdr:from>
    <xdr:to>
      <xdr:col>3</xdr:col>
      <xdr:colOff>977635</xdr:colOff>
      <xdr:row>74</xdr:row>
      <xdr:rowOff>249116</xdr:rowOff>
    </xdr:to>
    <xdr:grpSp>
      <xdr:nvGrpSpPr>
        <xdr:cNvPr id="4626" name="hinh2">
          <a:extLst>
            <a:ext uri="{FF2B5EF4-FFF2-40B4-BE49-F238E27FC236}">
              <a16:creationId xmlns:a16="http://schemas.microsoft.com/office/drawing/2014/main" id="{566FD6D5-887A-4B22-AA2C-77ACD86B0B63}"/>
            </a:ext>
          </a:extLst>
        </xdr:cNvPr>
        <xdr:cNvGrpSpPr>
          <a:grpSpLocks noChangeAspect="1"/>
        </xdr:cNvGrpSpPr>
      </xdr:nvGrpSpPr>
      <xdr:grpSpPr bwMode="auto">
        <a:xfrm>
          <a:off x="2374970" y="28102937"/>
          <a:ext cx="875058" cy="190500"/>
          <a:chOff x="206" y="86"/>
          <a:chExt cx="73" cy="16"/>
        </a:xfrm>
      </xdr:grpSpPr>
      <xdr:sp macro="" textlink="">
        <xdr:nvSpPr>
          <xdr:cNvPr id="4627" name="Line 6">
            <a:extLst>
              <a:ext uri="{FF2B5EF4-FFF2-40B4-BE49-F238E27FC236}">
                <a16:creationId xmlns:a16="http://schemas.microsoft.com/office/drawing/2014/main" id="{3BB52754-8C7D-3143-FF65-B8C09BA9A4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8" name="Line 7">
            <a:extLst>
              <a:ext uri="{FF2B5EF4-FFF2-40B4-BE49-F238E27FC236}">
                <a16:creationId xmlns:a16="http://schemas.microsoft.com/office/drawing/2014/main" id="{974D92AF-BE70-E70B-DCB4-630D26C287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9" name="Line 8">
            <a:extLst>
              <a:ext uri="{FF2B5EF4-FFF2-40B4-BE49-F238E27FC236}">
                <a16:creationId xmlns:a16="http://schemas.microsoft.com/office/drawing/2014/main" id="{05A9F522-EBF6-C918-49DF-B35B65DC8C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73</xdr:row>
      <xdr:rowOff>58616</xdr:rowOff>
    </xdr:from>
    <xdr:to>
      <xdr:col>3</xdr:col>
      <xdr:colOff>977635</xdr:colOff>
      <xdr:row>73</xdr:row>
      <xdr:rowOff>249116</xdr:rowOff>
    </xdr:to>
    <xdr:grpSp>
      <xdr:nvGrpSpPr>
        <xdr:cNvPr id="4630" name="hinh2">
          <a:extLst>
            <a:ext uri="{FF2B5EF4-FFF2-40B4-BE49-F238E27FC236}">
              <a16:creationId xmlns:a16="http://schemas.microsoft.com/office/drawing/2014/main" id="{777E4678-236A-4602-87FD-C79097D26E9D}"/>
            </a:ext>
          </a:extLst>
        </xdr:cNvPr>
        <xdr:cNvGrpSpPr>
          <a:grpSpLocks noChangeAspect="1"/>
        </xdr:cNvGrpSpPr>
      </xdr:nvGrpSpPr>
      <xdr:grpSpPr bwMode="auto">
        <a:xfrm>
          <a:off x="2374970" y="27708330"/>
          <a:ext cx="875058" cy="190500"/>
          <a:chOff x="206" y="86"/>
          <a:chExt cx="73" cy="16"/>
        </a:xfrm>
      </xdr:grpSpPr>
      <xdr:sp macro="" textlink="">
        <xdr:nvSpPr>
          <xdr:cNvPr id="4631" name="Line 6">
            <a:extLst>
              <a:ext uri="{FF2B5EF4-FFF2-40B4-BE49-F238E27FC236}">
                <a16:creationId xmlns:a16="http://schemas.microsoft.com/office/drawing/2014/main" id="{BB6AC3A3-5236-E248-A9E3-E049026B72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2" name="Line 7">
            <a:extLst>
              <a:ext uri="{FF2B5EF4-FFF2-40B4-BE49-F238E27FC236}">
                <a16:creationId xmlns:a16="http://schemas.microsoft.com/office/drawing/2014/main" id="{334D6ACA-048F-65B3-EECD-5774EC1551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3" name="Line 8">
            <a:extLst>
              <a:ext uri="{FF2B5EF4-FFF2-40B4-BE49-F238E27FC236}">
                <a16:creationId xmlns:a16="http://schemas.microsoft.com/office/drawing/2014/main" id="{DE2160B2-B399-4787-BEFB-0217F3A426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70</xdr:row>
      <xdr:rowOff>58616</xdr:rowOff>
    </xdr:from>
    <xdr:to>
      <xdr:col>3</xdr:col>
      <xdr:colOff>977635</xdr:colOff>
      <xdr:row>70</xdr:row>
      <xdr:rowOff>249116</xdr:rowOff>
    </xdr:to>
    <xdr:grpSp>
      <xdr:nvGrpSpPr>
        <xdr:cNvPr id="4634" name="hinh2">
          <a:extLst>
            <a:ext uri="{FF2B5EF4-FFF2-40B4-BE49-F238E27FC236}">
              <a16:creationId xmlns:a16="http://schemas.microsoft.com/office/drawing/2014/main" id="{29F1D209-9661-416D-BC4E-67F690AB61FB}"/>
            </a:ext>
          </a:extLst>
        </xdr:cNvPr>
        <xdr:cNvGrpSpPr>
          <a:grpSpLocks noChangeAspect="1"/>
        </xdr:cNvGrpSpPr>
      </xdr:nvGrpSpPr>
      <xdr:grpSpPr bwMode="auto">
        <a:xfrm>
          <a:off x="2374970" y="26524509"/>
          <a:ext cx="875058" cy="190500"/>
          <a:chOff x="206" y="86"/>
          <a:chExt cx="73" cy="16"/>
        </a:xfrm>
      </xdr:grpSpPr>
      <xdr:sp macro="" textlink="">
        <xdr:nvSpPr>
          <xdr:cNvPr id="4635" name="Line 6">
            <a:extLst>
              <a:ext uri="{FF2B5EF4-FFF2-40B4-BE49-F238E27FC236}">
                <a16:creationId xmlns:a16="http://schemas.microsoft.com/office/drawing/2014/main" id="{17F473B9-7828-F183-1DC2-019917C994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6" name="Line 7">
            <a:extLst>
              <a:ext uri="{FF2B5EF4-FFF2-40B4-BE49-F238E27FC236}">
                <a16:creationId xmlns:a16="http://schemas.microsoft.com/office/drawing/2014/main" id="{3DC5FE11-A5EF-5DD7-E16F-B5830E1F4E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7" name="Line 8">
            <a:extLst>
              <a:ext uri="{FF2B5EF4-FFF2-40B4-BE49-F238E27FC236}">
                <a16:creationId xmlns:a16="http://schemas.microsoft.com/office/drawing/2014/main" id="{6547A1BB-0C88-BA19-9D41-9F82EE4183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71</xdr:row>
      <xdr:rowOff>58616</xdr:rowOff>
    </xdr:from>
    <xdr:to>
      <xdr:col>3</xdr:col>
      <xdr:colOff>977635</xdr:colOff>
      <xdr:row>71</xdr:row>
      <xdr:rowOff>249116</xdr:rowOff>
    </xdr:to>
    <xdr:grpSp>
      <xdr:nvGrpSpPr>
        <xdr:cNvPr id="4638" name="hinh2">
          <a:extLst>
            <a:ext uri="{FF2B5EF4-FFF2-40B4-BE49-F238E27FC236}">
              <a16:creationId xmlns:a16="http://schemas.microsoft.com/office/drawing/2014/main" id="{EEED78D0-C6AD-46E8-A8EB-BE82E3BE7454}"/>
            </a:ext>
          </a:extLst>
        </xdr:cNvPr>
        <xdr:cNvGrpSpPr>
          <a:grpSpLocks noChangeAspect="1"/>
        </xdr:cNvGrpSpPr>
      </xdr:nvGrpSpPr>
      <xdr:grpSpPr bwMode="auto">
        <a:xfrm>
          <a:off x="2374970" y="26919116"/>
          <a:ext cx="875058" cy="190500"/>
          <a:chOff x="206" y="86"/>
          <a:chExt cx="73" cy="16"/>
        </a:xfrm>
      </xdr:grpSpPr>
      <xdr:sp macro="" textlink="">
        <xdr:nvSpPr>
          <xdr:cNvPr id="4639" name="Line 6">
            <a:extLst>
              <a:ext uri="{FF2B5EF4-FFF2-40B4-BE49-F238E27FC236}">
                <a16:creationId xmlns:a16="http://schemas.microsoft.com/office/drawing/2014/main" id="{8E9486C5-B3A7-F412-66C3-1DB3FB06A1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0" name="Line 7">
            <a:extLst>
              <a:ext uri="{FF2B5EF4-FFF2-40B4-BE49-F238E27FC236}">
                <a16:creationId xmlns:a16="http://schemas.microsoft.com/office/drawing/2014/main" id="{8C265A45-E2E1-BD7C-77F5-3DA637B8B45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1" name="Line 8">
            <a:extLst>
              <a:ext uri="{FF2B5EF4-FFF2-40B4-BE49-F238E27FC236}">
                <a16:creationId xmlns:a16="http://schemas.microsoft.com/office/drawing/2014/main" id="{200BF1BA-5AC4-69E0-D588-53C0288760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71</xdr:row>
      <xdr:rowOff>58616</xdr:rowOff>
    </xdr:from>
    <xdr:to>
      <xdr:col>3</xdr:col>
      <xdr:colOff>977635</xdr:colOff>
      <xdr:row>71</xdr:row>
      <xdr:rowOff>249116</xdr:rowOff>
    </xdr:to>
    <xdr:grpSp>
      <xdr:nvGrpSpPr>
        <xdr:cNvPr id="4642" name="hinh2">
          <a:extLst>
            <a:ext uri="{FF2B5EF4-FFF2-40B4-BE49-F238E27FC236}">
              <a16:creationId xmlns:a16="http://schemas.microsoft.com/office/drawing/2014/main" id="{2943CD51-1DEE-4312-ADAC-48337BA73B73}"/>
            </a:ext>
          </a:extLst>
        </xdr:cNvPr>
        <xdr:cNvGrpSpPr>
          <a:grpSpLocks noChangeAspect="1"/>
        </xdr:cNvGrpSpPr>
      </xdr:nvGrpSpPr>
      <xdr:grpSpPr bwMode="auto">
        <a:xfrm>
          <a:off x="2374970" y="26919116"/>
          <a:ext cx="875058" cy="190500"/>
          <a:chOff x="206" y="86"/>
          <a:chExt cx="73" cy="16"/>
        </a:xfrm>
      </xdr:grpSpPr>
      <xdr:sp macro="" textlink="">
        <xdr:nvSpPr>
          <xdr:cNvPr id="4643" name="Line 6">
            <a:extLst>
              <a:ext uri="{FF2B5EF4-FFF2-40B4-BE49-F238E27FC236}">
                <a16:creationId xmlns:a16="http://schemas.microsoft.com/office/drawing/2014/main" id="{CDD64BA6-64F2-19B4-19A7-35C06D3ED5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4" name="Line 7">
            <a:extLst>
              <a:ext uri="{FF2B5EF4-FFF2-40B4-BE49-F238E27FC236}">
                <a16:creationId xmlns:a16="http://schemas.microsoft.com/office/drawing/2014/main" id="{B9ACFF10-A486-5E7B-7FC5-01259DA605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5" name="Line 8">
            <a:extLst>
              <a:ext uri="{FF2B5EF4-FFF2-40B4-BE49-F238E27FC236}">
                <a16:creationId xmlns:a16="http://schemas.microsoft.com/office/drawing/2014/main" id="{996BE0BC-4224-2376-529D-13F3DB8E68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75</xdr:row>
      <xdr:rowOff>80596</xdr:rowOff>
    </xdr:from>
    <xdr:to>
      <xdr:col>3</xdr:col>
      <xdr:colOff>970308</xdr:colOff>
      <xdr:row>75</xdr:row>
      <xdr:rowOff>244279</xdr:rowOff>
    </xdr:to>
    <xdr:grpSp>
      <xdr:nvGrpSpPr>
        <xdr:cNvPr id="4646" name="hinh2">
          <a:extLst>
            <a:ext uri="{FF2B5EF4-FFF2-40B4-BE49-F238E27FC236}">
              <a16:creationId xmlns:a16="http://schemas.microsoft.com/office/drawing/2014/main" id="{A8DE270E-30FE-43A6-A66A-00355F234F0D}"/>
            </a:ext>
          </a:extLst>
        </xdr:cNvPr>
        <xdr:cNvGrpSpPr>
          <a:grpSpLocks noChangeAspect="1"/>
        </xdr:cNvGrpSpPr>
      </xdr:nvGrpSpPr>
      <xdr:grpSpPr bwMode="auto">
        <a:xfrm>
          <a:off x="2367643" y="28519525"/>
          <a:ext cx="875058" cy="163683"/>
          <a:chOff x="206" y="86"/>
          <a:chExt cx="73" cy="16"/>
        </a:xfrm>
      </xdr:grpSpPr>
      <xdr:sp macro="" textlink="">
        <xdr:nvSpPr>
          <xdr:cNvPr id="4647" name="Line 6">
            <a:extLst>
              <a:ext uri="{FF2B5EF4-FFF2-40B4-BE49-F238E27FC236}">
                <a16:creationId xmlns:a16="http://schemas.microsoft.com/office/drawing/2014/main" id="{5A3E1D91-F502-5994-74E8-9AFAA5B155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8" name="Line 7">
            <a:extLst>
              <a:ext uri="{FF2B5EF4-FFF2-40B4-BE49-F238E27FC236}">
                <a16:creationId xmlns:a16="http://schemas.microsoft.com/office/drawing/2014/main" id="{45EACD37-666D-120D-9B5B-CE2AB34C81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9" name="Line 8">
            <a:extLst>
              <a:ext uri="{FF2B5EF4-FFF2-40B4-BE49-F238E27FC236}">
                <a16:creationId xmlns:a16="http://schemas.microsoft.com/office/drawing/2014/main" id="{05D38C75-6F75-F82A-9D8D-37CEBFC183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76</xdr:row>
      <xdr:rowOff>58616</xdr:rowOff>
    </xdr:from>
    <xdr:to>
      <xdr:col>3</xdr:col>
      <xdr:colOff>977635</xdr:colOff>
      <xdr:row>76</xdr:row>
      <xdr:rowOff>249116</xdr:rowOff>
    </xdr:to>
    <xdr:grpSp>
      <xdr:nvGrpSpPr>
        <xdr:cNvPr id="4650" name="hinh2">
          <a:extLst>
            <a:ext uri="{FF2B5EF4-FFF2-40B4-BE49-F238E27FC236}">
              <a16:creationId xmlns:a16="http://schemas.microsoft.com/office/drawing/2014/main" id="{869CC3A3-6841-467A-8BA5-3935C86674C3}"/>
            </a:ext>
          </a:extLst>
        </xdr:cNvPr>
        <xdr:cNvGrpSpPr>
          <a:grpSpLocks noChangeAspect="1"/>
        </xdr:cNvGrpSpPr>
      </xdr:nvGrpSpPr>
      <xdr:grpSpPr bwMode="auto">
        <a:xfrm>
          <a:off x="2374970" y="28892152"/>
          <a:ext cx="875058" cy="190500"/>
          <a:chOff x="206" y="86"/>
          <a:chExt cx="73" cy="16"/>
        </a:xfrm>
      </xdr:grpSpPr>
      <xdr:sp macro="" textlink="">
        <xdr:nvSpPr>
          <xdr:cNvPr id="4651" name="Line 6">
            <a:extLst>
              <a:ext uri="{FF2B5EF4-FFF2-40B4-BE49-F238E27FC236}">
                <a16:creationId xmlns:a16="http://schemas.microsoft.com/office/drawing/2014/main" id="{58FDF759-E250-A7C4-EE94-F70EFED739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2" name="Line 7">
            <a:extLst>
              <a:ext uri="{FF2B5EF4-FFF2-40B4-BE49-F238E27FC236}">
                <a16:creationId xmlns:a16="http://schemas.microsoft.com/office/drawing/2014/main" id="{82EBBDE8-73DC-36EB-1616-929B8209FB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3" name="Line 8">
            <a:extLst>
              <a:ext uri="{FF2B5EF4-FFF2-40B4-BE49-F238E27FC236}">
                <a16:creationId xmlns:a16="http://schemas.microsoft.com/office/drawing/2014/main" id="{47E07B74-AC89-3625-D671-24AAA81B18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77</xdr:row>
      <xdr:rowOff>58616</xdr:rowOff>
    </xdr:from>
    <xdr:to>
      <xdr:col>3</xdr:col>
      <xdr:colOff>977635</xdr:colOff>
      <xdr:row>77</xdr:row>
      <xdr:rowOff>249116</xdr:rowOff>
    </xdr:to>
    <xdr:grpSp>
      <xdr:nvGrpSpPr>
        <xdr:cNvPr id="4654" name="hinh2">
          <a:extLst>
            <a:ext uri="{FF2B5EF4-FFF2-40B4-BE49-F238E27FC236}">
              <a16:creationId xmlns:a16="http://schemas.microsoft.com/office/drawing/2014/main" id="{3BC84A60-FBDB-4E60-B75C-215851533AAC}"/>
            </a:ext>
          </a:extLst>
        </xdr:cNvPr>
        <xdr:cNvGrpSpPr>
          <a:grpSpLocks noChangeAspect="1"/>
        </xdr:cNvGrpSpPr>
      </xdr:nvGrpSpPr>
      <xdr:grpSpPr bwMode="auto">
        <a:xfrm>
          <a:off x="2374970" y="29286759"/>
          <a:ext cx="875058" cy="190500"/>
          <a:chOff x="206" y="86"/>
          <a:chExt cx="73" cy="16"/>
        </a:xfrm>
      </xdr:grpSpPr>
      <xdr:sp macro="" textlink="">
        <xdr:nvSpPr>
          <xdr:cNvPr id="4655" name="Line 6">
            <a:extLst>
              <a:ext uri="{FF2B5EF4-FFF2-40B4-BE49-F238E27FC236}">
                <a16:creationId xmlns:a16="http://schemas.microsoft.com/office/drawing/2014/main" id="{A3BB3DC2-4A8A-9EE8-A2A6-16051255D7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6" name="Line 7">
            <a:extLst>
              <a:ext uri="{FF2B5EF4-FFF2-40B4-BE49-F238E27FC236}">
                <a16:creationId xmlns:a16="http://schemas.microsoft.com/office/drawing/2014/main" id="{24461D32-94E4-C54B-F1C7-DF51336B81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7" name="Line 8">
            <a:extLst>
              <a:ext uri="{FF2B5EF4-FFF2-40B4-BE49-F238E27FC236}">
                <a16:creationId xmlns:a16="http://schemas.microsoft.com/office/drawing/2014/main" id="{3986F89D-D8CF-06BB-A610-2CC6683B4F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78</xdr:row>
      <xdr:rowOff>58616</xdr:rowOff>
    </xdr:from>
    <xdr:to>
      <xdr:col>3</xdr:col>
      <xdr:colOff>977635</xdr:colOff>
      <xdr:row>78</xdr:row>
      <xdr:rowOff>249116</xdr:rowOff>
    </xdr:to>
    <xdr:grpSp>
      <xdr:nvGrpSpPr>
        <xdr:cNvPr id="4658" name="hinh2">
          <a:extLst>
            <a:ext uri="{FF2B5EF4-FFF2-40B4-BE49-F238E27FC236}">
              <a16:creationId xmlns:a16="http://schemas.microsoft.com/office/drawing/2014/main" id="{09706807-7197-4CE1-BF11-F53B9877189F}"/>
            </a:ext>
          </a:extLst>
        </xdr:cNvPr>
        <xdr:cNvGrpSpPr>
          <a:grpSpLocks noChangeAspect="1"/>
        </xdr:cNvGrpSpPr>
      </xdr:nvGrpSpPr>
      <xdr:grpSpPr bwMode="auto">
        <a:xfrm>
          <a:off x="2374970" y="29681366"/>
          <a:ext cx="875058" cy="190500"/>
          <a:chOff x="206" y="86"/>
          <a:chExt cx="73" cy="16"/>
        </a:xfrm>
      </xdr:grpSpPr>
      <xdr:sp macro="" textlink="">
        <xdr:nvSpPr>
          <xdr:cNvPr id="4659" name="Line 6">
            <a:extLst>
              <a:ext uri="{FF2B5EF4-FFF2-40B4-BE49-F238E27FC236}">
                <a16:creationId xmlns:a16="http://schemas.microsoft.com/office/drawing/2014/main" id="{8355F28D-E17F-EB8C-6260-8384920DC2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0" name="Line 7">
            <a:extLst>
              <a:ext uri="{FF2B5EF4-FFF2-40B4-BE49-F238E27FC236}">
                <a16:creationId xmlns:a16="http://schemas.microsoft.com/office/drawing/2014/main" id="{0F11B3A4-5899-421C-5884-BDCEA97C45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1" name="Line 8">
            <a:extLst>
              <a:ext uri="{FF2B5EF4-FFF2-40B4-BE49-F238E27FC236}">
                <a16:creationId xmlns:a16="http://schemas.microsoft.com/office/drawing/2014/main" id="{132D1E8F-E4A6-6F2B-7D95-869ED8E38B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79</xdr:row>
      <xdr:rowOff>58616</xdr:rowOff>
    </xdr:from>
    <xdr:to>
      <xdr:col>3</xdr:col>
      <xdr:colOff>977635</xdr:colOff>
      <xdr:row>79</xdr:row>
      <xdr:rowOff>249116</xdr:rowOff>
    </xdr:to>
    <xdr:grpSp>
      <xdr:nvGrpSpPr>
        <xdr:cNvPr id="4662" name="hinh2">
          <a:extLst>
            <a:ext uri="{FF2B5EF4-FFF2-40B4-BE49-F238E27FC236}">
              <a16:creationId xmlns:a16="http://schemas.microsoft.com/office/drawing/2014/main" id="{27AD803C-ABAA-47EF-A865-DC79B12D031A}"/>
            </a:ext>
          </a:extLst>
        </xdr:cNvPr>
        <xdr:cNvGrpSpPr>
          <a:grpSpLocks noChangeAspect="1"/>
        </xdr:cNvGrpSpPr>
      </xdr:nvGrpSpPr>
      <xdr:grpSpPr bwMode="auto">
        <a:xfrm>
          <a:off x="2374970" y="30075973"/>
          <a:ext cx="875058" cy="190500"/>
          <a:chOff x="206" y="86"/>
          <a:chExt cx="73" cy="16"/>
        </a:xfrm>
      </xdr:grpSpPr>
      <xdr:sp macro="" textlink="">
        <xdr:nvSpPr>
          <xdr:cNvPr id="4663" name="Line 6">
            <a:extLst>
              <a:ext uri="{FF2B5EF4-FFF2-40B4-BE49-F238E27FC236}">
                <a16:creationId xmlns:a16="http://schemas.microsoft.com/office/drawing/2014/main" id="{3F67FD82-F880-ABD3-E463-62C03E7F0E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4" name="Line 7">
            <a:extLst>
              <a:ext uri="{FF2B5EF4-FFF2-40B4-BE49-F238E27FC236}">
                <a16:creationId xmlns:a16="http://schemas.microsoft.com/office/drawing/2014/main" id="{1B7C7549-8AB8-1252-2C98-F2FCF825C6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5" name="Line 8">
            <a:extLst>
              <a:ext uri="{FF2B5EF4-FFF2-40B4-BE49-F238E27FC236}">
                <a16:creationId xmlns:a16="http://schemas.microsoft.com/office/drawing/2014/main" id="{CBDEB6C8-63D1-767C-6097-770484EB97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81</xdr:row>
      <xdr:rowOff>58616</xdr:rowOff>
    </xdr:from>
    <xdr:to>
      <xdr:col>3</xdr:col>
      <xdr:colOff>977635</xdr:colOff>
      <xdr:row>81</xdr:row>
      <xdr:rowOff>249116</xdr:rowOff>
    </xdr:to>
    <xdr:grpSp>
      <xdr:nvGrpSpPr>
        <xdr:cNvPr id="4666" name="hinh2">
          <a:extLst>
            <a:ext uri="{FF2B5EF4-FFF2-40B4-BE49-F238E27FC236}">
              <a16:creationId xmlns:a16="http://schemas.microsoft.com/office/drawing/2014/main" id="{F86D697E-8085-4D81-B8DD-77F6AB16AE6D}"/>
            </a:ext>
          </a:extLst>
        </xdr:cNvPr>
        <xdr:cNvGrpSpPr>
          <a:grpSpLocks noChangeAspect="1"/>
        </xdr:cNvGrpSpPr>
      </xdr:nvGrpSpPr>
      <xdr:grpSpPr bwMode="auto">
        <a:xfrm>
          <a:off x="2374970" y="30865187"/>
          <a:ext cx="875058" cy="190500"/>
          <a:chOff x="206" y="86"/>
          <a:chExt cx="73" cy="16"/>
        </a:xfrm>
      </xdr:grpSpPr>
      <xdr:sp macro="" textlink="">
        <xdr:nvSpPr>
          <xdr:cNvPr id="4667" name="Line 6">
            <a:extLst>
              <a:ext uri="{FF2B5EF4-FFF2-40B4-BE49-F238E27FC236}">
                <a16:creationId xmlns:a16="http://schemas.microsoft.com/office/drawing/2014/main" id="{83DC6EFE-5929-841A-2FE7-8FBDB41770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8" name="Line 7">
            <a:extLst>
              <a:ext uri="{FF2B5EF4-FFF2-40B4-BE49-F238E27FC236}">
                <a16:creationId xmlns:a16="http://schemas.microsoft.com/office/drawing/2014/main" id="{43843110-2049-065D-BEF0-CE8EBB23BA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69" name="Line 8">
            <a:extLst>
              <a:ext uri="{FF2B5EF4-FFF2-40B4-BE49-F238E27FC236}">
                <a16:creationId xmlns:a16="http://schemas.microsoft.com/office/drawing/2014/main" id="{CB3DEA6B-32D9-90A2-FC5E-7785213D83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80</xdr:row>
      <xdr:rowOff>58616</xdr:rowOff>
    </xdr:from>
    <xdr:to>
      <xdr:col>3</xdr:col>
      <xdr:colOff>977635</xdr:colOff>
      <xdr:row>80</xdr:row>
      <xdr:rowOff>249116</xdr:rowOff>
    </xdr:to>
    <xdr:grpSp>
      <xdr:nvGrpSpPr>
        <xdr:cNvPr id="4670" name="hinh2">
          <a:extLst>
            <a:ext uri="{FF2B5EF4-FFF2-40B4-BE49-F238E27FC236}">
              <a16:creationId xmlns:a16="http://schemas.microsoft.com/office/drawing/2014/main" id="{54132DEB-59AE-4535-9514-51B496630620}"/>
            </a:ext>
          </a:extLst>
        </xdr:cNvPr>
        <xdr:cNvGrpSpPr>
          <a:grpSpLocks noChangeAspect="1"/>
        </xdr:cNvGrpSpPr>
      </xdr:nvGrpSpPr>
      <xdr:grpSpPr bwMode="auto">
        <a:xfrm>
          <a:off x="2374970" y="30470580"/>
          <a:ext cx="875058" cy="190500"/>
          <a:chOff x="206" y="86"/>
          <a:chExt cx="73" cy="16"/>
        </a:xfrm>
      </xdr:grpSpPr>
      <xdr:sp macro="" textlink="">
        <xdr:nvSpPr>
          <xdr:cNvPr id="4671" name="Line 6">
            <a:extLst>
              <a:ext uri="{FF2B5EF4-FFF2-40B4-BE49-F238E27FC236}">
                <a16:creationId xmlns:a16="http://schemas.microsoft.com/office/drawing/2014/main" id="{D263AF1F-7CEC-F66A-DA8C-24B3E9C4BE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72" name="Line 7">
            <a:extLst>
              <a:ext uri="{FF2B5EF4-FFF2-40B4-BE49-F238E27FC236}">
                <a16:creationId xmlns:a16="http://schemas.microsoft.com/office/drawing/2014/main" id="{A57F05F6-875A-B7D7-ED50-3A03924949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73" name="Line 8">
            <a:extLst>
              <a:ext uri="{FF2B5EF4-FFF2-40B4-BE49-F238E27FC236}">
                <a16:creationId xmlns:a16="http://schemas.microsoft.com/office/drawing/2014/main" id="{9419B049-ABAD-F1A8-259A-DA2B5FEAED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77</xdr:row>
      <xdr:rowOff>58616</xdr:rowOff>
    </xdr:from>
    <xdr:to>
      <xdr:col>3</xdr:col>
      <xdr:colOff>977635</xdr:colOff>
      <xdr:row>77</xdr:row>
      <xdr:rowOff>249116</xdr:rowOff>
    </xdr:to>
    <xdr:grpSp>
      <xdr:nvGrpSpPr>
        <xdr:cNvPr id="4674" name="hinh2">
          <a:extLst>
            <a:ext uri="{FF2B5EF4-FFF2-40B4-BE49-F238E27FC236}">
              <a16:creationId xmlns:a16="http://schemas.microsoft.com/office/drawing/2014/main" id="{2A1E04C6-648C-49AB-80C3-7C802668DCEE}"/>
            </a:ext>
          </a:extLst>
        </xdr:cNvPr>
        <xdr:cNvGrpSpPr>
          <a:grpSpLocks noChangeAspect="1"/>
        </xdr:cNvGrpSpPr>
      </xdr:nvGrpSpPr>
      <xdr:grpSpPr bwMode="auto">
        <a:xfrm>
          <a:off x="2374970" y="29286759"/>
          <a:ext cx="875058" cy="190500"/>
          <a:chOff x="206" y="86"/>
          <a:chExt cx="73" cy="16"/>
        </a:xfrm>
      </xdr:grpSpPr>
      <xdr:sp macro="" textlink="">
        <xdr:nvSpPr>
          <xdr:cNvPr id="4675" name="Line 6">
            <a:extLst>
              <a:ext uri="{FF2B5EF4-FFF2-40B4-BE49-F238E27FC236}">
                <a16:creationId xmlns:a16="http://schemas.microsoft.com/office/drawing/2014/main" id="{A2D7E360-0CCD-946A-59D4-4FEA3BAE7F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76" name="Line 7">
            <a:extLst>
              <a:ext uri="{FF2B5EF4-FFF2-40B4-BE49-F238E27FC236}">
                <a16:creationId xmlns:a16="http://schemas.microsoft.com/office/drawing/2014/main" id="{0DF9C746-845B-6D8C-B753-D027E53733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77" name="Line 8">
            <a:extLst>
              <a:ext uri="{FF2B5EF4-FFF2-40B4-BE49-F238E27FC236}">
                <a16:creationId xmlns:a16="http://schemas.microsoft.com/office/drawing/2014/main" id="{3E798FFD-59A5-27B3-E244-662D272470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78</xdr:row>
      <xdr:rowOff>58616</xdr:rowOff>
    </xdr:from>
    <xdr:to>
      <xdr:col>3</xdr:col>
      <xdr:colOff>977635</xdr:colOff>
      <xdr:row>78</xdr:row>
      <xdr:rowOff>249116</xdr:rowOff>
    </xdr:to>
    <xdr:grpSp>
      <xdr:nvGrpSpPr>
        <xdr:cNvPr id="4678" name="hinh2">
          <a:extLst>
            <a:ext uri="{FF2B5EF4-FFF2-40B4-BE49-F238E27FC236}">
              <a16:creationId xmlns:a16="http://schemas.microsoft.com/office/drawing/2014/main" id="{5ADCFBD9-2C7F-4F31-B315-E8E680F0917D}"/>
            </a:ext>
          </a:extLst>
        </xdr:cNvPr>
        <xdr:cNvGrpSpPr>
          <a:grpSpLocks noChangeAspect="1"/>
        </xdr:cNvGrpSpPr>
      </xdr:nvGrpSpPr>
      <xdr:grpSpPr bwMode="auto">
        <a:xfrm>
          <a:off x="2374970" y="29681366"/>
          <a:ext cx="875058" cy="190500"/>
          <a:chOff x="206" y="86"/>
          <a:chExt cx="73" cy="16"/>
        </a:xfrm>
      </xdr:grpSpPr>
      <xdr:sp macro="" textlink="">
        <xdr:nvSpPr>
          <xdr:cNvPr id="4679" name="Line 6">
            <a:extLst>
              <a:ext uri="{FF2B5EF4-FFF2-40B4-BE49-F238E27FC236}">
                <a16:creationId xmlns:a16="http://schemas.microsoft.com/office/drawing/2014/main" id="{B5DB9285-3DE4-AF1F-C527-79091677BE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0" name="Line 7">
            <a:extLst>
              <a:ext uri="{FF2B5EF4-FFF2-40B4-BE49-F238E27FC236}">
                <a16:creationId xmlns:a16="http://schemas.microsoft.com/office/drawing/2014/main" id="{8D9D9C28-A985-A06F-F2F0-630CBD165B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1" name="Line 8">
            <a:extLst>
              <a:ext uri="{FF2B5EF4-FFF2-40B4-BE49-F238E27FC236}">
                <a16:creationId xmlns:a16="http://schemas.microsoft.com/office/drawing/2014/main" id="{716D6923-1572-DFC2-F0D0-7E02E242F9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78</xdr:row>
      <xdr:rowOff>58616</xdr:rowOff>
    </xdr:from>
    <xdr:to>
      <xdr:col>3</xdr:col>
      <xdr:colOff>977635</xdr:colOff>
      <xdr:row>78</xdr:row>
      <xdr:rowOff>249116</xdr:rowOff>
    </xdr:to>
    <xdr:grpSp>
      <xdr:nvGrpSpPr>
        <xdr:cNvPr id="4682" name="hinh2">
          <a:extLst>
            <a:ext uri="{FF2B5EF4-FFF2-40B4-BE49-F238E27FC236}">
              <a16:creationId xmlns:a16="http://schemas.microsoft.com/office/drawing/2014/main" id="{DB3675E6-A196-4325-AF88-D0946D2DAF7B}"/>
            </a:ext>
          </a:extLst>
        </xdr:cNvPr>
        <xdr:cNvGrpSpPr>
          <a:grpSpLocks noChangeAspect="1"/>
        </xdr:cNvGrpSpPr>
      </xdr:nvGrpSpPr>
      <xdr:grpSpPr bwMode="auto">
        <a:xfrm>
          <a:off x="2374970" y="29681366"/>
          <a:ext cx="875058" cy="190500"/>
          <a:chOff x="206" y="86"/>
          <a:chExt cx="73" cy="16"/>
        </a:xfrm>
      </xdr:grpSpPr>
      <xdr:sp macro="" textlink="">
        <xdr:nvSpPr>
          <xdr:cNvPr id="4683" name="Line 6">
            <a:extLst>
              <a:ext uri="{FF2B5EF4-FFF2-40B4-BE49-F238E27FC236}">
                <a16:creationId xmlns:a16="http://schemas.microsoft.com/office/drawing/2014/main" id="{08687361-3DCD-02BF-2A57-B6ABF55EBA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4" name="Line 7">
            <a:extLst>
              <a:ext uri="{FF2B5EF4-FFF2-40B4-BE49-F238E27FC236}">
                <a16:creationId xmlns:a16="http://schemas.microsoft.com/office/drawing/2014/main" id="{14E946A1-0300-EAFA-5618-9916BE708D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5" name="Line 8">
            <a:extLst>
              <a:ext uri="{FF2B5EF4-FFF2-40B4-BE49-F238E27FC236}">
                <a16:creationId xmlns:a16="http://schemas.microsoft.com/office/drawing/2014/main" id="{DE9531FC-022D-DD66-C21D-D25D3E07D9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79</xdr:row>
      <xdr:rowOff>58616</xdr:rowOff>
    </xdr:from>
    <xdr:to>
      <xdr:col>3</xdr:col>
      <xdr:colOff>977635</xdr:colOff>
      <xdr:row>79</xdr:row>
      <xdr:rowOff>249116</xdr:rowOff>
    </xdr:to>
    <xdr:grpSp>
      <xdr:nvGrpSpPr>
        <xdr:cNvPr id="4686" name="hinh2">
          <a:extLst>
            <a:ext uri="{FF2B5EF4-FFF2-40B4-BE49-F238E27FC236}">
              <a16:creationId xmlns:a16="http://schemas.microsoft.com/office/drawing/2014/main" id="{692DCFB9-62B5-45D3-8C5D-8B47EFB25D0C}"/>
            </a:ext>
          </a:extLst>
        </xdr:cNvPr>
        <xdr:cNvGrpSpPr>
          <a:grpSpLocks noChangeAspect="1"/>
        </xdr:cNvGrpSpPr>
      </xdr:nvGrpSpPr>
      <xdr:grpSpPr bwMode="auto">
        <a:xfrm>
          <a:off x="2374970" y="30075973"/>
          <a:ext cx="875058" cy="190500"/>
          <a:chOff x="206" y="86"/>
          <a:chExt cx="73" cy="16"/>
        </a:xfrm>
      </xdr:grpSpPr>
      <xdr:sp macro="" textlink="">
        <xdr:nvSpPr>
          <xdr:cNvPr id="4687" name="Line 6">
            <a:extLst>
              <a:ext uri="{FF2B5EF4-FFF2-40B4-BE49-F238E27FC236}">
                <a16:creationId xmlns:a16="http://schemas.microsoft.com/office/drawing/2014/main" id="{E18C5478-1BBF-2F01-55AA-40D5E4DA8C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8" name="Line 7">
            <a:extLst>
              <a:ext uri="{FF2B5EF4-FFF2-40B4-BE49-F238E27FC236}">
                <a16:creationId xmlns:a16="http://schemas.microsoft.com/office/drawing/2014/main" id="{62AE7D7A-675C-A22B-287C-26BAB793A1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89" name="Line 8">
            <a:extLst>
              <a:ext uri="{FF2B5EF4-FFF2-40B4-BE49-F238E27FC236}">
                <a16:creationId xmlns:a16="http://schemas.microsoft.com/office/drawing/2014/main" id="{E6672CAD-4CB1-B275-C491-1D30174CFD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79</xdr:row>
      <xdr:rowOff>58616</xdr:rowOff>
    </xdr:from>
    <xdr:to>
      <xdr:col>3</xdr:col>
      <xdr:colOff>977635</xdr:colOff>
      <xdr:row>79</xdr:row>
      <xdr:rowOff>249116</xdr:rowOff>
    </xdr:to>
    <xdr:grpSp>
      <xdr:nvGrpSpPr>
        <xdr:cNvPr id="4690" name="hinh2">
          <a:extLst>
            <a:ext uri="{FF2B5EF4-FFF2-40B4-BE49-F238E27FC236}">
              <a16:creationId xmlns:a16="http://schemas.microsoft.com/office/drawing/2014/main" id="{33305B76-69F6-4824-B163-24E8AB44E4DA}"/>
            </a:ext>
          </a:extLst>
        </xdr:cNvPr>
        <xdr:cNvGrpSpPr>
          <a:grpSpLocks noChangeAspect="1"/>
        </xdr:cNvGrpSpPr>
      </xdr:nvGrpSpPr>
      <xdr:grpSpPr bwMode="auto">
        <a:xfrm>
          <a:off x="2374970" y="30075973"/>
          <a:ext cx="875058" cy="190500"/>
          <a:chOff x="206" y="86"/>
          <a:chExt cx="73" cy="16"/>
        </a:xfrm>
      </xdr:grpSpPr>
      <xdr:sp macro="" textlink="">
        <xdr:nvSpPr>
          <xdr:cNvPr id="4691" name="Line 6">
            <a:extLst>
              <a:ext uri="{FF2B5EF4-FFF2-40B4-BE49-F238E27FC236}">
                <a16:creationId xmlns:a16="http://schemas.microsoft.com/office/drawing/2014/main" id="{8B1D9DD0-C848-0772-6F1C-A559CEC32F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2" name="Line 7">
            <a:extLst>
              <a:ext uri="{FF2B5EF4-FFF2-40B4-BE49-F238E27FC236}">
                <a16:creationId xmlns:a16="http://schemas.microsoft.com/office/drawing/2014/main" id="{5884A932-3C49-7D79-9D8E-CC8E054748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3" name="Line 8">
            <a:extLst>
              <a:ext uri="{FF2B5EF4-FFF2-40B4-BE49-F238E27FC236}">
                <a16:creationId xmlns:a16="http://schemas.microsoft.com/office/drawing/2014/main" id="{3353A9E9-0120-EF66-5A11-7AF0F58A22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79</xdr:row>
      <xdr:rowOff>58616</xdr:rowOff>
    </xdr:from>
    <xdr:to>
      <xdr:col>3</xdr:col>
      <xdr:colOff>977635</xdr:colOff>
      <xdr:row>79</xdr:row>
      <xdr:rowOff>249116</xdr:rowOff>
    </xdr:to>
    <xdr:grpSp>
      <xdr:nvGrpSpPr>
        <xdr:cNvPr id="4694" name="hinh2">
          <a:extLst>
            <a:ext uri="{FF2B5EF4-FFF2-40B4-BE49-F238E27FC236}">
              <a16:creationId xmlns:a16="http://schemas.microsoft.com/office/drawing/2014/main" id="{58479446-D3F4-4CC6-81B7-CB9769579E9E}"/>
            </a:ext>
          </a:extLst>
        </xdr:cNvPr>
        <xdr:cNvGrpSpPr>
          <a:grpSpLocks noChangeAspect="1"/>
        </xdr:cNvGrpSpPr>
      </xdr:nvGrpSpPr>
      <xdr:grpSpPr bwMode="auto">
        <a:xfrm>
          <a:off x="2374970" y="30075973"/>
          <a:ext cx="875058" cy="190500"/>
          <a:chOff x="206" y="86"/>
          <a:chExt cx="73" cy="16"/>
        </a:xfrm>
      </xdr:grpSpPr>
      <xdr:sp macro="" textlink="">
        <xdr:nvSpPr>
          <xdr:cNvPr id="4695" name="Line 6">
            <a:extLst>
              <a:ext uri="{FF2B5EF4-FFF2-40B4-BE49-F238E27FC236}">
                <a16:creationId xmlns:a16="http://schemas.microsoft.com/office/drawing/2014/main" id="{6DA7C0CC-4232-B2FA-B84E-C88C7FE661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6" name="Line 7">
            <a:extLst>
              <a:ext uri="{FF2B5EF4-FFF2-40B4-BE49-F238E27FC236}">
                <a16:creationId xmlns:a16="http://schemas.microsoft.com/office/drawing/2014/main" id="{E53143FF-7EEA-7095-86C4-8A607E35C7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97" name="Line 8">
            <a:extLst>
              <a:ext uri="{FF2B5EF4-FFF2-40B4-BE49-F238E27FC236}">
                <a16:creationId xmlns:a16="http://schemas.microsoft.com/office/drawing/2014/main" id="{E230FC08-2730-E43A-C8B1-A4687580A0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80</xdr:row>
      <xdr:rowOff>58616</xdr:rowOff>
    </xdr:from>
    <xdr:to>
      <xdr:col>3</xdr:col>
      <xdr:colOff>977635</xdr:colOff>
      <xdr:row>80</xdr:row>
      <xdr:rowOff>249116</xdr:rowOff>
    </xdr:to>
    <xdr:grpSp>
      <xdr:nvGrpSpPr>
        <xdr:cNvPr id="4698" name="hinh2">
          <a:extLst>
            <a:ext uri="{FF2B5EF4-FFF2-40B4-BE49-F238E27FC236}">
              <a16:creationId xmlns:a16="http://schemas.microsoft.com/office/drawing/2014/main" id="{19113100-7DDD-498B-B69B-9E12D2F7D64C}"/>
            </a:ext>
          </a:extLst>
        </xdr:cNvPr>
        <xdr:cNvGrpSpPr>
          <a:grpSpLocks noChangeAspect="1"/>
        </xdr:cNvGrpSpPr>
      </xdr:nvGrpSpPr>
      <xdr:grpSpPr bwMode="auto">
        <a:xfrm>
          <a:off x="2374970" y="30470580"/>
          <a:ext cx="875058" cy="190500"/>
          <a:chOff x="206" y="86"/>
          <a:chExt cx="73" cy="16"/>
        </a:xfrm>
      </xdr:grpSpPr>
      <xdr:sp macro="" textlink="">
        <xdr:nvSpPr>
          <xdr:cNvPr id="4699" name="Line 6">
            <a:extLst>
              <a:ext uri="{FF2B5EF4-FFF2-40B4-BE49-F238E27FC236}">
                <a16:creationId xmlns:a16="http://schemas.microsoft.com/office/drawing/2014/main" id="{D077DB86-FEE2-81C3-A570-88E379F5DF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0" name="Line 7">
            <a:extLst>
              <a:ext uri="{FF2B5EF4-FFF2-40B4-BE49-F238E27FC236}">
                <a16:creationId xmlns:a16="http://schemas.microsoft.com/office/drawing/2014/main" id="{6F232E4F-1F30-3C12-02EE-71A398D22D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1" name="Line 8">
            <a:extLst>
              <a:ext uri="{FF2B5EF4-FFF2-40B4-BE49-F238E27FC236}">
                <a16:creationId xmlns:a16="http://schemas.microsoft.com/office/drawing/2014/main" id="{5E4CDDA8-DC86-2EF7-B09A-79F09B2EF7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80</xdr:row>
      <xdr:rowOff>58616</xdr:rowOff>
    </xdr:from>
    <xdr:to>
      <xdr:col>3</xdr:col>
      <xdr:colOff>977635</xdr:colOff>
      <xdr:row>80</xdr:row>
      <xdr:rowOff>249116</xdr:rowOff>
    </xdr:to>
    <xdr:grpSp>
      <xdr:nvGrpSpPr>
        <xdr:cNvPr id="4702" name="hinh2">
          <a:extLst>
            <a:ext uri="{FF2B5EF4-FFF2-40B4-BE49-F238E27FC236}">
              <a16:creationId xmlns:a16="http://schemas.microsoft.com/office/drawing/2014/main" id="{43205848-C767-41A9-9E47-C6E3A8197BC8}"/>
            </a:ext>
          </a:extLst>
        </xdr:cNvPr>
        <xdr:cNvGrpSpPr>
          <a:grpSpLocks noChangeAspect="1"/>
        </xdr:cNvGrpSpPr>
      </xdr:nvGrpSpPr>
      <xdr:grpSpPr bwMode="auto">
        <a:xfrm>
          <a:off x="2374970" y="30470580"/>
          <a:ext cx="875058" cy="190500"/>
          <a:chOff x="206" y="86"/>
          <a:chExt cx="73" cy="16"/>
        </a:xfrm>
      </xdr:grpSpPr>
      <xdr:sp macro="" textlink="">
        <xdr:nvSpPr>
          <xdr:cNvPr id="4703" name="Line 6">
            <a:extLst>
              <a:ext uri="{FF2B5EF4-FFF2-40B4-BE49-F238E27FC236}">
                <a16:creationId xmlns:a16="http://schemas.microsoft.com/office/drawing/2014/main" id="{2C56A4FE-A460-CDB3-BEC3-41D612A7F0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4" name="Line 7">
            <a:extLst>
              <a:ext uri="{FF2B5EF4-FFF2-40B4-BE49-F238E27FC236}">
                <a16:creationId xmlns:a16="http://schemas.microsoft.com/office/drawing/2014/main" id="{C170CC7E-6EB3-EA84-4E62-3DCB73116E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5" name="Line 8">
            <a:extLst>
              <a:ext uri="{FF2B5EF4-FFF2-40B4-BE49-F238E27FC236}">
                <a16:creationId xmlns:a16="http://schemas.microsoft.com/office/drawing/2014/main" id="{DF0F8279-647F-31C7-99C1-CC44D14349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80</xdr:row>
      <xdr:rowOff>58616</xdr:rowOff>
    </xdr:from>
    <xdr:to>
      <xdr:col>3</xdr:col>
      <xdr:colOff>977635</xdr:colOff>
      <xdr:row>80</xdr:row>
      <xdr:rowOff>249116</xdr:rowOff>
    </xdr:to>
    <xdr:grpSp>
      <xdr:nvGrpSpPr>
        <xdr:cNvPr id="4706" name="hinh2">
          <a:extLst>
            <a:ext uri="{FF2B5EF4-FFF2-40B4-BE49-F238E27FC236}">
              <a16:creationId xmlns:a16="http://schemas.microsoft.com/office/drawing/2014/main" id="{7420E620-9C9E-467A-8A98-58D393E6C78B}"/>
            </a:ext>
          </a:extLst>
        </xdr:cNvPr>
        <xdr:cNvGrpSpPr>
          <a:grpSpLocks noChangeAspect="1"/>
        </xdr:cNvGrpSpPr>
      </xdr:nvGrpSpPr>
      <xdr:grpSpPr bwMode="auto">
        <a:xfrm>
          <a:off x="2374970" y="30470580"/>
          <a:ext cx="875058" cy="190500"/>
          <a:chOff x="206" y="86"/>
          <a:chExt cx="73" cy="16"/>
        </a:xfrm>
      </xdr:grpSpPr>
      <xdr:sp macro="" textlink="">
        <xdr:nvSpPr>
          <xdr:cNvPr id="4707" name="Line 6">
            <a:extLst>
              <a:ext uri="{FF2B5EF4-FFF2-40B4-BE49-F238E27FC236}">
                <a16:creationId xmlns:a16="http://schemas.microsoft.com/office/drawing/2014/main" id="{A1295A31-8574-F671-6EA4-725212CE47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8" name="Line 7">
            <a:extLst>
              <a:ext uri="{FF2B5EF4-FFF2-40B4-BE49-F238E27FC236}">
                <a16:creationId xmlns:a16="http://schemas.microsoft.com/office/drawing/2014/main" id="{59743B2F-053C-5883-432A-CA3A7C55BD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09" name="Line 8">
            <a:extLst>
              <a:ext uri="{FF2B5EF4-FFF2-40B4-BE49-F238E27FC236}">
                <a16:creationId xmlns:a16="http://schemas.microsoft.com/office/drawing/2014/main" id="{B5982FA6-B6BD-C9C9-C5C0-365A9A2CB3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80</xdr:row>
      <xdr:rowOff>58616</xdr:rowOff>
    </xdr:from>
    <xdr:to>
      <xdr:col>3</xdr:col>
      <xdr:colOff>977635</xdr:colOff>
      <xdr:row>80</xdr:row>
      <xdr:rowOff>249116</xdr:rowOff>
    </xdr:to>
    <xdr:grpSp>
      <xdr:nvGrpSpPr>
        <xdr:cNvPr id="4710" name="hinh2">
          <a:extLst>
            <a:ext uri="{FF2B5EF4-FFF2-40B4-BE49-F238E27FC236}">
              <a16:creationId xmlns:a16="http://schemas.microsoft.com/office/drawing/2014/main" id="{E88AB491-C65A-4A7A-A8C1-AD778C4D4467}"/>
            </a:ext>
          </a:extLst>
        </xdr:cNvPr>
        <xdr:cNvGrpSpPr>
          <a:grpSpLocks noChangeAspect="1"/>
        </xdr:cNvGrpSpPr>
      </xdr:nvGrpSpPr>
      <xdr:grpSpPr bwMode="auto">
        <a:xfrm>
          <a:off x="2374970" y="30470580"/>
          <a:ext cx="875058" cy="190500"/>
          <a:chOff x="206" y="86"/>
          <a:chExt cx="73" cy="16"/>
        </a:xfrm>
      </xdr:grpSpPr>
      <xdr:sp macro="" textlink="">
        <xdr:nvSpPr>
          <xdr:cNvPr id="4711" name="Line 6">
            <a:extLst>
              <a:ext uri="{FF2B5EF4-FFF2-40B4-BE49-F238E27FC236}">
                <a16:creationId xmlns:a16="http://schemas.microsoft.com/office/drawing/2014/main" id="{AC2437D8-9B3C-40A0-8C2E-A08BAC8A51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2" name="Line 7">
            <a:extLst>
              <a:ext uri="{FF2B5EF4-FFF2-40B4-BE49-F238E27FC236}">
                <a16:creationId xmlns:a16="http://schemas.microsoft.com/office/drawing/2014/main" id="{4D1023F0-EA45-AFE9-CD93-B706CF7651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3" name="Line 8">
            <a:extLst>
              <a:ext uri="{FF2B5EF4-FFF2-40B4-BE49-F238E27FC236}">
                <a16:creationId xmlns:a16="http://schemas.microsoft.com/office/drawing/2014/main" id="{D1A79F9B-ED71-2D01-814F-4839EB392E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82</xdr:row>
      <xdr:rowOff>80596</xdr:rowOff>
    </xdr:from>
    <xdr:to>
      <xdr:col>3</xdr:col>
      <xdr:colOff>970308</xdr:colOff>
      <xdr:row>82</xdr:row>
      <xdr:rowOff>244279</xdr:rowOff>
    </xdr:to>
    <xdr:grpSp>
      <xdr:nvGrpSpPr>
        <xdr:cNvPr id="4714" name="hinh2">
          <a:extLst>
            <a:ext uri="{FF2B5EF4-FFF2-40B4-BE49-F238E27FC236}">
              <a16:creationId xmlns:a16="http://schemas.microsoft.com/office/drawing/2014/main" id="{AAC748C9-673E-4251-89E4-A6A95698A48E}"/>
            </a:ext>
          </a:extLst>
        </xdr:cNvPr>
        <xdr:cNvGrpSpPr>
          <a:grpSpLocks noChangeAspect="1"/>
        </xdr:cNvGrpSpPr>
      </xdr:nvGrpSpPr>
      <xdr:grpSpPr bwMode="auto">
        <a:xfrm>
          <a:off x="2367643" y="31281775"/>
          <a:ext cx="875058" cy="163683"/>
          <a:chOff x="206" y="86"/>
          <a:chExt cx="73" cy="16"/>
        </a:xfrm>
      </xdr:grpSpPr>
      <xdr:sp macro="" textlink="">
        <xdr:nvSpPr>
          <xdr:cNvPr id="4715" name="Line 6">
            <a:extLst>
              <a:ext uri="{FF2B5EF4-FFF2-40B4-BE49-F238E27FC236}">
                <a16:creationId xmlns:a16="http://schemas.microsoft.com/office/drawing/2014/main" id="{5A7686C1-7AD6-1788-F8B3-7B4742F59C7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6" name="Line 7">
            <a:extLst>
              <a:ext uri="{FF2B5EF4-FFF2-40B4-BE49-F238E27FC236}">
                <a16:creationId xmlns:a16="http://schemas.microsoft.com/office/drawing/2014/main" id="{56D5669A-1B0C-2BE6-5DD8-2D377C53A00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17" name="Line 8">
            <a:extLst>
              <a:ext uri="{FF2B5EF4-FFF2-40B4-BE49-F238E27FC236}">
                <a16:creationId xmlns:a16="http://schemas.microsoft.com/office/drawing/2014/main" id="{E40E36B6-D4AD-E0D7-B062-93AA265572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83</xdr:row>
      <xdr:rowOff>58616</xdr:rowOff>
    </xdr:from>
    <xdr:to>
      <xdr:col>3</xdr:col>
      <xdr:colOff>977635</xdr:colOff>
      <xdr:row>83</xdr:row>
      <xdr:rowOff>249116</xdr:rowOff>
    </xdr:to>
    <xdr:grpSp>
      <xdr:nvGrpSpPr>
        <xdr:cNvPr id="4718" name="hinh2">
          <a:extLst>
            <a:ext uri="{FF2B5EF4-FFF2-40B4-BE49-F238E27FC236}">
              <a16:creationId xmlns:a16="http://schemas.microsoft.com/office/drawing/2014/main" id="{9C995499-8E12-4C61-8D52-7B73C7218929}"/>
            </a:ext>
          </a:extLst>
        </xdr:cNvPr>
        <xdr:cNvGrpSpPr>
          <a:grpSpLocks noChangeAspect="1"/>
        </xdr:cNvGrpSpPr>
      </xdr:nvGrpSpPr>
      <xdr:grpSpPr bwMode="auto">
        <a:xfrm>
          <a:off x="2374970" y="31654402"/>
          <a:ext cx="875058" cy="190500"/>
          <a:chOff x="206" y="86"/>
          <a:chExt cx="73" cy="16"/>
        </a:xfrm>
      </xdr:grpSpPr>
      <xdr:sp macro="" textlink="">
        <xdr:nvSpPr>
          <xdr:cNvPr id="4719" name="Line 6">
            <a:extLst>
              <a:ext uri="{FF2B5EF4-FFF2-40B4-BE49-F238E27FC236}">
                <a16:creationId xmlns:a16="http://schemas.microsoft.com/office/drawing/2014/main" id="{879BA002-1494-B77F-0CC2-6FCA352B11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0" name="Line 7">
            <a:extLst>
              <a:ext uri="{FF2B5EF4-FFF2-40B4-BE49-F238E27FC236}">
                <a16:creationId xmlns:a16="http://schemas.microsoft.com/office/drawing/2014/main" id="{4243F89C-54D1-9F11-0032-F6337CA3AA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1" name="Line 8">
            <a:extLst>
              <a:ext uri="{FF2B5EF4-FFF2-40B4-BE49-F238E27FC236}">
                <a16:creationId xmlns:a16="http://schemas.microsoft.com/office/drawing/2014/main" id="{70BB50AA-1BBD-BC74-C2F7-8EBBC06725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84</xdr:row>
      <xdr:rowOff>58616</xdr:rowOff>
    </xdr:from>
    <xdr:to>
      <xdr:col>3</xdr:col>
      <xdr:colOff>977635</xdr:colOff>
      <xdr:row>84</xdr:row>
      <xdr:rowOff>249116</xdr:rowOff>
    </xdr:to>
    <xdr:grpSp>
      <xdr:nvGrpSpPr>
        <xdr:cNvPr id="4722" name="hinh2">
          <a:extLst>
            <a:ext uri="{FF2B5EF4-FFF2-40B4-BE49-F238E27FC236}">
              <a16:creationId xmlns:a16="http://schemas.microsoft.com/office/drawing/2014/main" id="{16B2706A-9EB8-45CB-B385-D7F8C4A6CAB4}"/>
            </a:ext>
          </a:extLst>
        </xdr:cNvPr>
        <xdr:cNvGrpSpPr>
          <a:grpSpLocks noChangeAspect="1"/>
        </xdr:cNvGrpSpPr>
      </xdr:nvGrpSpPr>
      <xdr:grpSpPr bwMode="auto">
        <a:xfrm>
          <a:off x="2374970" y="32049009"/>
          <a:ext cx="875058" cy="190500"/>
          <a:chOff x="206" y="86"/>
          <a:chExt cx="73" cy="16"/>
        </a:xfrm>
      </xdr:grpSpPr>
      <xdr:sp macro="" textlink="">
        <xdr:nvSpPr>
          <xdr:cNvPr id="4723" name="Line 6">
            <a:extLst>
              <a:ext uri="{FF2B5EF4-FFF2-40B4-BE49-F238E27FC236}">
                <a16:creationId xmlns:a16="http://schemas.microsoft.com/office/drawing/2014/main" id="{CA8486F7-0FC7-A360-F2BE-06775F7992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4" name="Line 7">
            <a:extLst>
              <a:ext uri="{FF2B5EF4-FFF2-40B4-BE49-F238E27FC236}">
                <a16:creationId xmlns:a16="http://schemas.microsoft.com/office/drawing/2014/main" id="{E5357802-963B-9948-9BC4-B068BC2CE8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5" name="Line 8">
            <a:extLst>
              <a:ext uri="{FF2B5EF4-FFF2-40B4-BE49-F238E27FC236}">
                <a16:creationId xmlns:a16="http://schemas.microsoft.com/office/drawing/2014/main" id="{30179E9F-AC98-5187-1B7F-158639E8DD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85</xdr:row>
      <xdr:rowOff>58616</xdr:rowOff>
    </xdr:from>
    <xdr:to>
      <xdr:col>3</xdr:col>
      <xdr:colOff>977635</xdr:colOff>
      <xdr:row>85</xdr:row>
      <xdr:rowOff>249116</xdr:rowOff>
    </xdr:to>
    <xdr:grpSp>
      <xdr:nvGrpSpPr>
        <xdr:cNvPr id="4726" name="hinh2">
          <a:extLst>
            <a:ext uri="{FF2B5EF4-FFF2-40B4-BE49-F238E27FC236}">
              <a16:creationId xmlns:a16="http://schemas.microsoft.com/office/drawing/2014/main" id="{0C3F8263-D52E-4CDB-ACEC-A84461BC2B38}"/>
            </a:ext>
          </a:extLst>
        </xdr:cNvPr>
        <xdr:cNvGrpSpPr>
          <a:grpSpLocks noChangeAspect="1"/>
        </xdr:cNvGrpSpPr>
      </xdr:nvGrpSpPr>
      <xdr:grpSpPr bwMode="auto">
        <a:xfrm>
          <a:off x="2374970" y="32443616"/>
          <a:ext cx="875058" cy="190500"/>
          <a:chOff x="206" y="86"/>
          <a:chExt cx="73" cy="16"/>
        </a:xfrm>
      </xdr:grpSpPr>
      <xdr:sp macro="" textlink="">
        <xdr:nvSpPr>
          <xdr:cNvPr id="4727" name="Line 6">
            <a:extLst>
              <a:ext uri="{FF2B5EF4-FFF2-40B4-BE49-F238E27FC236}">
                <a16:creationId xmlns:a16="http://schemas.microsoft.com/office/drawing/2014/main" id="{21964770-D6CC-5A01-F21B-5159C2A067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8" name="Line 7">
            <a:extLst>
              <a:ext uri="{FF2B5EF4-FFF2-40B4-BE49-F238E27FC236}">
                <a16:creationId xmlns:a16="http://schemas.microsoft.com/office/drawing/2014/main" id="{E4F86E28-EED8-FFBE-8DFB-58019E5CDC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29" name="Line 8">
            <a:extLst>
              <a:ext uri="{FF2B5EF4-FFF2-40B4-BE49-F238E27FC236}">
                <a16:creationId xmlns:a16="http://schemas.microsoft.com/office/drawing/2014/main" id="{78480D4C-6A28-A7D0-725E-5FFB54B402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730" name="hinh2">
          <a:extLst>
            <a:ext uri="{FF2B5EF4-FFF2-40B4-BE49-F238E27FC236}">
              <a16:creationId xmlns:a16="http://schemas.microsoft.com/office/drawing/2014/main" id="{FF781CF0-6223-4AEB-BABB-7C8A10048B9B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731" name="Line 6">
            <a:extLst>
              <a:ext uri="{FF2B5EF4-FFF2-40B4-BE49-F238E27FC236}">
                <a16:creationId xmlns:a16="http://schemas.microsoft.com/office/drawing/2014/main" id="{2708A543-6FBD-25C0-7D9D-D9066DDFAE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2" name="Line 7">
            <a:extLst>
              <a:ext uri="{FF2B5EF4-FFF2-40B4-BE49-F238E27FC236}">
                <a16:creationId xmlns:a16="http://schemas.microsoft.com/office/drawing/2014/main" id="{6D937AD5-A562-974C-991C-3FAD8697C5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33" name="Line 8">
            <a:extLst>
              <a:ext uri="{FF2B5EF4-FFF2-40B4-BE49-F238E27FC236}">
                <a16:creationId xmlns:a16="http://schemas.microsoft.com/office/drawing/2014/main" id="{1B98E087-B0BE-538E-2792-26994A74E5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88</xdr:row>
      <xdr:rowOff>58616</xdr:rowOff>
    </xdr:from>
    <xdr:to>
      <xdr:col>3</xdr:col>
      <xdr:colOff>977635</xdr:colOff>
      <xdr:row>88</xdr:row>
      <xdr:rowOff>249116</xdr:rowOff>
    </xdr:to>
    <xdr:grpSp>
      <xdr:nvGrpSpPr>
        <xdr:cNvPr id="4738" name="hinh2">
          <a:extLst>
            <a:ext uri="{FF2B5EF4-FFF2-40B4-BE49-F238E27FC236}">
              <a16:creationId xmlns:a16="http://schemas.microsoft.com/office/drawing/2014/main" id="{9CBB802F-BFD3-45BF-9963-CE918845749A}"/>
            </a:ext>
          </a:extLst>
        </xdr:cNvPr>
        <xdr:cNvGrpSpPr>
          <a:grpSpLocks noChangeAspect="1"/>
        </xdr:cNvGrpSpPr>
      </xdr:nvGrpSpPr>
      <xdr:grpSpPr bwMode="auto">
        <a:xfrm>
          <a:off x="2374970" y="33627437"/>
          <a:ext cx="875058" cy="190500"/>
          <a:chOff x="206" y="86"/>
          <a:chExt cx="73" cy="16"/>
        </a:xfrm>
      </xdr:grpSpPr>
      <xdr:sp macro="" textlink="">
        <xdr:nvSpPr>
          <xdr:cNvPr id="4739" name="Line 6">
            <a:extLst>
              <a:ext uri="{FF2B5EF4-FFF2-40B4-BE49-F238E27FC236}">
                <a16:creationId xmlns:a16="http://schemas.microsoft.com/office/drawing/2014/main" id="{D43F990A-D0B6-52AD-B190-CCDC9FEF3C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0" name="Line 7">
            <a:extLst>
              <a:ext uri="{FF2B5EF4-FFF2-40B4-BE49-F238E27FC236}">
                <a16:creationId xmlns:a16="http://schemas.microsoft.com/office/drawing/2014/main" id="{94F05A24-D0DC-2890-E24E-8E535DE2F8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1" name="Line 8">
            <a:extLst>
              <a:ext uri="{FF2B5EF4-FFF2-40B4-BE49-F238E27FC236}">
                <a16:creationId xmlns:a16="http://schemas.microsoft.com/office/drawing/2014/main" id="{ECB6ED18-A253-4127-75B3-CD4EBA3A3A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84</xdr:row>
      <xdr:rowOff>58616</xdr:rowOff>
    </xdr:from>
    <xdr:to>
      <xdr:col>3</xdr:col>
      <xdr:colOff>977635</xdr:colOff>
      <xdr:row>84</xdr:row>
      <xdr:rowOff>249116</xdr:rowOff>
    </xdr:to>
    <xdr:grpSp>
      <xdr:nvGrpSpPr>
        <xdr:cNvPr id="4742" name="hinh2">
          <a:extLst>
            <a:ext uri="{FF2B5EF4-FFF2-40B4-BE49-F238E27FC236}">
              <a16:creationId xmlns:a16="http://schemas.microsoft.com/office/drawing/2014/main" id="{218053B0-D087-4F73-98B9-3902845E82CD}"/>
            </a:ext>
          </a:extLst>
        </xdr:cNvPr>
        <xdr:cNvGrpSpPr>
          <a:grpSpLocks noChangeAspect="1"/>
        </xdr:cNvGrpSpPr>
      </xdr:nvGrpSpPr>
      <xdr:grpSpPr bwMode="auto">
        <a:xfrm>
          <a:off x="2374970" y="32049009"/>
          <a:ext cx="875058" cy="190500"/>
          <a:chOff x="206" y="86"/>
          <a:chExt cx="73" cy="16"/>
        </a:xfrm>
      </xdr:grpSpPr>
      <xdr:sp macro="" textlink="">
        <xdr:nvSpPr>
          <xdr:cNvPr id="4743" name="Line 6">
            <a:extLst>
              <a:ext uri="{FF2B5EF4-FFF2-40B4-BE49-F238E27FC236}">
                <a16:creationId xmlns:a16="http://schemas.microsoft.com/office/drawing/2014/main" id="{0584BA68-E9D8-BCB2-F29E-34F9AB1839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4" name="Line 7">
            <a:extLst>
              <a:ext uri="{FF2B5EF4-FFF2-40B4-BE49-F238E27FC236}">
                <a16:creationId xmlns:a16="http://schemas.microsoft.com/office/drawing/2014/main" id="{A14C65DC-D101-1E63-AB6F-EFADE0BD71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5" name="Line 8">
            <a:extLst>
              <a:ext uri="{FF2B5EF4-FFF2-40B4-BE49-F238E27FC236}">
                <a16:creationId xmlns:a16="http://schemas.microsoft.com/office/drawing/2014/main" id="{D1D7ADA2-5185-8A07-506B-422F25ECC5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85</xdr:row>
      <xdr:rowOff>58616</xdr:rowOff>
    </xdr:from>
    <xdr:to>
      <xdr:col>3</xdr:col>
      <xdr:colOff>977635</xdr:colOff>
      <xdr:row>85</xdr:row>
      <xdr:rowOff>249116</xdr:rowOff>
    </xdr:to>
    <xdr:grpSp>
      <xdr:nvGrpSpPr>
        <xdr:cNvPr id="4746" name="hinh2">
          <a:extLst>
            <a:ext uri="{FF2B5EF4-FFF2-40B4-BE49-F238E27FC236}">
              <a16:creationId xmlns:a16="http://schemas.microsoft.com/office/drawing/2014/main" id="{F4ED6153-8830-4CA3-823B-7C1F4FB53BEA}"/>
            </a:ext>
          </a:extLst>
        </xdr:cNvPr>
        <xdr:cNvGrpSpPr>
          <a:grpSpLocks noChangeAspect="1"/>
        </xdr:cNvGrpSpPr>
      </xdr:nvGrpSpPr>
      <xdr:grpSpPr bwMode="auto">
        <a:xfrm>
          <a:off x="2374970" y="32443616"/>
          <a:ext cx="875058" cy="190500"/>
          <a:chOff x="206" y="86"/>
          <a:chExt cx="73" cy="16"/>
        </a:xfrm>
      </xdr:grpSpPr>
      <xdr:sp macro="" textlink="">
        <xdr:nvSpPr>
          <xdr:cNvPr id="4747" name="Line 6">
            <a:extLst>
              <a:ext uri="{FF2B5EF4-FFF2-40B4-BE49-F238E27FC236}">
                <a16:creationId xmlns:a16="http://schemas.microsoft.com/office/drawing/2014/main" id="{4DC59A24-C7DF-8D36-2CE6-91315A596F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8" name="Line 7">
            <a:extLst>
              <a:ext uri="{FF2B5EF4-FFF2-40B4-BE49-F238E27FC236}">
                <a16:creationId xmlns:a16="http://schemas.microsoft.com/office/drawing/2014/main" id="{F6F66F2D-2D4E-EBC8-DA28-4CA0009935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49" name="Line 8">
            <a:extLst>
              <a:ext uri="{FF2B5EF4-FFF2-40B4-BE49-F238E27FC236}">
                <a16:creationId xmlns:a16="http://schemas.microsoft.com/office/drawing/2014/main" id="{23D1A089-5FA9-60A2-31F1-7A5C4C4B55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85</xdr:row>
      <xdr:rowOff>58616</xdr:rowOff>
    </xdr:from>
    <xdr:to>
      <xdr:col>3</xdr:col>
      <xdr:colOff>977635</xdr:colOff>
      <xdr:row>85</xdr:row>
      <xdr:rowOff>249116</xdr:rowOff>
    </xdr:to>
    <xdr:grpSp>
      <xdr:nvGrpSpPr>
        <xdr:cNvPr id="4750" name="hinh2">
          <a:extLst>
            <a:ext uri="{FF2B5EF4-FFF2-40B4-BE49-F238E27FC236}">
              <a16:creationId xmlns:a16="http://schemas.microsoft.com/office/drawing/2014/main" id="{170DC2E4-D648-43F2-B659-351FA99DBE32}"/>
            </a:ext>
          </a:extLst>
        </xdr:cNvPr>
        <xdr:cNvGrpSpPr>
          <a:grpSpLocks noChangeAspect="1"/>
        </xdr:cNvGrpSpPr>
      </xdr:nvGrpSpPr>
      <xdr:grpSpPr bwMode="auto">
        <a:xfrm>
          <a:off x="2374970" y="32443616"/>
          <a:ext cx="875058" cy="190500"/>
          <a:chOff x="206" y="86"/>
          <a:chExt cx="73" cy="16"/>
        </a:xfrm>
      </xdr:grpSpPr>
      <xdr:sp macro="" textlink="">
        <xdr:nvSpPr>
          <xdr:cNvPr id="4751" name="Line 6">
            <a:extLst>
              <a:ext uri="{FF2B5EF4-FFF2-40B4-BE49-F238E27FC236}">
                <a16:creationId xmlns:a16="http://schemas.microsoft.com/office/drawing/2014/main" id="{44E9FFD7-BCE3-477D-D61E-A823F7B193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2" name="Line 7">
            <a:extLst>
              <a:ext uri="{FF2B5EF4-FFF2-40B4-BE49-F238E27FC236}">
                <a16:creationId xmlns:a16="http://schemas.microsoft.com/office/drawing/2014/main" id="{82CA1B8B-0D6C-0583-1355-0C7BA8000B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3" name="Line 8">
            <a:extLst>
              <a:ext uri="{FF2B5EF4-FFF2-40B4-BE49-F238E27FC236}">
                <a16:creationId xmlns:a16="http://schemas.microsoft.com/office/drawing/2014/main" id="{ABFAA8E3-9EF1-E65E-F7BB-A52BFB2A0B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754" name="hinh2">
          <a:extLst>
            <a:ext uri="{FF2B5EF4-FFF2-40B4-BE49-F238E27FC236}">
              <a16:creationId xmlns:a16="http://schemas.microsoft.com/office/drawing/2014/main" id="{446C0EB0-7C6D-4F98-B039-A1C457A2A21C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755" name="Line 6">
            <a:extLst>
              <a:ext uri="{FF2B5EF4-FFF2-40B4-BE49-F238E27FC236}">
                <a16:creationId xmlns:a16="http://schemas.microsoft.com/office/drawing/2014/main" id="{C47E3C61-AF53-5167-3687-0E8E5E28B0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6" name="Line 7">
            <a:extLst>
              <a:ext uri="{FF2B5EF4-FFF2-40B4-BE49-F238E27FC236}">
                <a16:creationId xmlns:a16="http://schemas.microsoft.com/office/drawing/2014/main" id="{25F38328-A10F-A70F-B4E2-65B34FE1C1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57" name="Line 8">
            <a:extLst>
              <a:ext uri="{FF2B5EF4-FFF2-40B4-BE49-F238E27FC236}">
                <a16:creationId xmlns:a16="http://schemas.microsoft.com/office/drawing/2014/main" id="{91D9CE9F-9C41-66B4-C8FF-595F878F57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758" name="hinh2">
          <a:extLst>
            <a:ext uri="{FF2B5EF4-FFF2-40B4-BE49-F238E27FC236}">
              <a16:creationId xmlns:a16="http://schemas.microsoft.com/office/drawing/2014/main" id="{DAE49AA3-4EF2-48D7-B5F1-EB4C478A8293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759" name="Line 6">
            <a:extLst>
              <a:ext uri="{FF2B5EF4-FFF2-40B4-BE49-F238E27FC236}">
                <a16:creationId xmlns:a16="http://schemas.microsoft.com/office/drawing/2014/main" id="{32D889C6-6E3A-EA85-A72D-60566340B4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0" name="Line 7">
            <a:extLst>
              <a:ext uri="{FF2B5EF4-FFF2-40B4-BE49-F238E27FC236}">
                <a16:creationId xmlns:a16="http://schemas.microsoft.com/office/drawing/2014/main" id="{CA6C32B2-3E11-5DF8-20EB-355890FFBF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1" name="Line 8">
            <a:extLst>
              <a:ext uri="{FF2B5EF4-FFF2-40B4-BE49-F238E27FC236}">
                <a16:creationId xmlns:a16="http://schemas.microsoft.com/office/drawing/2014/main" id="{389786BC-8723-B2D9-43A9-E6A291D477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762" name="hinh2">
          <a:extLst>
            <a:ext uri="{FF2B5EF4-FFF2-40B4-BE49-F238E27FC236}">
              <a16:creationId xmlns:a16="http://schemas.microsoft.com/office/drawing/2014/main" id="{E18B4048-C1A6-4BF0-B503-07B913AA3A6B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763" name="Line 6">
            <a:extLst>
              <a:ext uri="{FF2B5EF4-FFF2-40B4-BE49-F238E27FC236}">
                <a16:creationId xmlns:a16="http://schemas.microsoft.com/office/drawing/2014/main" id="{31C4D71A-AB14-37AA-0096-851C64B5E5C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4" name="Line 7">
            <a:extLst>
              <a:ext uri="{FF2B5EF4-FFF2-40B4-BE49-F238E27FC236}">
                <a16:creationId xmlns:a16="http://schemas.microsoft.com/office/drawing/2014/main" id="{BEE8B774-AACA-9ACA-9F22-48E7D31B19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5" name="Line 8">
            <a:extLst>
              <a:ext uri="{FF2B5EF4-FFF2-40B4-BE49-F238E27FC236}">
                <a16:creationId xmlns:a16="http://schemas.microsoft.com/office/drawing/2014/main" id="{482C051C-1470-C13B-9B05-1FD708C1B9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88</xdr:row>
      <xdr:rowOff>58616</xdr:rowOff>
    </xdr:from>
    <xdr:to>
      <xdr:col>3</xdr:col>
      <xdr:colOff>977635</xdr:colOff>
      <xdr:row>88</xdr:row>
      <xdr:rowOff>249116</xdr:rowOff>
    </xdr:to>
    <xdr:grpSp>
      <xdr:nvGrpSpPr>
        <xdr:cNvPr id="4766" name="hinh2">
          <a:extLst>
            <a:ext uri="{FF2B5EF4-FFF2-40B4-BE49-F238E27FC236}">
              <a16:creationId xmlns:a16="http://schemas.microsoft.com/office/drawing/2014/main" id="{5BAD40C4-38A9-4F60-9B5E-188C734C068D}"/>
            </a:ext>
          </a:extLst>
        </xdr:cNvPr>
        <xdr:cNvGrpSpPr>
          <a:grpSpLocks noChangeAspect="1"/>
        </xdr:cNvGrpSpPr>
      </xdr:nvGrpSpPr>
      <xdr:grpSpPr bwMode="auto">
        <a:xfrm>
          <a:off x="2374970" y="33627437"/>
          <a:ext cx="875058" cy="190500"/>
          <a:chOff x="206" y="86"/>
          <a:chExt cx="73" cy="16"/>
        </a:xfrm>
      </xdr:grpSpPr>
      <xdr:sp macro="" textlink="">
        <xdr:nvSpPr>
          <xdr:cNvPr id="4767" name="Line 6">
            <a:extLst>
              <a:ext uri="{FF2B5EF4-FFF2-40B4-BE49-F238E27FC236}">
                <a16:creationId xmlns:a16="http://schemas.microsoft.com/office/drawing/2014/main" id="{5F6195E7-2607-0050-81C2-566A93D167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8" name="Line 7">
            <a:extLst>
              <a:ext uri="{FF2B5EF4-FFF2-40B4-BE49-F238E27FC236}">
                <a16:creationId xmlns:a16="http://schemas.microsoft.com/office/drawing/2014/main" id="{D6BCCA39-AC8F-D013-049D-E78C0618F5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69" name="Line 8">
            <a:extLst>
              <a:ext uri="{FF2B5EF4-FFF2-40B4-BE49-F238E27FC236}">
                <a16:creationId xmlns:a16="http://schemas.microsoft.com/office/drawing/2014/main" id="{9A2876C4-F761-8CC2-C4FE-26C769AD3C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88</xdr:row>
      <xdr:rowOff>58616</xdr:rowOff>
    </xdr:from>
    <xdr:to>
      <xdr:col>3</xdr:col>
      <xdr:colOff>977635</xdr:colOff>
      <xdr:row>88</xdr:row>
      <xdr:rowOff>249116</xdr:rowOff>
    </xdr:to>
    <xdr:grpSp>
      <xdr:nvGrpSpPr>
        <xdr:cNvPr id="4770" name="hinh2">
          <a:extLst>
            <a:ext uri="{FF2B5EF4-FFF2-40B4-BE49-F238E27FC236}">
              <a16:creationId xmlns:a16="http://schemas.microsoft.com/office/drawing/2014/main" id="{267278FB-7EC4-49A9-BCBE-CEE13B55FC30}"/>
            </a:ext>
          </a:extLst>
        </xdr:cNvPr>
        <xdr:cNvGrpSpPr>
          <a:grpSpLocks noChangeAspect="1"/>
        </xdr:cNvGrpSpPr>
      </xdr:nvGrpSpPr>
      <xdr:grpSpPr bwMode="auto">
        <a:xfrm>
          <a:off x="2374970" y="33627437"/>
          <a:ext cx="875058" cy="190500"/>
          <a:chOff x="206" y="86"/>
          <a:chExt cx="73" cy="16"/>
        </a:xfrm>
      </xdr:grpSpPr>
      <xdr:sp macro="" textlink="">
        <xdr:nvSpPr>
          <xdr:cNvPr id="4771" name="Line 6">
            <a:extLst>
              <a:ext uri="{FF2B5EF4-FFF2-40B4-BE49-F238E27FC236}">
                <a16:creationId xmlns:a16="http://schemas.microsoft.com/office/drawing/2014/main" id="{A4521825-0E8A-B7DE-7F0F-C834646636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2" name="Line 7">
            <a:extLst>
              <a:ext uri="{FF2B5EF4-FFF2-40B4-BE49-F238E27FC236}">
                <a16:creationId xmlns:a16="http://schemas.microsoft.com/office/drawing/2014/main" id="{BEDCFC0F-2547-1B40-D59F-88AA0C8F58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3" name="Line 8">
            <a:extLst>
              <a:ext uri="{FF2B5EF4-FFF2-40B4-BE49-F238E27FC236}">
                <a16:creationId xmlns:a16="http://schemas.microsoft.com/office/drawing/2014/main" id="{C126B272-C953-FDB1-5C9A-0482FD6D89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88</xdr:row>
      <xdr:rowOff>58616</xdr:rowOff>
    </xdr:from>
    <xdr:to>
      <xdr:col>3</xdr:col>
      <xdr:colOff>977635</xdr:colOff>
      <xdr:row>88</xdr:row>
      <xdr:rowOff>249116</xdr:rowOff>
    </xdr:to>
    <xdr:grpSp>
      <xdr:nvGrpSpPr>
        <xdr:cNvPr id="4774" name="hinh2">
          <a:extLst>
            <a:ext uri="{FF2B5EF4-FFF2-40B4-BE49-F238E27FC236}">
              <a16:creationId xmlns:a16="http://schemas.microsoft.com/office/drawing/2014/main" id="{5867CBD3-CC2B-4FDD-B74A-0A2D8A6E02BB}"/>
            </a:ext>
          </a:extLst>
        </xdr:cNvPr>
        <xdr:cNvGrpSpPr>
          <a:grpSpLocks noChangeAspect="1"/>
        </xdr:cNvGrpSpPr>
      </xdr:nvGrpSpPr>
      <xdr:grpSpPr bwMode="auto">
        <a:xfrm>
          <a:off x="2374970" y="33627437"/>
          <a:ext cx="875058" cy="190500"/>
          <a:chOff x="206" y="86"/>
          <a:chExt cx="73" cy="16"/>
        </a:xfrm>
      </xdr:grpSpPr>
      <xdr:sp macro="" textlink="">
        <xdr:nvSpPr>
          <xdr:cNvPr id="4775" name="Line 6">
            <a:extLst>
              <a:ext uri="{FF2B5EF4-FFF2-40B4-BE49-F238E27FC236}">
                <a16:creationId xmlns:a16="http://schemas.microsoft.com/office/drawing/2014/main" id="{321C3449-ACFF-8E48-15CE-BB84C9060D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6" name="Line 7">
            <a:extLst>
              <a:ext uri="{FF2B5EF4-FFF2-40B4-BE49-F238E27FC236}">
                <a16:creationId xmlns:a16="http://schemas.microsoft.com/office/drawing/2014/main" id="{C9688EB2-3755-612A-068C-A6D3CFB339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77" name="Line 8">
            <a:extLst>
              <a:ext uri="{FF2B5EF4-FFF2-40B4-BE49-F238E27FC236}">
                <a16:creationId xmlns:a16="http://schemas.microsoft.com/office/drawing/2014/main" id="{9865DEB2-4090-FCA0-686C-FA53F33217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88</xdr:row>
      <xdr:rowOff>58616</xdr:rowOff>
    </xdr:from>
    <xdr:to>
      <xdr:col>3</xdr:col>
      <xdr:colOff>977635</xdr:colOff>
      <xdr:row>88</xdr:row>
      <xdr:rowOff>249116</xdr:rowOff>
    </xdr:to>
    <xdr:grpSp>
      <xdr:nvGrpSpPr>
        <xdr:cNvPr id="4778" name="hinh2">
          <a:extLst>
            <a:ext uri="{FF2B5EF4-FFF2-40B4-BE49-F238E27FC236}">
              <a16:creationId xmlns:a16="http://schemas.microsoft.com/office/drawing/2014/main" id="{99E2F0C8-5E60-45D8-B135-6C0589836484}"/>
            </a:ext>
          </a:extLst>
        </xdr:cNvPr>
        <xdr:cNvGrpSpPr>
          <a:grpSpLocks noChangeAspect="1"/>
        </xdr:cNvGrpSpPr>
      </xdr:nvGrpSpPr>
      <xdr:grpSpPr bwMode="auto">
        <a:xfrm>
          <a:off x="2374970" y="33627437"/>
          <a:ext cx="875058" cy="190500"/>
          <a:chOff x="206" y="86"/>
          <a:chExt cx="73" cy="16"/>
        </a:xfrm>
      </xdr:grpSpPr>
      <xdr:sp macro="" textlink="">
        <xdr:nvSpPr>
          <xdr:cNvPr id="4779" name="Line 6">
            <a:extLst>
              <a:ext uri="{FF2B5EF4-FFF2-40B4-BE49-F238E27FC236}">
                <a16:creationId xmlns:a16="http://schemas.microsoft.com/office/drawing/2014/main" id="{80381D02-0170-DF33-7F64-A4293F640E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0" name="Line 7">
            <a:extLst>
              <a:ext uri="{FF2B5EF4-FFF2-40B4-BE49-F238E27FC236}">
                <a16:creationId xmlns:a16="http://schemas.microsoft.com/office/drawing/2014/main" id="{0E231E83-67B7-ACF4-3BA7-9C78E61BE6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1" name="Line 8">
            <a:extLst>
              <a:ext uri="{FF2B5EF4-FFF2-40B4-BE49-F238E27FC236}">
                <a16:creationId xmlns:a16="http://schemas.microsoft.com/office/drawing/2014/main" id="{2441265D-1774-97E9-35D8-A2C9028DE9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87</xdr:row>
      <xdr:rowOff>58616</xdr:rowOff>
    </xdr:from>
    <xdr:to>
      <xdr:col>3</xdr:col>
      <xdr:colOff>977635</xdr:colOff>
      <xdr:row>87</xdr:row>
      <xdr:rowOff>249116</xdr:rowOff>
    </xdr:to>
    <xdr:grpSp>
      <xdr:nvGrpSpPr>
        <xdr:cNvPr id="4782" name="hinh2">
          <a:extLst>
            <a:ext uri="{FF2B5EF4-FFF2-40B4-BE49-F238E27FC236}">
              <a16:creationId xmlns:a16="http://schemas.microsoft.com/office/drawing/2014/main" id="{2038FAFD-4CBA-4751-AE02-1F03E2F1799C}"/>
            </a:ext>
          </a:extLst>
        </xdr:cNvPr>
        <xdr:cNvGrpSpPr>
          <a:grpSpLocks noChangeAspect="1"/>
        </xdr:cNvGrpSpPr>
      </xdr:nvGrpSpPr>
      <xdr:grpSpPr bwMode="auto">
        <a:xfrm>
          <a:off x="2374970" y="33232830"/>
          <a:ext cx="875058" cy="190500"/>
          <a:chOff x="206" y="86"/>
          <a:chExt cx="73" cy="16"/>
        </a:xfrm>
      </xdr:grpSpPr>
      <xdr:sp macro="" textlink="">
        <xdr:nvSpPr>
          <xdr:cNvPr id="4783" name="Line 6">
            <a:extLst>
              <a:ext uri="{FF2B5EF4-FFF2-40B4-BE49-F238E27FC236}">
                <a16:creationId xmlns:a16="http://schemas.microsoft.com/office/drawing/2014/main" id="{2F64C908-721E-EA5F-3B03-3BDBE2519A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4" name="Line 7">
            <a:extLst>
              <a:ext uri="{FF2B5EF4-FFF2-40B4-BE49-F238E27FC236}">
                <a16:creationId xmlns:a16="http://schemas.microsoft.com/office/drawing/2014/main" id="{D507504F-BBFA-C77F-DC01-7D99A0D676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5" name="Line 8">
            <a:extLst>
              <a:ext uri="{FF2B5EF4-FFF2-40B4-BE49-F238E27FC236}">
                <a16:creationId xmlns:a16="http://schemas.microsoft.com/office/drawing/2014/main" id="{9883E1A8-D43B-5EE0-189B-22086EF7FA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87</xdr:row>
      <xdr:rowOff>58616</xdr:rowOff>
    </xdr:from>
    <xdr:to>
      <xdr:col>3</xdr:col>
      <xdr:colOff>977635</xdr:colOff>
      <xdr:row>87</xdr:row>
      <xdr:rowOff>249116</xdr:rowOff>
    </xdr:to>
    <xdr:grpSp>
      <xdr:nvGrpSpPr>
        <xdr:cNvPr id="4786" name="hinh2">
          <a:extLst>
            <a:ext uri="{FF2B5EF4-FFF2-40B4-BE49-F238E27FC236}">
              <a16:creationId xmlns:a16="http://schemas.microsoft.com/office/drawing/2014/main" id="{9D307A93-45EA-4F9F-B343-21CC1E263379}"/>
            </a:ext>
          </a:extLst>
        </xdr:cNvPr>
        <xdr:cNvGrpSpPr>
          <a:grpSpLocks noChangeAspect="1"/>
        </xdr:cNvGrpSpPr>
      </xdr:nvGrpSpPr>
      <xdr:grpSpPr bwMode="auto">
        <a:xfrm>
          <a:off x="2374970" y="33232830"/>
          <a:ext cx="875058" cy="190500"/>
          <a:chOff x="206" y="86"/>
          <a:chExt cx="73" cy="16"/>
        </a:xfrm>
      </xdr:grpSpPr>
      <xdr:sp macro="" textlink="">
        <xdr:nvSpPr>
          <xdr:cNvPr id="4787" name="Line 6">
            <a:extLst>
              <a:ext uri="{FF2B5EF4-FFF2-40B4-BE49-F238E27FC236}">
                <a16:creationId xmlns:a16="http://schemas.microsoft.com/office/drawing/2014/main" id="{0F19C94C-7938-FB2B-22CE-FA80148AE2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8" name="Line 7">
            <a:extLst>
              <a:ext uri="{FF2B5EF4-FFF2-40B4-BE49-F238E27FC236}">
                <a16:creationId xmlns:a16="http://schemas.microsoft.com/office/drawing/2014/main" id="{43EF8235-185D-2060-7DD2-AF0D6762F6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89" name="Line 8">
            <a:extLst>
              <a:ext uri="{FF2B5EF4-FFF2-40B4-BE49-F238E27FC236}">
                <a16:creationId xmlns:a16="http://schemas.microsoft.com/office/drawing/2014/main" id="{584FB68A-C2E8-08B4-D4CC-20A53D8A19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87</xdr:row>
      <xdr:rowOff>58616</xdr:rowOff>
    </xdr:from>
    <xdr:to>
      <xdr:col>3</xdr:col>
      <xdr:colOff>977635</xdr:colOff>
      <xdr:row>87</xdr:row>
      <xdr:rowOff>249116</xdr:rowOff>
    </xdr:to>
    <xdr:grpSp>
      <xdr:nvGrpSpPr>
        <xdr:cNvPr id="4790" name="hinh2">
          <a:extLst>
            <a:ext uri="{FF2B5EF4-FFF2-40B4-BE49-F238E27FC236}">
              <a16:creationId xmlns:a16="http://schemas.microsoft.com/office/drawing/2014/main" id="{3149589E-E9E6-49F6-B432-2CB70D4F6D70}"/>
            </a:ext>
          </a:extLst>
        </xdr:cNvPr>
        <xdr:cNvGrpSpPr>
          <a:grpSpLocks noChangeAspect="1"/>
        </xdr:cNvGrpSpPr>
      </xdr:nvGrpSpPr>
      <xdr:grpSpPr bwMode="auto">
        <a:xfrm>
          <a:off x="2374970" y="33232830"/>
          <a:ext cx="875058" cy="190500"/>
          <a:chOff x="206" y="86"/>
          <a:chExt cx="73" cy="16"/>
        </a:xfrm>
      </xdr:grpSpPr>
      <xdr:sp macro="" textlink="">
        <xdr:nvSpPr>
          <xdr:cNvPr id="4791" name="Line 6">
            <a:extLst>
              <a:ext uri="{FF2B5EF4-FFF2-40B4-BE49-F238E27FC236}">
                <a16:creationId xmlns:a16="http://schemas.microsoft.com/office/drawing/2014/main" id="{88037EFA-7B15-2798-2988-68F48ADBCD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2" name="Line 7">
            <a:extLst>
              <a:ext uri="{FF2B5EF4-FFF2-40B4-BE49-F238E27FC236}">
                <a16:creationId xmlns:a16="http://schemas.microsoft.com/office/drawing/2014/main" id="{D322380C-E31A-72EC-B20C-D0129704C3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3" name="Line 8">
            <a:extLst>
              <a:ext uri="{FF2B5EF4-FFF2-40B4-BE49-F238E27FC236}">
                <a16:creationId xmlns:a16="http://schemas.microsoft.com/office/drawing/2014/main" id="{99410F13-81C5-5702-03BD-BB1C6EF085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87</xdr:row>
      <xdr:rowOff>58616</xdr:rowOff>
    </xdr:from>
    <xdr:to>
      <xdr:col>3</xdr:col>
      <xdr:colOff>977635</xdr:colOff>
      <xdr:row>87</xdr:row>
      <xdr:rowOff>249116</xdr:rowOff>
    </xdr:to>
    <xdr:grpSp>
      <xdr:nvGrpSpPr>
        <xdr:cNvPr id="4794" name="hinh2">
          <a:extLst>
            <a:ext uri="{FF2B5EF4-FFF2-40B4-BE49-F238E27FC236}">
              <a16:creationId xmlns:a16="http://schemas.microsoft.com/office/drawing/2014/main" id="{0D289189-A669-4EBA-8EE5-365812E9605E}"/>
            </a:ext>
          </a:extLst>
        </xdr:cNvPr>
        <xdr:cNvGrpSpPr>
          <a:grpSpLocks noChangeAspect="1"/>
        </xdr:cNvGrpSpPr>
      </xdr:nvGrpSpPr>
      <xdr:grpSpPr bwMode="auto">
        <a:xfrm>
          <a:off x="2374970" y="33232830"/>
          <a:ext cx="875058" cy="190500"/>
          <a:chOff x="206" y="86"/>
          <a:chExt cx="73" cy="16"/>
        </a:xfrm>
      </xdr:grpSpPr>
      <xdr:sp macro="" textlink="">
        <xdr:nvSpPr>
          <xdr:cNvPr id="4795" name="Line 6">
            <a:extLst>
              <a:ext uri="{FF2B5EF4-FFF2-40B4-BE49-F238E27FC236}">
                <a16:creationId xmlns:a16="http://schemas.microsoft.com/office/drawing/2014/main" id="{73CE678D-832F-C998-872A-B775A78305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6" name="Line 7">
            <a:extLst>
              <a:ext uri="{FF2B5EF4-FFF2-40B4-BE49-F238E27FC236}">
                <a16:creationId xmlns:a16="http://schemas.microsoft.com/office/drawing/2014/main" id="{5DB0C904-A63D-36EC-66E2-5EFFADD234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97" name="Line 8">
            <a:extLst>
              <a:ext uri="{FF2B5EF4-FFF2-40B4-BE49-F238E27FC236}">
                <a16:creationId xmlns:a16="http://schemas.microsoft.com/office/drawing/2014/main" id="{172B6D3B-8C43-44B5-6432-988C3A41EB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798" name="hinh2">
          <a:extLst>
            <a:ext uri="{FF2B5EF4-FFF2-40B4-BE49-F238E27FC236}">
              <a16:creationId xmlns:a16="http://schemas.microsoft.com/office/drawing/2014/main" id="{B4D58E30-A5D0-44CB-B992-C86CDE8A78D6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799" name="Line 6">
            <a:extLst>
              <a:ext uri="{FF2B5EF4-FFF2-40B4-BE49-F238E27FC236}">
                <a16:creationId xmlns:a16="http://schemas.microsoft.com/office/drawing/2014/main" id="{F3CC6DF9-6111-9A9D-13D1-C756BFC0C1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0" name="Line 7">
            <a:extLst>
              <a:ext uri="{FF2B5EF4-FFF2-40B4-BE49-F238E27FC236}">
                <a16:creationId xmlns:a16="http://schemas.microsoft.com/office/drawing/2014/main" id="{1C7C4649-9646-52B6-7428-6EF306F633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1" name="Line 8">
            <a:extLst>
              <a:ext uri="{FF2B5EF4-FFF2-40B4-BE49-F238E27FC236}">
                <a16:creationId xmlns:a16="http://schemas.microsoft.com/office/drawing/2014/main" id="{43EE408E-D281-36A1-AFFB-1AC7DB215F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802" name="hinh2">
          <a:extLst>
            <a:ext uri="{FF2B5EF4-FFF2-40B4-BE49-F238E27FC236}">
              <a16:creationId xmlns:a16="http://schemas.microsoft.com/office/drawing/2014/main" id="{09DCD07A-7525-4AB6-835A-EFF9993CF71B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803" name="Line 6">
            <a:extLst>
              <a:ext uri="{FF2B5EF4-FFF2-40B4-BE49-F238E27FC236}">
                <a16:creationId xmlns:a16="http://schemas.microsoft.com/office/drawing/2014/main" id="{E85CAA32-A506-E1EC-10A5-E8E5AC14B8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4" name="Line 7">
            <a:extLst>
              <a:ext uri="{FF2B5EF4-FFF2-40B4-BE49-F238E27FC236}">
                <a16:creationId xmlns:a16="http://schemas.microsoft.com/office/drawing/2014/main" id="{FF70BAC0-B6AE-4584-8B02-BC2DB1D774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5" name="Line 8">
            <a:extLst>
              <a:ext uri="{FF2B5EF4-FFF2-40B4-BE49-F238E27FC236}">
                <a16:creationId xmlns:a16="http://schemas.microsoft.com/office/drawing/2014/main" id="{CF3DE3CA-5C27-8F94-AD07-369CA60BF1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806" name="hinh2">
          <a:extLst>
            <a:ext uri="{FF2B5EF4-FFF2-40B4-BE49-F238E27FC236}">
              <a16:creationId xmlns:a16="http://schemas.microsoft.com/office/drawing/2014/main" id="{4B2AF98A-DF60-4A49-9682-FBC3E3165746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807" name="Line 6">
            <a:extLst>
              <a:ext uri="{FF2B5EF4-FFF2-40B4-BE49-F238E27FC236}">
                <a16:creationId xmlns:a16="http://schemas.microsoft.com/office/drawing/2014/main" id="{6924E711-7D7D-6F76-7CD1-566034B60E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8" name="Line 7">
            <a:extLst>
              <a:ext uri="{FF2B5EF4-FFF2-40B4-BE49-F238E27FC236}">
                <a16:creationId xmlns:a16="http://schemas.microsoft.com/office/drawing/2014/main" id="{E6B98BFA-FF0C-6CAE-89A7-69165186C1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09" name="Line 8">
            <a:extLst>
              <a:ext uri="{FF2B5EF4-FFF2-40B4-BE49-F238E27FC236}">
                <a16:creationId xmlns:a16="http://schemas.microsoft.com/office/drawing/2014/main" id="{4152313A-C9A9-226D-BB2A-1E0AE9FC4B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86</xdr:row>
      <xdr:rowOff>58616</xdr:rowOff>
    </xdr:from>
    <xdr:to>
      <xdr:col>3</xdr:col>
      <xdr:colOff>977635</xdr:colOff>
      <xdr:row>86</xdr:row>
      <xdr:rowOff>249116</xdr:rowOff>
    </xdr:to>
    <xdr:grpSp>
      <xdr:nvGrpSpPr>
        <xdr:cNvPr id="4810" name="hinh2">
          <a:extLst>
            <a:ext uri="{FF2B5EF4-FFF2-40B4-BE49-F238E27FC236}">
              <a16:creationId xmlns:a16="http://schemas.microsoft.com/office/drawing/2014/main" id="{9B1F2FF8-940A-4D49-8503-9E4C3A4C44CE}"/>
            </a:ext>
          </a:extLst>
        </xdr:cNvPr>
        <xdr:cNvGrpSpPr>
          <a:grpSpLocks noChangeAspect="1"/>
        </xdr:cNvGrpSpPr>
      </xdr:nvGrpSpPr>
      <xdr:grpSpPr bwMode="auto">
        <a:xfrm>
          <a:off x="2374970" y="32838223"/>
          <a:ext cx="875058" cy="190500"/>
          <a:chOff x="206" y="86"/>
          <a:chExt cx="73" cy="16"/>
        </a:xfrm>
      </xdr:grpSpPr>
      <xdr:sp macro="" textlink="">
        <xdr:nvSpPr>
          <xdr:cNvPr id="4811" name="Line 6">
            <a:extLst>
              <a:ext uri="{FF2B5EF4-FFF2-40B4-BE49-F238E27FC236}">
                <a16:creationId xmlns:a16="http://schemas.microsoft.com/office/drawing/2014/main" id="{12F14182-6584-E55B-1A50-5A118DF3D0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2" name="Line 7">
            <a:extLst>
              <a:ext uri="{FF2B5EF4-FFF2-40B4-BE49-F238E27FC236}">
                <a16:creationId xmlns:a16="http://schemas.microsoft.com/office/drawing/2014/main" id="{A942626E-5A8F-BD46-385E-7AB2AFB0E8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3" name="Line 8">
            <a:extLst>
              <a:ext uri="{FF2B5EF4-FFF2-40B4-BE49-F238E27FC236}">
                <a16:creationId xmlns:a16="http://schemas.microsoft.com/office/drawing/2014/main" id="{48BEF84C-9755-A559-C136-233286FBF1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89</xdr:row>
      <xdr:rowOff>58616</xdr:rowOff>
    </xdr:from>
    <xdr:to>
      <xdr:col>3</xdr:col>
      <xdr:colOff>977635</xdr:colOff>
      <xdr:row>89</xdr:row>
      <xdr:rowOff>249116</xdr:rowOff>
    </xdr:to>
    <xdr:grpSp>
      <xdr:nvGrpSpPr>
        <xdr:cNvPr id="4814" name="hinh2">
          <a:extLst>
            <a:ext uri="{FF2B5EF4-FFF2-40B4-BE49-F238E27FC236}">
              <a16:creationId xmlns:a16="http://schemas.microsoft.com/office/drawing/2014/main" id="{AE041010-159D-4A1B-A37A-5295A9133ED6}"/>
            </a:ext>
          </a:extLst>
        </xdr:cNvPr>
        <xdr:cNvGrpSpPr>
          <a:grpSpLocks noChangeAspect="1"/>
        </xdr:cNvGrpSpPr>
      </xdr:nvGrpSpPr>
      <xdr:grpSpPr bwMode="auto">
        <a:xfrm>
          <a:off x="2374970" y="34022045"/>
          <a:ext cx="875058" cy="190500"/>
          <a:chOff x="206" y="86"/>
          <a:chExt cx="73" cy="16"/>
        </a:xfrm>
      </xdr:grpSpPr>
      <xdr:sp macro="" textlink="">
        <xdr:nvSpPr>
          <xdr:cNvPr id="4815" name="Line 6">
            <a:extLst>
              <a:ext uri="{FF2B5EF4-FFF2-40B4-BE49-F238E27FC236}">
                <a16:creationId xmlns:a16="http://schemas.microsoft.com/office/drawing/2014/main" id="{E1EF5175-1E4C-70A3-862E-ABD11258F6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6" name="Line 7">
            <a:extLst>
              <a:ext uri="{FF2B5EF4-FFF2-40B4-BE49-F238E27FC236}">
                <a16:creationId xmlns:a16="http://schemas.microsoft.com/office/drawing/2014/main" id="{278FC6B3-4906-5973-F087-8E0E7611B3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17" name="Line 8">
            <a:extLst>
              <a:ext uri="{FF2B5EF4-FFF2-40B4-BE49-F238E27FC236}">
                <a16:creationId xmlns:a16="http://schemas.microsoft.com/office/drawing/2014/main" id="{2451E3CB-7C86-3ED5-4958-0F1C86F015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89</xdr:row>
      <xdr:rowOff>58616</xdr:rowOff>
    </xdr:from>
    <xdr:to>
      <xdr:col>3</xdr:col>
      <xdr:colOff>977635</xdr:colOff>
      <xdr:row>89</xdr:row>
      <xdr:rowOff>249116</xdr:rowOff>
    </xdr:to>
    <xdr:grpSp>
      <xdr:nvGrpSpPr>
        <xdr:cNvPr id="4818" name="hinh2">
          <a:extLst>
            <a:ext uri="{FF2B5EF4-FFF2-40B4-BE49-F238E27FC236}">
              <a16:creationId xmlns:a16="http://schemas.microsoft.com/office/drawing/2014/main" id="{137B8EBD-427B-4F79-9997-2B9525B7E917}"/>
            </a:ext>
          </a:extLst>
        </xdr:cNvPr>
        <xdr:cNvGrpSpPr>
          <a:grpSpLocks noChangeAspect="1"/>
        </xdr:cNvGrpSpPr>
      </xdr:nvGrpSpPr>
      <xdr:grpSpPr bwMode="auto">
        <a:xfrm>
          <a:off x="2374970" y="34022045"/>
          <a:ext cx="875058" cy="190500"/>
          <a:chOff x="206" y="86"/>
          <a:chExt cx="73" cy="16"/>
        </a:xfrm>
      </xdr:grpSpPr>
      <xdr:sp macro="" textlink="">
        <xdr:nvSpPr>
          <xdr:cNvPr id="4819" name="Line 6">
            <a:extLst>
              <a:ext uri="{FF2B5EF4-FFF2-40B4-BE49-F238E27FC236}">
                <a16:creationId xmlns:a16="http://schemas.microsoft.com/office/drawing/2014/main" id="{D237479D-FB19-7559-5CEB-D99F6F3499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0" name="Line 7">
            <a:extLst>
              <a:ext uri="{FF2B5EF4-FFF2-40B4-BE49-F238E27FC236}">
                <a16:creationId xmlns:a16="http://schemas.microsoft.com/office/drawing/2014/main" id="{0602CC88-8ADF-E255-A456-808741C250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1" name="Line 8">
            <a:extLst>
              <a:ext uri="{FF2B5EF4-FFF2-40B4-BE49-F238E27FC236}">
                <a16:creationId xmlns:a16="http://schemas.microsoft.com/office/drawing/2014/main" id="{8F7EC081-16EC-0501-8F5F-313BEDCAA7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89</xdr:row>
      <xdr:rowOff>58616</xdr:rowOff>
    </xdr:from>
    <xdr:to>
      <xdr:col>3</xdr:col>
      <xdr:colOff>977635</xdr:colOff>
      <xdr:row>89</xdr:row>
      <xdr:rowOff>249116</xdr:rowOff>
    </xdr:to>
    <xdr:grpSp>
      <xdr:nvGrpSpPr>
        <xdr:cNvPr id="4822" name="hinh2">
          <a:extLst>
            <a:ext uri="{FF2B5EF4-FFF2-40B4-BE49-F238E27FC236}">
              <a16:creationId xmlns:a16="http://schemas.microsoft.com/office/drawing/2014/main" id="{9653C5C4-E0C2-40EE-9AD7-404853A2F383}"/>
            </a:ext>
          </a:extLst>
        </xdr:cNvPr>
        <xdr:cNvGrpSpPr>
          <a:grpSpLocks noChangeAspect="1"/>
        </xdr:cNvGrpSpPr>
      </xdr:nvGrpSpPr>
      <xdr:grpSpPr bwMode="auto">
        <a:xfrm>
          <a:off x="2374970" y="34022045"/>
          <a:ext cx="875058" cy="190500"/>
          <a:chOff x="206" y="86"/>
          <a:chExt cx="73" cy="16"/>
        </a:xfrm>
      </xdr:grpSpPr>
      <xdr:sp macro="" textlink="">
        <xdr:nvSpPr>
          <xdr:cNvPr id="4823" name="Line 6">
            <a:extLst>
              <a:ext uri="{FF2B5EF4-FFF2-40B4-BE49-F238E27FC236}">
                <a16:creationId xmlns:a16="http://schemas.microsoft.com/office/drawing/2014/main" id="{1ED6CC49-51F1-0DB2-5DDB-911FC499E0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4" name="Line 7">
            <a:extLst>
              <a:ext uri="{FF2B5EF4-FFF2-40B4-BE49-F238E27FC236}">
                <a16:creationId xmlns:a16="http://schemas.microsoft.com/office/drawing/2014/main" id="{FAB51CC5-3893-F9C6-4A75-B6576A0001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5" name="Line 8">
            <a:extLst>
              <a:ext uri="{FF2B5EF4-FFF2-40B4-BE49-F238E27FC236}">
                <a16:creationId xmlns:a16="http://schemas.microsoft.com/office/drawing/2014/main" id="{31406C63-C621-FF3F-5F15-7E33EEBCF0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89</xdr:row>
      <xdr:rowOff>58616</xdr:rowOff>
    </xdr:from>
    <xdr:to>
      <xdr:col>3</xdr:col>
      <xdr:colOff>977635</xdr:colOff>
      <xdr:row>89</xdr:row>
      <xdr:rowOff>249116</xdr:rowOff>
    </xdr:to>
    <xdr:grpSp>
      <xdr:nvGrpSpPr>
        <xdr:cNvPr id="4826" name="hinh2">
          <a:extLst>
            <a:ext uri="{FF2B5EF4-FFF2-40B4-BE49-F238E27FC236}">
              <a16:creationId xmlns:a16="http://schemas.microsoft.com/office/drawing/2014/main" id="{1E45DB18-11E3-4E19-9DD3-21C65493A1C7}"/>
            </a:ext>
          </a:extLst>
        </xdr:cNvPr>
        <xdr:cNvGrpSpPr>
          <a:grpSpLocks noChangeAspect="1"/>
        </xdr:cNvGrpSpPr>
      </xdr:nvGrpSpPr>
      <xdr:grpSpPr bwMode="auto">
        <a:xfrm>
          <a:off x="2374970" y="34022045"/>
          <a:ext cx="875058" cy="190500"/>
          <a:chOff x="206" y="86"/>
          <a:chExt cx="73" cy="16"/>
        </a:xfrm>
      </xdr:grpSpPr>
      <xdr:sp macro="" textlink="">
        <xdr:nvSpPr>
          <xdr:cNvPr id="4827" name="Line 6">
            <a:extLst>
              <a:ext uri="{FF2B5EF4-FFF2-40B4-BE49-F238E27FC236}">
                <a16:creationId xmlns:a16="http://schemas.microsoft.com/office/drawing/2014/main" id="{6C163E2E-8730-1BB2-8FC9-40DEB1A173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8" name="Line 7">
            <a:extLst>
              <a:ext uri="{FF2B5EF4-FFF2-40B4-BE49-F238E27FC236}">
                <a16:creationId xmlns:a16="http://schemas.microsoft.com/office/drawing/2014/main" id="{E9D61681-92D1-2ED6-3FAA-80D2F6D4A2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9" name="Line 8">
            <a:extLst>
              <a:ext uri="{FF2B5EF4-FFF2-40B4-BE49-F238E27FC236}">
                <a16:creationId xmlns:a16="http://schemas.microsoft.com/office/drawing/2014/main" id="{D10A222C-5CC5-136B-E3B5-11DB69D561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89</xdr:row>
      <xdr:rowOff>58616</xdr:rowOff>
    </xdr:from>
    <xdr:to>
      <xdr:col>3</xdr:col>
      <xdr:colOff>977635</xdr:colOff>
      <xdr:row>89</xdr:row>
      <xdr:rowOff>249116</xdr:rowOff>
    </xdr:to>
    <xdr:grpSp>
      <xdr:nvGrpSpPr>
        <xdr:cNvPr id="4830" name="hinh2">
          <a:extLst>
            <a:ext uri="{FF2B5EF4-FFF2-40B4-BE49-F238E27FC236}">
              <a16:creationId xmlns:a16="http://schemas.microsoft.com/office/drawing/2014/main" id="{739014BA-F62D-4692-B3B1-4E5E907208A7}"/>
            </a:ext>
          </a:extLst>
        </xdr:cNvPr>
        <xdr:cNvGrpSpPr>
          <a:grpSpLocks noChangeAspect="1"/>
        </xdr:cNvGrpSpPr>
      </xdr:nvGrpSpPr>
      <xdr:grpSpPr bwMode="auto">
        <a:xfrm>
          <a:off x="2374970" y="34022045"/>
          <a:ext cx="875058" cy="190500"/>
          <a:chOff x="206" y="86"/>
          <a:chExt cx="73" cy="16"/>
        </a:xfrm>
      </xdr:grpSpPr>
      <xdr:sp macro="" textlink="">
        <xdr:nvSpPr>
          <xdr:cNvPr id="4831" name="Line 6">
            <a:extLst>
              <a:ext uri="{FF2B5EF4-FFF2-40B4-BE49-F238E27FC236}">
                <a16:creationId xmlns:a16="http://schemas.microsoft.com/office/drawing/2014/main" id="{3C0C9711-ADD7-FDEF-9F0F-D8FFA2739D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2" name="Line 7">
            <a:extLst>
              <a:ext uri="{FF2B5EF4-FFF2-40B4-BE49-F238E27FC236}">
                <a16:creationId xmlns:a16="http://schemas.microsoft.com/office/drawing/2014/main" id="{3450DB1C-77D2-FCA9-12FC-8E2F737E70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3" name="Line 8">
            <a:extLst>
              <a:ext uri="{FF2B5EF4-FFF2-40B4-BE49-F238E27FC236}">
                <a16:creationId xmlns:a16="http://schemas.microsoft.com/office/drawing/2014/main" id="{4F4E6939-F2A3-A513-2999-2DDB4EF6C2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92</xdr:row>
      <xdr:rowOff>80596</xdr:rowOff>
    </xdr:from>
    <xdr:to>
      <xdr:col>3</xdr:col>
      <xdr:colOff>970308</xdr:colOff>
      <xdr:row>92</xdr:row>
      <xdr:rowOff>244279</xdr:rowOff>
    </xdr:to>
    <xdr:grpSp>
      <xdr:nvGrpSpPr>
        <xdr:cNvPr id="4838" name="hinh2">
          <a:extLst>
            <a:ext uri="{FF2B5EF4-FFF2-40B4-BE49-F238E27FC236}">
              <a16:creationId xmlns:a16="http://schemas.microsoft.com/office/drawing/2014/main" id="{D12DA76A-CFB6-4730-B54D-4E714158D20E}"/>
            </a:ext>
          </a:extLst>
        </xdr:cNvPr>
        <xdr:cNvGrpSpPr>
          <a:grpSpLocks noChangeAspect="1"/>
        </xdr:cNvGrpSpPr>
      </xdr:nvGrpSpPr>
      <xdr:grpSpPr bwMode="auto">
        <a:xfrm>
          <a:off x="2367643" y="35227846"/>
          <a:ext cx="875058" cy="163683"/>
          <a:chOff x="206" y="86"/>
          <a:chExt cx="73" cy="16"/>
        </a:xfrm>
      </xdr:grpSpPr>
      <xdr:sp macro="" textlink="">
        <xdr:nvSpPr>
          <xdr:cNvPr id="4839" name="Line 6">
            <a:extLst>
              <a:ext uri="{FF2B5EF4-FFF2-40B4-BE49-F238E27FC236}">
                <a16:creationId xmlns:a16="http://schemas.microsoft.com/office/drawing/2014/main" id="{895EDC1F-2210-2882-DC77-7160C0F85A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0" name="Line 7">
            <a:extLst>
              <a:ext uri="{FF2B5EF4-FFF2-40B4-BE49-F238E27FC236}">
                <a16:creationId xmlns:a16="http://schemas.microsoft.com/office/drawing/2014/main" id="{01727A83-EE9A-EEA8-D56A-7606FF963A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1" name="Line 8">
            <a:extLst>
              <a:ext uri="{FF2B5EF4-FFF2-40B4-BE49-F238E27FC236}">
                <a16:creationId xmlns:a16="http://schemas.microsoft.com/office/drawing/2014/main" id="{F72A876E-30E6-F771-B503-E7C173CB43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93</xdr:row>
      <xdr:rowOff>58616</xdr:rowOff>
    </xdr:from>
    <xdr:to>
      <xdr:col>3</xdr:col>
      <xdr:colOff>977635</xdr:colOff>
      <xdr:row>93</xdr:row>
      <xdr:rowOff>249116</xdr:rowOff>
    </xdr:to>
    <xdr:grpSp>
      <xdr:nvGrpSpPr>
        <xdr:cNvPr id="4842" name="hinh2">
          <a:extLst>
            <a:ext uri="{FF2B5EF4-FFF2-40B4-BE49-F238E27FC236}">
              <a16:creationId xmlns:a16="http://schemas.microsoft.com/office/drawing/2014/main" id="{4410BDF2-93AE-493D-BC37-1C0E6A454CE7}"/>
            </a:ext>
          </a:extLst>
        </xdr:cNvPr>
        <xdr:cNvGrpSpPr>
          <a:grpSpLocks noChangeAspect="1"/>
        </xdr:cNvGrpSpPr>
      </xdr:nvGrpSpPr>
      <xdr:grpSpPr bwMode="auto">
        <a:xfrm>
          <a:off x="2374970" y="35600473"/>
          <a:ext cx="875058" cy="190500"/>
          <a:chOff x="206" y="86"/>
          <a:chExt cx="73" cy="16"/>
        </a:xfrm>
      </xdr:grpSpPr>
      <xdr:sp macro="" textlink="">
        <xdr:nvSpPr>
          <xdr:cNvPr id="4843" name="Line 6">
            <a:extLst>
              <a:ext uri="{FF2B5EF4-FFF2-40B4-BE49-F238E27FC236}">
                <a16:creationId xmlns:a16="http://schemas.microsoft.com/office/drawing/2014/main" id="{8C0549CF-8CFA-9EB3-89AF-B4BEBD1D16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4" name="Line 7">
            <a:extLst>
              <a:ext uri="{FF2B5EF4-FFF2-40B4-BE49-F238E27FC236}">
                <a16:creationId xmlns:a16="http://schemas.microsoft.com/office/drawing/2014/main" id="{7BB304BB-8D0B-F103-AE31-CFA897B4359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5" name="Line 8">
            <a:extLst>
              <a:ext uri="{FF2B5EF4-FFF2-40B4-BE49-F238E27FC236}">
                <a16:creationId xmlns:a16="http://schemas.microsoft.com/office/drawing/2014/main" id="{BA70EADA-DDBC-C715-F042-DE879130B8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94</xdr:row>
      <xdr:rowOff>58616</xdr:rowOff>
    </xdr:from>
    <xdr:to>
      <xdr:col>3</xdr:col>
      <xdr:colOff>977635</xdr:colOff>
      <xdr:row>94</xdr:row>
      <xdr:rowOff>249116</xdr:rowOff>
    </xdr:to>
    <xdr:grpSp>
      <xdr:nvGrpSpPr>
        <xdr:cNvPr id="4846" name="hinh2">
          <a:extLst>
            <a:ext uri="{FF2B5EF4-FFF2-40B4-BE49-F238E27FC236}">
              <a16:creationId xmlns:a16="http://schemas.microsoft.com/office/drawing/2014/main" id="{6766F0E7-BC14-485E-B682-63CE481659A5}"/>
            </a:ext>
          </a:extLst>
        </xdr:cNvPr>
        <xdr:cNvGrpSpPr>
          <a:grpSpLocks noChangeAspect="1"/>
        </xdr:cNvGrpSpPr>
      </xdr:nvGrpSpPr>
      <xdr:grpSpPr bwMode="auto">
        <a:xfrm>
          <a:off x="2374970" y="35995080"/>
          <a:ext cx="875058" cy="190500"/>
          <a:chOff x="206" y="86"/>
          <a:chExt cx="73" cy="16"/>
        </a:xfrm>
      </xdr:grpSpPr>
      <xdr:sp macro="" textlink="">
        <xdr:nvSpPr>
          <xdr:cNvPr id="4847" name="Line 6">
            <a:extLst>
              <a:ext uri="{FF2B5EF4-FFF2-40B4-BE49-F238E27FC236}">
                <a16:creationId xmlns:a16="http://schemas.microsoft.com/office/drawing/2014/main" id="{231E97C2-5C5A-DDA5-247B-13412F762D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8" name="Line 7">
            <a:extLst>
              <a:ext uri="{FF2B5EF4-FFF2-40B4-BE49-F238E27FC236}">
                <a16:creationId xmlns:a16="http://schemas.microsoft.com/office/drawing/2014/main" id="{0C3C9301-C648-6D87-194C-3F622F1DFE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9" name="Line 8">
            <a:extLst>
              <a:ext uri="{FF2B5EF4-FFF2-40B4-BE49-F238E27FC236}">
                <a16:creationId xmlns:a16="http://schemas.microsoft.com/office/drawing/2014/main" id="{75E444DA-B597-996E-0438-2D1B57C888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850" name="hinh2">
          <a:extLst>
            <a:ext uri="{FF2B5EF4-FFF2-40B4-BE49-F238E27FC236}">
              <a16:creationId xmlns:a16="http://schemas.microsoft.com/office/drawing/2014/main" id="{1EF740C7-4F49-4924-ADD6-DDDED5AD10E3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851" name="Line 6">
            <a:extLst>
              <a:ext uri="{FF2B5EF4-FFF2-40B4-BE49-F238E27FC236}">
                <a16:creationId xmlns:a16="http://schemas.microsoft.com/office/drawing/2014/main" id="{276C4C6B-054C-F11C-6D8A-A8B8E2AACD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2" name="Line 7">
            <a:extLst>
              <a:ext uri="{FF2B5EF4-FFF2-40B4-BE49-F238E27FC236}">
                <a16:creationId xmlns:a16="http://schemas.microsoft.com/office/drawing/2014/main" id="{B4769BC1-F59D-61CC-2996-8FF2AFCF31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3" name="Line 8">
            <a:extLst>
              <a:ext uri="{FF2B5EF4-FFF2-40B4-BE49-F238E27FC236}">
                <a16:creationId xmlns:a16="http://schemas.microsoft.com/office/drawing/2014/main" id="{3C04F298-54FD-ABC4-D5BD-27A184B7B4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854" name="hinh2">
          <a:extLst>
            <a:ext uri="{FF2B5EF4-FFF2-40B4-BE49-F238E27FC236}">
              <a16:creationId xmlns:a16="http://schemas.microsoft.com/office/drawing/2014/main" id="{FE47D94A-0CAF-408F-A2E1-06B696CD1895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855" name="Line 6">
            <a:extLst>
              <a:ext uri="{FF2B5EF4-FFF2-40B4-BE49-F238E27FC236}">
                <a16:creationId xmlns:a16="http://schemas.microsoft.com/office/drawing/2014/main" id="{8E72B496-2A7E-0D5B-7899-D86A3E19B7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6" name="Line 7">
            <a:extLst>
              <a:ext uri="{FF2B5EF4-FFF2-40B4-BE49-F238E27FC236}">
                <a16:creationId xmlns:a16="http://schemas.microsoft.com/office/drawing/2014/main" id="{0A3DDDB5-4C20-5456-92E9-E26CF7735C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7" name="Line 8">
            <a:extLst>
              <a:ext uri="{FF2B5EF4-FFF2-40B4-BE49-F238E27FC236}">
                <a16:creationId xmlns:a16="http://schemas.microsoft.com/office/drawing/2014/main" id="{73C22AF6-3C27-9A74-5A99-B8796B8314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94</xdr:row>
      <xdr:rowOff>58616</xdr:rowOff>
    </xdr:from>
    <xdr:to>
      <xdr:col>3</xdr:col>
      <xdr:colOff>977635</xdr:colOff>
      <xdr:row>94</xdr:row>
      <xdr:rowOff>249116</xdr:rowOff>
    </xdr:to>
    <xdr:grpSp>
      <xdr:nvGrpSpPr>
        <xdr:cNvPr id="4862" name="hinh2">
          <a:extLst>
            <a:ext uri="{FF2B5EF4-FFF2-40B4-BE49-F238E27FC236}">
              <a16:creationId xmlns:a16="http://schemas.microsoft.com/office/drawing/2014/main" id="{518B15F8-B8DC-4DA7-AFBA-6F3D05AF5F20}"/>
            </a:ext>
          </a:extLst>
        </xdr:cNvPr>
        <xdr:cNvGrpSpPr>
          <a:grpSpLocks noChangeAspect="1"/>
        </xdr:cNvGrpSpPr>
      </xdr:nvGrpSpPr>
      <xdr:grpSpPr bwMode="auto">
        <a:xfrm>
          <a:off x="2374970" y="35995080"/>
          <a:ext cx="875058" cy="190500"/>
          <a:chOff x="206" y="86"/>
          <a:chExt cx="73" cy="16"/>
        </a:xfrm>
      </xdr:grpSpPr>
      <xdr:sp macro="" textlink="">
        <xdr:nvSpPr>
          <xdr:cNvPr id="4863" name="Line 6">
            <a:extLst>
              <a:ext uri="{FF2B5EF4-FFF2-40B4-BE49-F238E27FC236}">
                <a16:creationId xmlns:a16="http://schemas.microsoft.com/office/drawing/2014/main" id="{FB462B59-D798-8E71-5D04-277592CE8A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4" name="Line 7">
            <a:extLst>
              <a:ext uri="{FF2B5EF4-FFF2-40B4-BE49-F238E27FC236}">
                <a16:creationId xmlns:a16="http://schemas.microsoft.com/office/drawing/2014/main" id="{66DF4785-47B8-493F-4B8C-3451248BF5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5" name="Line 8">
            <a:extLst>
              <a:ext uri="{FF2B5EF4-FFF2-40B4-BE49-F238E27FC236}">
                <a16:creationId xmlns:a16="http://schemas.microsoft.com/office/drawing/2014/main" id="{4444FCF9-B97E-D759-5BE7-6682832EB3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866" name="hinh2">
          <a:extLst>
            <a:ext uri="{FF2B5EF4-FFF2-40B4-BE49-F238E27FC236}">
              <a16:creationId xmlns:a16="http://schemas.microsoft.com/office/drawing/2014/main" id="{92B11D65-2E76-4B08-9682-9543FF2F65A4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867" name="Line 6">
            <a:extLst>
              <a:ext uri="{FF2B5EF4-FFF2-40B4-BE49-F238E27FC236}">
                <a16:creationId xmlns:a16="http://schemas.microsoft.com/office/drawing/2014/main" id="{0BC19264-DCAF-0B14-EFB7-0AD5AB1630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8" name="Line 7">
            <a:extLst>
              <a:ext uri="{FF2B5EF4-FFF2-40B4-BE49-F238E27FC236}">
                <a16:creationId xmlns:a16="http://schemas.microsoft.com/office/drawing/2014/main" id="{7148870E-CF09-269A-2407-0675B89FE4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9" name="Line 8">
            <a:extLst>
              <a:ext uri="{FF2B5EF4-FFF2-40B4-BE49-F238E27FC236}">
                <a16:creationId xmlns:a16="http://schemas.microsoft.com/office/drawing/2014/main" id="{EEA9ED73-54C5-1E0C-8F7B-E76E3A95A7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870" name="hinh2">
          <a:extLst>
            <a:ext uri="{FF2B5EF4-FFF2-40B4-BE49-F238E27FC236}">
              <a16:creationId xmlns:a16="http://schemas.microsoft.com/office/drawing/2014/main" id="{0D1CEAB3-BD3B-4A3C-897B-9EC47BE5F558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871" name="Line 6">
            <a:extLst>
              <a:ext uri="{FF2B5EF4-FFF2-40B4-BE49-F238E27FC236}">
                <a16:creationId xmlns:a16="http://schemas.microsoft.com/office/drawing/2014/main" id="{CE2327A2-3DBA-CD8E-F363-D569E73C7D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2" name="Line 7">
            <a:extLst>
              <a:ext uri="{FF2B5EF4-FFF2-40B4-BE49-F238E27FC236}">
                <a16:creationId xmlns:a16="http://schemas.microsoft.com/office/drawing/2014/main" id="{D869335D-2BCF-7CF7-AE1F-DC0ADF5183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3" name="Line 8">
            <a:extLst>
              <a:ext uri="{FF2B5EF4-FFF2-40B4-BE49-F238E27FC236}">
                <a16:creationId xmlns:a16="http://schemas.microsoft.com/office/drawing/2014/main" id="{E13F3B52-1749-05B7-9128-649B1DCCF4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874" name="hinh2">
          <a:extLst>
            <a:ext uri="{FF2B5EF4-FFF2-40B4-BE49-F238E27FC236}">
              <a16:creationId xmlns:a16="http://schemas.microsoft.com/office/drawing/2014/main" id="{2B1409AC-D250-4374-9D32-E622182816ED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875" name="Line 6">
            <a:extLst>
              <a:ext uri="{FF2B5EF4-FFF2-40B4-BE49-F238E27FC236}">
                <a16:creationId xmlns:a16="http://schemas.microsoft.com/office/drawing/2014/main" id="{BCDD7140-FCC6-19E8-711A-178ABC45A07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6" name="Line 7">
            <a:extLst>
              <a:ext uri="{FF2B5EF4-FFF2-40B4-BE49-F238E27FC236}">
                <a16:creationId xmlns:a16="http://schemas.microsoft.com/office/drawing/2014/main" id="{B8962256-093B-D6C6-7C3E-DDDF98225E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7" name="Line 8">
            <a:extLst>
              <a:ext uri="{FF2B5EF4-FFF2-40B4-BE49-F238E27FC236}">
                <a16:creationId xmlns:a16="http://schemas.microsoft.com/office/drawing/2014/main" id="{890F0FAE-9686-38B2-FCC5-99837CA1D1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878" name="hinh2">
          <a:extLst>
            <a:ext uri="{FF2B5EF4-FFF2-40B4-BE49-F238E27FC236}">
              <a16:creationId xmlns:a16="http://schemas.microsoft.com/office/drawing/2014/main" id="{93644F92-0F93-4941-BBC8-EC3CCDD6D374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879" name="Line 6">
            <a:extLst>
              <a:ext uri="{FF2B5EF4-FFF2-40B4-BE49-F238E27FC236}">
                <a16:creationId xmlns:a16="http://schemas.microsoft.com/office/drawing/2014/main" id="{74EF6F9D-17AB-1054-A57D-6949075CC5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0" name="Line 7">
            <a:extLst>
              <a:ext uri="{FF2B5EF4-FFF2-40B4-BE49-F238E27FC236}">
                <a16:creationId xmlns:a16="http://schemas.microsoft.com/office/drawing/2014/main" id="{AD645780-D269-D4A4-E9A2-986125826C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1" name="Line 8">
            <a:extLst>
              <a:ext uri="{FF2B5EF4-FFF2-40B4-BE49-F238E27FC236}">
                <a16:creationId xmlns:a16="http://schemas.microsoft.com/office/drawing/2014/main" id="{2746DD81-74B6-3C77-1A6D-D77E0EC109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882" name="hinh2">
          <a:extLst>
            <a:ext uri="{FF2B5EF4-FFF2-40B4-BE49-F238E27FC236}">
              <a16:creationId xmlns:a16="http://schemas.microsoft.com/office/drawing/2014/main" id="{444ECB24-015B-475F-82DE-A56DEB52201A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883" name="Line 6">
            <a:extLst>
              <a:ext uri="{FF2B5EF4-FFF2-40B4-BE49-F238E27FC236}">
                <a16:creationId xmlns:a16="http://schemas.microsoft.com/office/drawing/2014/main" id="{364F59ED-6EF0-DBA4-1439-154EB6311C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4" name="Line 7">
            <a:extLst>
              <a:ext uri="{FF2B5EF4-FFF2-40B4-BE49-F238E27FC236}">
                <a16:creationId xmlns:a16="http://schemas.microsoft.com/office/drawing/2014/main" id="{501E46C5-3445-6100-BB3D-E7E4B12247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5" name="Line 8">
            <a:extLst>
              <a:ext uri="{FF2B5EF4-FFF2-40B4-BE49-F238E27FC236}">
                <a16:creationId xmlns:a16="http://schemas.microsoft.com/office/drawing/2014/main" id="{6C7611B0-B048-7DB7-6A1F-B3BD0C1732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918" name="hinh2">
          <a:extLst>
            <a:ext uri="{FF2B5EF4-FFF2-40B4-BE49-F238E27FC236}">
              <a16:creationId xmlns:a16="http://schemas.microsoft.com/office/drawing/2014/main" id="{3C907F23-8EA2-42F3-AA3F-A5E51BAEBEF3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919" name="Line 6">
            <a:extLst>
              <a:ext uri="{FF2B5EF4-FFF2-40B4-BE49-F238E27FC236}">
                <a16:creationId xmlns:a16="http://schemas.microsoft.com/office/drawing/2014/main" id="{D4274ED1-1582-282D-7571-5CB4C512DB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0" name="Line 7">
            <a:extLst>
              <a:ext uri="{FF2B5EF4-FFF2-40B4-BE49-F238E27FC236}">
                <a16:creationId xmlns:a16="http://schemas.microsoft.com/office/drawing/2014/main" id="{ED1EAFF6-13AA-CE20-25F8-B014177B1E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1" name="Line 8">
            <a:extLst>
              <a:ext uri="{FF2B5EF4-FFF2-40B4-BE49-F238E27FC236}">
                <a16:creationId xmlns:a16="http://schemas.microsoft.com/office/drawing/2014/main" id="{B0415265-9F0F-A595-0E16-4C77F5B444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922" name="hinh2">
          <a:extLst>
            <a:ext uri="{FF2B5EF4-FFF2-40B4-BE49-F238E27FC236}">
              <a16:creationId xmlns:a16="http://schemas.microsoft.com/office/drawing/2014/main" id="{7A023C53-B5E8-4AA1-BBDE-C8FACC72834C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923" name="Line 6">
            <a:extLst>
              <a:ext uri="{FF2B5EF4-FFF2-40B4-BE49-F238E27FC236}">
                <a16:creationId xmlns:a16="http://schemas.microsoft.com/office/drawing/2014/main" id="{065FB064-A750-421F-76D1-3302122FD4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4" name="Line 7">
            <a:extLst>
              <a:ext uri="{FF2B5EF4-FFF2-40B4-BE49-F238E27FC236}">
                <a16:creationId xmlns:a16="http://schemas.microsoft.com/office/drawing/2014/main" id="{584EA4BD-2A71-7ECE-F138-6F295E3232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5" name="Line 8">
            <a:extLst>
              <a:ext uri="{FF2B5EF4-FFF2-40B4-BE49-F238E27FC236}">
                <a16:creationId xmlns:a16="http://schemas.microsoft.com/office/drawing/2014/main" id="{87D4F45F-19D6-8058-00E0-AC9A32B254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926" name="hinh2">
          <a:extLst>
            <a:ext uri="{FF2B5EF4-FFF2-40B4-BE49-F238E27FC236}">
              <a16:creationId xmlns:a16="http://schemas.microsoft.com/office/drawing/2014/main" id="{65966D8B-8344-4E1F-BC8D-1C67975D9E74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927" name="Line 6">
            <a:extLst>
              <a:ext uri="{FF2B5EF4-FFF2-40B4-BE49-F238E27FC236}">
                <a16:creationId xmlns:a16="http://schemas.microsoft.com/office/drawing/2014/main" id="{4670D2B7-3CC5-6D2E-DDC9-695ED231F9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8" name="Line 7">
            <a:extLst>
              <a:ext uri="{FF2B5EF4-FFF2-40B4-BE49-F238E27FC236}">
                <a16:creationId xmlns:a16="http://schemas.microsoft.com/office/drawing/2014/main" id="{16E6B7B6-E00B-5779-EBAC-88BF821592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29" name="Line 8">
            <a:extLst>
              <a:ext uri="{FF2B5EF4-FFF2-40B4-BE49-F238E27FC236}">
                <a16:creationId xmlns:a16="http://schemas.microsoft.com/office/drawing/2014/main" id="{EB9064F1-3D1C-8095-B134-047FF12A4F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96</xdr:row>
      <xdr:rowOff>58616</xdr:rowOff>
    </xdr:from>
    <xdr:to>
      <xdr:col>3</xdr:col>
      <xdr:colOff>977635</xdr:colOff>
      <xdr:row>96</xdr:row>
      <xdr:rowOff>249116</xdr:rowOff>
    </xdr:to>
    <xdr:grpSp>
      <xdr:nvGrpSpPr>
        <xdr:cNvPr id="4930" name="hinh2">
          <a:extLst>
            <a:ext uri="{FF2B5EF4-FFF2-40B4-BE49-F238E27FC236}">
              <a16:creationId xmlns:a16="http://schemas.microsoft.com/office/drawing/2014/main" id="{77B94861-D381-4DA9-855A-98BDE6CF1855}"/>
            </a:ext>
          </a:extLst>
        </xdr:cNvPr>
        <xdr:cNvGrpSpPr>
          <a:grpSpLocks noChangeAspect="1"/>
        </xdr:cNvGrpSpPr>
      </xdr:nvGrpSpPr>
      <xdr:grpSpPr bwMode="auto">
        <a:xfrm>
          <a:off x="2374970" y="36784295"/>
          <a:ext cx="875058" cy="190500"/>
          <a:chOff x="206" y="86"/>
          <a:chExt cx="73" cy="16"/>
        </a:xfrm>
      </xdr:grpSpPr>
      <xdr:sp macro="" textlink="">
        <xdr:nvSpPr>
          <xdr:cNvPr id="4931" name="Line 6">
            <a:extLst>
              <a:ext uri="{FF2B5EF4-FFF2-40B4-BE49-F238E27FC236}">
                <a16:creationId xmlns:a16="http://schemas.microsoft.com/office/drawing/2014/main" id="{1E189C14-3C90-58F5-6864-B060E7F7E7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2" name="Line 7">
            <a:extLst>
              <a:ext uri="{FF2B5EF4-FFF2-40B4-BE49-F238E27FC236}">
                <a16:creationId xmlns:a16="http://schemas.microsoft.com/office/drawing/2014/main" id="{9985AF5F-467D-7366-299A-BD9ADD72F6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3" name="Line 8">
            <a:extLst>
              <a:ext uri="{FF2B5EF4-FFF2-40B4-BE49-F238E27FC236}">
                <a16:creationId xmlns:a16="http://schemas.microsoft.com/office/drawing/2014/main" id="{25766F90-EA19-9029-0C4F-EB83C0129A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94</xdr:row>
      <xdr:rowOff>58616</xdr:rowOff>
    </xdr:from>
    <xdr:to>
      <xdr:col>3</xdr:col>
      <xdr:colOff>977635</xdr:colOff>
      <xdr:row>94</xdr:row>
      <xdr:rowOff>249116</xdr:rowOff>
    </xdr:to>
    <xdr:grpSp>
      <xdr:nvGrpSpPr>
        <xdr:cNvPr id="4934" name="hinh2">
          <a:extLst>
            <a:ext uri="{FF2B5EF4-FFF2-40B4-BE49-F238E27FC236}">
              <a16:creationId xmlns:a16="http://schemas.microsoft.com/office/drawing/2014/main" id="{16939F7A-9221-416F-864B-67B7A338B854}"/>
            </a:ext>
          </a:extLst>
        </xdr:cNvPr>
        <xdr:cNvGrpSpPr>
          <a:grpSpLocks noChangeAspect="1"/>
        </xdr:cNvGrpSpPr>
      </xdr:nvGrpSpPr>
      <xdr:grpSpPr bwMode="auto">
        <a:xfrm>
          <a:off x="2374970" y="35995080"/>
          <a:ext cx="875058" cy="190500"/>
          <a:chOff x="206" y="86"/>
          <a:chExt cx="73" cy="16"/>
        </a:xfrm>
      </xdr:grpSpPr>
      <xdr:sp macro="" textlink="">
        <xdr:nvSpPr>
          <xdr:cNvPr id="4935" name="Line 6">
            <a:extLst>
              <a:ext uri="{FF2B5EF4-FFF2-40B4-BE49-F238E27FC236}">
                <a16:creationId xmlns:a16="http://schemas.microsoft.com/office/drawing/2014/main" id="{FD8EBF85-DD18-B5B7-A50B-D0ACBD208F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6" name="Line 7">
            <a:extLst>
              <a:ext uri="{FF2B5EF4-FFF2-40B4-BE49-F238E27FC236}">
                <a16:creationId xmlns:a16="http://schemas.microsoft.com/office/drawing/2014/main" id="{B5486B44-9EBA-4AB3-A743-BC9B9058A7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37" name="Line 8">
            <a:extLst>
              <a:ext uri="{FF2B5EF4-FFF2-40B4-BE49-F238E27FC236}">
                <a16:creationId xmlns:a16="http://schemas.microsoft.com/office/drawing/2014/main" id="{21D3E7B1-3426-4771-1D26-42FF24971A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938" name="hinh2">
          <a:extLst>
            <a:ext uri="{FF2B5EF4-FFF2-40B4-BE49-F238E27FC236}">
              <a16:creationId xmlns:a16="http://schemas.microsoft.com/office/drawing/2014/main" id="{AC67D052-BD93-4598-A9F7-648AB26F8795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939" name="Line 6">
            <a:extLst>
              <a:ext uri="{FF2B5EF4-FFF2-40B4-BE49-F238E27FC236}">
                <a16:creationId xmlns:a16="http://schemas.microsoft.com/office/drawing/2014/main" id="{9424BA6F-7ED6-AC38-8443-3DF277249F0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0" name="Line 7">
            <a:extLst>
              <a:ext uri="{FF2B5EF4-FFF2-40B4-BE49-F238E27FC236}">
                <a16:creationId xmlns:a16="http://schemas.microsoft.com/office/drawing/2014/main" id="{96DA0F56-898A-4C71-7643-84F9D2E9C6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1" name="Line 8">
            <a:extLst>
              <a:ext uri="{FF2B5EF4-FFF2-40B4-BE49-F238E27FC236}">
                <a16:creationId xmlns:a16="http://schemas.microsoft.com/office/drawing/2014/main" id="{0328A573-2797-5435-AC2D-549EB42A9D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942" name="hinh2">
          <a:extLst>
            <a:ext uri="{FF2B5EF4-FFF2-40B4-BE49-F238E27FC236}">
              <a16:creationId xmlns:a16="http://schemas.microsoft.com/office/drawing/2014/main" id="{6749D4F9-2C69-4D8B-AEF3-F7558C162EEB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943" name="Line 6">
            <a:extLst>
              <a:ext uri="{FF2B5EF4-FFF2-40B4-BE49-F238E27FC236}">
                <a16:creationId xmlns:a16="http://schemas.microsoft.com/office/drawing/2014/main" id="{66E2D1D7-271F-A993-5D16-6DFED94793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4" name="Line 7">
            <a:extLst>
              <a:ext uri="{FF2B5EF4-FFF2-40B4-BE49-F238E27FC236}">
                <a16:creationId xmlns:a16="http://schemas.microsoft.com/office/drawing/2014/main" id="{DEE42883-E1D1-FF2B-9F99-91686E6F3B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5" name="Line 8">
            <a:extLst>
              <a:ext uri="{FF2B5EF4-FFF2-40B4-BE49-F238E27FC236}">
                <a16:creationId xmlns:a16="http://schemas.microsoft.com/office/drawing/2014/main" id="{1AE76404-8618-6FAB-4355-6B34B0C4B0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95</xdr:row>
      <xdr:rowOff>58616</xdr:rowOff>
    </xdr:from>
    <xdr:to>
      <xdr:col>3</xdr:col>
      <xdr:colOff>977635</xdr:colOff>
      <xdr:row>95</xdr:row>
      <xdr:rowOff>249116</xdr:rowOff>
    </xdr:to>
    <xdr:grpSp>
      <xdr:nvGrpSpPr>
        <xdr:cNvPr id="4946" name="hinh2">
          <a:extLst>
            <a:ext uri="{FF2B5EF4-FFF2-40B4-BE49-F238E27FC236}">
              <a16:creationId xmlns:a16="http://schemas.microsoft.com/office/drawing/2014/main" id="{EE94F9F5-AE14-4A4E-8F91-532C5DE74186}"/>
            </a:ext>
          </a:extLst>
        </xdr:cNvPr>
        <xdr:cNvGrpSpPr>
          <a:grpSpLocks noChangeAspect="1"/>
        </xdr:cNvGrpSpPr>
      </xdr:nvGrpSpPr>
      <xdr:grpSpPr bwMode="auto">
        <a:xfrm>
          <a:off x="2374970" y="36389687"/>
          <a:ext cx="875058" cy="190500"/>
          <a:chOff x="206" y="86"/>
          <a:chExt cx="73" cy="16"/>
        </a:xfrm>
      </xdr:grpSpPr>
      <xdr:sp macro="" textlink="">
        <xdr:nvSpPr>
          <xdr:cNvPr id="4947" name="Line 6">
            <a:extLst>
              <a:ext uri="{FF2B5EF4-FFF2-40B4-BE49-F238E27FC236}">
                <a16:creationId xmlns:a16="http://schemas.microsoft.com/office/drawing/2014/main" id="{7C4B0365-C7BD-91B4-C938-7D3AFDBA3D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8" name="Line 7">
            <a:extLst>
              <a:ext uri="{FF2B5EF4-FFF2-40B4-BE49-F238E27FC236}">
                <a16:creationId xmlns:a16="http://schemas.microsoft.com/office/drawing/2014/main" id="{0C889AF6-347B-A35A-80E0-373A29FD4B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49" name="Line 8">
            <a:extLst>
              <a:ext uri="{FF2B5EF4-FFF2-40B4-BE49-F238E27FC236}">
                <a16:creationId xmlns:a16="http://schemas.microsoft.com/office/drawing/2014/main" id="{DF050F1B-975C-360A-1CE2-87FD8AA395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97</xdr:row>
      <xdr:rowOff>80596</xdr:rowOff>
    </xdr:from>
    <xdr:to>
      <xdr:col>3</xdr:col>
      <xdr:colOff>970308</xdr:colOff>
      <xdr:row>97</xdr:row>
      <xdr:rowOff>244279</xdr:rowOff>
    </xdr:to>
    <xdr:grpSp>
      <xdr:nvGrpSpPr>
        <xdr:cNvPr id="5446" name="hinh2">
          <a:extLst>
            <a:ext uri="{FF2B5EF4-FFF2-40B4-BE49-F238E27FC236}">
              <a16:creationId xmlns:a16="http://schemas.microsoft.com/office/drawing/2014/main" id="{76081DAA-207C-44D7-91FC-C8D64572FCE8}"/>
            </a:ext>
          </a:extLst>
        </xdr:cNvPr>
        <xdr:cNvGrpSpPr>
          <a:grpSpLocks noChangeAspect="1"/>
        </xdr:cNvGrpSpPr>
      </xdr:nvGrpSpPr>
      <xdr:grpSpPr bwMode="auto">
        <a:xfrm>
          <a:off x="2367643" y="37200882"/>
          <a:ext cx="875058" cy="163683"/>
          <a:chOff x="206" y="86"/>
          <a:chExt cx="73" cy="16"/>
        </a:xfrm>
      </xdr:grpSpPr>
      <xdr:sp macro="" textlink="">
        <xdr:nvSpPr>
          <xdr:cNvPr id="5447" name="Line 6">
            <a:extLst>
              <a:ext uri="{FF2B5EF4-FFF2-40B4-BE49-F238E27FC236}">
                <a16:creationId xmlns:a16="http://schemas.microsoft.com/office/drawing/2014/main" id="{594C1898-9353-3ACF-A041-F89ADBF58C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48" name="Line 7">
            <a:extLst>
              <a:ext uri="{FF2B5EF4-FFF2-40B4-BE49-F238E27FC236}">
                <a16:creationId xmlns:a16="http://schemas.microsoft.com/office/drawing/2014/main" id="{9D095390-9B15-2089-CFD2-4D5B49DD4D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49" name="Line 8">
            <a:extLst>
              <a:ext uri="{FF2B5EF4-FFF2-40B4-BE49-F238E27FC236}">
                <a16:creationId xmlns:a16="http://schemas.microsoft.com/office/drawing/2014/main" id="{5B3D4C5E-5102-E374-5669-A6187AF655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98</xdr:row>
      <xdr:rowOff>58616</xdr:rowOff>
    </xdr:from>
    <xdr:to>
      <xdr:col>3</xdr:col>
      <xdr:colOff>977635</xdr:colOff>
      <xdr:row>98</xdr:row>
      <xdr:rowOff>249116</xdr:rowOff>
    </xdr:to>
    <xdr:grpSp>
      <xdr:nvGrpSpPr>
        <xdr:cNvPr id="5450" name="hinh2">
          <a:extLst>
            <a:ext uri="{FF2B5EF4-FFF2-40B4-BE49-F238E27FC236}">
              <a16:creationId xmlns:a16="http://schemas.microsoft.com/office/drawing/2014/main" id="{C8768CA5-C2C5-428E-96DD-33F7AD434BCB}"/>
            </a:ext>
          </a:extLst>
        </xdr:cNvPr>
        <xdr:cNvGrpSpPr>
          <a:grpSpLocks noChangeAspect="1"/>
        </xdr:cNvGrpSpPr>
      </xdr:nvGrpSpPr>
      <xdr:grpSpPr bwMode="auto">
        <a:xfrm>
          <a:off x="2374970" y="37573509"/>
          <a:ext cx="875058" cy="190500"/>
          <a:chOff x="206" y="86"/>
          <a:chExt cx="73" cy="16"/>
        </a:xfrm>
      </xdr:grpSpPr>
      <xdr:sp macro="" textlink="">
        <xdr:nvSpPr>
          <xdr:cNvPr id="5451" name="Line 6">
            <a:extLst>
              <a:ext uri="{FF2B5EF4-FFF2-40B4-BE49-F238E27FC236}">
                <a16:creationId xmlns:a16="http://schemas.microsoft.com/office/drawing/2014/main" id="{5F75CB15-65D8-02F2-7380-0570205812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2" name="Line 7">
            <a:extLst>
              <a:ext uri="{FF2B5EF4-FFF2-40B4-BE49-F238E27FC236}">
                <a16:creationId xmlns:a16="http://schemas.microsoft.com/office/drawing/2014/main" id="{823E36D4-E050-B669-273B-EAFDDEAD59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3" name="Line 8">
            <a:extLst>
              <a:ext uri="{FF2B5EF4-FFF2-40B4-BE49-F238E27FC236}">
                <a16:creationId xmlns:a16="http://schemas.microsoft.com/office/drawing/2014/main" id="{776EB229-D540-BEAA-3A41-F5E290E260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99</xdr:row>
      <xdr:rowOff>58616</xdr:rowOff>
    </xdr:from>
    <xdr:to>
      <xdr:col>3</xdr:col>
      <xdr:colOff>977635</xdr:colOff>
      <xdr:row>99</xdr:row>
      <xdr:rowOff>249116</xdr:rowOff>
    </xdr:to>
    <xdr:grpSp>
      <xdr:nvGrpSpPr>
        <xdr:cNvPr id="5454" name="hinh2">
          <a:extLst>
            <a:ext uri="{FF2B5EF4-FFF2-40B4-BE49-F238E27FC236}">
              <a16:creationId xmlns:a16="http://schemas.microsoft.com/office/drawing/2014/main" id="{9E994F77-A2BF-4E0A-84C0-84689B1B25D4}"/>
            </a:ext>
          </a:extLst>
        </xdr:cNvPr>
        <xdr:cNvGrpSpPr>
          <a:grpSpLocks noChangeAspect="1"/>
        </xdr:cNvGrpSpPr>
      </xdr:nvGrpSpPr>
      <xdr:grpSpPr bwMode="auto">
        <a:xfrm>
          <a:off x="2374970" y="37968116"/>
          <a:ext cx="875058" cy="190500"/>
          <a:chOff x="206" y="86"/>
          <a:chExt cx="73" cy="16"/>
        </a:xfrm>
      </xdr:grpSpPr>
      <xdr:sp macro="" textlink="">
        <xdr:nvSpPr>
          <xdr:cNvPr id="5455" name="Line 6">
            <a:extLst>
              <a:ext uri="{FF2B5EF4-FFF2-40B4-BE49-F238E27FC236}">
                <a16:creationId xmlns:a16="http://schemas.microsoft.com/office/drawing/2014/main" id="{245C76EA-A630-4228-09C4-4B543D42FE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6" name="Line 7">
            <a:extLst>
              <a:ext uri="{FF2B5EF4-FFF2-40B4-BE49-F238E27FC236}">
                <a16:creationId xmlns:a16="http://schemas.microsoft.com/office/drawing/2014/main" id="{976A5F0F-6C02-0675-C6A9-5CA60D1D2F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7" name="Line 8">
            <a:extLst>
              <a:ext uri="{FF2B5EF4-FFF2-40B4-BE49-F238E27FC236}">
                <a16:creationId xmlns:a16="http://schemas.microsoft.com/office/drawing/2014/main" id="{C311DA4D-5F79-3A89-DFB1-F35F79A4ED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100</xdr:row>
      <xdr:rowOff>58616</xdr:rowOff>
    </xdr:from>
    <xdr:to>
      <xdr:col>3</xdr:col>
      <xdr:colOff>977635</xdr:colOff>
      <xdr:row>100</xdr:row>
      <xdr:rowOff>249116</xdr:rowOff>
    </xdr:to>
    <xdr:grpSp>
      <xdr:nvGrpSpPr>
        <xdr:cNvPr id="5458" name="hinh2">
          <a:extLst>
            <a:ext uri="{FF2B5EF4-FFF2-40B4-BE49-F238E27FC236}">
              <a16:creationId xmlns:a16="http://schemas.microsoft.com/office/drawing/2014/main" id="{43091388-F7DD-46EF-A824-A837EF7EA865}"/>
            </a:ext>
          </a:extLst>
        </xdr:cNvPr>
        <xdr:cNvGrpSpPr>
          <a:grpSpLocks noChangeAspect="1"/>
        </xdr:cNvGrpSpPr>
      </xdr:nvGrpSpPr>
      <xdr:grpSpPr bwMode="auto">
        <a:xfrm>
          <a:off x="2374970" y="38362723"/>
          <a:ext cx="875058" cy="190500"/>
          <a:chOff x="206" y="86"/>
          <a:chExt cx="73" cy="16"/>
        </a:xfrm>
      </xdr:grpSpPr>
      <xdr:sp macro="" textlink="">
        <xdr:nvSpPr>
          <xdr:cNvPr id="5459" name="Line 6">
            <a:extLst>
              <a:ext uri="{FF2B5EF4-FFF2-40B4-BE49-F238E27FC236}">
                <a16:creationId xmlns:a16="http://schemas.microsoft.com/office/drawing/2014/main" id="{10252574-23CC-67B7-8489-D50C9A68A0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0" name="Line 7">
            <a:extLst>
              <a:ext uri="{FF2B5EF4-FFF2-40B4-BE49-F238E27FC236}">
                <a16:creationId xmlns:a16="http://schemas.microsoft.com/office/drawing/2014/main" id="{6B99D708-C14B-12A8-1E5F-07B6C061CF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1" name="Line 8">
            <a:extLst>
              <a:ext uri="{FF2B5EF4-FFF2-40B4-BE49-F238E27FC236}">
                <a16:creationId xmlns:a16="http://schemas.microsoft.com/office/drawing/2014/main" id="{725224C4-3D80-42EA-831F-E8DCF3D4D7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101</xdr:row>
      <xdr:rowOff>58616</xdr:rowOff>
    </xdr:from>
    <xdr:to>
      <xdr:col>3</xdr:col>
      <xdr:colOff>977635</xdr:colOff>
      <xdr:row>101</xdr:row>
      <xdr:rowOff>249116</xdr:rowOff>
    </xdr:to>
    <xdr:grpSp>
      <xdr:nvGrpSpPr>
        <xdr:cNvPr id="5462" name="hinh2">
          <a:extLst>
            <a:ext uri="{FF2B5EF4-FFF2-40B4-BE49-F238E27FC236}">
              <a16:creationId xmlns:a16="http://schemas.microsoft.com/office/drawing/2014/main" id="{39982884-0090-4F15-AC8E-B5E7FA709AA1}"/>
            </a:ext>
          </a:extLst>
        </xdr:cNvPr>
        <xdr:cNvGrpSpPr>
          <a:grpSpLocks noChangeAspect="1"/>
        </xdr:cNvGrpSpPr>
      </xdr:nvGrpSpPr>
      <xdr:grpSpPr bwMode="auto">
        <a:xfrm>
          <a:off x="2374970" y="38757330"/>
          <a:ext cx="875058" cy="190500"/>
          <a:chOff x="206" y="86"/>
          <a:chExt cx="73" cy="16"/>
        </a:xfrm>
      </xdr:grpSpPr>
      <xdr:sp macro="" textlink="">
        <xdr:nvSpPr>
          <xdr:cNvPr id="5463" name="Line 6">
            <a:extLst>
              <a:ext uri="{FF2B5EF4-FFF2-40B4-BE49-F238E27FC236}">
                <a16:creationId xmlns:a16="http://schemas.microsoft.com/office/drawing/2014/main" id="{C03C04A9-72B2-CE25-79FD-A3A68206D7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4" name="Line 7">
            <a:extLst>
              <a:ext uri="{FF2B5EF4-FFF2-40B4-BE49-F238E27FC236}">
                <a16:creationId xmlns:a16="http://schemas.microsoft.com/office/drawing/2014/main" id="{F0CA3C35-D34A-6162-CD0F-5E12094DC7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5" name="Line 8">
            <a:extLst>
              <a:ext uri="{FF2B5EF4-FFF2-40B4-BE49-F238E27FC236}">
                <a16:creationId xmlns:a16="http://schemas.microsoft.com/office/drawing/2014/main" id="{A3E1A1D3-5486-5322-264E-3320208D2C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104</xdr:row>
      <xdr:rowOff>58616</xdr:rowOff>
    </xdr:from>
    <xdr:to>
      <xdr:col>3</xdr:col>
      <xdr:colOff>977635</xdr:colOff>
      <xdr:row>104</xdr:row>
      <xdr:rowOff>249116</xdr:rowOff>
    </xdr:to>
    <xdr:grpSp>
      <xdr:nvGrpSpPr>
        <xdr:cNvPr id="5466" name="hinh2">
          <a:extLst>
            <a:ext uri="{FF2B5EF4-FFF2-40B4-BE49-F238E27FC236}">
              <a16:creationId xmlns:a16="http://schemas.microsoft.com/office/drawing/2014/main" id="{2DDFBF95-53A1-489B-BC22-215B01ABF49A}"/>
            </a:ext>
          </a:extLst>
        </xdr:cNvPr>
        <xdr:cNvGrpSpPr>
          <a:grpSpLocks noChangeAspect="1"/>
        </xdr:cNvGrpSpPr>
      </xdr:nvGrpSpPr>
      <xdr:grpSpPr bwMode="auto">
        <a:xfrm>
          <a:off x="2374970" y="39941152"/>
          <a:ext cx="875058" cy="190500"/>
          <a:chOff x="206" y="86"/>
          <a:chExt cx="73" cy="16"/>
        </a:xfrm>
      </xdr:grpSpPr>
      <xdr:sp macro="" textlink="">
        <xdr:nvSpPr>
          <xdr:cNvPr id="5467" name="Line 6">
            <a:extLst>
              <a:ext uri="{FF2B5EF4-FFF2-40B4-BE49-F238E27FC236}">
                <a16:creationId xmlns:a16="http://schemas.microsoft.com/office/drawing/2014/main" id="{20484699-5DA4-6380-1EC3-E88141B735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8" name="Line 7">
            <a:extLst>
              <a:ext uri="{FF2B5EF4-FFF2-40B4-BE49-F238E27FC236}">
                <a16:creationId xmlns:a16="http://schemas.microsoft.com/office/drawing/2014/main" id="{550D5FA3-45A1-CC0D-D77F-7E6A8080B9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9" name="Line 8">
            <a:extLst>
              <a:ext uri="{FF2B5EF4-FFF2-40B4-BE49-F238E27FC236}">
                <a16:creationId xmlns:a16="http://schemas.microsoft.com/office/drawing/2014/main" id="{AAC692D5-8A90-CB15-938E-632C25FF43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102</xdr:row>
      <xdr:rowOff>58616</xdr:rowOff>
    </xdr:from>
    <xdr:to>
      <xdr:col>3</xdr:col>
      <xdr:colOff>977635</xdr:colOff>
      <xdr:row>102</xdr:row>
      <xdr:rowOff>249116</xdr:rowOff>
    </xdr:to>
    <xdr:grpSp>
      <xdr:nvGrpSpPr>
        <xdr:cNvPr id="5470" name="hinh2">
          <a:extLst>
            <a:ext uri="{FF2B5EF4-FFF2-40B4-BE49-F238E27FC236}">
              <a16:creationId xmlns:a16="http://schemas.microsoft.com/office/drawing/2014/main" id="{02311881-7BDE-48CA-9556-720C9F894590}"/>
            </a:ext>
          </a:extLst>
        </xdr:cNvPr>
        <xdr:cNvGrpSpPr>
          <a:grpSpLocks noChangeAspect="1"/>
        </xdr:cNvGrpSpPr>
      </xdr:nvGrpSpPr>
      <xdr:grpSpPr bwMode="auto">
        <a:xfrm>
          <a:off x="2374970" y="39151937"/>
          <a:ext cx="875058" cy="190500"/>
          <a:chOff x="206" y="86"/>
          <a:chExt cx="73" cy="16"/>
        </a:xfrm>
      </xdr:grpSpPr>
      <xdr:sp macro="" textlink="">
        <xdr:nvSpPr>
          <xdr:cNvPr id="5471" name="Line 6">
            <a:extLst>
              <a:ext uri="{FF2B5EF4-FFF2-40B4-BE49-F238E27FC236}">
                <a16:creationId xmlns:a16="http://schemas.microsoft.com/office/drawing/2014/main" id="{2FCD308F-51D0-C9CD-E56C-E8C38E3552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2" name="Line 7">
            <a:extLst>
              <a:ext uri="{FF2B5EF4-FFF2-40B4-BE49-F238E27FC236}">
                <a16:creationId xmlns:a16="http://schemas.microsoft.com/office/drawing/2014/main" id="{3153C593-93AB-105F-A246-B94693C7A6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3" name="Line 8">
            <a:extLst>
              <a:ext uri="{FF2B5EF4-FFF2-40B4-BE49-F238E27FC236}">
                <a16:creationId xmlns:a16="http://schemas.microsoft.com/office/drawing/2014/main" id="{86BB6702-6120-E425-8184-BE0876871D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99</xdr:row>
      <xdr:rowOff>58616</xdr:rowOff>
    </xdr:from>
    <xdr:to>
      <xdr:col>3</xdr:col>
      <xdr:colOff>977635</xdr:colOff>
      <xdr:row>99</xdr:row>
      <xdr:rowOff>249116</xdr:rowOff>
    </xdr:to>
    <xdr:grpSp>
      <xdr:nvGrpSpPr>
        <xdr:cNvPr id="5474" name="hinh2">
          <a:extLst>
            <a:ext uri="{FF2B5EF4-FFF2-40B4-BE49-F238E27FC236}">
              <a16:creationId xmlns:a16="http://schemas.microsoft.com/office/drawing/2014/main" id="{CA4FE04E-544D-4250-9242-6AE2BD7B22A7}"/>
            </a:ext>
          </a:extLst>
        </xdr:cNvPr>
        <xdr:cNvGrpSpPr>
          <a:grpSpLocks noChangeAspect="1"/>
        </xdr:cNvGrpSpPr>
      </xdr:nvGrpSpPr>
      <xdr:grpSpPr bwMode="auto">
        <a:xfrm>
          <a:off x="2374970" y="37968116"/>
          <a:ext cx="875058" cy="190500"/>
          <a:chOff x="206" y="86"/>
          <a:chExt cx="73" cy="16"/>
        </a:xfrm>
      </xdr:grpSpPr>
      <xdr:sp macro="" textlink="">
        <xdr:nvSpPr>
          <xdr:cNvPr id="5475" name="Line 6">
            <a:extLst>
              <a:ext uri="{FF2B5EF4-FFF2-40B4-BE49-F238E27FC236}">
                <a16:creationId xmlns:a16="http://schemas.microsoft.com/office/drawing/2014/main" id="{ADA56F7E-40BD-28E0-457A-6D3EFC6154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6" name="Line 7">
            <a:extLst>
              <a:ext uri="{FF2B5EF4-FFF2-40B4-BE49-F238E27FC236}">
                <a16:creationId xmlns:a16="http://schemas.microsoft.com/office/drawing/2014/main" id="{31117B55-113B-D077-664B-73C6A5795E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7" name="Line 8">
            <a:extLst>
              <a:ext uri="{FF2B5EF4-FFF2-40B4-BE49-F238E27FC236}">
                <a16:creationId xmlns:a16="http://schemas.microsoft.com/office/drawing/2014/main" id="{3A9F0897-C8C8-FBC8-36F2-81B2280B9F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100</xdr:row>
      <xdr:rowOff>58616</xdr:rowOff>
    </xdr:from>
    <xdr:to>
      <xdr:col>3</xdr:col>
      <xdr:colOff>977635</xdr:colOff>
      <xdr:row>100</xdr:row>
      <xdr:rowOff>249116</xdr:rowOff>
    </xdr:to>
    <xdr:grpSp>
      <xdr:nvGrpSpPr>
        <xdr:cNvPr id="5478" name="hinh2">
          <a:extLst>
            <a:ext uri="{FF2B5EF4-FFF2-40B4-BE49-F238E27FC236}">
              <a16:creationId xmlns:a16="http://schemas.microsoft.com/office/drawing/2014/main" id="{0BF66555-C3C9-4805-A1D6-2990469F5AC2}"/>
            </a:ext>
          </a:extLst>
        </xdr:cNvPr>
        <xdr:cNvGrpSpPr>
          <a:grpSpLocks noChangeAspect="1"/>
        </xdr:cNvGrpSpPr>
      </xdr:nvGrpSpPr>
      <xdr:grpSpPr bwMode="auto">
        <a:xfrm>
          <a:off x="2374970" y="38362723"/>
          <a:ext cx="875058" cy="190500"/>
          <a:chOff x="206" y="86"/>
          <a:chExt cx="73" cy="16"/>
        </a:xfrm>
      </xdr:grpSpPr>
      <xdr:sp macro="" textlink="">
        <xdr:nvSpPr>
          <xdr:cNvPr id="5479" name="Line 6">
            <a:extLst>
              <a:ext uri="{FF2B5EF4-FFF2-40B4-BE49-F238E27FC236}">
                <a16:creationId xmlns:a16="http://schemas.microsoft.com/office/drawing/2014/main" id="{6F8F84C9-8552-E6D8-A316-141999AD61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0" name="Line 7">
            <a:extLst>
              <a:ext uri="{FF2B5EF4-FFF2-40B4-BE49-F238E27FC236}">
                <a16:creationId xmlns:a16="http://schemas.microsoft.com/office/drawing/2014/main" id="{F5C4A84B-D61B-ADB6-14FD-D16BCCF43F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1" name="Line 8">
            <a:extLst>
              <a:ext uri="{FF2B5EF4-FFF2-40B4-BE49-F238E27FC236}">
                <a16:creationId xmlns:a16="http://schemas.microsoft.com/office/drawing/2014/main" id="{F85105D5-05B4-8938-BA8D-659721AD48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100</xdr:row>
      <xdr:rowOff>58616</xdr:rowOff>
    </xdr:from>
    <xdr:to>
      <xdr:col>3</xdr:col>
      <xdr:colOff>977635</xdr:colOff>
      <xdr:row>100</xdr:row>
      <xdr:rowOff>249116</xdr:rowOff>
    </xdr:to>
    <xdr:grpSp>
      <xdr:nvGrpSpPr>
        <xdr:cNvPr id="5482" name="hinh2">
          <a:extLst>
            <a:ext uri="{FF2B5EF4-FFF2-40B4-BE49-F238E27FC236}">
              <a16:creationId xmlns:a16="http://schemas.microsoft.com/office/drawing/2014/main" id="{E6AA8366-2A18-426F-877E-213081FCFAC2}"/>
            </a:ext>
          </a:extLst>
        </xdr:cNvPr>
        <xdr:cNvGrpSpPr>
          <a:grpSpLocks noChangeAspect="1"/>
        </xdr:cNvGrpSpPr>
      </xdr:nvGrpSpPr>
      <xdr:grpSpPr bwMode="auto">
        <a:xfrm>
          <a:off x="2374970" y="38362723"/>
          <a:ext cx="875058" cy="190500"/>
          <a:chOff x="206" y="86"/>
          <a:chExt cx="73" cy="16"/>
        </a:xfrm>
      </xdr:grpSpPr>
      <xdr:sp macro="" textlink="">
        <xdr:nvSpPr>
          <xdr:cNvPr id="5483" name="Line 6">
            <a:extLst>
              <a:ext uri="{FF2B5EF4-FFF2-40B4-BE49-F238E27FC236}">
                <a16:creationId xmlns:a16="http://schemas.microsoft.com/office/drawing/2014/main" id="{E405190B-660B-C512-ECC8-CC36324454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4" name="Line 7">
            <a:extLst>
              <a:ext uri="{FF2B5EF4-FFF2-40B4-BE49-F238E27FC236}">
                <a16:creationId xmlns:a16="http://schemas.microsoft.com/office/drawing/2014/main" id="{FDDECFB4-C0EB-BE83-A804-7DE81C0F13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5" name="Line 8">
            <a:extLst>
              <a:ext uri="{FF2B5EF4-FFF2-40B4-BE49-F238E27FC236}">
                <a16:creationId xmlns:a16="http://schemas.microsoft.com/office/drawing/2014/main" id="{23141E41-1F81-C58C-A042-FC8E5D6D14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103</xdr:row>
      <xdr:rowOff>58616</xdr:rowOff>
    </xdr:from>
    <xdr:to>
      <xdr:col>3</xdr:col>
      <xdr:colOff>977635</xdr:colOff>
      <xdr:row>103</xdr:row>
      <xdr:rowOff>249116</xdr:rowOff>
    </xdr:to>
    <xdr:grpSp>
      <xdr:nvGrpSpPr>
        <xdr:cNvPr id="5486" name="hinh2">
          <a:extLst>
            <a:ext uri="{FF2B5EF4-FFF2-40B4-BE49-F238E27FC236}">
              <a16:creationId xmlns:a16="http://schemas.microsoft.com/office/drawing/2014/main" id="{5A5B41A0-A02C-46FB-98EF-DF05546DD6F3}"/>
            </a:ext>
          </a:extLst>
        </xdr:cNvPr>
        <xdr:cNvGrpSpPr>
          <a:grpSpLocks noChangeAspect="1"/>
        </xdr:cNvGrpSpPr>
      </xdr:nvGrpSpPr>
      <xdr:grpSpPr bwMode="auto">
        <a:xfrm>
          <a:off x="2374970" y="39546545"/>
          <a:ext cx="875058" cy="190500"/>
          <a:chOff x="206" y="86"/>
          <a:chExt cx="73" cy="16"/>
        </a:xfrm>
      </xdr:grpSpPr>
      <xdr:sp macro="" textlink="">
        <xdr:nvSpPr>
          <xdr:cNvPr id="5487" name="Line 6">
            <a:extLst>
              <a:ext uri="{FF2B5EF4-FFF2-40B4-BE49-F238E27FC236}">
                <a16:creationId xmlns:a16="http://schemas.microsoft.com/office/drawing/2014/main" id="{B1415A7E-03F8-0FE4-4F68-7D66C1B583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8" name="Line 7">
            <a:extLst>
              <a:ext uri="{FF2B5EF4-FFF2-40B4-BE49-F238E27FC236}">
                <a16:creationId xmlns:a16="http://schemas.microsoft.com/office/drawing/2014/main" id="{16BE2D50-A895-EAE3-F029-1BB000D742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89" name="Line 8">
            <a:extLst>
              <a:ext uri="{FF2B5EF4-FFF2-40B4-BE49-F238E27FC236}">
                <a16:creationId xmlns:a16="http://schemas.microsoft.com/office/drawing/2014/main" id="{94084F81-122B-407D-2968-DEDD0B8390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105</xdr:row>
      <xdr:rowOff>80596</xdr:rowOff>
    </xdr:from>
    <xdr:to>
      <xdr:col>3</xdr:col>
      <xdr:colOff>970308</xdr:colOff>
      <xdr:row>105</xdr:row>
      <xdr:rowOff>244279</xdr:rowOff>
    </xdr:to>
    <xdr:grpSp>
      <xdr:nvGrpSpPr>
        <xdr:cNvPr id="5490" name="hinh2">
          <a:extLst>
            <a:ext uri="{FF2B5EF4-FFF2-40B4-BE49-F238E27FC236}">
              <a16:creationId xmlns:a16="http://schemas.microsoft.com/office/drawing/2014/main" id="{B6F6DE4D-4DA2-49A3-92B4-76945DBDE3DF}"/>
            </a:ext>
          </a:extLst>
        </xdr:cNvPr>
        <xdr:cNvGrpSpPr>
          <a:grpSpLocks noChangeAspect="1"/>
        </xdr:cNvGrpSpPr>
      </xdr:nvGrpSpPr>
      <xdr:grpSpPr bwMode="auto">
        <a:xfrm>
          <a:off x="2367643" y="40357739"/>
          <a:ext cx="875058" cy="163683"/>
          <a:chOff x="206" y="86"/>
          <a:chExt cx="73" cy="16"/>
        </a:xfrm>
      </xdr:grpSpPr>
      <xdr:sp macro="" textlink="">
        <xdr:nvSpPr>
          <xdr:cNvPr id="5491" name="Line 6">
            <a:extLst>
              <a:ext uri="{FF2B5EF4-FFF2-40B4-BE49-F238E27FC236}">
                <a16:creationId xmlns:a16="http://schemas.microsoft.com/office/drawing/2014/main" id="{1432E09E-2CC0-B605-64D0-281CFE4906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92" name="Line 7">
            <a:extLst>
              <a:ext uri="{FF2B5EF4-FFF2-40B4-BE49-F238E27FC236}">
                <a16:creationId xmlns:a16="http://schemas.microsoft.com/office/drawing/2014/main" id="{F42A31D2-855E-CE02-FC9A-1DBDA6D598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93" name="Line 8">
            <a:extLst>
              <a:ext uri="{FF2B5EF4-FFF2-40B4-BE49-F238E27FC236}">
                <a16:creationId xmlns:a16="http://schemas.microsoft.com/office/drawing/2014/main" id="{9490242B-3286-B6DC-EBE3-A526860762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106</xdr:row>
      <xdr:rowOff>58616</xdr:rowOff>
    </xdr:from>
    <xdr:to>
      <xdr:col>3</xdr:col>
      <xdr:colOff>977635</xdr:colOff>
      <xdr:row>106</xdr:row>
      <xdr:rowOff>249116</xdr:rowOff>
    </xdr:to>
    <xdr:grpSp>
      <xdr:nvGrpSpPr>
        <xdr:cNvPr id="5494" name="hinh2">
          <a:extLst>
            <a:ext uri="{FF2B5EF4-FFF2-40B4-BE49-F238E27FC236}">
              <a16:creationId xmlns:a16="http://schemas.microsoft.com/office/drawing/2014/main" id="{5AB9DFF1-DCAF-452D-BC4D-8B4E008E3649}"/>
            </a:ext>
          </a:extLst>
        </xdr:cNvPr>
        <xdr:cNvGrpSpPr>
          <a:grpSpLocks noChangeAspect="1"/>
        </xdr:cNvGrpSpPr>
      </xdr:nvGrpSpPr>
      <xdr:grpSpPr bwMode="auto">
        <a:xfrm>
          <a:off x="2374970" y="40730366"/>
          <a:ext cx="875058" cy="190500"/>
          <a:chOff x="206" y="86"/>
          <a:chExt cx="73" cy="16"/>
        </a:xfrm>
      </xdr:grpSpPr>
      <xdr:sp macro="" textlink="">
        <xdr:nvSpPr>
          <xdr:cNvPr id="5495" name="Line 6">
            <a:extLst>
              <a:ext uri="{FF2B5EF4-FFF2-40B4-BE49-F238E27FC236}">
                <a16:creationId xmlns:a16="http://schemas.microsoft.com/office/drawing/2014/main" id="{9774AD89-807B-B654-FCB7-88F0E0BB98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96" name="Line 7">
            <a:extLst>
              <a:ext uri="{FF2B5EF4-FFF2-40B4-BE49-F238E27FC236}">
                <a16:creationId xmlns:a16="http://schemas.microsoft.com/office/drawing/2014/main" id="{80930D6D-528E-385F-E17A-39035B807A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97" name="Line 8">
            <a:extLst>
              <a:ext uri="{FF2B5EF4-FFF2-40B4-BE49-F238E27FC236}">
                <a16:creationId xmlns:a16="http://schemas.microsoft.com/office/drawing/2014/main" id="{4303CA0B-B1CC-4F3B-6A24-8DAFC062E5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107</xdr:row>
      <xdr:rowOff>58616</xdr:rowOff>
    </xdr:from>
    <xdr:to>
      <xdr:col>3</xdr:col>
      <xdr:colOff>977635</xdr:colOff>
      <xdr:row>107</xdr:row>
      <xdr:rowOff>249116</xdr:rowOff>
    </xdr:to>
    <xdr:grpSp>
      <xdr:nvGrpSpPr>
        <xdr:cNvPr id="5498" name="hinh2">
          <a:extLst>
            <a:ext uri="{FF2B5EF4-FFF2-40B4-BE49-F238E27FC236}">
              <a16:creationId xmlns:a16="http://schemas.microsoft.com/office/drawing/2014/main" id="{90DE5FC2-A48F-4F3F-90E4-626AA65E77A1}"/>
            </a:ext>
          </a:extLst>
        </xdr:cNvPr>
        <xdr:cNvGrpSpPr>
          <a:grpSpLocks noChangeAspect="1"/>
        </xdr:cNvGrpSpPr>
      </xdr:nvGrpSpPr>
      <xdr:grpSpPr bwMode="auto">
        <a:xfrm>
          <a:off x="2374970" y="41124973"/>
          <a:ext cx="875058" cy="190500"/>
          <a:chOff x="206" y="86"/>
          <a:chExt cx="73" cy="16"/>
        </a:xfrm>
      </xdr:grpSpPr>
      <xdr:sp macro="" textlink="">
        <xdr:nvSpPr>
          <xdr:cNvPr id="5499" name="Line 6">
            <a:extLst>
              <a:ext uri="{FF2B5EF4-FFF2-40B4-BE49-F238E27FC236}">
                <a16:creationId xmlns:a16="http://schemas.microsoft.com/office/drawing/2014/main" id="{9240D947-28D8-969A-9784-E50E280325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0" name="Line 7">
            <a:extLst>
              <a:ext uri="{FF2B5EF4-FFF2-40B4-BE49-F238E27FC236}">
                <a16:creationId xmlns:a16="http://schemas.microsoft.com/office/drawing/2014/main" id="{F7BA6D06-E3CB-2E97-638A-FBF630800E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1" name="Line 8">
            <a:extLst>
              <a:ext uri="{FF2B5EF4-FFF2-40B4-BE49-F238E27FC236}">
                <a16:creationId xmlns:a16="http://schemas.microsoft.com/office/drawing/2014/main" id="{25C53C52-282B-AD49-2FA5-68B57B7FE7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108</xdr:row>
      <xdr:rowOff>58616</xdr:rowOff>
    </xdr:from>
    <xdr:to>
      <xdr:col>3</xdr:col>
      <xdr:colOff>977635</xdr:colOff>
      <xdr:row>108</xdr:row>
      <xdr:rowOff>249116</xdr:rowOff>
    </xdr:to>
    <xdr:grpSp>
      <xdr:nvGrpSpPr>
        <xdr:cNvPr id="5502" name="hinh2">
          <a:extLst>
            <a:ext uri="{FF2B5EF4-FFF2-40B4-BE49-F238E27FC236}">
              <a16:creationId xmlns:a16="http://schemas.microsoft.com/office/drawing/2014/main" id="{B4B1F499-FB88-425C-A810-7AB0FD258941}"/>
            </a:ext>
          </a:extLst>
        </xdr:cNvPr>
        <xdr:cNvGrpSpPr>
          <a:grpSpLocks noChangeAspect="1"/>
        </xdr:cNvGrpSpPr>
      </xdr:nvGrpSpPr>
      <xdr:grpSpPr bwMode="auto">
        <a:xfrm>
          <a:off x="2374970" y="41519580"/>
          <a:ext cx="875058" cy="190500"/>
          <a:chOff x="206" y="86"/>
          <a:chExt cx="73" cy="16"/>
        </a:xfrm>
      </xdr:grpSpPr>
      <xdr:sp macro="" textlink="">
        <xdr:nvSpPr>
          <xdr:cNvPr id="5503" name="Line 6">
            <a:extLst>
              <a:ext uri="{FF2B5EF4-FFF2-40B4-BE49-F238E27FC236}">
                <a16:creationId xmlns:a16="http://schemas.microsoft.com/office/drawing/2014/main" id="{E69F444C-A7B4-9A5E-F426-8B7F361AC2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4" name="Line 7">
            <a:extLst>
              <a:ext uri="{FF2B5EF4-FFF2-40B4-BE49-F238E27FC236}">
                <a16:creationId xmlns:a16="http://schemas.microsoft.com/office/drawing/2014/main" id="{BA1A1CB1-503F-10E8-085E-787856C2BF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5" name="Line 8">
            <a:extLst>
              <a:ext uri="{FF2B5EF4-FFF2-40B4-BE49-F238E27FC236}">
                <a16:creationId xmlns:a16="http://schemas.microsoft.com/office/drawing/2014/main" id="{5E21709D-3F4B-D60B-8BDC-BE23D7662D0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111</xdr:row>
      <xdr:rowOff>58616</xdr:rowOff>
    </xdr:from>
    <xdr:to>
      <xdr:col>3</xdr:col>
      <xdr:colOff>977635</xdr:colOff>
      <xdr:row>111</xdr:row>
      <xdr:rowOff>249116</xdr:rowOff>
    </xdr:to>
    <xdr:grpSp>
      <xdr:nvGrpSpPr>
        <xdr:cNvPr id="5506" name="hinh2">
          <a:extLst>
            <a:ext uri="{FF2B5EF4-FFF2-40B4-BE49-F238E27FC236}">
              <a16:creationId xmlns:a16="http://schemas.microsoft.com/office/drawing/2014/main" id="{F709B324-2FAF-4BFD-8C8D-F090D0793F1E}"/>
            </a:ext>
          </a:extLst>
        </xdr:cNvPr>
        <xdr:cNvGrpSpPr>
          <a:grpSpLocks noChangeAspect="1"/>
        </xdr:cNvGrpSpPr>
      </xdr:nvGrpSpPr>
      <xdr:grpSpPr bwMode="auto">
        <a:xfrm>
          <a:off x="2374970" y="42703402"/>
          <a:ext cx="875058" cy="190500"/>
          <a:chOff x="206" y="86"/>
          <a:chExt cx="73" cy="16"/>
        </a:xfrm>
      </xdr:grpSpPr>
      <xdr:sp macro="" textlink="">
        <xdr:nvSpPr>
          <xdr:cNvPr id="5507" name="Line 6">
            <a:extLst>
              <a:ext uri="{FF2B5EF4-FFF2-40B4-BE49-F238E27FC236}">
                <a16:creationId xmlns:a16="http://schemas.microsoft.com/office/drawing/2014/main" id="{88AEA3FA-88B1-C6BC-9302-DAD834C7D1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8" name="Line 7">
            <a:extLst>
              <a:ext uri="{FF2B5EF4-FFF2-40B4-BE49-F238E27FC236}">
                <a16:creationId xmlns:a16="http://schemas.microsoft.com/office/drawing/2014/main" id="{10A51619-B710-607A-AF97-1F91BB5BA1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9" name="Line 8">
            <a:extLst>
              <a:ext uri="{FF2B5EF4-FFF2-40B4-BE49-F238E27FC236}">
                <a16:creationId xmlns:a16="http://schemas.microsoft.com/office/drawing/2014/main" id="{87D1B17C-7B9E-A868-80A1-7D1EADC046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5510" name="hinh2">
          <a:extLst>
            <a:ext uri="{FF2B5EF4-FFF2-40B4-BE49-F238E27FC236}">
              <a16:creationId xmlns:a16="http://schemas.microsoft.com/office/drawing/2014/main" id="{329CAB94-A9CF-4A4B-A3EC-08F66D7B5B8B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5511" name="Line 6">
            <a:extLst>
              <a:ext uri="{FF2B5EF4-FFF2-40B4-BE49-F238E27FC236}">
                <a16:creationId xmlns:a16="http://schemas.microsoft.com/office/drawing/2014/main" id="{DE3B1B1B-5CB4-1BD0-6B27-BC7E84FF9E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2" name="Line 7">
            <a:extLst>
              <a:ext uri="{FF2B5EF4-FFF2-40B4-BE49-F238E27FC236}">
                <a16:creationId xmlns:a16="http://schemas.microsoft.com/office/drawing/2014/main" id="{3E1E0DF8-059B-8052-DBD6-018209B7EE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3" name="Line 8">
            <a:extLst>
              <a:ext uri="{FF2B5EF4-FFF2-40B4-BE49-F238E27FC236}">
                <a16:creationId xmlns:a16="http://schemas.microsoft.com/office/drawing/2014/main" id="{CEC77095-EF03-183C-F37E-8C7953716B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107</xdr:row>
      <xdr:rowOff>58616</xdr:rowOff>
    </xdr:from>
    <xdr:to>
      <xdr:col>3</xdr:col>
      <xdr:colOff>977635</xdr:colOff>
      <xdr:row>107</xdr:row>
      <xdr:rowOff>249116</xdr:rowOff>
    </xdr:to>
    <xdr:grpSp>
      <xdr:nvGrpSpPr>
        <xdr:cNvPr id="5514" name="hinh2">
          <a:extLst>
            <a:ext uri="{FF2B5EF4-FFF2-40B4-BE49-F238E27FC236}">
              <a16:creationId xmlns:a16="http://schemas.microsoft.com/office/drawing/2014/main" id="{7D310C61-67CD-4D5B-969F-A758AFEF8DE7}"/>
            </a:ext>
          </a:extLst>
        </xdr:cNvPr>
        <xdr:cNvGrpSpPr>
          <a:grpSpLocks noChangeAspect="1"/>
        </xdr:cNvGrpSpPr>
      </xdr:nvGrpSpPr>
      <xdr:grpSpPr bwMode="auto">
        <a:xfrm>
          <a:off x="2374970" y="41124973"/>
          <a:ext cx="875058" cy="190500"/>
          <a:chOff x="206" y="86"/>
          <a:chExt cx="73" cy="16"/>
        </a:xfrm>
      </xdr:grpSpPr>
      <xdr:sp macro="" textlink="">
        <xdr:nvSpPr>
          <xdr:cNvPr id="5515" name="Line 6">
            <a:extLst>
              <a:ext uri="{FF2B5EF4-FFF2-40B4-BE49-F238E27FC236}">
                <a16:creationId xmlns:a16="http://schemas.microsoft.com/office/drawing/2014/main" id="{136327BC-FACA-0255-28E9-66F9635777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6" name="Line 7">
            <a:extLst>
              <a:ext uri="{FF2B5EF4-FFF2-40B4-BE49-F238E27FC236}">
                <a16:creationId xmlns:a16="http://schemas.microsoft.com/office/drawing/2014/main" id="{7A69373E-38CD-E6C3-2B52-16291C8339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7" name="Line 8">
            <a:extLst>
              <a:ext uri="{FF2B5EF4-FFF2-40B4-BE49-F238E27FC236}">
                <a16:creationId xmlns:a16="http://schemas.microsoft.com/office/drawing/2014/main" id="{A28C13A7-04AE-0519-0D3D-89D1980D99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108</xdr:row>
      <xdr:rowOff>58616</xdr:rowOff>
    </xdr:from>
    <xdr:to>
      <xdr:col>3</xdr:col>
      <xdr:colOff>977635</xdr:colOff>
      <xdr:row>108</xdr:row>
      <xdr:rowOff>249116</xdr:rowOff>
    </xdr:to>
    <xdr:grpSp>
      <xdr:nvGrpSpPr>
        <xdr:cNvPr id="5518" name="hinh2">
          <a:extLst>
            <a:ext uri="{FF2B5EF4-FFF2-40B4-BE49-F238E27FC236}">
              <a16:creationId xmlns:a16="http://schemas.microsoft.com/office/drawing/2014/main" id="{D78AE53C-9043-44CE-8426-10D39B6502C5}"/>
            </a:ext>
          </a:extLst>
        </xdr:cNvPr>
        <xdr:cNvGrpSpPr>
          <a:grpSpLocks noChangeAspect="1"/>
        </xdr:cNvGrpSpPr>
      </xdr:nvGrpSpPr>
      <xdr:grpSpPr bwMode="auto">
        <a:xfrm>
          <a:off x="2374970" y="41519580"/>
          <a:ext cx="875058" cy="190500"/>
          <a:chOff x="206" y="86"/>
          <a:chExt cx="73" cy="16"/>
        </a:xfrm>
      </xdr:grpSpPr>
      <xdr:sp macro="" textlink="">
        <xdr:nvSpPr>
          <xdr:cNvPr id="5519" name="Line 6">
            <a:extLst>
              <a:ext uri="{FF2B5EF4-FFF2-40B4-BE49-F238E27FC236}">
                <a16:creationId xmlns:a16="http://schemas.microsoft.com/office/drawing/2014/main" id="{AA2C9321-964E-FCBA-40B6-0830FA6301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0" name="Line 7">
            <a:extLst>
              <a:ext uri="{FF2B5EF4-FFF2-40B4-BE49-F238E27FC236}">
                <a16:creationId xmlns:a16="http://schemas.microsoft.com/office/drawing/2014/main" id="{E5BC1B86-6B36-9223-6993-A7891A4094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1" name="Line 8">
            <a:extLst>
              <a:ext uri="{FF2B5EF4-FFF2-40B4-BE49-F238E27FC236}">
                <a16:creationId xmlns:a16="http://schemas.microsoft.com/office/drawing/2014/main" id="{5F140739-B04A-7136-8D63-71D94218F9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108</xdr:row>
      <xdr:rowOff>58616</xdr:rowOff>
    </xdr:from>
    <xdr:to>
      <xdr:col>3</xdr:col>
      <xdr:colOff>977635</xdr:colOff>
      <xdr:row>108</xdr:row>
      <xdr:rowOff>249116</xdr:rowOff>
    </xdr:to>
    <xdr:grpSp>
      <xdr:nvGrpSpPr>
        <xdr:cNvPr id="5522" name="hinh2">
          <a:extLst>
            <a:ext uri="{FF2B5EF4-FFF2-40B4-BE49-F238E27FC236}">
              <a16:creationId xmlns:a16="http://schemas.microsoft.com/office/drawing/2014/main" id="{605DF751-904B-41EB-B509-F0698760D434}"/>
            </a:ext>
          </a:extLst>
        </xdr:cNvPr>
        <xdr:cNvGrpSpPr>
          <a:grpSpLocks noChangeAspect="1"/>
        </xdr:cNvGrpSpPr>
      </xdr:nvGrpSpPr>
      <xdr:grpSpPr bwMode="auto">
        <a:xfrm>
          <a:off x="2374970" y="41519580"/>
          <a:ext cx="875058" cy="190500"/>
          <a:chOff x="206" y="86"/>
          <a:chExt cx="73" cy="16"/>
        </a:xfrm>
      </xdr:grpSpPr>
      <xdr:sp macro="" textlink="">
        <xdr:nvSpPr>
          <xdr:cNvPr id="5523" name="Line 6">
            <a:extLst>
              <a:ext uri="{FF2B5EF4-FFF2-40B4-BE49-F238E27FC236}">
                <a16:creationId xmlns:a16="http://schemas.microsoft.com/office/drawing/2014/main" id="{08598B23-3905-B0EE-AD0F-F63508900B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4" name="Line 7">
            <a:extLst>
              <a:ext uri="{FF2B5EF4-FFF2-40B4-BE49-F238E27FC236}">
                <a16:creationId xmlns:a16="http://schemas.microsoft.com/office/drawing/2014/main" id="{3E5060AA-3196-DAB4-4E99-2A76A8FAC0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5" name="Line 8">
            <a:extLst>
              <a:ext uri="{FF2B5EF4-FFF2-40B4-BE49-F238E27FC236}">
                <a16:creationId xmlns:a16="http://schemas.microsoft.com/office/drawing/2014/main" id="{D16E2B37-3488-E843-046A-0CF8FDA073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108</xdr:row>
      <xdr:rowOff>58616</xdr:rowOff>
    </xdr:from>
    <xdr:to>
      <xdr:col>3</xdr:col>
      <xdr:colOff>977635</xdr:colOff>
      <xdr:row>108</xdr:row>
      <xdr:rowOff>249116</xdr:rowOff>
    </xdr:to>
    <xdr:grpSp>
      <xdr:nvGrpSpPr>
        <xdr:cNvPr id="5526" name="hinh2">
          <a:extLst>
            <a:ext uri="{FF2B5EF4-FFF2-40B4-BE49-F238E27FC236}">
              <a16:creationId xmlns:a16="http://schemas.microsoft.com/office/drawing/2014/main" id="{E575D3D2-1DFF-4FAA-B1E1-010A187CCE23}"/>
            </a:ext>
          </a:extLst>
        </xdr:cNvPr>
        <xdr:cNvGrpSpPr>
          <a:grpSpLocks noChangeAspect="1"/>
        </xdr:cNvGrpSpPr>
      </xdr:nvGrpSpPr>
      <xdr:grpSpPr bwMode="auto">
        <a:xfrm>
          <a:off x="2374970" y="41519580"/>
          <a:ext cx="875058" cy="190500"/>
          <a:chOff x="206" y="86"/>
          <a:chExt cx="73" cy="16"/>
        </a:xfrm>
      </xdr:grpSpPr>
      <xdr:sp macro="" textlink="">
        <xdr:nvSpPr>
          <xdr:cNvPr id="5527" name="Line 6">
            <a:extLst>
              <a:ext uri="{FF2B5EF4-FFF2-40B4-BE49-F238E27FC236}">
                <a16:creationId xmlns:a16="http://schemas.microsoft.com/office/drawing/2014/main" id="{CAD1D4CD-7347-15AF-F7D7-627D2522D9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8" name="Line 7">
            <a:extLst>
              <a:ext uri="{FF2B5EF4-FFF2-40B4-BE49-F238E27FC236}">
                <a16:creationId xmlns:a16="http://schemas.microsoft.com/office/drawing/2014/main" id="{1A61C212-C415-DBCC-8DAC-37DAAA10E8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29" name="Line 8">
            <a:extLst>
              <a:ext uri="{FF2B5EF4-FFF2-40B4-BE49-F238E27FC236}">
                <a16:creationId xmlns:a16="http://schemas.microsoft.com/office/drawing/2014/main" id="{93949E54-6A64-D6F4-0B1F-250B97F762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5530" name="hinh2">
          <a:extLst>
            <a:ext uri="{FF2B5EF4-FFF2-40B4-BE49-F238E27FC236}">
              <a16:creationId xmlns:a16="http://schemas.microsoft.com/office/drawing/2014/main" id="{26A0CE0C-E348-4019-BDBC-B81A367B6D0D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5531" name="Line 6">
            <a:extLst>
              <a:ext uri="{FF2B5EF4-FFF2-40B4-BE49-F238E27FC236}">
                <a16:creationId xmlns:a16="http://schemas.microsoft.com/office/drawing/2014/main" id="{320287FA-B1E5-D266-1A44-A1E1D6759B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2" name="Line 7">
            <a:extLst>
              <a:ext uri="{FF2B5EF4-FFF2-40B4-BE49-F238E27FC236}">
                <a16:creationId xmlns:a16="http://schemas.microsoft.com/office/drawing/2014/main" id="{A8A054AE-EE61-CA21-AB78-7D576FE76F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3" name="Line 8">
            <a:extLst>
              <a:ext uri="{FF2B5EF4-FFF2-40B4-BE49-F238E27FC236}">
                <a16:creationId xmlns:a16="http://schemas.microsoft.com/office/drawing/2014/main" id="{8CF0691C-B995-C8DC-C654-24E98C12F7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5534" name="hinh2">
          <a:extLst>
            <a:ext uri="{FF2B5EF4-FFF2-40B4-BE49-F238E27FC236}">
              <a16:creationId xmlns:a16="http://schemas.microsoft.com/office/drawing/2014/main" id="{306E66C7-07B6-432A-8F02-8DE156D91163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5535" name="Line 6">
            <a:extLst>
              <a:ext uri="{FF2B5EF4-FFF2-40B4-BE49-F238E27FC236}">
                <a16:creationId xmlns:a16="http://schemas.microsoft.com/office/drawing/2014/main" id="{223A09FE-5256-945E-CBFF-531D2B4716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6" name="Line 7">
            <a:extLst>
              <a:ext uri="{FF2B5EF4-FFF2-40B4-BE49-F238E27FC236}">
                <a16:creationId xmlns:a16="http://schemas.microsoft.com/office/drawing/2014/main" id="{BC1E1E06-F838-0EF3-B0ED-83E4AC5C37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37" name="Line 8">
            <a:extLst>
              <a:ext uri="{FF2B5EF4-FFF2-40B4-BE49-F238E27FC236}">
                <a16:creationId xmlns:a16="http://schemas.microsoft.com/office/drawing/2014/main" id="{62F839F0-F468-EFE1-90F2-71788B8CB1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5538" name="hinh2">
          <a:extLst>
            <a:ext uri="{FF2B5EF4-FFF2-40B4-BE49-F238E27FC236}">
              <a16:creationId xmlns:a16="http://schemas.microsoft.com/office/drawing/2014/main" id="{3CF9EA3B-23A7-4C6C-A7C5-9CCB71DDB860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5539" name="Line 6">
            <a:extLst>
              <a:ext uri="{FF2B5EF4-FFF2-40B4-BE49-F238E27FC236}">
                <a16:creationId xmlns:a16="http://schemas.microsoft.com/office/drawing/2014/main" id="{A38B4549-01BD-6554-F99D-D3EBCAAE64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0" name="Line 7">
            <a:extLst>
              <a:ext uri="{FF2B5EF4-FFF2-40B4-BE49-F238E27FC236}">
                <a16:creationId xmlns:a16="http://schemas.microsoft.com/office/drawing/2014/main" id="{FCDA6EE7-C8CB-A381-AEAA-B3E3B18BAC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1" name="Line 8">
            <a:extLst>
              <a:ext uri="{FF2B5EF4-FFF2-40B4-BE49-F238E27FC236}">
                <a16:creationId xmlns:a16="http://schemas.microsoft.com/office/drawing/2014/main" id="{15C9A956-96E4-989E-7F3A-6E2945D412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5542" name="hinh2">
          <a:extLst>
            <a:ext uri="{FF2B5EF4-FFF2-40B4-BE49-F238E27FC236}">
              <a16:creationId xmlns:a16="http://schemas.microsoft.com/office/drawing/2014/main" id="{DA4AED6F-29E7-4045-A37B-BAE56C8BBBFA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5543" name="Line 6">
            <a:extLst>
              <a:ext uri="{FF2B5EF4-FFF2-40B4-BE49-F238E27FC236}">
                <a16:creationId xmlns:a16="http://schemas.microsoft.com/office/drawing/2014/main" id="{FE5BD714-EAFB-1499-59B9-3C8D67C680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4" name="Line 7">
            <a:extLst>
              <a:ext uri="{FF2B5EF4-FFF2-40B4-BE49-F238E27FC236}">
                <a16:creationId xmlns:a16="http://schemas.microsoft.com/office/drawing/2014/main" id="{27A26C67-CE71-99C6-9E3E-06FDB46C33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5" name="Line 8">
            <a:extLst>
              <a:ext uri="{FF2B5EF4-FFF2-40B4-BE49-F238E27FC236}">
                <a16:creationId xmlns:a16="http://schemas.microsoft.com/office/drawing/2014/main" id="{CB0E9193-30BC-013A-4F27-5DCD8D9B88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112</xdr:row>
      <xdr:rowOff>80596</xdr:rowOff>
    </xdr:from>
    <xdr:to>
      <xdr:col>3</xdr:col>
      <xdr:colOff>970308</xdr:colOff>
      <xdr:row>112</xdr:row>
      <xdr:rowOff>244279</xdr:rowOff>
    </xdr:to>
    <xdr:grpSp>
      <xdr:nvGrpSpPr>
        <xdr:cNvPr id="5546" name="hinh2">
          <a:extLst>
            <a:ext uri="{FF2B5EF4-FFF2-40B4-BE49-F238E27FC236}">
              <a16:creationId xmlns:a16="http://schemas.microsoft.com/office/drawing/2014/main" id="{FE3BC4A3-9BBC-49FE-B337-996445D9D9A8}"/>
            </a:ext>
          </a:extLst>
        </xdr:cNvPr>
        <xdr:cNvGrpSpPr>
          <a:grpSpLocks noChangeAspect="1"/>
        </xdr:cNvGrpSpPr>
      </xdr:nvGrpSpPr>
      <xdr:grpSpPr bwMode="auto">
        <a:xfrm>
          <a:off x="2367643" y="43119989"/>
          <a:ext cx="875058" cy="163683"/>
          <a:chOff x="206" y="86"/>
          <a:chExt cx="73" cy="16"/>
        </a:xfrm>
      </xdr:grpSpPr>
      <xdr:sp macro="" textlink="">
        <xdr:nvSpPr>
          <xdr:cNvPr id="5547" name="Line 6">
            <a:extLst>
              <a:ext uri="{FF2B5EF4-FFF2-40B4-BE49-F238E27FC236}">
                <a16:creationId xmlns:a16="http://schemas.microsoft.com/office/drawing/2014/main" id="{6A64CEEE-1C00-1731-EEA9-F486E2E54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8" name="Line 7">
            <a:extLst>
              <a:ext uri="{FF2B5EF4-FFF2-40B4-BE49-F238E27FC236}">
                <a16:creationId xmlns:a16="http://schemas.microsoft.com/office/drawing/2014/main" id="{39FBE6F0-DA88-1440-475E-B5811A8E2D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9" name="Line 8">
            <a:extLst>
              <a:ext uri="{FF2B5EF4-FFF2-40B4-BE49-F238E27FC236}">
                <a16:creationId xmlns:a16="http://schemas.microsoft.com/office/drawing/2014/main" id="{7656DF8F-CC92-0007-6FFE-F98FBBA62B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113</xdr:row>
      <xdr:rowOff>58616</xdr:rowOff>
    </xdr:from>
    <xdr:to>
      <xdr:col>3</xdr:col>
      <xdr:colOff>977635</xdr:colOff>
      <xdr:row>113</xdr:row>
      <xdr:rowOff>249116</xdr:rowOff>
    </xdr:to>
    <xdr:grpSp>
      <xdr:nvGrpSpPr>
        <xdr:cNvPr id="5550" name="hinh2">
          <a:extLst>
            <a:ext uri="{FF2B5EF4-FFF2-40B4-BE49-F238E27FC236}">
              <a16:creationId xmlns:a16="http://schemas.microsoft.com/office/drawing/2014/main" id="{E2B2002C-498E-4005-ADA6-A1539273D8D7}"/>
            </a:ext>
          </a:extLst>
        </xdr:cNvPr>
        <xdr:cNvGrpSpPr>
          <a:grpSpLocks noChangeAspect="1"/>
        </xdr:cNvGrpSpPr>
      </xdr:nvGrpSpPr>
      <xdr:grpSpPr bwMode="auto">
        <a:xfrm>
          <a:off x="2374970" y="43492616"/>
          <a:ext cx="875058" cy="190500"/>
          <a:chOff x="206" y="86"/>
          <a:chExt cx="73" cy="16"/>
        </a:xfrm>
      </xdr:grpSpPr>
      <xdr:sp macro="" textlink="">
        <xdr:nvSpPr>
          <xdr:cNvPr id="5551" name="Line 6">
            <a:extLst>
              <a:ext uri="{FF2B5EF4-FFF2-40B4-BE49-F238E27FC236}">
                <a16:creationId xmlns:a16="http://schemas.microsoft.com/office/drawing/2014/main" id="{08714320-FC7E-0580-24DC-5D78E7A37A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2" name="Line 7">
            <a:extLst>
              <a:ext uri="{FF2B5EF4-FFF2-40B4-BE49-F238E27FC236}">
                <a16:creationId xmlns:a16="http://schemas.microsoft.com/office/drawing/2014/main" id="{2CA0BBD0-FD4E-5CCA-8FFA-06693E73EF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3" name="Line 8">
            <a:extLst>
              <a:ext uri="{FF2B5EF4-FFF2-40B4-BE49-F238E27FC236}">
                <a16:creationId xmlns:a16="http://schemas.microsoft.com/office/drawing/2014/main" id="{281D21EE-E3CE-4C13-BE0C-B7B07AFAD1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114</xdr:row>
      <xdr:rowOff>58616</xdr:rowOff>
    </xdr:from>
    <xdr:to>
      <xdr:col>3</xdr:col>
      <xdr:colOff>977635</xdr:colOff>
      <xdr:row>114</xdr:row>
      <xdr:rowOff>249116</xdr:rowOff>
    </xdr:to>
    <xdr:grpSp>
      <xdr:nvGrpSpPr>
        <xdr:cNvPr id="5554" name="hinh2">
          <a:extLst>
            <a:ext uri="{FF2B5EF4-FFF2-40B4-BE49-F238E27FC236}">
              <a16:creationId xmlns:a16="http://schemas.microsoft.com/office/drawing/2014/main" id="{5DBA5E95-5434-4919-BBD9-11A258AE42F7}"/>
            </a:ext>
          </a:extLst>
        </xdr:cNvPr>
        <xdr:cNvGrpSpPr>
          <a:grpSpLocks noChangeAspect="1"/>
        </xdr:cNvGrpSpPr>
      </xdr:nvGrpSpPr>
      <xdr:grpSpPr bwMode="auto">
        <a:xfrm>
          <a:off x="2374970" y="43887223"/>
          <a:ext cx="875058" cy="190500"/>
          <a:chOff x="206" y="86"/>
          <a:chExt cx="73" cy="16"/>
        </a:xfrm>
      </xdr:grpSpPr>
      <xdr:sp macro="" textlink="">
        <xdr:nvSpPr>
          <xdr:cNvPr id="5555" name="Line 6">
            <a:extLst>
              <a:ext uri="{FF2B5EF4-FFF2-40B4-BE49-F238E27FC236}">
                <a16:creationId xmlns:a16="http://schemas.microsoft.com/office/drawing/2014/main" id="{BD78C4E4-7CB2-A4ED-CB18-D8C3347ECB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6" name="Line 7">
            <a:extLst>
              <a:ext uri="{FF2B5EF4-FFF2-40B4-BE49-F238E27FC236}">
                <a16:creationId xmlns:a16="http://schemas.microsoft.com/office/drawing/2014/main" id="{579D6BA5-46BC-E47D-29D9-FC0D87224B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7" name="Line 8">
            <a:extLst>
              <a:ext uri="{FF2B5EF4-FFF2-40B4-BE49-F238E27FC236}">
                <a16:creationId xmlns:a16="http://schemas.microsoft.com/office/drawing/2014/main" id="{C7923ABF-6189-709B-1A45-28B471D2F3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115</xdr:row>
      <xdr:rowOff>58616</xdr:rowOff>
    </xdr:from>
    <xdr:to>
      <xdr:col>3</xdr:col>
      <xdr:colOff>977635</xdr:colOff>
      <xdr:row>115</xdr:row>
      <xdr:rowOff>249116</xdr:rowOff>
    </xdr:to>
    <xdr:grpSp>
      <xdr:nvGrpSpPr>
        <xdr:cNvPr id="5558" name="hinh2">
          <a:extLst>
            <a:ext uri="{FF2B5EF4-FFF2-40B4-BE49-F238E27FC236}">
              <a16:creationId xmlns:a16="http://schemas.microsoft.com/office/drawing/2014/main" id="{730BFE55-D343-4C2A-B495-A28A6D12A946}"/>
            </a:ext>
          </a:extLst>
        </xdr:cNvPr>
        <xdr:cNvGrpSpPr>
          <a:grpSpLocks noChangeAspect="1"/>
        </xdr:cNvGrpSpPr>
      </xdr:nvGrpSpPr>
      <xdr:grpSpPr bwMode="auto">
        <a:xfrm>
          <a:off x="2374970" y="44281830"/>
          <a:ext cx="875058" cy="190500"/>
          <a:chOff x="206" y="86"/>
          <a:chExt cx="73" cy="16"/>
        </a:xfrm>
      </xdr:grpSpPr>
      <xdr:sp macro="" textlink="">
        <xdr:nvSpPr>
          <xdr:cNvPr id="5559" name="Line 6">
            <a:extLst>
              <a:ext uri="{FF2B5EF4-FFF2-40B4-BE49-F238E27FC236}">
                <a16:creationId xmlns:a16="http://schemas.microsoft.com/office/drawing/2014/main" id="{D0FC0316-980D-CAAA-D87A-7F6D3C98B1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0" name="Line 7">
            <a:extLst>
              <a:ext uri="{FF2B5EF4-FFF2-40B4-BE49-F238E27FC236}">
                <a16:creationId xmlns:a16="http://schemas.microsoft.com/office/drawing/2014/main" id="{47012F14-2403-86F3-D3EC-10235D0735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1" name="Line 8">
            <a:extLst>
              <a:ext uri="{FF2B5EF4-FFF2-40B4-BE49-F238E27FC236}">
                <a16:creationId xmlns:a16="http://schemas.microsoft.com/office/drawing/2014/main" id="{D7FECDA2-8D70-8457-E4DC-44A0DCFE20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562" name="hinh2">
          <a:extLst>
            <a:ext uri="{FF2B5EF4-FFF2-40B4-BE49-F238E27FC236}">
              <a16:creationId xmlns:a16="http://schemas.microsoft.com/office/drawing/2014/main" id="{399603FF-22F8-4897-8DCD-34FA18F963D5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563" name="Line 6">
            <a:extLst>
              <a:ext uri="{FF2B5EF4-FFF2-40B4-BE49-F238E27FC236}">
                <a16:creationId xmlns:a16="http://schemas.microsoft.com/office/drawing/2014/main" id="{F83A6E5C-FC8A-A11B-E175-136F682F08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4" name="Line 7">
            <a:extLst>
              <a:ext uri="{FF2B5EF4-FFF2-40B4-BE49-F238E27FC236}">
                <a16:creationId xmlns:a16="http://schemas.microsoft.com/office/drawing/2014/main" id="{50FCFC13-B745-D523-9DB7-63BBA94B3B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5" name="Line 8">
            <a:extLst>
              <a:ext uri="{FF2B5EF4-FFF2-40B4-BE49-F238E27FC236}">
                <a16:creationId xmlns:a16="http://schemas.microsoft.com/office/drawing/2014/main" id="{C9CA7DDE-ADB4-6B38-3E39-748ACE05A2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118</xdr:row>
      <xdr:rowOff>58616</xdr:rowOff>
    </xdr:from>
    <xdr:to>
      <xdr:col>3</xdr:col>
      <xdr:colOff>977635</xdr:colOff>
      <xdr:row>118</xdr:row>
      <xdr:rowOff>249116</xdr:rowOff>
    </xdr:to>
    <xdr:grpSp>
      <xdr:nvGrpSpPr>
        <xdr:cNvPr id="5566" name="hinh2">
          <a:extLst>
            <a:ext uri="{FF2B5EF4-FFF2-40B4-BE49-F238E27FC236}">
              <a16:creationId xmlns:a16="http://schemas.microsoft.com/office/drawing/2014/main" id="{1402B1ED-4861-47E5-85A1-179BE9C17CA2}"/>
            </a:ext>
          </a:extLst>
        </xdr:cNvPr>
        <xdr:cNvGrpSpPr>
          <a:grpSpLocks noChangeAspect="1"/>
        </xdr:cNvGrpSpPr>
      </xdr:nvGrpSpPr>
      <xdr:grpSpPr bwMode="auto">
        <a:xfrm>
          <a:off x="2374970" y="45465652"/>
          <a:ext cx="875058" cy="190500"/>
          <a:chOff x="206" y="86"/>
          <a:chExt cx="73" cy="16"/>
        </a:xfrm>
      </xdr:grpSpPr>
      <xdr:sp macro="" textlink="">
        <xdr:nvSpPr>
          <xdr:cNvPr id="5567" name="Line 6">
            <a:extLst>
              <a:ext uri="{FF2B5EF4-FFF2-40B4-BE49-F238E27FC236}">
                <a16:creationId xmlns:a16="http://schemas.microsoft.com/office/drawing/2014/main" id="{A8A8C64E-4F5F-F465-501A-881298DBC3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8" name="Line 7">
            <a:extLst>
              <a:ext uri="{FF2B5EF4-FFF2-40B4-BE49-F238E27FC236}">
                <a16:creationId xmlns:a16="http://schemas.microsoft.com/office/drawing/2014/main" id="{1F85CFE3-8939-5C24-9ED6-BDEF5FD158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69" name="Line 8">
            <a:extLst>
              <a:ext uri="{FF2B5EF4-FFF2-40B4-BE49-F238E27FC236}">
                <a16:creationId xmlns:a16="http://schemas.microsoft.com/office/drawing/2014/main" id="{F6DA6D18-FD70-5222-4169-AA9040BBF7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114</xdr:row>
      <xdr:rowOff>58616</xdr:rowOff>
    </xdr:from>
    <xdr:to>
      <xdr:col>3</xdr:col>
      <xdr:colOff>977635</xdr:colOff>
      <xdr:row>114</xdr:row>
      <xdr:rowOff>249116</xdr:rowOff>
    </xdr:to>
    <xdr:grpSp>
      <xdr:nvGrpSpPr>
        <xdr:cNvPr id="5570" name="hinh2">
          <a:extLst>
            <a:ext uri="{FF2B5EF4-FFF2-40B4-BE49-F238E27FC236}">
              <a16:creationId xmlns:a16="http://schemas.microsoft.com/office/drawing/2014/main" id="{5305BCC7-8F2C-4A7D-A3D1-121961D194BC}"/>
            </a:ext>
          </a:extLst>
        </xdr:cNvPr>
        <xdr:cNvGrpSpPr>
          <a:grpSpLocks noChangeAspect="1"/>
        </xdr:cNvGrpSpPr>
      </xdr:nvGrpSpPr>
      <xdr:grpSpPr bwMode="auto">
        <a:xfrm>
          <a:off x="2374970" y="43887223"/>
          <a:ext cx="875058" cy="190500"/>
          <a:chOff x="206" y="86"/>
          <a:chExt cx="73" cy="16"/>
        </a:xfrm>
      </xdr:grpSpPr>
      <xdr:sp macro="" textlink="">
        <xdr:nvSpPr>
          <xdr:cNvPr id="5571" name="Line 6">
            <a:extLst>
              <a:ext uri="{FF2B5EF4-FFF2-40B4-BE49-F238E27FC236}">
                <a16:creationId xmlns:a16="http://schemas.microsoft.com/office/drawing/2014/main" id="{B56E494E-8530-C261-CE9E-ADA8EFBCCD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2" name="Line 7">
            <a:extLst>
              <a:ext uri="{FF2B5EF4-FFF2-40B4-BE49-F238E27FC236}">
                <a16:creationId xmlns:a16="http://schemas.microsoft.com/office/drawing/2014/main" id="{EDC15A5B-BB2C-7A68-3318-0858E724A1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3" name="Line 8">
            <a:extLst>
              <a:ext uri="{FF2B5EF4-FFF2-40B4-BE49-F238E27FC236}">
                <a16:creationId xmlns:a16="http://schemas.microsoft.com/office/drawing/2014/main" id="{9FB18B67-B947-387F-534A-0918C37C0B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115</xdr:row>
      <xdr:rowOff>58616</xdr:rowOff>
    </xdr:from>
    <xdr:to>
      <xdr:col>3</xdr:col>
      <xdr:colOff>977635</xdr:colOff>
      <xdr:row>115</xdr:row>
      <xdr:rowOff>249116</xdr:rowOff>
    </xdr:to>
    <xdr:grpSp>
      <xdr:nvGrpSpPr>
        <xdr:cNvPr id="5574" name="hinh2">
          <a:extLst>
            <a:ext uri="{FF2B5EF4-FFF2-40B4-BE49-F238E27FC236}">
              <a16:creationId xmlns:a16="http://schemas.microsoft.com/office/drawing/2014/main" id="{13274F4D-103F-452D-AF08-68CBC31FB366}"/>
            </a:ext>
          </a:extLst>
        </xdr:cNvPr>
        <xdr:cNvGrpSpPr>
          <a:grpSpLocks noChangeAspect="1"/>
        </xdr:cNvGrpSpPr>
      </xdr:nvGrpSpPr>
      <xdr:grpSpPr bwMode="auto">
        <a:xfrm>
          <a:off x="2374970" y="44281830"/>
          <a:ext cx="875058" cy="190500"/>
          <a:chOff x="206" y="86"/>
          <a:chExt cx="73" cy="16"/>
        </a:xfrm>
      </xdr:grpSpPr>
      <xdr:sp macro="" textlink="">
        <xdr:nvSpPr>
          <xdr:cNvPr id="5575" name="Line 6">
            <a:extLst>
              <a:ext uri="{FF2B5EF4-FFF2-40B4-BE49-F238E27FC236}">
                <a16:creationId xmlns:a16="http://schemas.microsoft.com/office/drawing/2014/main" id="{B1FDCF55-50B4-92D9-61AA-1336B38987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6" name="Line 7">
            <a:extLst>
              <a:ext uri="{FF2B5EF4-FFF2-40B4-BE49-F238E27FC236}">
                <a16:creationId xmlns:a16="http://schemas.microsoft.com/office/drawing/2014/main" id="{A0D3CC83-58AA-0427-EF41-66B9D9D17F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77" name="Line 8">
            <a:extLst>
              <a:ext uri="{FF2B5EF4-FFF2-40B4-BE49-F238E27FC236}">
                <a16:creationId xmlns:a16="http://schemas.microsoft.com/office/drawing/2014/main" id="{C95AF200-1A5C-1EBE-3F13-7D053D39FE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115</xdr:row>
      <xdr:rowOff>58616</xdr:rowOff>
    </xdr:from>
    <xdr:to>
      <xdr:col>3</xdr:col>
      <xdr:colOff>977635</xdr:colOff>
      <xdr:row>115</xdr:row>
      <xdr:rowOff>249116</xdr:rowOff>
    </xdr:to>
    <xdr:grpSp>
      <xdr:nvGrpSpPr>
        <xdr:cNvPr id="5578" name="hinh2">
          <a:extLst>
            <a:ext uri="{FF2B5EF4-FFF2-40B4-BE49-F238E27FC236}">
              <a16:creationId xmlns:a16="http://schemas.microsoft.com/office/drawing/2014/main" id="{F0540228-1898-406A-871E-1C742658670F}"/>
            </a:ext>
          </a:extLst>
        </xdr:cNvPr>
        <xdr:cNvGrpSpPr>
          <a:grpSpLocks noChangeAspect="1"/>
        </xdr:cNvGrpSpPr>
      </xdr:nvGrpSpPr>
      <xdr:grpSpPr bwMode="auto">
        <a:xfrm>
          <a:off x="2374970" y="44281830"/>
          <a:ext cx="875058" cy="190500"/>
          <a:chOff x="206" y="86"/>
          <a:chExt cx="73" cy="16"/>
        </a:xfrm>
      </xdr:grpSpPr>
      <xdr:sp macro="" textlink="">
        <xdr:nvSpPr>
          <xdr:cNvPr id="5579" name="Line 6">
            <a:extLst>
              <a:ext uri="{FF2B5EF4-FFF2-40B4-BE49-F238E27FC236}">
                <a16:creationId xmlns:a16="http://schemas.microsoft.com/office/drawing/2014/main" id="{3B466E31-91D0-E520-B01C-5D4B68158B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0" name="Line 7">
            <a:extLst>
              <a:ext uri="{FF2B5EF4-FFF2-40B4-BE49-F238E27FC236}">
                <a16:creationId xmlns:a16="http://schemas.microsoft.com/office/drawing/2014/main" id="{B30D9D75-46AC-35FE-280A-DE9CE04BF7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1" name="Line 8">
            <a:extLst>
              <a:ext uri="{FF2B5EF4-FFF2-40B4-BE49-F238E27FC236}">
                <a16:creationId xmlns:a16="http://schemas.microsoft.com/office/drawing/2014/main" id="{C05DFBD0-5662-86B7-BAEF-C46B438B43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582" name="hinh2">
          <a:extLst>
            <a:ext uri="{FF2B5EF4-FFF2-40B4-BE49-F238E27FC236}">
              <a16:creationId xmlns:a16="http://schemas.microsoft.com/office/drawing/2014/main" id="{6B532C7C-E0E4-4EF5-AA1A-0822BDBBC985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583" name="Line 6">
            <a:extLst>
              <a:ext uri="{FF2B5EF4-FFF2-40B4-BE49-F238E27FC236}">
                <a16:creationId xmlns:a16="http://schemas.microsoft.com/office/drawing/2014/main" id="{D2BC0E24-50A1-1C41-D42C-06000A36BB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4" name="Line 7">
            <a:extLst>
              <a:ext uri="{FF2B5EF4-FFF2-40B4-BE49-F238E27FC236}">
                <a16:creationId xmlns:a16="http://schemas.microsoft.com/office/drawing/2014/main" id="{0DC8CBC8-CFDD-BBC5-A8C6-F1F97AD581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5" name="Line 8">
            <a:extLst>
              <a:ext uri="{FF2B5EF4-FFF2-40B4-BE49-F238E27FC236}">
                <a16:creationId xmlns:a16="http://schemas.microsoft.com/office/drawing/2014/main" id="{63705860-E3ED-9FC8-5006-CDA4D858923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586" name="hinh2">
          <a:extLst>
            <a:ext uri="{FF2B5EF4-FFF2-40B4-BE49-F238E27FC236}">
              <a16:creationId xmlns:a16="http://schemas.microsoft.com/office/drawing/2014/main" id="{72411557-F798-49E7-8A8C-B9E0585F35DE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587" name="Line 6">
            <a:extLst>
              <a:ext uri="{FF2B5EF4-FFF2-40B4-BE49-F238E27FC236}">
                <a16:creationId xmlns:a16="http://schemas.microsoft.com/office/drawing/2014/main" id="{61AAA8D7-0190-56D0-6850-7AE0DF9AE2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8" name="Line 7">
            <a:extLst>
              <a:ext uri="{FF2B5EF4-FFF2-40B4-BE49-F238E27FC236}">
                <a16:creationId xmlns:a16="http://schemas.microsoft.com/office/drawing/2014/main" id="{732F9C81-460B-A1D5-80CA-BDFBCC1B04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9" name="Line 8">
            <a:extLst>
              <a:ext uri="{FF2B5EF4-FFF2-40B4-BE49-F238E27FC236}">
                <a16:creationId xmlns:a16="http://schemas.microsoft.com/office/drawing/2014/main" id="{46C49193-6BA2-C63B-8869-A5306A6FD8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590" name="hinh2">
          <a:extLst>
            <a:ext uri="{FF2B5EF4-FFF2-40B4-BE49-F238E27FC236}">
              <a16:creationId xmlns:a16="http://schemas.microsoft.com/office/drawing/2014/main" id="{6A20B210-D2D1-4174-9B85-7B3F510D9EE5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591" name="Line 6">
            <a:extLst>
              <a:ext uri="{FF2B5EF4-FFF2-40B4-BE49-F238E27FC236}">
                <a16:creationId xmlns:a16="http://schemas.microsoft.com/office/drawing/2014/main" id="{2A97A734-BC16-FE5D-19F2-E9E44A345A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92" name="Line 7">
            <a:extLst>
              <a:ext uri="{FF2B5EF4-FFF2-40B4-BE49-F238E27FC236}">
                <a16:creationId xmlns:a16="http://schemas.microsoft.com/office/drawing/2014/main" id="{1CAAF194-AAF6-DB59-16B2-5ECB781459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93" name="Line 8">
            <a:extLst>
              <a:ext uri="{FF2B5EF4-FFF2-40B4-BE49-F238E27FC236}">
                <a16:creationId xmlns:a16="http://schemas.microsoft.com/office/drawing/2014/main" id="{7A0E82C7-D59C-447B-E2FB-30B8346ADB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118</xdr:row>
      <xdr:rowOff>58616</xdr:rowOff>
    </xdr:from>
    <xdr:to>
      <xdr:col>3</xdr:col>
      <xdr:colOff>977635</xdr:colOff>
      <xdr:row>118</xdr:row>
      <xdr:rowOff>249116</xdr:rowOff>
    </xdr:to>
    <xdr:grpSp>
      <xdr:nvGrpSpPr>
        <xdr:cNvPr id="5594" name="hinh2">
          <a:extLst>
            <a:ext uri="{FF2B5EF4-FFF2-40B4-BE49-F238E27FC236}">
              <a16:creationId xmlns:a16="http://schemas.microsoft.com/office/drawing/2014/main" id="{16AA765A-A0B9-431F-B54E-94D1E580CDE8}"/>
            </a:ext>
          </a:extLst>
        </xdr:cNvPr>
        <xdr:cNvGrpSpPr>
          <a:grpSpLocks noChangeAspect="1"/>
        </xdr:cNvGrpSpPr>
      </xdr:nvGrpSpPr>
      <xdr:grpSpPr bwMode="auto">
        <a:xfrm>
          <a:off x="2374970" y="45465652"/>
          <a:ext cx="875058" cy="190500"/>
          <a:chOff x="206" y="86"/>
          <a:chExt cx="73" cy="16"/>
        </a:xfrm>
      </xdr:grpSpPr>
      <xdr:sp macro="" textlink="">
        <xdr:nvSpPr>
          <xdr:cNvPr id="5595" name="Line 6">
            <a:extLst>
              <a:ext uri="{FF2B5EF4-FFF2-40B4-BE49-F238E27FC236}">
                <a16:creationId xmlns:a16="http://schemas.microsoft.com/office/drawing/2014/main" id="{6BFCFD6A-382F-DAA6-23FF-EE7F9F43AF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96" name="Line 7">
            <a:extLst>
              <a:ext uri="{FF2B5EF4-FFF2-40B4-BE49-F238E27FC236}">
                <a16:creationId xmlns:a16="http://schemas.microsoft.com/office/drawing/2014/main" id="{75C626F4-34D3-BCF5-11CF-2D1350D870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97" name="Line 8">
            <a:extLst>
              <a:ext uri="{FF2B5EF4-FFF2-40B4-BE49-F238E27FC236}">
                <a16:creationId xmlns:a16="http://schemas.microsoft.com/office/drawing/2014/main" id="{D2CAE8B3-077E-AC71-8186-4CE95A2980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118</xdr:row>
      <xdr:rowOff>58616</xdr:rowOff>
    </xdr:from>
    <xdr:to>
      <xdr:col>3</xdr:col>
      <xdr:colOff>977635</xdr:colOff>
      <xdr:row>118</xdr:row>
      <xdr:rowOff>249116</xdr:rowOff>
    </xdr:to>
    <xdr:grpSp>
      <xdr:nvGrpSpPr>
        <xdr:cNvPr id="5598" name="hinh2">
          <a:extLst>
            <a:ext uri="{FF2B5EF4-FFF2-40B4-BE49-F238E27FC236}">
              <a16:creationId xmlns:a16="http://schemas.microsoft.com/office/drawing/2014/main" id="{D3E8008B-5448-428F-9113-8BA25EA537FA}"/>
            </a:ext>
          </a:extLst>
        </xdr:cNvPr>
        <xdr:cNvGrpSpPr>
          <a:grpSpLocks noChangeAspect="1"/>
        </xdr:cNvGrpSpPr>
      </xdr:nvGrpSpPr>
      <xdr:grpSpPr bwMode="auto">
        <a:xfrm>
          <a:off x="2374970" y="45465652"/>
          <a:ext cx="875058" cy="190500"/>
          <a:chOff x="206" y="86"/>
          <a:chExt cx="73" cy="16"/>
        </a:xfrm>
      </xdr:grpSpPr>
      <xdr:sp macro="" textlink="">
        <xdr:nvSpPr>
          <xdr:cNvPr id="5599" name="Line 6">
            <a:extLst>
              <a:ext uri="{FF2B5EF4-FFF2-40B4-BE49-F238E27FC236}">
                <a16:creationId xmlns:a16="http://schemas.microsoft.com/office/drawing/2014/main" id="{647AFFD9-FC03-88A3-0625-9B24985CBD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0" name="Line 7">
            <a:extLst>
              <a:ext uri="{FF2B5EF4-FFF2-40B4-BE49-F238E27FC236}">
                <a16:creationId xmlns:a16="http://schemas.microsoft.com/office/drawing/2014/main" id="{8F9AD343-5B26-E2D7-6236-638ECEA5B9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1" name="Line 8">
            <a:extLst>
              <a:ext uri="{FF2B5EF4-FFF2-40B4-BE49-F238E27FC236}">
                <a16:creationId xmlns:a16="http://schemas.microsoft.com/office/drawing/2014/main" id="{486BEEA5-CAEA-28A2-1E28-38433635D0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118</xdr:row>
      <xdr:rowOff>58616</xdr:rowOff>
    </xdr:from>
    <xdr:to>
      <xdr:col>3</xdr:col>
      <xdr:colOff>977635</xdr:colOff>
      <xdr:row>118</xdr:row>
      <xdr:rowOff>249116</xdr:rowOff>
    </xdr:to>
    <xdr:grpSp>
      <xdr:nvGrpSpPr>
        <xdr:cNvPr id="5602" name="hinh2">
          <a:extLst>
            <a:ext uri="{FF2B5EF4-FFF2-40B4-BE49-F238E27FC236}">
              <a16:creationId xmlns:a16="http://schemas.microsoft.com/office/drawing/2014/main" id="{0146FBA6-33A2-4982-8AE6-2A60672743A7}"/>
            </a:ext>
          </a:extLst>
        </xdr:cNvPr>
        <xdr:cNvGrpSpPr>
          <a:grpSpLocks noChangeAspect="1"/>
        </xdr:cNvGrpSpPr>
      </xdr:nvGrpSpPr>
      <xdr:grpSpPr bwMode="auto">
        <a:xfrm>
          <a:off x="2374970" y="45465652"/>
          <a:ext cx="875058" cy="190500"/>
          <a:chOff x="206" y="86"/>
          <a:chExt cx="73" cy="16"/>
        </a:xfrm>
      </xdr:grpSpPr>
      <xdr:sp macro="" textlink="">
        <xdr:nvSpPr>
          <xdr:cNvPr id="5603" name="Line 6">
            <a:extLst>
              <a:ext uri="{FF2B5EF4-FFF2-40B4-BE49-F238E27FC236}">
                <a16:creationId xmlns:a16="http://schemas.microsoft.com/office/drawing/2014/main" id="{46C1EEAD-87FD-6EAF-F24E-4E15EFC8AF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4" name="Line 7">
            <a:extLst>
              <a:ext uri="{FF2B5EF4-FFF2-40B4-BE49-F238E27FC236}">
                <a16:creationId xmlns:a16="http://schemas.microsoft.com/office/drawing/2014/main" id="{69B3CEBD-78B0-B8A9-E41A-F201D6344D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5" name="Line 8">
            <a:extLst>
              <a:ext uri="{FF2B5EF4-FFF2-40B4-BE49-F238E27FC236}">
                <a16:creationId xmlns:a16="http://schemas.microsoft.com/office/drawing/2014/main" id="{59CEA9C0-8235-A1D2-C196-5196B066CB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118</xdr:row>
      <xdr:rowOff>58616</xdr:rowOff>
    </xdr:from>
    <xdr:to>
      <xdr:col>3</xdr:col>
      <xdr:colOff>977635</xdr:colOff>
      <xdr:row>118</xdr:row>
      <xdr:rowOff>249116</xdr:rowOff>
    </xdr:to>
    <xdr:grpSp>
      <xdr:nvGrpSpPr>
        <xdr:cNvPr id="5606" name="hinh2">
          <a:extLst>
            <a:ext uri="{FF2B5EF4-FFF2-40B4-BE49-F238E27FC236}">
              <a16:creationId xmlns:a16="http://schemas.microsoft.com/office/drawing/2014/main" id="{333676B1-DA5F-4D32-9A90-A344F382A597}"/>
            </a:ext>
          </a:extLst>
        </xdr:cNvPr>
        <xdr:cNvGrpSpPr>
          <a:grpSpLocks noChangeAspect="1"/>
        </xdr:cNvGrpSpPr>
      </xdr:nvGrpSpPr>
      <xdr:grpSpPr bwMode="auto">
        <a:xfrm>
          <a:off x="2374970" y="45465652"/>
          <a:ext cx="875058" cy="190500"/>
          <a:chOff x="206" y="86"/>
          <a:chExt cx="73" cy="16"/>
        </a:xfrm>
      </xdr:grpSpPr>
      <xdr:sp macro="" textlink="">
        <xdr:nvSpPr>
          <xdr:cNvPr id="5607" name="Line 6">
            <a:extLst>
              <a:ext uri="{FF2B5EF4-FFF2-40B4-BE49-F238E27FC236}">
                <a16:creationId xmlns:a16="http://schemas.microsoft.com/office/drawing/2014/main" id="{C0C634F7-76D0-770A-8F6A-30EB01935F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8" name="Line 7">
            <a:extLst>
              <a:ext uri="{FF2B5EF4-FFF2-40B4-BE49-F238E27FC236}">
                <a16:creationId xmlns:a16="http://schemas.microsoft.com/office/drawing/2014/main" id="{CFE524F1-7737-956E-C86D-C37A22D42F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09" name="Line 8">
            <a:extLst>
              <a:ext uri="{FF2B5EF4-FFF2-40B4-BE49-F238E27FC236}">
                <a16:creationId xmlns:a16="http://schemas.microsoft.com/office/drawing/2014/main" id="{CEB281EC-306C-0EBA-2338-8CC2BB58A8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117</xdr:row>
      <xdr:rowOff>58616</xdr:rowOff>
    </xdr:from>
    <xdr:to>
      <xdr:col>3</xdr:col>
      <xdr:colOff>977635</xdr:colOff>
      <xdr:row>117</xdr:row>
      <xdr:rowOff>249116</xdr:rowOff>
    </xdr:to>
    <xdr:grpSp>
      <xdr:nvGrpSpPr>
        <xdr:cNvPr id="5610" name="hinh2">
          <a:extLst>
            <a:ext uri="{FF2B5EF4-FFF2-40B4-BE49-F238E27FC236}">
              <a16:creationId xmlns:a16="http://schemas.microsoft.com/office/drawing/2014/main" id="{085AA6EE-4676-4FD6-A279-6F313DE2EE23}"/>
            </a:ext>
          </a:extLst>
        </xdr:cNvPr>
        <xdr:cNvGrpSpPr>
          <a:grpSpLocks noChangeAspect="1"/>
        </xdr:cNvGrpSpPr>
      </xdr:nvGrpSpPr>
      <xdr:grpSpPr bwMode="auto">
        <a:xfrm>
          <a:off x="2374970" y="45071045"/>
          <a:ext cx="875058" cy="190500"/>
          <a:chOff x="206" y="86"/>
          <a:chExt cx="73" cy="16"/>
        </a:xfrm>
      </xdr:grpSpPr>
      <xdr:sp macro="" textlink="">
        <xdr:nvSpPr>
          <xdr:cNvPr id="5611" name="Line 6">
            <a:extLst>
              <a:ext uri="{FF2B5EF4-FFF2-40B4-BE49-F238E27FC236}">
                <a16:creationId xmlns:a16="http://schemas.microsoft.com/office/drawing/2014/main" id="{9E60C0E5-90DA-0FF3-1127-0B1C7C15AB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12" name="Line 7">
            <a:extLst>
              <a:ext uri="{FF2B5EF4-FFF2-40B4-BE49-F238E27FC236}">
                <a16:creationId xmlns:a16="http://schemas.microsoft.com/office/drawing/2014/main" id="{6EE39BFD-07E2-BF3C-BD9A-CBA3414AF57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13" name="Line 8">
            <a:extLst>
              <a:ext uri="{FF2B5EF4-FFF2-40B4-BE49-F238E27FC236}">
                <a16:creationId xmlns:a16="http://schemas.microsoft.com/office/drawing/2014/main" id="{83DBF640-9652-F5C6-FF21-7C3E5443CE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117</xdr:row>
      <xdr:rowOff>58616</xdr:rowOff>
    </xdr:from>
    <xdr:to>
      <xdr:col>3</xdr:col>
      <xdr:colOff>977635</xdr:colOff>
      <xdr:row>117</xdr:row>
      <xdr:rowOff>249116</xdr:rowOff>
    </xdr:to>
    <xdr:grpSp>
      <xdr:nvGrpSpPr>
        <xdr:cNvPr id="5614" name="hinh2">
          <a:extLst>
            <a:ext uri="{FF2B5EF4-FFF2-40B4-BE49-F238E27FC236}">
              <a16:creationId xmlns:a16="http://schemas.microsoft.com/office/drawing/2014/main" id="{79227AF1-C827-4083-BF73-188DE17E5EDB}"/>
            </a:ext>
          </a:extLst>
        </xdr:cNvPr>
        <xdr:cNvGrpSpPr>
          <a:grpSpLocks noChangeAspect="1"/>
        </xdr:cNvGrpSpPr>
      </xdr:nvGrpSpPr>
      <xdr:grpSpPr bwMode="auto">
        <a:xfrm>
          <a:off x="2374970" y="45071045"/>
          <a:ext cx="875058" cy="190500"/>
          <a:chOff x="206" y="86"/>
          <a:chExt cx="73" cy="16"/>
        </a:xfrm>
      </xdr:grpSpPr>
      <xdr:sp macro="" textlink="">
        <xdr:nvSpPr>
          <xdr:cNvPr id="5615" name="Line 6">
            <a:extLst>
              <a:ext uri="{FF2B5EF4-FFF2-40B4-BE49-F238E27FC236}">
                <a16:creationId xmlns:a16="http://schemas.microsoft.com/office/drawing/2014/main" id="{27C0D51E-86A0-786E-8C15-95D08A4CA8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16" name="Line 7">
            <a:extLst>
              <a:ext uri="{FF2B5EF4-FFF2-40B4-BE49-F238E27FC236}">
                <a16:creationId xmlns:a16="http://schemas.microsoft.com/office/drawing/2014/main" id="{8A5BCE07-5DA9-A26A-EB62-58E28483739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17" name="Line 8">
            <a:extLst>
              <a:ext uri="{FF2B5EF4-FFF2-40B4-BE49-F238E27FC236}">
                <a16:creationId xmlns:a16="http://schemas.microsoft.com/office/drawing/2014/main" id="{D8C42343-FF4E-D1C6-C81E-9CBC6E2359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117</xdr:row>
      <xdr:rowOff>58616</xdr:rowOff>
    </xdr:from>
    <xdr:to>
      <xdr:col>3</xdr:col>
      <xdr:colOff>977635</xdr:colOff>
      <xdr:row>117</xdr:row>
      <xdr:rowOff>249116</xdr:rowOff>
    </xdr:to>
    <xdr:grpSp>
      <xdr:nvGrpSpPr>
        <xdr:cNvPr id="5618" name="hinh2">
          <a:extLst>
            <a:ext uri="{FF2B5EF4-FFF2-40B4-BE49-F238E27FC236}">
              <a16:creationId xmlns:a16="http://schemas.microsoft.com/office/drawing/2014/main" id="{D778347A-2230-4818-8430-8449E7948C7F}"/>
            </a:ext>
          </a:extLst>
        </xdr:cNvPr>
        <xdr:cNvGrpSpPr>
          <a:grpSpLocks noChangeAspect="1"/>
        </xdr:cNvGrpSpPr>
      </xdr:nvGrpSpPr>
      <xdr:grpSpPr bwMode="auto">
        <a:xfrm>
          <a:off x="2374970" y="45071045"/>
          <a:ext cx="875058" cy="190500"/>
          <a:chOff x="206" y="86"/>
          <a:chExt cx="73" cy="16"/>
        </a:xfrm>
      </xdr:grpSpPr>
      <xdr:sp macro="" textlink="">
        <xdr:nvSpPr>
          <xdr:cNvPr id="5619" name="Line 6">
            <a:extLst>
              <a:ext uri="{FF2B5EF4-FFF2-40B4-BE49-F238E27FC236}">
                <a16:creationId xmlns:a16="http://schemas.microsoft.com/office/drawing/2014/main" id="{76127CBE-D1F5-4267-AE92-F325314C0F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0" name="Line 7">
            <a:extLst>
              <a:ext uri="{FF2B5EF4-FFF2-40B4-BE49-F238E27FC236}">
                <a16:creationId xmlns:a16="http://schemas.microsoft.com/office/drawing/2014/main" id="{A10BF2B2-5A12-AAFC-302A-1A72547C7F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1" name="Line 8">
            <a:extLst>
              <a:ext uri="{FF2B5EF4-FFF2-40B4-BE49-F238E27FC236}">
                <a16:creationId xmlns:a16="http://schemas.microsoft.com/office/drawing/2014/main" id="{9039DC1C-B71E-60B2-E7DB-2F5ABB8E38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117</xdr:row>
      <xdr:rowOff>58616</xdr:rowOff>
    </xdr:from>
    <xdr:to>
      <xdr:col>3</xdr:col>
      <xdr:colOff>977635</xdr:colOff>
      <xdr:row>117</xdr:row>
      <xdr:rowOff>249116</xdr:rowOff>
    </xdr:to>
    <xdr:grpSp>
      <xdr:nvGrpSpPr>
        <xdr:cNvPr id="5622" name="hinh2">
          <a:extLst>
            <a:ext uri="{FF2B5EF4-FFF2-40B4-BE49-F238E27FC236}">
              <a16:creationId xmlns:a16="http://schemas.microsoft.com/office/drawing/2014/main" id="{EEAA1B84-44F5-48CF-8084-937EFA4B84B4}"/>
            </a:ext>
          </a:extLst>
        </xdr:cNvPr>
        <xdr:cNvGrpSpPr>
          <a:grpSpLocks noChangeAspect="1"/>
        </xdr:cNvGrpSpPr>
      </xdr:nvGrpSpPr>
      <xdr:grpSpPr bwMode="auto">
        <a:xfrm>
          <a:off x="2374970" y="45071045"/>
          <a:ext cx="875058" cy="190500"/>
          <a:chOff x="206" y="86"/>
          <a:chExt cx="73" cy="16"/>
        </a:xfrm>
      </xdr:grpSpPr>
      <xdr:sp macro="" textlink="">
        <xdr:nvSpPr>
          <xdr:cNvPr id="5623" name="Line 6">
            <a:extLst>
              <a:ext uri="{FF2B5EF4-FFF2-40B4-BE49-F238E27FC236}">
                <a16:creationId xmlns:a16="http://schemas.microsoft.com/office/drawing/2014/main" id="{16B371B1-27E0-ED13-7B9B-AF36240E11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4" name="Line 7">
            <a:extLst>
              <a:ext uri="{FF2B5EF4-FFF2-40B4-BE49-F238E27FC236}">
                <a16:creationId xmlns:a16="http://schemas.microsoft.com/office/drawing/2014/main" id="{AA358AFB-C0DA-B191-4CEE-8C28246244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5" name="Line 8">
            <a:extLst>
              <a:ext uri="{FF2B5EF4-FFF2-40B4-BE49-F238E27FC236}">
                <a16:creationId xmlns:a16="http://schemas.microsoft.com/office/drawing/2014/main" id="{6D4E1E52-3D98-63E7-C480-CB39878B0C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626" name="hinh2">
          <a:extLst>
            <a:ext uri="{FF2B5EF4-FFF2-40B4-BE49-F238E27FC236}">
              <a16:creationId xmlns:a16="http://schemas.microsoft.com/office/drawing/2014/main" id="{3EE2DA1F-0AF2-4C93-81D9-C244892FFEDA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627" name="Line 6">
            <a:extLst>
              <a:ext uri="{FF2B5EF4-FFF2-40B4-BE49-F238E27FC236}">
                <a16:creationId xmlns:a16="http://schemas.microsoft.com/office/drawing/2014/main" id="{7F099FD0-ED38-7AB8-AC5D-ACB87FDC58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8" name="Line 7">
            <a:extLst>
              <a:ext uri="{FF2B5EF4-FFF2-40B4-BE49-F238E27FC236}">
                <a16:creationId xmlns:a16="http://schemas.microsoft.com/office/drawing/2014/main" id="{B7F1AB2E-6440-9CD8-44B7-4F42FCD8B4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9" name="Line 8">
            <a:extLst>
              <a:ext uri="{FF2B5EF4-FFF2-40B4-BE49-F238E27FC236}">
                <a16:creationId xmlns:a16="http://schemas.microsoft.com/office/drawing/2014/main" id="{72F46218-8A78-0F55-67AE-A742BCF1AB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630" name="hinh2">
          <a:extLst>
            <a:ext uri="{FF2B5EF4-FFF2-40B4-BE49-F238E27FC236}">
              <a16:creationId xmlns:a16="http://schemas.microsoft.com/office/drawing/2014/main" id="{6CE38545-7BC4-40B4-B1BC-3642870CC0A2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631" name="Line 6">
            <a:extLst>
              <a:ext uri="{FF2B5EF4-FFF2-40B4-BE49-F238E27FC236}">
                <a16:creationId xmlns:a16="http://schemas.microsoft.com/office/drawing/2014/main" id="{A4C63323-3BAC-CB27-412A-84BD9959C9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2" name="Line 7">
            <a:extLst>
              <a:ext uri="{FF2B5EF4-FFF2-40B4-BE49-F238E27FC236}">
                <a16:creationId xmlns:a16="http://schemas.microsoft.com/office/drawing/2014/main" id="{131C03DC-9490-073A-B80F-5DD8E53E22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3" name="Line 8">
            <a:extLst>
              <a:ext uri="{FF2B5EF4-FFF2-40B4-BE49-F238E27FC236}">
                <a16:creationId xmlns:a16="http://schemas.microsoft.com/office/drawing/2014/main" id="{D7EB8D06-6E9C-FA54-C37F-76DF1D4CEE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634" name="hinh2">
          <a:extLst>
            <a:ext uri="{FF2B5EF4-FFF2-40B4-BE49-F238E27FC236}">
              <a16:creationId xmlns:a16="http://schemas.microsoft.com/office/drawing/2014/main" id="{A4A6B799-5C1C-4796-BD35-AEEE8ED8A71E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635" name="Line 6">
            <a:extLst>
              <a:ext uri="{FF2B5EF4-FFF2-40B4-BE49-F238E27FC236}">
                <a16:creationId xmlns:a16="http://schemas.microsoft.com/office/drawing/2014/main" id="{2AF18225-12C3-2C8F-E1E4-F6F337BE5F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6" name="Line 7">
            <a:extLst>
              <a:ext uri="{FF2B5EF4-FFF2-40B4-BE49-F238E27FC236}">
                <a16:creationId xmlns:a16="http://schemas.microsoft.com/office/drawing/2014/main" id="{443FE014-0AAA-9C24-EB0E-31C1C094B1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7" name="Line 8">
            <a:extLst>
              <a:ext uri="{FF2B5EF4-FFF2-40B4-BE49-F238E27FC236}">
                <a16:creationId xmlns:a16="http://schemas.microsoft.com/office/drawing/2014/main" id="{B4EDF410-A189-B40C-9791-FBDDE86749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116</xdr:row>
      <xdr:rowOff>58616</xdr:rowOff>
    </xdr:from>
    <xdr:to>
      <xdr:col>3</xdr:col>
      <xdr:colOff>977635</xdr:colOff>
      <xdr:row>116</xdr:row>
      <xdr:rowOff>249116</xdr:rowOff>
    </xdr:to>
    <xdr:grpSp>
      <xdr:nvGrpSpPr>
        <xdr:cNvPr id="5638" name="hinh2">
          <a:extLst>
            <a:ext uri="{FF2B5EF4-FFF2-40B4-BE49-F238E27FC236}">
              <a16:creationId xmlns:a16="http://schemas.microsoft.com/office/drawing/2014/main" id="{DC5D099C-24CB-45D0-B0A5-5EB6EE47D070}"/>
            </a:ext>
          </a:extLst>
        </xdr:cNvPr>
        <xdr:cNvGrpSpPr>
          <a:grpSpLocks noChangeAspect="1"/>
        </xdr:cNvGrpSpPr>
      </xdr:nvGrpSpPr>
      <xdr:grpSpPr bwMode="auto">
        <a:xfrm>
          <a:off x="2374970" y="44676437"/>
          <a:ext cx="875058" cy="190500"/>
          <a:chOff x="206" y="86"/>
          <a:chExt cx="73" cy="16"/>
        </a:xfrm>
      </xdr:grpSpPr>
      <xdr:sp macro="" textlink="">
        <xdr:nvSpPr>
          <xdr:cNvPr id="5639" name="Line 6">
            <a:extLst>
              <a:ext uri="{FF2B5EF4-FFF2-40B4-BE49-F238E27FC236}">
                <a16:creationId xmlns:a16="http://schemas.microsoft.com/office/drawing/2014/main" id="{7DB55D68-813E-60FA-9FC7-623A4B1203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0" name="Line 7">
            <a:extLst>
              <a:ext uri="{FF2B5EF4-FFF2-40B4-BE49-F238E27FC236}">
                <a16:creationId xmlns:a16="http://schemas.microsoft.com/office/drawing/2014/main" id="{3EC697D7-DCF2-8855-A4A4-552943E513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1" name="Line 8">
            <a:extLst>
              <a:ext uri="{FF2B5EF4-FFF2-40B4-BE49-F238E27FC236}">
                <a16:creationId xmlns:a16="http://schemas.microsoft.com/office/drawing/2014/main" id="{38D10270-346F-FB71-2FD9-8003924450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119</xdr:row>
      <xdr:rowOff>80596</xdr:rowOff>
    </xdr:from>
    <xdr:to>
      <xdr:col>3</xdr:col>
      <xdr:colOff>970308</xdr:colOff>
      <xdr:row>119</xdr:row>
      <xdr:rowOff>244279</xdr:rowOff>
    </xdr:to>
    <xdr:grpSp>
      <xdr:nvGrpSpPr>
        <xdr:cNvPr id="5642" name="hinh2">
          <a:extLst>
            <a:ext uri="{FF2B5EF4-FFF2-40B4-BE49-F238E27FC236}">
              <a16:creationId xmlns:a16="http://schemas.microsoft.com/office/drawing/2014/main" id="{E057A45A-A082-4FA2-A5C7-1C0EB4B75288}"/>
            </a:ext>
          </a:extLst>
        </xdr:cNvPr>
        <xdr:cNvGrpSpPr>
          <a:grpSpLocks noChangeAspect="1"/>
        </xdr:cNvGrpSpPr>
      </xdr:nvGrpSpPr>
      <xdr:grpSpPr bwMode="auto">
        <a:xfrm>
          <a:off x="2367643" y="45882239"/>
          <a:ext cx="875058" cy="163683"/>
          <a:chOff x="206" y="86"/>
          <a:chExt cx="73" cy="16"/>
        </a:xfrm>
      </xdr:grpSpPr>
      <xdr:sp macro="" textlink="">
        <xdr:nvSpPr>
          <xdr:cNvPr id="5643" name="Line 6">
            <a:extLst>
              <a:ext uri="{FF2B5EF4-FFF2-40B4-BE49-F238E27FC236}">
                <a16:creationId xmlns:a16="http://schemas.microsoft.com/office/drawing/2014/main" id="{D315E58C-5DC8-EAC0-D8ED-30BFD07CFE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4" name="Line 7">
            <a:extLst>
              <a:ext uri="{FF2B5EF4-FFF2-40B4-BE49-F238E27FC236}">
                <a16:creationId xmlns:a16="http://schemas.microsoft.com/office/drawing/2014/main" id="{721A952C-FF63-8994-86D6-A88E65C6F0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5" name="Line 8">
            <a:extLst>
              <a:ext uri="{FF2B5EF4-FFF2-40B4-BE49-F238E27FC236}">
                <a16:creationId xmlns:a16="http://schemas.microsoft.com/office/drawing/2014/main" id="{B0AF2B49-77C7-ED9F-4A70-137A00F8A6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120</xdr:row>
      <xdr:rowOff>58616</xdr:rowOff>
    </xdr:from>
    <xdr:to>
      <xdr:col>3</xdr:col>
      <xdr:colOff>977635</xdr:colOff>
      <xdr:row>120</xdr:row>
      <xdr:rowOff>249116</xdr:rowOff>
    </xdr:to>
    <xdr:grpSp>
      <xdr:nvGrpSpPr>
        <xdr:cNvPr id="5646" name="hinh2">
          <a:extLst>
            <a:ext uri="{FF2B5EF4-FFF2-40B4-BE49-F238E27FC236}">
              <a16:creationId xmlns:a16="http://schemas.microsoft.com/office/drawing/2014/main" id="{150560E6-2840-4E7A-95F9-9877E480FF99}"/>
            </a:ext>
          </a:extLst>
        </xdr:cNvPr>
        <xdr:cNvGrpSpPr>
          <a:grpSpLocks noChangeAspect="1"/>
        </xdr:cNvGrpSpPr>
      </xdr:nvGrpSpPr>
      <xdr:grpSpPr bwMode="auto">
        <a:xfrm>
          <a:off x="2374970" y="46254866"/>
          <a:ext cx="875058" cy="190500"/>
          <a:chOff x="206" y="86"/>
          <a:chExt cx="73" cy="16"/>
        </a:xfrm>
      </xdr:grpSpPr>
      <xdr:sp macro="" textlink="">
        <xdr:nvSpPr>
          <xdr:cNvPr id="5647" name="Line 6">
            <a:extLst>
              <a:ext uri="{FF2B5EF4-FFF2-40B4-BE49-F238E27FC236}">
                <a16:creationId xmlns:a16="http://schemas.microsoft.com/office/drawing/2014/main" id="{4770063E-574E-CFC8-0BCD-3286B7F2DA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8" name="Line 7">
            <a:extLst>
              <a:ext uri="{FF2B5EF4-FFF2-40B4-BE49-F238E27FC236}">
                <a16:creationId xmlns:a16="http://schemas.microsoft.com/office/drawing/2014/main" id="{54376046-506B-DEBB-9024-40997597F8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9" name="Line 8">
            <a:extLst>
              <a:ext uri="{FF2B5EF4-FFF2-40B4-BE49-F238E27FC236}">
                <a16:creationId xmlns:a16="http://schemas.microsoft.com/office/drawing/2014/main" id="{F481357A-3CFB-CDD5-CA40-A7FD42AA1E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121</xdr:row>
      <xdr:rowOff>58616</xdr:rowOff>
    </xdr:from>
    <xdr:to>
      <xdr:col>3</xdr:col>
      <xdr:colOff>977635</xdr:colOff>
      <xdr:row>121</xdr:row>
      <xdr:rowOff>249116</xdr:rowOff>
    </xdr:to>
    <xdr:grpSp>
      <xdr:nvGrpSpPr>
        <xdr:cNvPr id="5650" name="hinh2">
          <a:extLst>
            <a:ext uri="{FF2B5EF4-FFF2-40B4-BE49-F238E27FC236}">
              <a16:creationId xmlns:a16="http://schemas.microsoft.com/office/drawing/2014/main" id="{AF0A9A21-CCDF-4016-B5F5-29AAE70DE765}"/>
            </a:ext>
          </a:extLst>
        </xdr:cNvPr>
        <xdr:cNvGrpSpPr>
          <a:grpSpLocks noChangeAspect="1"/>
        </xdr:cNvGrpSpPr>
      </xdr:nvGrpSpPr>
      <xdr:grpSpPr bwMode="auto">
        <a:xfrm>
          <a:off x="2374970" y="46649473"/>
          <a:ext cx="875058" cy="190500"/>
          <a:chOff x="206" y="86"/>
          <a:chExt cx="73" cy="16"/>
        </a:xfrm>
      </xdr:grpSpPr>
      <xdr:sp macro="" textlink="">
        <xdr:nvSpPr>
          <xdr:cNvPr id="5651" name="Line 6">
            <a:extLst>
              <a:ext uri="{FF2B5EF4-FFF2-40B4-BE49-F238E27FC236}">
                <a16:creationId xmlns:a16="http://schemas.microsoft.com/office/drawing/2014/main" id="{0672E6BF-21A8-71C9-2F1E-718012B6A3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2" name="Line 7">
            <a:extLst>
              <a:ext uri="{FF2B5EF4-FFF2-40B4-BE49-F238E27FC236}">
                <a16:creationId xmlns:a16="http://schemas.microsoft.com/office/drawing/2014/main" id="{C0CB6594-277C-EACA-0ABA-D3C83AC370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3" name="Line 8">
            <a:extLst>
              <a:ext uri="{FF2B5EF4-FFF2-40B4-BE49-F238E27FC236}">
                <a16:creationId xmlns:a16="http://schemas.microsoft.com/office/drawing/2014/main" id="{124B943C-175B-3C78-4308-08CADDF3197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654" name="hinh2">
          <a:extLst>
            <a:ext uri="{FF2B5EF4-FFF2-40B4-BE49-F238E27FC236}">
              <a16:creationId xmlns:a16="http://schemas.microsoft.com/office/drawing/2014/main" id="{3D4C8248-3B78-40A4-AF2B-561FB2C4359F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655" name="Line 6">
            <a:extLst>
              <a:ext uri="{FF2B5EF4-FFF2-40B4-BE49-F238E27FC236}">
                <a16:creationId xmlns:a16="http://schemas.microsoft.com/office/drawing/2014/main" id="{D7BE8C8E-A780-17D1-C559-C4C48D1243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6" name="Line 7">
            <a:extLst>
              <a:ext uri="{FF2B5EF4-FFF2-40B4-BE49-F238E27FC236}">
                <a16:creationId xmlns:a16="http://schemas.microsoft.com/office/drawing/2014/main" id="{6D39778B-A501-7403-1282-738C8FC566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7" name="Line 8">
            <a:extLst>
              <a:ext uri="{FF2B5EF4-FFF2-40B4-BE49-F238E27FC236}">
                <a16:creationId xmlns:a16="http://schemas.microsoft.com/office/drawing/2014/main" id="{7C21A272-AA95-1140-6394-96CA8726F1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658" name="hinh2">
          <a:extLst>
            <a:ext uri="{FF2B5EF4-FFF2-40B4-BE49-F238E27FC236}">
              <a16:creationId xmlns:a16="http://schemas.microsoft.com/office/drawing/2014/main" id="{084FEAD4-F820-40DD-9CD4-BC384A459EFF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659" name="Line 6">
            <a:extLst>
              <a:ext uri="{FF2B5EF4-FFF2-40B4-BE49-F238E27FC236}">
                <a16:creationId xmlns:a16="http://schemas.microsoft.com/office/drawing/2014/main" id="{B5E140F2-16E2-2B03-E866-C5025BBAD8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0" name="Line 7">
            <a:extLst>
              <a:ext uri="{FF2B5EF4-FFF2-40B4-BE49-F238E27FC236}">
                <a16:creationId xmlns:a16="http://schemas.microsoft.com/office/drawing/2014/main" id="{DE472A14-C24F-BCCD-10E0-115386E807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1" name="Line 8">
            <a:extLst>
              <a:ext uri="{FF2B5EF4-FFF2-40B4-BE49-F238E27FC236}">
                <a16:creationId xmlns:a16="http://schemas.microsoft.com/office/drawing/2014/main" id="{195316F6-9D2B-750C-D3E1-B2547F64CB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125</xdr:row>
      <xdr:rowOff>58616</xdr:rowOff>
    </xdr:from>
    <xdr:to>
      <xdr:col>3</xdr:col>
      <xdr:colOff>977635</xdr:colOff>
      <xdr:row>125</xdr:row>
      <xdr:rowOff>249116</xdr:rowOff>
    </xdr:to>
    <xdr:grpSp>
      <xdr:nvGrpSpPr>
        <xdr:cNvPr id="5662" name="hinh2">
          <a:extLst>
            <a:ext uri="{FF2B5EF4-FFF2-40B4-BE49-F238E27FC236}">
              <a16:creationId xmlns:a16="http://schemas.microsoft.com/office/drawing/2014/main" id="{66EBEBDD-1E90-4C93-92D0-4878EC7C6CCD}"/>
            </a:ext>
          </a:extLst>
        </xdr:cNvPr>
        <xdr:cNvGrpSpPr>
          <a:grpSpLocks noChangeAspect="1"/>
        </xdr:cNvGrpSpPr>
      </xdr:nvGrpSpPr>
      <xdr:grpSpPr bwMode="auto">
        <a:xfrm>
          <a:off x="2374970" y="48227902"/>
          <a:ext cx="875058" cy="190500"/>
          <a:chOff x="206" y="86"/>
          <a:chExt cx="73" cy="16"/>
        </a:xfrm>
      </xdr:grpSpPr>
      <xdr:sp macro="" textlink="">
        <xdr:nvSpPr>
          <xdr:cNvPr id="5663" name="Line 6">
            <a:extLst>
              <a:ext uri="{FF2B5EF4-FFF2-40B4-BE49-F238E27FC236}">
                <a16:creationId xmlns:a16="http://schemas.microsoft.com/office/drawing/2014/main" id="{6688A15D-A9B9-3FEF-BE86-3165B2586B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4" name="Line 7">
            <a:extLst>
              <a:ext uri="{FF2B5EF4-FFF2-40B4-BE49-F238E27FC236}">
                <a16:creationId xmlns:a16="http://schemas.microsoft.com/office/drawing/2014/main" id="{5AE8C83C-398B-6C09-C82C-77E8800C3C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5" name="Line 8">
            <a:extLst>
              <a:ext uri="{FF2B5EF4-FFF2-40B4-BE49-F238E27FC236}">
                <a16:creationId xmlns:a16="http://schemas.microsoft.com/office/drawing/2014/main" id="{7593B80B-7489-D3FA-A775-193C1B9DAC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121</xdr:row>
      <xdr:rowOff>58616</xdr:rowOff>
    </xdr:from>
    <xdr:to>
      <xdr:col>3</xdr:col>
      <xdr:colOff>977635</xdr:colOff>
      <xdr:row>121</xdr:row>
      <xdr:rowOff>249116</xdr:rowOff>
    </xdr:to>
    <xdr:grpSp>
      <xdr:nvGrpSpPr>
        <xdr:cNvPr id="5666" name="hinh2">
          <a:extLst>
            <a:ext uri="{FF2B5EF4-FFF2-40B4-BE49-F238E27FC236}">
              <a16:creationId xmlns:a16="http://schemas.microsoft.com/office/drawing/2014/main" id="{2E4DBAD8-E8BB-475C-A48D-98AF75A092A9}"/>
            </a:ext>
          </a:extLst>
        </xdr:cNvPr>
        <xdr:cNvGrpSpPr>
          <a:grpSpLocks noChangeAspect="1"/>
        </xdr:cNvGrpSpPr>
      </xdr:nvGrpSpPr>
      <xdr:grpSpPr bwMode="auto">
        <a:xfrm>
          <a:off x="2374970" y="46649473"/>
          <a:ext cx="875058" cy="190500"/>
          <a:chOff x="206" y="86"/>
          <a:chExt cx="73" cy="16"/>
        </a:xfrm>
      </xdr:grpSpPr>
      <xdr:sp macro="" textlink="">
        <xdr:nvSpPr>
          <xdr:cNvPr id="5667" name="Line 6">
            <a:extLst>
              <a:ext uri="{FF2B5EF4-FFF2-40B4-BE49-F238E27FC236}">
                <a16:creationId xmlns:a16="http://schemas.microsoft.com/office/drawing/2014/main" id="{AEE8D05C-5AA2-5D89-24A9-9453DBF802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8" name="Line 7">
            <a:extLst>
              <a:ext uri="{FF2B5EF4-FFF2-40B4-BE49-F238E27FC236}">
                <a16:creationId xmlns:a16="http://schemas.microsoft.com/office/drawing/2014/main" id="{5F3E1F53-B888-3348-16A4-1E6326AE49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9" name="Line 8">
            <a:extLst>
              <a:ext uri="{FF2B5EF4-FFF2-40B4-BE49-F238E27FC236}">
                <a16:creationId xmlns:a16="http://schemas.microsoft.com/office/drawing/2014/main" id="{9B9D80AD-9911-F6DD-D538-17903CC6DC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670" name="hinh2">
          <a:extLst>
            <a:ext uri="{FF2B5EF4-FFF2-40B4-BE49-F238E27FC236}">
              <a16:creationId xmlns:a16="http://schemas.microsoft.com/office/drawing/2014/main" id="{1A75B956-39DB-444C-847F-AFF990251AEE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671" name="Line 6">
            <a:extLst>
              <a:ext uri="{FF2B5EF4-FFF2-40B4-BE49-F238E27FC236}">
                <a16:creationId xmlns:a16="http://schemas.microsoft.com/office/drawing/2014/main" id="{BEE8C532-577C-7FC5-A315-A706C30AA83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2" name="Line 7">
            <a:extLst>
              <a:ext uri="{FF2B5EF4-FFF2-40B4-BE49-F238E27FC236}">
                <a16:creationId xmlns:a16="http://schemas.microsoft.com/office/drawing/2014/main" id="{E714056D-5D04-D6DD-F87A-1711B81FA0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3" name="Line 8">
            <a:extLst>
              <a:ext uri="{FF2B5EF4-FFF2-40B4-BE49-F238E27FC236}">
                <a16:creationId xmlns:a16="http://schemas.microsoft.com/office/drawing/2014/main" id="{0F757D35-FD98-E888-261A-3273CE5536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674" name="hinh2">
          <a:extLst>
            <a:ext uri="{FF2B5EF4-FFF2-40B4-BE49-F238E27FC236}">
              <a16:creationId xmlns:a16="http://schemas.microsoft.com/office/drawing/2014/main" id="{8D6B556A-CE29-4CB5-8986-9926D66E4178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675" name="Line 6">
            <a:extLst>
              <a:ext uri="{FF2B5EF4-FFF2-40B4-BE49-F238E27FC236}">
                <a16:creationId xmlns:a16="http://schemas.microsoft.com/office/drawing/2014/main" id="{3E097441-FA39-080A-E2D3-1811BAE112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6" name="Line 7">
            <a:extLst>
              <a:ext uri="{FF2B5EF4-FFF2-40B4-BE49-F238E27FC236}">
                <a16:creationId xmlns:a16="http://schemas.microsoft.com/office/drawing/2014/main" id="{05EF4F84-56C3-2C01-0EFE-DCCF1673B3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7" name="Line 8">
            <a:extLst>
              <a:ext uri="{FF2B5EF4-FFF2-40B4-BE49-F238E27FC236}">
                <a16:creationId xmlns:a16="http://schemas.microsoft.com/office/drawing/2014/main" id="{7E47932B-DFC3-764E-DA93-72C96640CF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678" name="hinh2">
          <a:extLst>
            <a:ext uri="{FF2B5EF4-FFF2-40B4-BE49-F238E27FC236}">
              <a16:creationId xmlns:a16="http://schemas.microsoft.com/office/drawing/2014/main" id="{5A3306D0-53C5-4B24-AFFC-012BC5BA401E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679" name="Line 6">
            <a:extLst>
              <a:ext uri="{FF2B5EF4-FFF2-40B4-BE49-F238E27FC236}">
                <a16:creationId xmlns:a16="http://schemas.microsoft.com/office/drawing/2014/main" id="{8595FC81-AD13-5EDC-847B-C1A5CA28A1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0" name="Line 7">
            <a:extLst>
              <a:ext uri="{FF2B5EF4-FFF2-40B4-BE49-F238E27FC236}">
                <a16:creationId xmlns:a16="http://schemas.microsoft.com/office/drawing/2014/main" id="{923B2EF3-81FE-965D-C4EC-9470455530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1" name="Line 8">
            <a:extLst>
              <a:ext uri="{FF2B5EF4-FFF2-40B4-BE49-F238E27FC236}">
                <a16:creationId xmlns:a16="http://schemas.microsoft.com/office/drawing/2014/main" id="{44254E00-CEAE-F44B-D353-7E93649E25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682" name="hinh2">
          <a:extLst>
            <a:ext uri="{FF2B5EF4-FFF2-40B4-BE49-F238E27FC236}">
              <a16:creationId xmlns:a16="http://schemas.microsoft.com/office/drawing/2014/main" id="{D4120233-C37C-47D8-B588-1343580CEF31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683" name="Line 6">
            <a:extLst>
              <a:ext uri="{FF2B5EF4-FFF2-40B4-BE49-F238E27FC236}">
                <a16:creationId xmlns:a16="http://schemas.microsoft.com/office/drawing/2014/main" id="{3327008A-309C-C797-90B7-0D6456666D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4" name="Line 7">
            <a:extLst>
              <a:ext uri="{FF2B5EF4-FFF2-40B4-BE49-F238E27FC236}">
                <a16:creationId xmlns:a16="http://schemas.microsoft.com/office/drawing/2014/main" id="{603EA423-C2B4-2110-CB58-37CF2C7AB2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5" name="Line 8">
            <a:extLst>
              <a:ext uri="{FF2B5EF4-FFF2-40B4-BE49-F238E27FC236}">
                <a16:creationId xmlns:a16="http://schemas.microsoft.com/office/drawing/2014/main" id="{71507BDD-147F-8FD4-33DC-B4569BBD34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686" name="hinh2">
          <a:extLst>
            <a:ext uri="{FF2B5EF4-FFF2-40B4-BE49-F238E27FC236}">
              <a16:creationId xmlns:a16="http://schemas.microsoft.com/office/drawing/2014/main" id="{544FE899-9FB6-4A92-86B1-5143BD5AAAC2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687" name="Line 6">
            <a:extLst>
              <a:ext uri="{FF2B5EF4-FFF2-40B4-BE49-F238E27FC236}">
                <a16:creationId xmlns:a16="http://schemas.microsoft.com/office/drawing/2014/main" id="{E116DDE1-ADB2-B776-B528-A7104E8095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8" name="Line 7">
            <a:extLst>
              <a:ext uri="{FF2B5EF4-FFF2-40B4-BE49-F238E27FC236}">
                <a16:creationId xmlns:a16="http://schemas.microsoft.com/office/drawing/2014/main" id="{C4DB590F-5912-1EA7-5057-E4E177F08D4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9" name="Line 8">
            <a:extLst>
              <a:ext uri="{FF2B5EF4-FFF2-40B4-BE49-F238E27FC236}">
                <a16:creationId xmlns:a16="http://schemas.microsoft.com/office/drawing/2014/main" id="{F5532634-1581-D2BD-CC75-008916FB20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125</xdr:row>
      <xdr:rowOff>58616</xdr:rowOff>
    </xdr:from>
    <xdr:to>
      <xdr:col>3</xdr:col>
      <xdr:colOff>977635</xdr:colOff>
      <xdr:row>125</xdr:row>
      <xdr:rowOff>249116</xdr:rowOff>
    </xdr:to>
    <xdr:grpSp>
      <xdr:nvGrpSpPr>
        <xdr:cNvPr id="5690" name="hinh2">
          <a:extLst>
            <a:ext uri="{FF2B5EF4-FFF2-40B4-BE49-F238E27FC236}">
              <a16:creationId xmlns:a16="http://schemas.microsoft.com/office/drawing/2014/main" id="{0AB48ECE-9904-49DA-BC2C-EDCDD6D515A2}"/>
            </a:ext>
          </a:extLst>
        </xdr:cNvPr>
        <xdr:cNvGrpSpPr>
          <a:grpSpLocks noChangeAspect="1"/>
        </xdr:cNvGrpSpPr>
      </xdr:nvGrpSpPr>
      <xdr:grpSpPr bwMode="auto">
        <a:xfrm>
          <a:off x="2374970" y="48227902"/>
          <a:ext cx="875058" cy="190500"/>
          <a:chOff x="206" y="86"/>
          <a:chExt cx="73" cy="16"/>
        </a:xfrm>
      </xdr:grpSpPr>
      <xdr:sp macro="" textlink="">
        <xdr:nvSpPr>
          <xdr:cNvPr id="5691" name="Line 6">
            <a:extLst>
              <a:ext uri="{FF2B5EF4-FFF2-40B4-BE49-F238E27FC236}">
                <a16:creationId xmlns:a16="http://schemas.microsoft.com/office/drawing/2014/main" id="{50C0DD60-3E49-DE75-0609-3987B12DFD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2" name="Line 7">
            <a:extLst>
              <a:ext uri="{FF2B5EF4-FFF2-40B4-BE49-F238E27FC236}">
                <a16:creationId xmlns:a16="http://schemas.microsoft.com/office/drawing/2014/main" id="{D79A09A0-B4C1-DFC8-6C73-D00296D1EF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3" name="Line 8">
            <a:extLst>
              <a:ext uri="{FF2B5EF4-FFF2-40B4-BE49-F238E27FC236}">
                <a16:creationId xmlns:a16="http://schemas.microsoft.com/office/drawing/2014/main" id="{450AF4F8-ECB9-0A1C-F2C5-EE9908A064B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125</xdr:row>
      <xdr:rowOff>58616</xdr:rowOff>
    </xdr:from>
    <xdr:to>
      <xdr:col>3</xdr:col>
      <xdr:colOff>977635</xdr:colOff>
      <xdr:row>125</xdr:row>
      <xdr:rowOff>249116</xdr:rowOff>
    </xdr:to>
    <xdr:grpSp>
      <xdr:nvGrpSpPr>
        <xdr:cNvPr id="5694" name="hinh2">
          <a:extLst>
            <a:ext uri="{FF2B5EF4-FFF2-40B4-BE49-F238E27FC236}">
              <a16:creationId xmlns:a16="http://schemas.microsoft.com/office/drawing/2014/main" id="{FD90FF68-8F44-444A-96CB-5E9C78EE8B16}"/>
            </a:ext>
          </a:extLst>
        </xdr:cNvPr>
        <xdr:cNvGrpSpPr>
          <a:grpSpLocks noChangeAspect="1"/>
        </xdr:cNvGrpSpPr>
      </xdr:nvGrpSpPr>
      <xdr:grpSpPr bwMode="auto">
        <a:xfrm>
          <a:off x="2374970" y="48227902"/>
          <a:ext cx="875058" cy="190500"/>
          <a:chOff x="206" y="86"/>
          <a:chExt cx="73" cy="16"/>
        </a:xfrm>
      </xdr:grpSpPr>
      <xdr:sp macro="" textlink="">
        <xdr:nvSpPr>
          <xdr:cNvPr id="5695" name="Line 6">
            <a:extLst>
              <a:ext uri="{FF2B5EF4-FFF2-40B4-BE49-F238E27FC236}">
                <a16:creationId xmlns:a16="http://schemas.microsoft.com/office/drawing/2014/main" id="{9B8A3A46-ECB7-3AA9-FD3A-10E712632B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6" name="Line 7">
            <a:extLst>
              <a:ext uri="{FF2B5EF4-FFF2-40B4-BE49-F238E27FC236}">
                <a16:creationId xmlns:a16="http://schemas.microsoft.com/office/drawing/2014/main" id="{783A86AF-BCF1-CA8A-7A6E-33D2154E77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7" name="Line 8">
            <a:extLst>
              <a:ext uri="{FF2B5EF4-FFF2-40B4-BE49-F238E27FC236}">
                <a16:creationId xmlns:a16="http://schemas.microsoft.com/office/drawing/2014/main" id="{0EEC11E6-7CDC-E2CD-831F-F2EE4178BE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125</xdr:row>
      <xdr:rowOff>58616</xdr:rowOff>
    </xdr:from>
    <xdr:to>
      <xdr:col>3</xdr:col>
      <xdr:colOff>977635</xdr:colOff>
      <xdr:row>125</xdr:row>
      <xdr:rowOff>249116</xdr:rowOff>
    </xdr:to>
    <xdr:grpSp>
      <xdr:nvGrpSpPr>
        <xdr:cNvPr id="5698" name="hinh2">
          <a:extLst>
            <a:ext uri="{FF2B5EF4-FFF2-40B4-BE49-F238E27FC236}">
              <a16:creationId xmlns:a16="http://schemas.microsoft.com/office/drawing/2014/main" id="{AA284B69-6B28-40B4-80FB-AB1C8F4AB72E}"/>
            </a:ext>
          </a:extLst>
        </xdr:cNvPr>
        <xdr:cNvGrpSpPr>
          <a:grpSpLocks noChangeAspect="1"/>
        </xdr:cNvGrpSpPr>
      </xdr:nvGrpSpPr>
      <xdr:grpSpPr bwMode="auto">
        <a:xfrm>
          <a:off x="2374970" y="48227902"/>
          <a:ext cx="875058" cy="190500"/>
          <a:chOff x="206" y="86"/>
          <a:chExt cx="73" cy="16"/>
        </a:xfrm>
      </xdr:grpSpPr>
      <xdr:sp macro="" textlink="">
        <xdr:nvSpPr>
          <xdr:cNvPr id="5699" name="Line 6">
            <a:extLst>
              <a:ext uri="{FF2B5EF4-FFF2-40B4-BE49-F238E27FC236}">
                <a16:creationId xmlns:a16="http://schemas.microsoft.com/office/drawing/2014/main" id="{3F7666DE-A915-A76F-7ECC-785D2ADB02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0" name="Line 7">
            <a:extLst>
              <a:ext uri="{FF2B5EF4-FFF2-40B4-BE49-F238E27FC236}">
                <a16:creationId xmlns:a16="http://schemas.microsoft.com/office/drawing/2014/main" id="{6E52927F-8430-C8D4-E9A0-5FDA734BE0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1" name="Line 8">
            <a:extLst>
              <a:ext uri="{FF2B5EF4-FFF2-40B4-BE49-F238E27FC236}">
                <a16:creationId xmlns:a16="http://schemas.microsoft.com/office/drawing/2014/main" id="{0A630C11-AAEB-B697-B125-2FA62CB06F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125</xdr:row>
      <xdr:rowOff>58616</xdr:rowOff>
    </xdr:from>
    <xdr:to>
      <xdr:col>3</xdr:col>
      <xdr:colOff>977635</xdr:colOff>
      <xdr:row>125</xdr:row>
      <xdr:rowOff>249116</xdr:rowOff>
    </xdr:to>
    <xdr:grpSp>
      <xdr:nvGrpSpPr>
        <xdr:cNvPr id="5702" name="hinh2">
          <a:extLst>
            <a:ext uri="{FF2B5EF4-FFF2-40B4-BE49-F238E27FC236}">
              <a16:creationId xmlns:a16="http://schemas.microsoft.com/office/drawing/2014/main" id="{9A33CA3D-ADF9-4F40-93FC-0CD5604AD73D}"/>
            </a:ext>
          </a:extLst>
        </xdr:cNvPr>
        <xdr:cNvGrpSpPr>
          <a:grpSpLocks noChangeAspect="1"/>
        </xdr:cNvGrpSpPr>
      </xdr:nvGrpSpPr>
      <xdr:grpSpPr bwMode="auto">
        <a:xfrm>
          <a:off x="2374970" y="48227902"/>
          <a:ext cx="875058" cy="190500"/>
          <a:chOff x="206" y="86"/>
          <a:chExt cx="73" cy="16"/>
        </a:xfrm>
      </xdr:grpSpPr>
      <xdr:sp macro="" textlink="">
        <xdr:nvSpPr>
          <xdr:cNvPr id="5703" name="Line 6">
            <a:extLst>
              <a:ext uri="{FF2B5EF4-FFF2-40B4-BE49-F238E27FC236}">
                <a16:creationId xmlns:a16="http://schemas.microsoft.com/office/drawing/2014/main" id="{DDDDD484-80E3-6326-9607-B5E2AD5819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4" name="Line 7">
            <a:extLst>
              <a:ext uri="{FF2B5EF4-FFF2-40B4-BE49-F238E27FC236}">
                <a16:creationId xmlns:a16="http://schemas.microsoft.com/office/drawing/2014/main" id="{D1BA2BFA-AE98-2125-A809-4939BE4964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5" name="Line 8">
            <a:extLst>
              <a:ext uri="{FF2B5EF4-FFF2-40B4-BE49-F238E27FC236}">
                <a16:creationId xmlns:a16="http://schemas.microsoft.com/office/drawing/2014/main" id="{067AB84A-BE8E-BA41-EC29-589E84CE26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06" name="hinh2">
          <a:extLst>
            <a:ext uri="{FF2B5EF4-FFF2-40B4-BE49-F238E27FC236}">
              <a16:creationId xmlns:a16="http://schemas.microsoft.com/office/drawing/2014/main" id="{8E9735A8-9E95-4FE2-81E3-8F589E584928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07" name="Line 6">
            <a:extLst>
              <a:ext uri="{FF2B5EF4-FFF2-40B4-BE49-F238E27FC236}">
                <a16:creationId xmlns:a16="http://schemas.microsoft.com/office/drawing/2014/main" id="{2956DA77-95C3-2867-D209-72767CD2A7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8" name="Line 7">
            <a:extLst>
              <a:ext uri="{FF2B5EF4-FFF2-40B4-BE49-F238E27FC236}">
                <a16:creationId xmlns:a16="http://schemas.microsoft.com/office/drawing/2014/main" id="{62D6192A-A0AF-5032-42C6-F39A54B093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09" name="Line 8">
            <a:extLst>
              <a:ext uri="{FF2B5EF4-FFF2-40B4-BE49-F238E27FC236}">
                <a16:creationId xmlns:a16="http://schemas.microsoft.com/office/drawing/2014/main" id="{E2D5F92C-BA47-8F3F-BD1A-B02E3C7C6C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10" name="hinh2">
          <a:extLst>
            <a:ext uri="{FF2B5EF4-FFF2-40B4-BE49-F238E27FC236}">
              <a16:creationId xmlns:a16="http://schemas.microsoft.com/office/drawing/2014/main" id="{A180392A-4993-4842-BF18-E7FBA1A92420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11" name="Line 6">
            <a:extLst>
              <a:ext uri="{FF2B5EF4-FFF2-40B4-BE49-F238E27FC236}">
                <a16:creationId xmlns:a16="http://schemas.microsoft.com/office/drawing/2014/main" id="{8B734AD1-D8FD-BC23-CDEE-BA7FB91F9D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12" name="Line 7">
            <a:extLst>
              <a:ext uri="{FF2B5EF4-FFF2-40B4-BE49-F238E27FC236}">
                <a16:creationId xmlns:a16="http://schemas.microsoft.com/office/drawing/2014/main" id="{37D0A9C0-3CC6-399F-3C4E-AB8830836A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13" name="Line 8">
            <a:extLst>
              <a:ext uri="{FF2B5EF4-FFF2-40B4-BE49-F238E27FC236}">
                <a16:creationId xmlns:a16="http://schemas.microsoft.com/office/drawing/2014/main" id="{D5769129-0D67-2E16-2F9E-72B89759B0A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14" name="hinh2">
          <a:extLst>
            <a:ext uri="{FF2B5EF4-FFF2-40B4-BE49-F238E27FC236}">
              <a16:creationId xmlns:a16="http://schemas.microsoft.com/office/drawing/2014/main" id="{BFC0645E-9945-4661-965F-DE9A779E4F2A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15" name="Line 6">
            <a:extLst>
              <a:ext uri="{FF2B5EF4-FFF2-40B4-BE49-F238E27FC236}">
                <a16:creationId xmlns:a16="http://schemas.microsoft.com/office/drawing/2014/main" id="{BB9E0087-D4A9-2E43-A9D4-7BDF42D242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16" name="Line 7">
            <a:extLst>
              <a:ext uri="{FF2B5EF4-FFF2-40B4-BE49-F238E27FC236}">
                <a16:creationId xmlns:a16="http://schemas.microsoft.com/office/drawing/2014/main" id="{71F321A7-7232-C190-7154-2614C56165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17" name="Line 8">
            <a:extLst>
              <a:ext uri="{FF2B5EF4-FFF2-40B4-BE49-F238E27FC236}">
                <a16:creationId xmlns:a16="http://schemas.microsoft.com/office/drawing/2014/main" id="{AFE930BF-983C-5CD9-523A-A18626D907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18" name="hinh2">
          <a:extLst>
            <a:ext uri="{FF2B5EF4-FFF2-40B4-BE49-F238E27FC236}">
              <a16:creationId xmlns:a16="http://schemas.microsoft.com/office/drawing/2014/main" id="{0D6C07B6-0B59-4985-8A58-01EF9E1C63CB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19" name="Line 6">
            <a:extLst>
              <a:ext uri="{FF2B5EF4-FFF2-40B4-BE49-F238E27FC236}">
                <a16:creationId xmlns:a16="http://schemas.microsoft.com/office/drawing/2014/main" id="{2F2458BD-68B9-5866-A2FF-3A7F3498A4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0" name="Line 7">
            <a:extLst>
              <a:ext uri="{FF2B5EF4-FFF2-40B4-BE49-F238E27FC236}">
                <a16:creationId xmlns:a16="http://schemas.microsoft.com/office/drawing/2014/main" id="{FE534C15-F506-6434-8EB0-30AFB30C95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1" name="Line 8">
            <a:extLst>
              <a:ext uri="{FF2B5EF4-FFF2-40B4-BE49-F238E27FC236}">
                <a16:creationId xmlns:a16="http://schemas.microsoft.com/office/drawing/2014/main" id="{3E1C6041-EFC2-C001-21AA-4508D55387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722" name="hinh2">
          <a:extLst>
            <a:ext uri="{FF2B5EF4-FFF2-40B4-BE49-F238E27FC236}">
              <a16:creationId xmlns:a16="http://schemas.microsoft.com/office/drawing/2014/main" id="{1017F9CF-767A-49F1-A863-AD7E6B789441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723" name="Line 6">
            <a:extLst>
              <a:ext uri="{FF2B5EF4-FFF2-40B4-BE49-F238E27FC236}">
                <a16:creationId xmlns:a16="http://schemas.microsoft.com/office/drawing/2014/main" id="{9845C01B-3D75-2CC8-2728-1E12D7CAF5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4" name="Line 7">
            <a:extLst>
              <a:ext uri="{FF2B5EF4-FFF2-40B4-BE49-F238E27FC236}">
                <a16:creationId xmlns:a16="http://schemas.microsoft.com/office/drawing/2014/main" id="{73B7A897-29C3-F0A6-26C5-88D53E5F5D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5" name="Line 8">
            <a:extLst>
              <a:ext uri="{FF2B5EF4-FFF2-40B4-BE49-F238E27FC236}">
                <a16:creationId xmlns:a16="http://schemas.microsoft.com/office/drawing/2014/main" id="{3BD49A3C-A14C-C1DB-2788-E4666FD678F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726" name="hinh2">
          <a:extLst>
            <a:ext uri="{FF2B5EF4-FFF2-40B4-BE49-F238E27FC236}">
              <a16:creationId xmlns:a16="http://schemas.microsoft.com/office/drawing/2014/main" id="{C92A906C-5523-4EC0-837D-96770266F1A9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727" name="Line 6">
            <a:extLst>
              <a:ext uri="{FF2B5EF4-FFF2-40B4-BE49-F238E27FC236}">
                <a16:creationId xmlns:a16="http://schemas.microsoft.com/office/drawing/2014/main" id="{25BB5575-7285-7EC4-DBC4-DD46D9877E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8" name="Line 7">
            <a:extLst>
              <a:ext uri="{FF2B5EF4-FFF2-40B4-BE49-F238E27FC236}">
                <a16:creationId xmlns:a16="http://schemas.microsoft.com/office/drawing/2014/main" id="{3E72D0E1-285A-F61B-07C2-CDBCAA3F77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29" name="Line 8">
            <a:extLst>
              <a:ext uri="{FF2B5EF4-FFF2-40B4-BE49-F238E27FC236}">
                <a16:creationId xmlns:a16="http://schemas.microsoft.com/office/drawing/2014/main" id="{0EB1AE71-3BBB-68AB-EC90-8CE1B7B143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730" name="hinh2">
          <a:extLst>
            <a:ext uri="{FF2B5EF4-FFF2-40B4-BE49-F238E27FC236}">
              <a16:creationId xmlns:a16="http://schemas.microsoft.com/office/drawing/2014/main" id="{CEAC0710-FFC1-42A9-9903-F73D2F8880E7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731" name="Line 6">
            <a:extLst>
              <a:ext uri="{FF2B5EF4-FFF2-40B4-BE49-F238E27FC236}">
                <a16:creationId xmlns:a16="http://schemas.microsoft.com/office/drawing/2014/main" id="{E80CAB62-F1F8-082C-5046-145F1E12D6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2" name="Line 7">
            <a:extLst>
              <a:ext uri="{FF2B5EF4-FFF2-40B4-BE49-F238E27FC236}">
                <a16:creationId xmlns:a16="http://schemas.microsoft.com/office/drawing/2014/main" id="{28846AC6-C4BB-5BB0-54DB-5B4CED021C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3" name="Line 8">
            <a:extLst>
              <a:ext uri="{FF2B5EF4-FFF2-40B4-BE49-F238E27FC236}">
                <a16:creationId xmlns:a16="http://schemas.microsoft.com/office/drawing/2014/main" id="{1D8E0323-CCBB-7A2D-3C18-25058E1D5F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123</xdr:row>
      <xdr:rowOff>58616</xdr:rowOff>
    </xdr:from>
    <xdr:to>
      <xdr:col>3</xdr:col>
      <xdr:colOff>977635</xdr:colOff>
      <xdr:row>123</xdr:row>
      <xdr:rowOff>249116</xdr:rowOff>
    </xdr:to>
    <xdr:grpSp>
      <xdr:nvGrpSpPr>
        <xdr:cNvPr id="5734" name="hinh2">
          <a:extLst>
            <a:ext uri="{FF2B5EF4-FFF2-40B4-BE49-F238E27FC236}">
              <a16:creationId xmlns:a16="http://schemas.microsoft.com/office/drawing/2014/main" id="{677A0C3F-868D-4BDB-9F53-807A6CADBF22}"/>
            </a:ext>
          </a:extLst>
        </xdr:cNvPr>
        <xdr:cNvGrpSpPr>
          <a:grpSpLocks noChangeAspect="1"/>
        </xdr:cNvGrpSpPr>
      </xdr:nvGrpSpPr>
      <xdr:grpSpPr bwMode="auto">
        <a:xfrm>
          <a:off x="2374970" y="47438687"/>
          <a:ext cx="875058" cy="190500"/>
          <a:chOff x="206" y="86"/>
          <a:chExt cx="73" cy="16"/>
        </a:xfrm>
      </xdr:grpSpPr>
      <xdr:sp macro="" textlink="">
        <xdr:nvSpPr>
          <xdr:cNvPr id="5735" name="Line 6">
            <a:extLst>
              <a:ext uri="{FF2B5EF4-FFF2-40B4-BE49-F238E27FC236}">
                <a16:creationId xmlns:a16="http://schemas.microsoft.com/office/drawing/2014/main" id="{C8E5DFF4-278B-4542-ECD7-E0367B21EE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6" name="Line 7">
            <a:extLst>
              <a:ext uri="{FF2B5EF4-FFF2-40B4-BE49-F238E27FC236}">
                <a16:creationId xmlns:a16="http://schemas.microsoft.com/office/drawing/2014/main" id="{822F30FC-D7CF-092C-BC99-B21F329D7C9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37" name="Line 8">
            <a:extLst>
              <a:ext uri="{FF2B5EF4-FFF2-40B4-BE49-F238E27FC236}">
                <a16:creationId xmlns:a16="http://schemas.microsoft.com/office/drawing/2014/main" id="{6C2A89C3-AF35-D702-E5E4-A95C492E99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121</xdr:row>
      <xdr:rowOff>58616</xdr:rowOff>
    </xdr:from>
    <xdr:to>
      <xdr:col>3</xdr:col>
      <xdr:colOff>977635</xdr:colOff>
      <xdr:row>121</xdr:row>
      <xdr:rowOff>249116</xdr:rowOff>
    </xdr:to>
    <xdr:grpSp>
      <xdr:nvGrpSpPr>
        <xdr:cNvPr id="5738" name="hinh2">
          <a:extLst>
            <a:ext uri="{FF2B5EF4-FFF2-40B4-BE49-F238E27FC236}">
              <a16:creationId xmlns:a16="http://schemas.microsoft.com/office/drawing/2014/main" id="{70A8F109-2A87-4E22-B51E-D4F270AEEAE7}"/>
            </a:ext>
          </a:extLst>
        </xdr:cNvPr>
        <xdr:cNvGrpSpPr>
          <a:grpSpLocks noChangeAspect="1"/>
        </xdr:cNvGrpSpPr>
      </xdr:nvGrpSpPr>
      <xdr:grpSpPr bwMode="auto">
        <a:xfrm>
          <a:off x="2374970" y="46649473"/>
          <a:ext cx="875058" cy="190500"/>
          <a:chOff x="206" y="86"/>
          <a:chExt cx="73" cy="16"/>
        </a:xfrm>
      </xdr:grpSpPr>
      <xdr:sp macro="" textlink="">
        <xdr:nvSpPr>
          <xdr:cNvPr id="5739" name="Line 6">
            <a:extLst>
              <a:ext uri="{FF2B5EF4-FFF2-40B4-BE49-F238E27FC236}">
                <a16:creationId xmlns:a16="http://schemas.microsoft.com/office/drawing/2014/main" id="{378058E5-7B06-C15D-68D8-D00139E15E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0" name="Line 7">
            <a:extLst>
              <a:ext uri="{FF2B5EF4-FFF2-40B4-BE49-F238E27FC236}">
                <a16:creationId xmlns:a16="http://schemas.microsoft.com/office/drawing/2014/main" id="{D389DE93-019E-4368-1E43-4CF86B84354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1" name="Line 8">
            <a:extLst>
              <a:ext uri="{FF2B5EF4-FFF2-40B4-BE49-F238E27FC236}">
                <a16:creationId xmlns:a16="http://schemas.microsoft.com/office/drawing/2014/main" id="{F7582250-65D5-21DE-BCF7-BCF77A46C4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742" name="hinh2">
          <a:extLst>
            <a:ext uri="{FF2B5EF4-FFF2-40B4-BE49-F238E27FC236}">
              <a16:creationId xmlns:a16="http://schemas.microsoft.com/office/drawing/2014/main" id="{76E28BBD-8276-4CD7-8EB5-359E72B51DC4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743" name="Line 6">
            <a:extLst>
              <a:ext uri="{FF2B5EF4-FFF2-40B4-BE49-F238E27FC236}">
                <a16:creationId xmlns:a16="http://schemas.microsoft.com/office/drawing/2014/main" id="{2225F1D0-1448-3C9F-2194-BD010F3B42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4" name="Line 7">
            <a:extLst>
              <a:ext uri="{FF2B5EF4-FFF2-40B4-BE49-F238E27FC236}">
                <a16:creationId xmlns:a16="http://schemas.microsoft.com/office/drawing/2014/main" id="{ABC0B99A-5E69-7670-70D3-DE5E71DB83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5" name="Line 8">
            <a:extLst>
              <a:ext uri="{FF2B5EF4-FFF2-40B4-BE49-F238E27FC236}">
                <a16:creationId xmlns:a16="http://schemas.microsoft.com/office/drawing/2014/main" id="{AF2CE753-6B61-A589-13AD-3A173BCCA0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746" name="hinh2">
          <a:extLst>
            <a:ext uri="{FF2B5EF4-FFF2-40B4-BE49-F238E27FC236}">
              <a16:creationId xmlns:a16="http://schemas.microsoft.com/office/drawing/2014/main" id="{69F7BA03-24C6-4659-99FA-28B78D766CE3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747" name="Line 6">
            <a:extLst>
              <a:ext uri="{FF2B5EF4-FFF2-40B4-BE49-F238E27FC236}">
                <a16:creationId xmlns:a16="http://schemas.microsoft.com/office/drawing/2014/main" id="{0F416FFB-C6BD-0626-182F-D6B915FC56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8" name="Line 7">
            <a:extLst>
              <a:ext uri="{FF2B5EF4-FFF2-40B4-BE49-F238E27FC236}">
                <a16:creationId xmlns:a16="http://schemas.microsoft.com/office/drawing/2014/main" id="{6A58B18C-230A-A77A-B64D-99A17DF00A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49" name="Line 8">
            <a:extLst>
              <a:ext uri="{FF2B5EF4-FFF2-40B4-BE49-F238E27FC236}">
                <a16:creationId xmlns:a16="http://schemas.microsoft.com/office/drawing/2014/main" id="{23418452-9F67-DD5E-3EE4-AABA03D178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122</xdr:row>
      <xdr:rowOff>58616</xdr:rowOff>
    </xdr:from>
    <xdr:to>
      <xdr:col>3</xdr:col>
      <xdr:colOff>977635</xdr:colOff>
      <xdr:row>122</xdr:row>
      <xdr:rowOff>249116</xdr:rowOff>
    </xdr:to>
    <xdr:grpSp>
      <xdr:nvGrpSpPr>
        <xdr:cNvPr id="5750" name="hinh2">
          <a:extLst>
            <a:ext uri="{FF2B5EF4-FFF2-40B4-BE49-F238E27FC236}">
              <a16:creationId xmlns:a16="http://schemas.microsoft.com/office/drawing/2014/main" id="{872F52AA-6167-4763-9A30-03D755945231}"/>
            </a:ext>
          </a:extLst>
        </xdr:cNvPr>
        <xdr:cNvGrpSpPr>
          <a:grpSpLocks noChangeAspect="1"/>
        </xdr:cNvGrpSpPr>
      </xdr:nvGrpSpPr>
      <xdr:grpSpPr bwMode="auto">
        <a:xfrm>
          <a:off x="2374970" y="47044080"/>
          <a:ext cx="875058" cy="190500"/>
          <a:chOff x="206" y="86"/>
          <a:chExt cx="73" cy="16"/>
        </a:xfrm>
      </xdr:grpSpPr>
      <xdr:sp macro="" textlink="">
        <xdr:nvSpPr>
          <xdr:cNvPr id="5751" name="Line 6">
            <a:extLst>
              <a:ext uri="{FF2B5EF4-FFF2-40B4-BE49-F238E27FC236}">
                <a16:creationId xmlns:a16="http://schemas.microsoft.com/office/drawing/2014/main" id="{9B6CC004-034D-D3F4-53A7-A0485E5BC3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2" name="Line 7">
            <a:extLst>
              <a:ext uri="{FF2B5EF4-FFF2-40B4-BE49-F238E27FC236}">
                <a16:creationId xmlns:a16="http://schemas.microsoft.com/office/drawing/2014/main" id="{42818762-E304-3B77-D3E2-991991E614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3" name="Line 8">
            <a:extLst>
              <a:ext uri="{FF2B5EF4-FFF2-40B4-BE49-F238E27FC236}">
                <a16:creationId xmlns:a16="http://schemas.microsoft.com/office/drawing/2014/main" id="{C4402258-808B-BB07-CAAA-ECC7EA6EBC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54" name="hinh2">
          <a:extLst>
            <a:ext uri="{FF2B5EF4-FFF2-40B4-BE49-F238E27FC236}">
              <a16:creationId xmlns:a16="http://schemas.microsoft.com/office/drawing/2014/main" id="{679C5925-A17E-475E-84A8-2F57D561706B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55" name="Line 6">
            <a:extLst>
              <a:ext uri="{FF2B5EF4-FFF2-40B4-BE49-F238E27FC236}">
                <a16:creationId xmlns:a16="http://schemas.microsoft.com/office/drawing/2014/main" id="{6D6D65F1-4338-FB1F-B093-D8D477AF4B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6" name="Line 7">
            <a:extLst>
              <a:ext uri="{FF2B5EF4-FFF2-40B4-BE49-F238E27FC236}">
                <a16:creationId xmlns:a16="http://schemas.microsoft.com/office/drawing/2014/main" id="{CCE54529-1203-EAAA-110B-FDC174D49C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57" name="Line 8">
            <a:extLst>
              <a:ext uri="{FF2B5EF4-FFF2-40B4-BE49-F238E27FC236}">
                <a16:creationId xmlns:a16="http://schemas.microsoft.com/office/drawing/2014/main" id="{43D2ABD9-EC46-8187-CD4E-35E369F7E0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58" name="hinh2">
          <a:extLst>
            <a:ext uri="{FF2B5EF4-FFF2-40B4-BE49-F238E27FC236}">
              <a16:creationId xmlns:a16="http://schemas.microsoft.com/office/drawing/2014/main" id="{AF7919FD-92E3-4FB9-ACD1-97AED037EF7E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59" name="Line 6">
            <a:extLst>
              <a:ext uri="{FF2B5EF4-FFF2-40B4-BE49-F238E27FC236}">
                <a16:creationId xmlns:a16="http://schemas.microsoft.com/office/drawing/2014/main" id="{873EE6B3-A04F-5B09-E540-8C2F095366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0" name="Line 7">
            <a:extLst>
              <a:ext uri="{FF2B5EF4-FFF2-40B4-BE49-F238E27FC236}">
                <a16:creationId xmlns:a16="http://schemas.microsoft.com/office/drawing/2014/main" id="{7B709408-74E2-347E-AA3A-C94756FB27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1" name="Line 8">
            <a:extLst>
              <a:ext uri="{FF2B5EF4-FFF2-40B4-BE49-F238E27FC236}">
                <a16:creationId xmlns:a16="http://schemas.microsoft.com/office/drawing/2014/main" id="{FC3E34D7-0E7A-B318-E3B5-D4AF0F2B73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62" name="hinh2">
          <a:extLst>
            <a:ext uri="{FF2B5EF4-FFF2-40B4-BE49-F238E27FC236}">
              <a16:creationId xmlns:a16="http://schemas.microsoft.com/office/drawing/2014/main" id="{21869976-87B3-4CF1-990B-3358942A2B0C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63" name="Line 6">
            <a:extLst>
              <a:ext uri="{FF2B5EF4-FFF2-40B4-BE49-F238E27FC236}">
                <a16:creationId xmlns:a16="http://schemas.microsoft.com/office/drawing/2014/main" id="{50B21F7B-5D01-31D5-19B7-42E1AEAF86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4" name="Line 7">
            <a:extLst>
              <a:ext uri="{FF2B5EF4-FFF2-40B4-BE49-F238E27FC236}">
                <a16:creationId xmlns:a16="http://schemas.microsoft.com/office/drawing/2014/main" id="{8F0F15AE-83E8-E423-AC6C-5F3E2AE5C5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5" name="Line 8">
            <a:extLst>
              <a:ext uri="{FF2B5EF4-FFF2-40B4-BE49-F238E27FC236}">
                <a16:creationId xmlns:a16="http://schemas.microsoft.com/office/drawing/2014/main" id="{5E5E4533-1218-2B49-840D-A79D05BB93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66" name="hinh2">
          <a:extLst>
            <a:ext uri="{FF2B5EF4-FFF2-40B4-BE49-F238E27FC236}">
              <a16:creationId xmlns:a16="http://schemas.microsoft.com/office/drawing/2014/main" id="{45D8BFBE-50B2-45C3-A497-527CAD31879F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67" name="Line 6">
            <a:extLst>
              <a:ext uri="{FF2B5EF4-FFF2-40B4-BE49-F238E27FC236}">
                <a16:creationId xmlns:a16="http://schemas.microsoft.com/office/drawing/2014/main" id="{2EA0C0C2-56F1-6B25-C95B-8D51ADC61F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8" name="Line 7">
            <a:extLst>
              <a:ext uri="{FF2B5EF4-FFF2-40B4-BE49-F238E27FC236}">
                <a16:creationId xmlns:a16="http://schemas.microsoft.com/office/drawing/2014/main" id="{5D11640E-0C91-FA47-F689-0A4A000085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9" name="Line 8">
            <a:extLst>
              <a:ext uri="{FF2B5EF4-FFF2-40B4-BE49-F238E27FC236}">
                <a16:creationId xmlns:a16="http://schemas.microsoft.com/office/drawing/2014/main" id="{59FA71BE-5A5F-99D3-3192-C13C15E8437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70" name="hinh2">
          <a:extLst>
            <a:ext uri="{FF2B5EF4-FFF2-40B4-BE49-F238E27FC236}">
              <a16:creationId xmlns:a16="http://schemas.microsoft.com/office/drawing/2014/main" id="{6FD1EFD4-E3B1-4148-A8F1-704A2D69D601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71" name="Line 6">
            <a:extLst>
              <a:ext uri="{FF2B5EF4-FFF2-40B4-BE49-F238E27FC236}">
                <a16:creationId xmlns:a16="http://schemas.microsoft.com/office/drawing/2014/main" id="{870EBE97-D4CC-5D01-0256-7E60BEC1B9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2" name="Line 7">
            <a:extLst>
              <a:ext uri="{FF2B5EF4-FFF2-40B4-BE49-F238E27FC236}">
                <a16:creationId xmlns:a16="http://schemas.microsoft.com/office/drawing/2014/main" id="{133F38C7-8C66-9378-CD35-321477FF10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3" name="Line 8">
            <a:extLst>
              <a:ext uri="{FF2B5EF4-FFF2-40B4-BE49-F238E27FC236}">
                <a16:creationId xmlns:a16="http://schemas.microsoft.com/office/drawing/2014/main" id="{99C2FD05-760E-89B6-7D15-85FF9A5D0A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74" name="hinh2">
          <a:extLst>
            <a:ext uri="{FF2B5EF4-FFF2-40B4-BE49-F238E27FC236}">
              <a16:creationId xmlns:a16="http://schemas.microsoft.com/office/drawing/2014/main" id="{1E807430-A239-4AFF-8813-3CDF7E5E5803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75" name="Line 6">
            <a:extLst>
              <a:ext uri="{FF2B5EF4-FFF2-40B4-BE49-F238E27FC236}">
                <a16:creationId xmlns:a16="http://schemas.microsoft.com/office/drawing/2014/main" id="{411AF310-3858-84C7-0807-52BECB9064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6" name="Line 7">
            <a:extLst>
              <a:ext uri="{FF2B5EF4-FFF2-40B4-BE49-F238E27FC236}">
                <a16:creationId xmlns:a16="http://schemas.microsoft.com/office/drawing/2014/main" id="{0AFC393D-0A7A-C625-4BBD-690E814BF0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7" name="Line 8">
            <a:extLst>
              <a:ext uri="{FF2B5EF4-FFF2-40B4-BE49-F238E27FC236}">
                <a16:creationId xmlns:a16="http://schemas.microsoft.com/office/drawing/2014/main" id="{E43D3E20-B4B0-FA36-7DB4-15D5C06562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78" name="hinh2">
          <a:extLst>
            <a:ext uri="{FF2B5EF4-FFF2-40B4-BE49-F238E27FC236}">
              <a16:creationId xmlns:a16="http://schemas.microsoft.com/office/drawing/2014/main" id="{43810CF7-E0E9-45E9-B949-83EB634F7ED6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79" name="Line 6">
            <a:extLst>
              <a:ext uri="{FF2B5EF4-FFF2-40B4-BE49-F238E27FC236}">
                <a16:creationId xmlns:a16="http://schemas.microsoft.com/office/drawing/2014/main" id="{AC8C801A-AA5F-1D69-DA17-F8D996C23F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0" name="Line 7">
            <a:extLst>
              <a:ext uri="{FF2B5EF4-FFF2-40B4-BE49-F238E27FC236}">
                <a16:creationId xmlns:a16="http://schemas.microsoft.com/office/drawing/2014/main" id="{281D4B45-0E32-0BF6-4548-03BB8BEFE0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1" name="Line 8">
            <a:extLst>
              <a:ext uri="{FF2B5EF4-FFF2-40B4-BE49-F238E27FC236}">
                <a16:creationId xmlns:a16="http://schemas.microsoft.com/office/drawing/2014/main" id="{6818BCDE-4B21-58A0-EDBD-CD4FEA47E7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124</xdr:row>
      <xdr:rowOff>58616</xdr:rowOff>
    </xdr:from>
    <xdr:to>
      <xdr:col>3</xdr:col>
      <xdr:colOff>977635</xdr:colOff>
      <xdr:row>124</xdr:row>
      <xdr:rowOff>249116</xdr:rowOff>
    </xdr:to>
    <xdr:grpSp>
      <xdr:nvGrpSpPr>
        <xdr:cNvPr id="5782" name="hinh2">
          <a:extLst>
            <a:ext uri="{FF2B5EF4-FFF2-40B4-BE49-F238E27FC236}">
              <a16:creationId xmlns:a16="http://schemas.microsoft.com/office/drawing/2014/main" id="{EC0EF9A4-9F78-4BC0-BD02-FA93432DBDD1}"/>
            </a:ext>
          </a:extLst>
        </xdr:cNvPr>
        <xdr:cNvGrpSpPr>
          <a:grpSpLocks noChangeAspect="1"/>
        </xdr:cNvGrpSpPr>
      </xdr:nvGrpSpPr>
      <xdr:grpSpPr bwMode="auto">
        <a:xfrm>
          <a:off x="2374970" y="47833295"/>
          <a:ext cx="875058" cy="190500"/>
          <a:chOff x="206" y="86"/>
          <a:chExt cx="73" cy="16"/>
        </a:xfrm>
      </xdr:grpSpPr>
      <xdr:sp macro="" textlink="">
        <xdr:nvSpPr>
          <xdr:cNvPr id="5783" name="Line 6">
            <a:extLst>
              <a:ext uri="{FF2B5EF4-FFF2-40B4-BE49-F238E27FC236}">
                <a16:creationId xmlns:a16="http://schemas.microsoft.com/office/drawing/2014/main" id="{E3A34E72-BC2D-109A-E13F-567C268492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4" name="Line 7">
            <a:extLst>
              <a:ext uri="{FF2B5EF4-FFF2-40B4-BE49-F238E27FC236}">
                <a16:creationId xmlns:a16="http://schemas.microsoft.com/office/drawing/2014/main" id="{213034F0-DFBB-4685-C43A-7B7E2E0BB5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5" name="Line 8">
            <a:extLst>
              <a:ext uri="{FF2B5EF4-FFF2-40B4-BE49-F238E27FC236}">
                <a16:creationId xmlns:a16="http://schemas.microsoft.com/office/drawing/2014/main" id="{76CCA32A-67F7-AB65-1FCD-A45709412E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6270" name="hinh2">
          <a:extLst>
            <a:ext uri="{FF2B5EF4-FFF2-40B4-BE49-F238E27FC236}">
              <a16:creationId xmlns:a16="http://schemas.microsoft.com/office/drawing/2014/main" id="{2EF10DB1-3893-4C95-BC80-9F6982C6046F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6271" name="Line 6">
            <a:extLst>
              <a:ext uri="{FF2B5EF4-FFF2-40B4-BE49-F238E27FC236}">
                <a16:creationId xmlns:a16="http://schemas.microsoft.com/office/drawing/2014/main" id="{4540D9D3-01DA-075B-C4AB-5AA0A9A685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2" name="Line 7">
            <a:extLst>
              <a:ext uri="{FF2B5EF4-FFF2-40B4-BE49-F238E27FC236}">
                <a16:creationId xmlns:a16="http://schemas.microsoft.com/office/drawing/2014/main" id="{2ED8F976-FC40-7ED0-44B8-7AA6FC3AD9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3" name="Line 8">
            <a:extLst>
              <a:ext uri="{FF2B5EF4-FFF2-40B4-BE49-F238E27FC236}">
                <a16:creationId xmlns:a16="http://schemas.microsoft.com/office/drawing/2014/main" id="{599FFE27-7A39-0C03-514B-7D98C8DED7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6274" name="hinh2">
          <a:extLst>
            <a:ext uri="{FF2B5EF4-FFF2-40B4-BE49-F238E27FC236}">
              <a16:creationId xmlns:a16="http://schemas.microsoft.com/office/drawing/2014/main" id="{95674BA0-569B-4633-AB76-2543DDEA709F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6275" name="Line 6">
            <a:extLst>
              <a:ext uri="{FF2B5EF4-FFF2-40B4-BE49-F238E27FC236}">
                <a16:creationId xmlns:a16="http://schemas.microsoft.com/office/drawing/2014/main" id="{DA224761-E696-5487-228C-BE999D82F6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6" name="Line 7">
            <a:extLst>
              <a:ext uri="{FF2B5EF4-FFF2-40B4-BE49-F238E27FC236}">
                <a16:creationId xmlns:a16="http://schemas.microsoft.com/office/drawing/2014/main" id="{F89A35BA-4E8D-4D23-131C-81A0C85050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77" name="Line 8">
            <a:extLst>
              <a:ext uri="{FF2B5EF4-FFF2-40B4-BE49-F238E27FC236}">
                <a16:creationId xmlns:a16="http://schemas.microsoft.com/office/drawing/2014/main" id="{49374B4B-3A23-3D00-2D9C-D169E47669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6278" name="hinh2">
          <a:extLst>
            <a:ext uri="{FF2B5EF4-FFF2-40B4-BE49-F238E27FC236}">
              <a16:creationId xmlns:a16="http://schemas.microsoft.com/office/drawing/2014/main" id="{8DFEAE8E-FF87-477F-974B-9517086AD667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6279" name="Line 6">
            <a:extLst>
              <a:ext uri="{FF2B5EF4-FFF2-40B4-BE49-F238E27FC236}">
                <a16:creationId xmlns:a16="http://schemas.microsoft.com/office/drawing/2014/main" id="{BA96BA74-3FAE-91F4-2CAC-45E50077DE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0" name="Line 7">
            <a:extLst>
              <a:ext uri="{FF2B5EF4-FFF2-40B4-BE49-F238E27FC236}">
                <a16:creationId xmlns:a16="http://schemas.microsoft.com/office/drawing/2014/main" id="{EA73FE81-160B-C229-45CA-17D23945D9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1" name="Line 8">
            <a:extLst>
              <a:ext uri="{FF2B5EF4-FFF2-40B4-BE49-F238E27FC236}">
                <a16:creationId xmlns:a16="http://schemas.microsoft.com/office/drawing/2014/main" id="{B5BEE01F-9EF1-419E-050B-4EA823DB2D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109</xdr:row>
      <xdr:rowOff>58616</xdr:rowOff>
    </xdr:from>
    <xdr:to>
      <xdr:col>3</xdr:col>
      <xdr:colOff>977635</xdr:colOff>
      <xdr:row>109</xdr:row>
      <xdr:rowOff>249116</xdr:rowOff>
    </xdr:to>
    <xdr:grpSp>
      <xdr:nvGrpSpPr>
        <xdr:cNvPr id="6282" name="hinh2">
          <a:extLst>
            <a:ext uri="{FF2B5EF4-FFF2-40B4-BE49-F238E27FC236}">
              <a16:creationId xmlns:a16="http://schemas.microsoft.com/office/drawing/2014/main" id="{D2A79856-F80F-49C1-AC91-6B5BB112FF1A}"/>
            </a:ext>
          </a:extLst>
        </xdr:cNvPr>
        <xdr:cNvGrpSpPr>
          <a:grpSpLocks noChangeAspect="1"/>
        </xdr:cNvGrpSpPr>
      </xdr:nvGrpSpPr>
      <xdr:grpSpPr bwMode="auto">
        <a:xfrm>
          <a:off x="2374970" y="41914187"/>
          <a:ext cx="875058" cy="190500"/>
          <a:chOff x="206" y="86"/>
          <a:chExt cx="73" cy="16"/>
        </a:xfrm>
      </xdr:grpSpPr>
      <xdr:sp macro="" textlink="">
        <xdr:nvSpPr>
          <xdr:cNvPr id="6283" name="Line 6">
            <a:extLst>
              <a:ext uri="{FF2B5EF4-FFF2-40B4-BE49-F238E27FC236}">
                <a16:creationId xmlns:a16="http://schemas.microsoft.com/office/drawing/2014/main" id="{D5648119-F751-A67F-E755-6B2DD9AAB77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4" name="Line 7">
            <a:extLst>
              <a:ext uri="{FF2B5EF4-FFF2-40B4-BE49-F238E27FC236}">
                <a16:creationId xmlns:a16="http://schemas.microsoft.com/office/drawing/2014/main" id="{71435021-C1CC-E272-A2F9-B7B8353F41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5" name="Line 8">
            <a:extLst>
              <a:ext uri="{FF2B5EF4-FFF2-40B4-BE49-F238E27FC236}">
                <a16:creationId xmlns:a16="http://schemas.microsoft.com/office/drawing/2014/main" id="{9DECCCD3-3BF3-FCFC-E335-4890A54A06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286" name="hinh2">
          <a:extLst>
            <a:ext uri="{FF2B5EF4-FFF2-40B4-BE49-F238E27FC236}">
              <a16:creationId xmlns:a16="http://schemas.microsoft.com/office/drawing/2014/main" id="{AC4B9EE6-D4D8-49B7-84D4-A3DC053F1600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287" name="Line 6">
            <a:extLst>
              <a:ext uri="{FF2B5EF4-FFF2-40B4-BE49-F238E27FC236}">
                <a16:creationId xmlns:a16="http://schemas.microsoft.com/office/drawing/2014/main" id="{7C75479E-B8E3-A217-0293-77371AA74A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8" name="Line 7">
            <a:extLst>
              <a:ext uri="{FF2B5EF4-FFF2-40B4-BE49-F238E27FC236}">
                <a16:creationId xmlns:a16="http://schemas.microsoft.com/office/drawing/2014/main" id="{0E09A291-E732-6383-549E-9219B11BA8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89" name="Line 8">
            <a:extLst>
              <a:ext uri="{FF2B5EF4-FFF2-40B4-BE49-F238E27FC236}">
                <a16:creationId xmlns:a16="http://schemas.microsoft.com/office/drawing/2014/main" id="{E2A1C177-BD21-8A64-AAF5-B0DB874CBE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290" name="hinh2">
          <a:extLst>
            <a:ext uri="{FF2B5EF4-FFF2-40B4-BE49-F238E27FC236}">
              <a16:creationId xmlns:a16="http://schemas.microsoft.com/office/drawing/2014/main" id="{6C5720FD-F2EA-4810-8F2E-5F42DD142E87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291" name="Line 6">
            <a:extLst>
              <a:ext uri="{FF2B5EF4-FFF2-40B4-BE49-F238E27FC236}">
                <a16:creationId xmlns:a16="http://schemas.microsoft.com/office/drawing/2014/main" id="{C49A0465-758C-5B74-05B7-B8D5C68FC2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92" name="Line 7">
            <a:extLst>
              <a:ext uri="{FF2B5EF4-FFF2-40B4-BE49-F238E27FC236}">
                <a16:creationId xmlns:a16="http://schemas.microsoft.com/office/drawing/2014/main" id="{669C6A57-D1B6-DF15-8869-38868A2E64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93" name="Line 8">
            <a:extLst>
              <a:ext uri="{FF2B5EF4-FFF2-40B4-BE49-F238E27FC236}">
                <a16:creationId xmlns:a16="http://schemas.microsoft.com/office/drawing/2014/main" id="{A4AB93D9-7E63-16F8-BDF8-A4A20610297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294" name="hinh2">
          <a:extLst>
            <a:ext uri="{FF2B5EF4-FFF2-40B4-BE49-F238E27FC236}">
              <a16:creationId xmlns:a16="http://schemas.microsoft.com/office/drawing/2014/main" id="{BF5BD511-CCA0-4EE4-956C-079D38B0DAD7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295" name="Line 6">
            <a:extLst>
              <a:ext uri="{FF2B5EF4-FFF2-40B4-BE49-F238E27FC236}">
                <a16:creationId xmlns:a16="http://schemas.microsoft.com/office/drawing/2014/main" id="{121219A6-48E1-5E4B-9A9C-474453C282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96" name="Line 7">
            <a:extLst>
              <a:ext uri="{FF2B5EF4-FFF2-40B4-BE49-F238E27FC236}">
                <a16:creationId xmlns:a16="http://schemas.microsoft.com/office/drawing/2014/main" id="{DEF3DC6B-47AC-6A1F-21BA-7BD8A3EA3B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97" name="Line 8">
            <a:extLst>
              <a:ext uri="{FF2B5EF4-FFF2-40B4-BE49-F238E27FC236}">
                <a16:creationId xmlns:a16="http://schemas.microsoft.com/office/drawing/2014/main" id="{F6A3B792-5D4A-0E28-8D56-572215F11F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298" name="hinh2">
          <a:extLst>
            <a:ext uri="{FF2B5EF4-FFF2-40B4-BE49-F238E27FC236}">
              <a16:creationId xmlns:a16="http://schemas.microsoft.com/office/drawing/2014/main" id="{8508ABE6-92AB-4C0B-8555-CEB9B58B03F8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299" name="Line 6">
            <a:extLst>
              <a:ext uri="{FF2B5EF4-FFF2-40B4-BE49-F238E27FC236}">
                <a16:creationId xmlns:a16="http://schemas.microsoft.com/office/drawing/2014/main" id="{BE970E84-3B49-2E44-6CC6-B8BB35A886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0" name="Line 7">
            <a:extLst>
              <a:ext uri="{FF2B5EF4-FFF2-40B4-BE49-F238E27FC236}">
                <a16:creationId xmlns:a16="http://schemas.microsoft.com/office/drawing/2014/main" id="{2212FEBE-8DC8-501A-A62D-426C370C44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1" name="Line 8">
            <a:extLst>
              <a:ext uri="{FF2B5EF4-FFF2-40B4-BE49-F238E27FC236}">
                <a16:creationId xmlns:a16="http://schemas.microsoft.com/office/drawing/2014/main" id="{20B45BD1-536A-FE2D-A898-5C6E8ABEB4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302" name="hinh2">
          <a:extLst>
            <a:ext uri="{FF2B5EF4-FFF2-40B4-BE49-F238E27FC236}">
              <a16:creationId xmlns:a16="http://schemas.microsoft.com/office/drawing/2014/main" id="{546F6043-565B-4CED-A2C7-4BE38DD1AC52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303" name="Line 6">
            <a:extLst>
              <a:ext uri="{FF2B5EF4-FFF2-40B4-BE49-F238E27FC236}">
                <a16:creationId xmlns:a16="http://schemas.microsoft.com/office/drawing/2014/main" id="{B865FD93-DB19-7D8C-8770-B7D7F0EFBB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4" name="Line 7">
            <a:extLst>
              <a:ext uri="{FF2B5EF4-FFF2-40B4-BE49-F238E27FC236}">
                <a16:creationId xmlns:a16="http://schemas.microsoft.com/office/drawing/2014/main" id="{B6441C09-5DAE-2C10-38DA-9FED18F0DE5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5" name="Line 8">
            <a:extLst>
              <a:ext uri="{FF2B5EF4-FFF2-40B4-BE49-F238E27FC236}">
                <a16:creationId xmlns:a16="http://schemas.microsoft.com/office/drawing/2014/main" id="{2BDD0A25-1B3B-08E4-3434-785DF9106C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306" name="hinh2">
          <a:extLst>
            <a:ext uri="{FF2B5EF4-FFF2-40B4-BE49-F238E27FC236}">
              <a16:creationId xmlns:a16="http://schemas.microsoft.com/office/drawing/2014/main" id="{564A39CA-990D-441C-9148-10D74B21AC8B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307" name="Line 6">
            <a:extLst>
              <a:ext uri="{FF2B5EF4-FFF2-40B4-BE49-F238E27FC236}">
                <a16:creationId xmlns:a16="http://schemas.microsoft.com/office/drawing/2014/main" id="{330F2AC5-FE7E-C8D6-E934-890C2A58CF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8" name="Line 7">
            <a:extLst>
              <a:ext uri="{FF2B5EF4-FFF2-40B4-BE49-F238E27FC236}">
                <a16:creationId xmlns:a16="http://schemas.microsoft.com/office/drawing/2014/main" id="{C1D7D101-5755-639E-C85C-A3669D9117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09" name="Line 8">
            <a:extLst>
              <a:ext uri="{FF2B5EF4-FFF2-40B4-BE49-F238E27FC236}">
                <a16:creationId xmlns:a16="http://schemas.microsoft.com/office/drawing/2014/main" id="{CBE8C02F-E42D-D68F-868E-ADA6320C389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310" name="hinh2">
          <a:extLst>
            <a:ext uri="{FF2B5EF4-FFF2-40B4-BE49-F238E27FC236}">
              <a16:creationId xmlns:a16="http://schemas.microsoft.com/office/drawing/2014/main" id="{C88D01BD-1914-4AF8-9BB8-69A2855CFAF0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311" name="Line 6">
            <a:extLst>
              <a:ext uri="{FF2B5EF4-FFF2-40B4-BE49-F238E27FC236}">
                <a16:creationId xmlns:a16="http://schemas.microsoft.com/office/drawing/2014/main" id="{D1877F47-29A7-7442-DE46-1C510AFF2E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12" name="Line 7">
            <a:extLst>
              <a:ext uri="{FF2B5EF4-FFF2-40B4-BE49-F238E27FC236}">
                <a16:creationId xmlns:a16="http://schemas.microsoft.com/office/drawing/2014/main" id="{55F94902-448C-F054-88ED-E8D2E9B39A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13" name="Line 8">
            <a:extLst>
              <a:ext uri="{FF2B5EF4-FFF2-40B4-BE49-F238E27FC236}">
                <a16:creationId xmlns:a16="http://schemas.microsoft.com/office/drawing/2014/main" id="{6C725C48-11EF-A695-BA70-6878C1A0FC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314" name="hinh2">
          <a:extLst>
            <a:ext uri="{FF2B5EF4-FFF2-40B4-BE49-F238E27FC236}">
              <a16:creationId xmlns:a16="http://schemas.microsoft.com/office/drawing/2014/main" id="{756FA580-E59F-48F2-BDA7-9553A8BB37E5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315" name="Line 6">
            <a:extLst>
              <a:ext uri="{FF2B5EF4-FFF2-40B4-BE49-F238E27FC236}">
                <a16:creationId xmlns:a16="http://schemas.microsoft.com/office/drawing/2014/main" id="{F8BB52DE-CA2E-A48D-4A4D-63AA9FB81C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16" name="Line 7">
            <a:extLst>
              <a:ext uri="{FF2B5EF4-FFF2-40B4-BE49-F238E27FC236}">
                <a16:creationId xmlns:a16="http://schemas.microsoft.com/office/drawing/2014/main" id="{DDBA0CA1-3F55-74C8-B4D6-E8F6FE63CD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17" name="Line 8">
            <a:extLst>
              <a:ext uri="{FF2B5EF4-FFF2-40B4-BE49-F238E27FC236}">
                <a16:creationId xmlns:a16="http://schemas.microsoft.com/office/drawing/2014/main" id="{FDB7B21B-7A63-6A6D-17FF-7604A7D457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110</xdr:row>
      <xdr:rowOff>58616</xdr:rowOff>
    </xdr:from>
    <xdr:to>
      <xdr:col>3</xdr:col>
      <xdr:colOff>977635</xdr:colOff>
      <xdr:row>110</xdr:row>
      <xdr:rowOff>249116</xdr:rowOff>
    </xdr:to>
    <xdr:grpSp>
      <xdr:nvGrpSpPr>
        <xdr:cNvPr id="6318" name="hinh2">
          <a:extLst>
            <a:ext uri="{FF2B5EF4-FFF2-40B4-BE49-F238E27FC236}">
              <a16:creationId xmlns:a16="http://schemas.microsoft.com/office/drawing/2014/main" id="{9C3BD543-01CD-4C3C-8DCC-0AA62CEBAA4D}"/>
            </a:ext>
          </a:extLst>
        </xdr:cNvPr>
        <xdr:cNvGrpSpPr>
          <a:grpSpLocks noChangeAspect="1"/>
        </xdr:cNvGrpSpPr>
      </xdr:nvGrpSpPr>
      <xdr:grpSpPr bwMode="auto">
        <a:xfrm>
          <a:off x="2374970" y="42308795"/>
          <a:ext cx="875058" cy="190500"/>
          <a:chOff x="206" y="86"/>
          <a:chExt cx="73" cy="16"/>
        </a:xfrm>
      </xdr:grpSpPr>
      <xdr:sp macro="" textlink="">
        <xdr:nvSpPr>
          <xdr:cNvPr id="6319" name="Line 6">
            <a:extLst>
              <a:ext uri="{FF2B5EF4-FFF2-40B4-BE49-F238E27FC236}">
                <a16:creationId xmlns:a16="http://schemas.microsoft.com/office/drawing/2014/main" id="{0BBE7C9E-5F9B-236B-D43F-691BBBF594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20" name="Line 7">
            <a:extLst>
              <a:ext uri="{FF2B5EF4-FFF2-40B4-BE49-F238E27FC236}">
                <a16:creationId xmlns:a16="http://schemas.microsoft.com/office/drawing/2014/main" id="{40C34E60-FF65-D355-0BA9-88DFFAFBF6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21" name="Line 8">
            <a:extLst>
              <a:ext uri="{FF2B5EF4-FFF2-40B4-BE49-F238E27FC236}">
                <a16:creationId xmlns:a16="http://schemas.microsoft.com/office/drawing/2014/main" id="{ED3F7019-35DD-D5BD-DC09-A2100603B9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214</xdr:row>
      <xdr:rowOff>58616</xdr:rowOff>
    </xdr:from>
    <xdr:to>
      <xdr:col>3</xdr:col>
      <xdr:colOff>977635</xdr:colOff>
      <xdr:row>214</xdr:row>
      <xdr:rowOff>249116</xdr:rowOff>
    </xdr:to>
    <xdr:grpSp>
      <xdr:nvGrpSpPr>
        <xdr:cNvPr id="6442" name="hinh2">
          <a:extLst>
            <a:ext uri="{FF2B5EF4-FFF2-40B4-BE49-F238E27FC236}">
              <a16:creationId xmlns:a16="http://schemas.microsoft.com/office/drawing/2014/main" id="{B4430D74-9844-4DFA-B75B-E74F845D2184}"/>
            </a:ext>
          </a:extLst>
        </xdr:cNvPr>
        <xdr:cNvGrpSpPr>
          <a:grpSpLocks noChangeAspect="1"/>
        </xdr:cNvGrpSpPr>
      </xdr:nvGrpSpPr>
      <xdr:grpSpPr bwMode="auto">
        <a:xfrm>
          <a:off x="2374970" y="82613152"/>
          <a:ext cx="875058" cy="190500"/>
          <a:chOff x="206" y="86"/>
          <a:chExt cx="73" cy="16"/>
        </a:xfrm>
      </xdr:grpSpPr>
      <xdr:sp macro="" textlink="">
        <xdr:nvSpPr>
          <xdr:cNvPr id="6443" name="Line 6">
            <a:extLst>
              <a:ext uri="{FF2B5EF4-FFF2-40B4-BE49-F238E27FC236}">
                <a16:creationId xmlns:a16="http://schemas.microsoft.com/office/drawing/2014/main" id="{9C3935C2-472F-1BC2-C32C-46DA30C645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4" name="Line 7">
            <a:extLst>
              <a:ext uri="{FF2B5EF4-FFF2-40B4-BE49-F238E27FC236}">
                <a16:creationId xmlns:a16="http://schemas.microsoft.com/office/drawing/2014/main" id="{D832B943-C7C8-BC7A-A7A6-69A9FE29BC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5" name="Line 8">
            <a:extLst>
              <a:ext uri="{FF2B5EF4-FFF2-40B4-BE49-F238E27FC236}">
                <a16:creationId xmlns:a16="http://schemas.microsoft.com/office/drawing/2014/main" id="{C6711A81-CB11-15B3-AFC5-360382D168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215</xdr:row>
      <xdr:rowOff>58616</xdr:rowOff>
    </xdr:from>
    <xdr:to>
      <xdr:col>3</xdr:col>
      <xdr:colOff>977635</xdr:colOff>
      <xdr:row>215</xdr:row>
      <xdr:rowOff>249116</xdr:rowOff>
    </xdr:to>
    <xdr:grpSp>
      <xdr:nvGrpSpPr>
        <xdr:cNvPr id="6446" name="hinh2">
          <a:extLst>
            <a:ext uri="{FF2B5EF4-FFF2-40B4-BE49-F238E27FC236}">
              <a16:creationId xmlns:a16="http://schemas.microsoft.com/office/drawing/2014/main" id="{8FB1EEDD-7D08-42AF-9289-AD63FD18E7D9}"/>
            </a:ext>
          </a:extLst>
        </xdr:cNvPr>
        <xdr:cNvGrpSpPr>
          <a:grpSpLocks noChangeAspect="1"/>
        </xdr:cNvGrpSpPr>
      </xdr:nvGrpSpPr>
      <xdr:grpSpPr bwMode="auto">
        <a:xfrm>
          <a:off x="2374970" y="83007759"/>
          <a:ext cx="875058" cy="190500"/>
          <a:chOff x="206" y="86"/>
          <a:chExt cx="73" cy="16"/>
        </a:xfrm>
      </xdr:grpSpPr>
      <xdr:sp macro="" textlink="">
        <xdr:nvSpPr>
          <xdr:cNvPr id="6447" name="Line 6">
            <a:extLst>
              <a:ext uri="{FF2B5EF4-FFF2-40B4-BE49-F238E27FC236}">
                <a16:creationId xmlns:a16="http://schemas.microsoft.com/office/drawing/2014/main" id="{39A13BC5-24D1-B15F-B7D2-91D029A9C5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8" name="Line 7">
            <a:extLst>
              <a:ext uri="{FF2B5EF4-FFF2-40B4-BE49-F238E27FC236}">
                <a16:creationId xmlns:a16="http://schemas.microsoft.com/office/drawing/2014/main" id="{D61E0A39-D537-D725-E259-DB43AC67B4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49" name="Line 8">
            <a:extLst>
              <a:ext uri="{FF2B5EF4-FFF2-40B4-BE49-F238E27FC236}">
                <a16:creationId xmlns:a16="http://schemas.microsoft.com/office/drawing/2014/main" id="{8158FF9F-D7A9-30AA-7739-FE84CCFC69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216</xdr:row>
      <xdr:rowOff>58616</xdr:rowOff>
    </xdr:from>
    <xdr:to>
      <xdr:col>3</xdr:col>
      <xdr:colOff>977635</xdr:colOff>
      <xdr:row>216</xdr:row>
      <xdr:rowOff>249116</xdr:rowOff>
    </xdr:to>
    <xdr:grpSp>
      <xdr:nvGrpSpPr>
        <xdr:cNvPr id="6450" name="hinh2">
          <a:extLst>
            <a:ext uri="{FF2B5EF4-FFF2-40B4-BE49-F238E27FC236}">
              <a16:creationId xmlns:a16="http://schemas.microsoft.com/office/drawing/2014/main" id="{B4E8E918-3E5B-4161-A78F-655167656912}"/>
            </a:ext>
          </a:extLst>
        </xdr:cNvPr>
        <xdr:cNvGrpSpPr>
          <a:grpSpLocks noChangeAspect="1"/>
        </xdr:cNvGrpSpPr>
      </xdr:nvGrpSpPr>
      <xdr:grpSpPr bwMode="auto">
        <a:xfrm>
          <a:off x="2374970" y="83402366"/>
          <a:ext cx="875058" cy="190500"/>
          <a:chOff x="206" y="86"/>
          <a:chExt cx="73" cy="16"/>
        </a:xfrm>
      </xdr:grpSpPr>
      <xdr:sp macro="" textlink="">
        <xdr:nvSpPr>
          <xdr:cNvPr id="6451" name="Line 6">
            <a:extLst>
              <a:ext uri="{FF2B5EF4-FFF2-40B4-BE49-F238E27FC236}">
                <a16:creationId xmlns:a16="http://schemas.microsoft.com/office/drawing/2014/main" id="{96167AAF-63EE-E6D4-6FF8-4AACAD33D4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2" name="Line 7">
            <a:extLst>
              <a:ext uri="{FF2B5EF4-FFF2-40B4-BE49-F238E27FC236}">
                <a16:creationId xmlns:a16="http://schemas.microsoft.com/office/drawing/2014/main" id="{7A578107-5400-0220-8597-F4D8685C42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3" name="Line 8">
            <a:extLst>
              <a:ext uri="{FF2B5EF4-FFF2-40B4-BE49-F238E27FC236}">
                <a16:creationId xmlns:a16="http://schemas.microsoft.com/office/drawing/2014/main" id="{46F6A11C-6D85-354D-38F4-04F68966E8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214</xdr:row>
      <xdr:rowOff>58616</xdr:rowOff>
    </xdr:from>
    <xdr:to>
      <xdr:col>3</xdr:col>
      <xdr:colOff>977635</xdr:colOff>
      <xdr:row>214</xdr:row>
      <xdr:rowOff>249116</xdr:rowOff>
    </xdr:to>
    <xdr:grpSp>
      <xdr:nvGrpSpPr>
        <xdr:cNvPr id="6454" name="hinh2">
          <a:extLst>
            <a:ext uri="{FF2B5EF4-FFF2-40B4-BE49-F238E27FC236}">
              <a16:creationId xmlns:a16="http://schemas.microsoft.com/office/drawing/2014/main" id="{01E9EFBC-366E-4818-82E1-B36A552E07D8}"/>
            </a:ext>
          </a:extLst>
        </xdr:cNvPr>
        <xdr:cNvGrpSpPr>
          <a:grpSpLocks noChangeAspect="1"/>
        </xdr:cNvGrpSpPr>
      </xdr:nvGrpSpPr>
      <xdr:grpSpPr bwMode="auto">
        <a:xfrm>
          <a:off x="2374970" y="82613152"/>
          <a:ext cx="875058" cy="190500"/>
          <a:chOff x="206" y="86"/>
          <a:chExt cx="73" cy="16"/>
        </a:xfrm>
      </xdr:grpSpPr>
      <xdr:sp macro="" textlink="">
        <xdr:nvSpPr>
          <xdr:cNvPr id="6455" name="Line 6">
            <a:extLst>
              <a:ext uri="{FF2B5EF4-FFF2-40B4-BE49-F238E27FC236}">
                <a16:creationId xmlns:a16="http://schemas.microsoft.com/office/drawing/2014/main" id="{A3E4473B-5919-4BC6-9BD5-E9BCC6AB06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6" name="Line 7">
            <a:extLst>
              <a:ext uri="{FF2B5EF4-FFF2-40B4-BE49-F238E27FC236}">
                <a16:creationId xmlns:a16="http://schemas.microsoft.com/office/drawing/2014/main" id="{E25EB3B5-1BDB-CCFC-E0FC-8E4F674FEE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57" name="Line 8">
            <a:extLst>
              <a:ext uri="{FF2B5EF4-FFF2-40B4-BE49-F238E27FC236}">
                <a16:creationId xmlns:a16="http://schemas.microsoft.com/office/drawing/2014/main" id="{A2C793AF-C77F-F8B8-7C9A-4E0502CFE7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215</xdr:row>
      <xdr:rowOff>58616</xdr:rowOff>
    </xdr:from>
    <xdr:to>
      <xdr:col>3</xdr:col>
      <xdr:colOff>977635</xdr:colOff>
      <xdr:row>215</xdr:row>
      <xdr:rowOff>249116</xdr:rowOff>
    </xdr:to>
    <xdr:grpSp>
      <xdr:nvGrpSpPr>
        <xdr:cNvPr id="6458" name="hinh2">
          <a:extLst>
            <a:ext uri="{FF2B5EF4-FFF2-40B4-BE49-F238E27FC236}">
              <a16:creationId xmlns:a16="http://schemas.microsoft.com/office/drawing/2014/main" id="{853BAD0D-D03F-42B7-9AC4-25634FEB2421}"/>
            </a:ext>
          </a:extLst>
        </xdr:cNvPr>
        <xdr:cNvGrpSpPr>
          <a:grpSpLocks noChangeAspect="1"/>
        </xdr:cNvGrpSpPr>
      </xdr:nvGrpSpPr>
      <xdr:grpSpPr bwMode="auto">
        <a:xfrm>
          <a:off x="2374970" y="83007759"/>
          <a:ext cx="875058" cy="190500"/>
          <a:chOff x="206" y="86"/>
          <a:chExt cx="73" cy="16"/>
        </a:xfrm>
      </xdr:grpSpPr>
      <xdr:sp macro="" textlink="">
        <xdr:nvSpPr>
          <xdr:cNvPr id="6459" name="Line 6">
            <a:extLst>
              <a:ext uri="{FF2B5EF4-FFF2-40B4-BE49-F238E27FC236}">
                <a16:creationId xmlns:a16="http://schemas.microsoft.com/office/drawing/2014/main" id="{6C43562F-8830-CED8-A50F-98F7F43E58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0" name="Line 7">
            <a:extLst>
              <a:ext uri="{FF2B5EF4-FFF2-40B4-BE49-F238E27FC236}">
                <a16:creationId xmlns:a16="http://schemas.microsoft.com/office/drawing/2014/main" id="{58D275CC-054F-47B8-3AB5-E757C02F2F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1" name="Line 8">
            <a:extLst>
              <a:ext uri="{FF2B5EF4-FFF2-40B4-BE49-F238E27FC236}">
                <a16:creationId xmlns:a16="http://schemas.microsoft.com/office/drawing/2014/main" id="{91C80548-BAC9-FEE6-41EA-9FD862BCE6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215</xdr:row>
      <xdr:rowOff>58616</xdr:rowOff>
    </xdr:from>
    <xdr:to>
      <xdr:col>3</xdr:col>
      <xdr:colOff>977635</xdr:colOff>
      <xdr:row>215</xdr:row>
      <xdr:rowOff>249116</xdr:rowOff>
    </xdr:to>
    <xdr:grpSp>
      <xdr:nvGrpSpPr>
        <xdr:cNvPr id="6462" name="hinh2">
          <a:extLst>
            <a:ext uri="{FF2B5EF4-FFF2-40B4-BE49-F238E27FC236}">
              <a16:creationId xmlns:a16="http://schemas.microsoft.com/office/drawing/2014/main" id="{3FB1DBA8-4EC5-47D5-9E57-B3EA107A483A}"/>
            </a:ext>
          </a:extLst>
        </xdr:cNvPr>
        <xdr:cNvGrpSpPr>
          <a:grpSpLocks noChangeAspect="1"/>
        </xdr:cNvGrpSpPr>
      </xdr:nvGrpSpPr>
      <xdr:grpSpPr bwMode="auto">
        <a:xfrm>
          <a:off x="2374970" y="83007759"/>
          <a:ext cx="875058" cy="190500"/>
          <a:chOff x="206" y="86"/>
          <a:chExt cx="73" cy="16"/>
        </a:xfrm>
      </xdr:grpSpPr>
      <xdr:sp macro="" textlink="">
        <xdr:nvSpPr>
          <xdr:cNvPr id="6463" name="Line 6">
            <a:extLst>
              <a:ext uri="{FF2B5EF4-FFF2-40B4-BE49-F238E27FC236}">
                <a16:creationId xmlns:a16="http://schemas.microsoft.com/office/drawing/2014/main" id="{A33535E7-A3B1-426C-88D4-C33C470D308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4" name="Line 7">
            <a:extLst>
              <a:ext uri="{FF2B5EF4-FFF2-40B4-BE49-F238E27FC236}">
                <a16:creationId xmlns:a16="http://schemas.microsoft.com/office/drawing/2014/main" id="{85D2E74F-CCF6-1FCC-03DE-3F2CCAD4FC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5" name="Line 8">
            <a:extLst>
              <a:ext uri="{FF2B5EF4-FFF2-40B4-BE49-F238E27FC236}">
                <a16:creationId xmlns:a16="http://schemas.microsoft.com/office/drawing/2014/main" id="{77DCC544-951F-B461-1781-9B9FBA7300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219</xdr:row>
      <xdr:rowOff>58616</xdr:rowOff>
    </xdr:from>
    <xdr:to>
      <xdr:col>3</xdr:col>
      <xdr:colOff>977635</xdr:colOff>
      <xdr:row>219</xdr:row>
      <xdr:rowOff>249116</xdr:rowOff>
    </xdr:to>
    <xdr:grpSp>
      <xdr:nvGrpSpPr>
        <xdr:cNvPr id="6466" name="hinh2">
          <a:extLst>
            <a:ext uri="{FF2B5EF4-FFF2-40B4-BE49-F238E27FC236}">
              <a16:creationId xmlns:a16="http://schemas.microsoft.com/office/drawing/2014/main" id="{E6DA7310-41BE-416B-9E79-8A2BE2A43503}"/>
            </a:ext>
          </a:extLst>
        </xdr:cNvPr>
        <xdr:cNvGrpSpPr>
          <a:grpSpLocks noChangeAspect="1"/>
        </xdr:cNvGrpSpPr>
      </xdr:nvGrpSpPr>
      <xdr:grpSpPr bwMode="auto">
        <a:xfrm>
          <a:off x="2374970" y="84586187"/>
          <a:ext cx="875058" cy="190500"/>
          <a:chOff x="206" y="86"/>
          <a:chExt cx="73" cy="16"/>
        </a:xfrm>
      </xdr:grpSpPr>
      <xdr:sp macro="" textlink="">
        <xdr:nvSpPr>
          <xdr:cNvPr id="6467" name="Line 6">
            <a:extLst>
              <a:ext uri="{FF2B5EF4-FFF2-40B4-BE49-F238E27FC236}">
                <a16:creationId xmlns:a16="http://schemas.microsoft.com/office/drawing/2014/main" id="{2D553EB1-DFDD-76C3-D2B9-4D2CBFF1BC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8" name="Line 7">
            <a:extLst>
              <a:ext uri="{FF2B5EF4-FFF2-40B4-BE49-F238E27FC236}">
                <a16:creationId xmlns:a16="http://schemas.microsoft.com/office/drawing/2014/main" id="{7A9C6757-8CD1-1F1B-8E96-21F0E8196D4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69" name="Line 8">
            <a:extLst>
              <a:ext uri="{FF2B5EF4-FFF2-40B4-BE49-F238E27FC236}">
                <a16:creationId xmlns:a16="http://schemas.microsoft.com/office/drawing/2014/main" id="{08206734-A6B2-71CD-7A29-3E8D54EC76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212</xdr:row>
      <xdr:rowOff>271096</xdr:rowOff>
    </xdr:from>
    <xdr:to>
      <xdr:col>3</xdr:col>
      <xdr:colOff>930519</xdr:colOff>
      <xdr:row>212</xdr:row>
      <xdr:rowOff>271096</xdr:rowOff>
    </xdr:to>
    <xdr:cxnSp macro="">
      <xdr:nvCxnSpPr>
        <xdr:cNvPr id="6475" name="hinh1">
          <a:extLst>
            <a:ext uri="{FF2B5EF4-FFF2-40B4-BE49-F238E27FC236}">
              <a16:creationId xmlns:a16="http://schemas.microsoft.com/office/drawing/2014/main" id="{B779B8DD-777A-46BA-A107-F3D31D371E82}"/>
            </a:ext>
          </a:extLst>
        </xdr:cNvPr>
        <xdr:cNvCxnSpPr/>
      </xdr:nvCxnSpPr>
      <xdr:spPr>
        <a:xfrm>
          <a:off x="2066829" y="5598282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213</xdr:row>
      <xdr:rowOff>271096</xdr:rowOff>
    </xdr:from>
    <xdr:to>
      <xdr:col>3</xdr:col>
      <xdr:colOff>930519</xdr:colOff>
      <xdr:row>213</xdr:row>
      <xdr:rowOff>271096</xdr:rowOff>
    </xdr:to>
    <xdr:cxnSp macro="">
      <xdr:nvCxnSpPr>
        <xdr:cNvPr id="6476" name="hinh1">
          <a:extLst>
            <a:ext uri="{FF2B5EF4-FFF2-40B4-BE49-F238E27FC236}">
              <a16:creationId xmlns:a16="http://schemas.microsoft.com/office/drawing/2014/main" id="{7CC896EA-76DA-463E-8AFD-5F8AF4D4017F}"/>
            </a:ext>
          </a:extLst>
        </xdr:cNvPr>
        <xdr:cNvCxnSpPr/>
      </xdr:nvCxnSpPr>
      <xdr:spPr>
        <a:xfrm>
          <a:off x="2338972" y="130940489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102577</xdr:colOff>
      <xdr:row>220</xdr:row>
      <xdr:rowOff>58616</xdr:rowOff>
    </xdr:from>
    <xdr:to>
      <xdr:col>3</xdr:col>
      <xdr:colOff>977635</xdr:colOff>
      <xdr:row>220</xdr:row>
      <xdr:rowOff>249116</xdr:rowOff>
    </xdr:to>
    <xdr:grpSp>
      <xdr:nvGrpSpPr>
        <xdr:cNvPr id="6477" name="hinh2">
          <a:extLst>
            <a:ext uri="{FF2B5EF4-FFF2-40B4-BE49-F238E27FC236}">
              <a16:creationId xmlns:a16="http://schemas.microsoft.com/office/drawing/2014/main" id="{3ECDE2D9-D98C-4A5F-8CEF-371CD72EA8B4}"/>
            </a:ext>
          </a:extLst>
        </xdr:cNvPr>
        <xdr:cNvGrpSpPr>
          <a:grpSpLocks noChangeAspect="1"/>
        </xdr:cNvGrpSpPr>
      </xdr:nvGrpSpPr>
      <xdr:grpSpPr bwMode="auto">
        <a:xfrm>
          <a:off x="2374970" y="84980795"/>
          <a:ext cx="875058" cy="190500"/>
          <a:chOff x="206" y="86"/>
          <a:chExt cx="73" cy="16"/>
        </a:xfrm>
      </xdr:grpSpPr>
      <xdr:sp macro="" textlink="">
        <xdr:nvSpPr>
          <xdr:cNvPr id="6478" name="Line 6">
            <a:extLst>
              <a:ext uri="{FF2B5EF4-FFF2-40B4-BE49-F238E27FC236}">
                <a16:creationId xmlns:a16="http://schemas.microsoft.com/office/drawing/2014/main" id="{B2091002-7173-988A-5F51-9ED7991077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79" name="Line 7">
            <a:extLst>
              <a:ext uri="{FF2B5EF4-FFF2-40B4-BE49-F238E27FC236}">
                <a16:creationId xmlns:a16="http://schemas.microsoft.com/office/drawing/2014/main" id="{75510755-6A72-DE10-1ED2-DF7FEA68E56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0" name="Line 8">
            <a:extLst>
              <a:ext uri="{FF2B5EF4-FFF2-40B4-BE49-F238E27FC236}">
                <a16:creationId xmlns:a16="http://schemas.microsoft.com/office/drawing/2014/main" id="{30F81B19-5317-CFB7-F408-838674BF87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221</xdr:row>
      <xdr:rowOff>58616</xdr:rowOff>
    </xdr:from>
    <xdr:to>
      <xdr:col>3</xdr:col>
      <xdr:colOff>977635</xdr:colOff>
      <xdr:row>221</xdr:row>
      <xdr:rowOff>249116</xdr:rowOff>
    </xdr:to>
    <xdr:grpSp>
      <xdr:nvGrpSpPr>
        <xdr:cNvPr id="6481" name="hinh2">
          <a:extLst>
            <a:ext uri="{FF2B5EF4-FFF2-40B4-BE49-F238E27FC236}">
              <a16:creationId xmlns:a16="http://schemas.microsoft.com/office/drawing/2014/main" id="{8782DD12-E3D8-4D6C-9741-516465BD2D95}"/>
            </a:ext>
          </a:extLst>
        </xdr:cNvPr>
        <xdr:cNvGrpSpPr>
          <a:grpSpLocks noChangeAspect="1"/>
        </xdr:cNvGrpSpPr>
      </xdr:nvGrpSpPr>
      <xdr:grpSpPr bwMode="auto">
        <a:xfrm>
          <a:off x="2374970" y="85375402"/>
          <a:ext cx="875058" cy="190500"/>
          <a:chOff x="206" y="86"/>
          <a:chExt cx="73" cy="16"/>
        </a:xfrm>
      </xdr:grpSpPr>
      <xdr:sp macro="" textlink="">
        <xdr:nvSpPr>
          <xdr:cNvPr id="6482" name="Line 6">
            <a:extLst>
              <a:ext uri="{FF2B5EF4-FFF2-40B4-BE49-F238E27FC236}">
                <a16:creationId xmlns:a16="http://schemas.microsoft.com/office/drawing/2014/main" id="{FFCC010F-AD66-2891-1BE2-D99CAB8489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3" name="Line 7">
            <a:extLst>
              <a:ext uri="{FF2B5EF4-FFF2-40B4-BE49-F238E27FC236}">
                <a16:creationId xmlns:a16="http://schemas.microsoft.com/office/drawing/2014/main" id="{98C2D8FE-585D-3CAD-A664-B6725D767E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4" name="Line 8">
            <a:extLst>
              <a:ext uri="{FF2B5EF4-FFF2-40B4-BE49-F238E27FC236}">
                <a16:creationId xmlns:a16="http://schemas.microsoft.com/office/drawing/2014/main" id="{1F29E799-489E-243C-2C31-595480652F7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218</xdr:row>
      <xdr:rowOff>58616</xdr:rowOff>
    </xdr:from>
    <xdr:to>
      <xdr:col>3</xdr:col>
      <xdr:colOff>977635</xdr:colOff>
      <xdr:row>218</xdr:row>
      <xdr:rowOff>249116</xdr:rowOff>
    </xdr:to>
    <xdr:grpSp>
      <xdr:nvGrpSpPr>
        <xdr:cNvPr id="6485" name="hinh2">
          <a:extLst>
            <a:ext uri="{FF2B5EF4-FFF2-40B4-BE49-F238E27FC236}">
              <a16:creationId xmlns:a16="http://schemas.microsoft.com/office/drawing/2014/main" id="{859938B2-A720-4573-8277-76671B48AE22}"/>
            </a:ext>
          </a:extLst>
        </xdr:cNvPr>
        <xdr:cNvGrpSpPr>
          <a:grpSpLocks noChangeAspect="1"/>
        </xdr:cNvGrpSpPr>
      </xdr:nvGrpSpPr>
      <xdr:grpSpPr bwMode="auto">
        <a:xfrm>
          <a:off x="2374970" y="84191580"/>
          <a:ext cx="875058" cy="190500"/>
          <a:chOff x="206" y="86"/>
          <a:chExt cx="73" cy="16"/>
        </a:xfrm>
      </xdr:grpSpPr>
      <xdr:sp macro="" textlink="">
        <xdr:nvSpPr>
          <xdr:cNvPr id="6486" name="Line 6">
            <a:extLst>
              <a:ext uri="{FF2B5EF4-FFF2-40B4-BE49-F238E27FC236}">
                <a16:creationId xmlns:a16="http://schemas.microsoft.com/office/drawing/2014/main" id="{69A26B8B-39AA-948F-F1AF-13707B59BB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7" name="Line 7">
            <a:extLst>
              <a:ext uri="{FF2B5EF4-FFF2-40B4-BE49-F238E27FC236}">
                <a16:creationId xmlns:a16="http://schemas.microsoft.com/office/drawing/2014/main" id="{0714C659-F78B-F1B1-DE72-0E0DE53044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8" name="Line 8">
            <a:extLst>
              <a:ext uri="{FF2B5EF4-FFF2-40B4-BE49-F238E27FC236}">
                <a16:creationId xmlns:a16="http://schemas.microsoft.com/office/drawing/2014/main" id="{896A049B-ED52-5EB7-9206-E2FA1E7CC5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217</xdr:row>
      <xdr:rowOff>58616</xdr:rowOff>
    </xdr:from>
    <xdr:to>
      <xdr:col>3</xdr:col>
      <xdr:colOff>977635</xdr:colOff>
      <xdr:row>217</xdr:row>
      <xdr:rowOff>249116</xdr:rowOff>
    </xdr:to>
    <xdr:grpSp>
      <xdr:nvGrpSpPr>
        <xdr:cNvPr id="6489" name="hinh2">
          <a:extLst>
            <a:ext uri="{FF2B5EF4-FFF2-40B4-BE49-F238E27FC236}">
              <a16:creationId xmlns:a16="http://schemas.microsoft.com/office/drawing/2014/main" id="{E227F82D-7EB8-439F-A0DF-12447D189C63}"/>
            </a:ext>
          </a:extLst>
        </xdr:cNvPr>
        <xdr:cNvGrpSpPr>
          <a:grpSpLocks noChangeAspect="1"/>
        </xdr:cNvGrpSpPr>
      </xdr:nvGrpSpPr>
      <xdr:grpSpPr bwMode="auto">
        <a:xfrm>
          <a:off x="2374970" y="83796973"/>
          <a:ext cx="875058" cy="190500"/>
          <a:chOff x="206" y="86"/>
          <a:chExt cx="73" cy="16"/>
        </a:xfrm>
      </xdr:grpSpPr>
      <xdr:sp macro="" textlink="">
        <xdr:nvSpPr>
          <xdr:cNvPr id="6490" name="Line 6">
            <a:extLst>
              <a:ext uri="{FF2B5EF4-FFF2-40B4-BE49-F238E27FC236}">
                <a16:creationId xmlns:a16="http://schemas.microsoft.com/office/drawing/2014/main" id="{BEC7E974-A7C8-FDF9-FFCD-A757F5776C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1" name="Line 7">
            <a:extLst>
              <a:ext uri="{FF2B5EF4-FFF2-40B4-BE49-F238E27FC236}">
                <a16:creationId xmlns:a16="http://schemas.microsoft.com/office/drawing/2014/main" id="{C8A316F7-A9A5-1467-41D0-ED474E555E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2" name="Line 8">
            <a:extLst>
              <a:ext uri="{FF2B5EF4-FFF2-40B4-BE49-F238E27FC236}">
                <a16:creationId xmlns:a16="http://schemas.microsoft.com/office/drawing/2014/main" id="{3F87BFD8-A230-1383-5E28-3FFA40AE9F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223</xdr:row>
      <xdr:rowOff>58616</xdr:rowOff>
    </xdr:from>
    <xdr:to>
      <xdr:col>3</xdr:col>
      <xdr:colOff>977635</xdr:colOff>
      <xdr:row>223</xdr:row>
      <xdr:rowOff>249116</xdr:rowOff>
    </xdr:to>
    <xdr:grpSp>
      <xdr:nvGrpSpPr>
        <xdr:cNvPr id="6493" name="hinh2">
          <a:extLst>
            <a:ext uri="{FF2B5EF4-FFF2-40B4-BE49-F238E27FC236}">
              <a16:creationId xmlns:a16="http://schemas.microsoft.com/office/drawing/2014/main" id="{7B220A30-0F59-402A-BEBC-E74B7412BFFF}"/>
            </a:ext>
          </a:extLst>
        </xdr:cNvPr>
        <xdr:cNvGrpSpPr>
          <a:grpSpLocks noChangeAspect="1"/>
        </xdr:cNvGrpSpPr>
      </xdr:nvGrpSpPr>
      <xdr:grpSpPr bwMode="auto">
        <a:xfrm>
          <a:off x="2374970" y="86164616"/>
          <a:ext cx="875058" cy="190500"/>
          <a:chOff x="206" y="86"/>
          <a:chExt cx="73" cy="16"/>
        </a:xfrm>
      </xdr:grpSpPr>
      <xdr:sp macro="" textlink="">
        <xdr:nvSpPr>
          <xdr:cNvPr id="6494" name="Line 6">
            <a:extLst>
              <a:ext uri="{FF2B5EF4-FFF2-40B4-BE49-F238E27FC236}">
                <a16:creationId xmlns:a16="http://schemas.microsoft.com/office/drawing/2014/main" id="{FA2FE714-4E1C-27A8-8B21-A58D66C18D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5" name="Line 7">
            <a:extLst>
              <a:ext uri="{FF2B5EF4-FFF2-40B4-BE49-F238E27FC236}">
                <a16:creationId xmlns:a16="http://schemas.microsoft.com/office/drawing/2014/main" id="{11A696D8-57B1-3EB6-4D0F-09D19851AC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6" name="Line 8">
            <a:extLst>
              <a:ext uri="{FF2B5EF4-FFF2-40B4-BE49-F238E27FC236}">
                <a16:creationId xmlns:a16="http://schemas.microsoft.com/office/drawing/2014/main" id="{86140B97-FC8B-4BC4-B8B0-71259F1F81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222</xdr:row>
      <xdr:rowOff>58616</xdr:rowOff>
    </xdr:from>
    <xdr:to>
      <xdr:col>3</xdr:col>
      <xdr:colOff>977635</xdr:colOff>
      <xdr:row>222</xdr:row>
      <xdr:rowOff>249116</xdr:rowOff>
    </xdr:to>
    <xdr:grpSp>
      <xdr:nvGrpSpPr>
        <xdr:cNvPr id="6497" name="hinh2">
          <a:extLst>
            <a:ext uri="{FF2B5EF4-FFF2-40B4-BE49-F238E27FC236}">
              <a16:creationId xmlns:a16="http://schemas.microsoft.com/office/drawing/2014/main" id="{021DE5A3-BF95-4DBC-8C7A-F498A8420DCB}"/>
            </a:ext>
          </a:extLst>
        </xdr:cNvPr>
        <xdr:cNvGrpSpPr>
          <a:grpSpLocks noChangeAspect="1"/>
        </xdr:cNvGrpSpPr>
      </xdr:nvGrpSpPr>
      <xdr:grpSpPr bwMode="auto">
        <a:xfrm>
          <a:off x="2374970" y="85770009"/>
          <a:ext cx="875058" cy="190500"/>
          <a:chOff x="206" y="86"/>
          <a:chExt cx="73" cy="16"/>
        </a:xfrm>
      </xdr:grpSpPr>
      <xdr:sp macro="" textlink="">
        <xdr:nvSpPr>
          <xdr:cNvPr id="6498" name="Line 6">
            <a:extLst>
              <a:ext uri="{FF2B5EF4-FFF2-40B4-BE49-F238E27FC236}">
                <a16:creationId xmlns:a16="http://schemas.microsoft.com/office/drawing/2014/main" id="{8854C5AF-288F-69AD-AE2B-3C3066BB82F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99" name="Line 7">
            <a:extLst>
              <a:ext uri="{FF2B5EF4-FFF2-40B4-BE49-F238E27FC236}">
                <a16:creationId xmlns:a16="http://schemas.microsoft.com/office/drawing/2014/main" id="{17F72C6B-4CB2-E06A-FE66-2821A916BC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0" name="Line 8">
            <a:extLst>
              <a:ext uri="{FF2B5EF4-FFF2-40B4-BE49-F238E27FC236}">
                <a16:creationId xmlns:a16="http://schemas.microsoft.com/office/drawing/2014/main" id="{4F05BAEA-C184-091F-7009-CF2E611F99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227</xdr:row>
      <xdr:rowOff>58616</xdr:rowOff>
    </xdr:from>
    <xdr:to>
      <xdr:col>3</xdr:col>
      <xdr:colOff>977635</xdr:colOff>
      <xdr:row>227</xdr:row>
      <xdr:rowOff>249116</xdr:rowOff>
    </xdr:to>
    <xdr:grpSp>
      <xdr:nvGrpSpPr>
        <xdr:cNvPr id="6501" name="hinh2">
          <a:extLst>
            <a:ext uri="{FF2B5EF4-FFF2-40B4-BE49-F238E27FC236}">
              <a16:creationId xmlns:a16="http://schemas.microsoft.com/office/drawing/2014/main" id="{714271A8-9A0D-4C6A-9AC3-DCCC5F9A8D45}"/>
            </a:ext>
          </a:extLst>
        </xdr:cNvPr>
        <xdr:cNvGrpSpPr>
          <a:grpSpLocks noChangeAspect="1"/>
        </xdr:cNvGrpSpPr>
      </xdr:nvGrpSpPr>
      <xdr:grpSpPr bwMode="auto">
        <a:xfrm>
          <a:off x="2374970" y="87620580"/>
          <a:ext cx="875058" cy="190500"/>
          <a:chOff x="206" y="86"/>
          <a:chExt cx="73" cy="16"/>
        </a:xfrm>
      </xdr:grpSpPr>
      <xdr:sp macro="" textlink="">
        <xdr:nvSpPr>
          <xdr:cNvPr id="6502" name="Line 6">
            <a:extLst>
              <a:ext uri="{FF2B5EF4-FFF2-40B4-BE49-F238E27FC236}">
                <a16:creationId xmlns:a16="http://schemas.microsoft.com/office/drawing/2014/main" id="{7F9E2076-D552-2BA2-EC93-9A25FE67B1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3" name="Line 7">
            <a:extLst>
              <a:ext uri="{FF2B5EF4-FFF2-40B4-BE49-F238E27FC236}">
                <a16:creationId xmlns:a16="http://schemas.microsoft.com/office/drawing/2014/main" id="{DE998BCD-8BB0-E37A-AC48-49A17F7ED6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4" name="Line 8">
            <a:extLst>
              <a:ext uri="{FF2B5EF4-FFF2-40B4-BE49-F238E27FC236}">
                <a16:creationId xmlns:a16="http://schemas.microsoft.com/office/drawing/2014/main" id="{2C27A7BC-0E7C-A2C3-7FA0-9817E8B461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228</xdr:row>
      <xdr:rowOff>58616</xdr:rowOff>
    </xdr:from>
    <xdr:to>
      <xdr:col>3</xdr:col>
      <xdr:colOff>977635</xdr:colOff>
      <xdr:row>228</xdr:row>
      <xdr:rowOff>249116</xdr:rowOff>
    </xdr:to>
    <xdr:grpSp>
      <xdr:nvGrpSpPr>
        <xdr:cNvPr id="6505" name="hinh2">
          <a:extLst>
            <a:ext uri="{FF2B5EF4-FFF2-40B4-BE49-F238E27FC236}">
              <a16:creationId xmlns:a16="http://schemas.microsoft.com/office/drawing/2014/main" id="{89C2AB49-93C9-4168-8E11-573517CA1DBF}"/>
            </a:ext>
          </a:extLst>
        </xdr:cNvPr>
        <xdr:cNvGrpSpPr>
          <a:grpSpLocks noChangeAspect="1"/>
        </xdr:cNvGrpSpPr>
      </xdr:nvGrpSpPr>
      <xdr:grpSpPr bwMode="auto">
        <a:xfrm>
          <a:off x="2374970" y="88015187"/>
          <a:ext cx="875058" cy="190500"/>
          <a:chOff x="206" y="86"/>
          <a:chExt cx="73" cy="16"/>
        </a:xfrm>
      </xdr:grpSpPr>
      <xdr:sp macro="" textlink="">
        <xdr:nvSpPr>
          <xdr:cNvPr id="6506" name="Line 6">
            <a:extLst>
              <a:ext uri="{FF2B5EF4-FFF2-40B4-BE49-F238E27FC236}">
                <a16:creationId xmlns:a16="http://schemas.microsoft.com/office/drawing/2014/main" id="{41553B63-9E28-FC2C-0140-5DD9710A5C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7" name="Line 7">
            <a:extLst>
              <a:ext uri="{FF2B5EF4-FFF2-40B4-BE49-F238E27FC236}">
                <a16:creationId xmlns:a16="http://schemas.microsoft.com/office/drawing/2014/main" id="{AE537A74-9DB1-932F-DD6B-BE8848F8B8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08" name="Line 8">
            <a:extLst>
              <a:ext uri="{FF2B5EF4-FFF2-40B4-BE49-F238E27FC236}">
                <a16:creationId xmlns:a16="http://schemas.microsoft.com/office/drawing/2014/main" id="{01AB1A4E-A57C-CE8C-C782-2851FC2A5F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229</xdr:row>
      <xdr:rowOff>58616</xdr:rowOff>
    </xdr:from>
    <xdr:to>
      <xdr:col>3</xdr:col>
      <xdr:colOff>977635</xdr:colOff>
      <xdr:row>229</xdr:row>
      <xdr:rowOff>249116</xdr:rowOff>
    </xdr:to>
    <xdr:grpSp>
      <xdr:nvGrpSpPr>
        <xdr:cNvPr id="6509" name="hinh2">
          <a:extLst>
            <a:ext uri="{FF2B5EF4-FFF2-40B4-BE49-F238E27FC236}">
              <a16:creationId xmlns:a16="http://schemas.microsoft.com/office/drawing/2014/main" id="{A4054EAC-31A5-4BF5-9897-7A018C1D8945}"/>
            </a:ext>
          </a:extLst>
        </xdr:cNvPr>
        <xdr:cNvGrpSpPr>
          <a:grpSpLocks noChangeAspect="1"/>
        </xdr:cNvGrpSpPr>
      </xdr:nvGrpSpPr>
      <xdr:grpSpPr bwMode="auto">
        <a:xfrm>
          <a:off x="2374970" y="88409795"/>
          <a:ext cx="875058" cy="190500"/>
          <a:chOff x="206" y="86"/>
          <a:chExt cx="73" cy="16"/>
        </a:xfrm>
      </xdr:grpSpPr>
      <xdr:sp macro="" textlink="">
        <xdr:nvSpPr>
          <xdr:cNvPr id="6510" name="Line 6">
            <a:extLst>
              <a:ext uri="{FF2B5EF4-FFF2-40B4-BE49-F238E27FC236}">
                <a16:creationId xmlns:a16="http://schemas.microsoft.com/office/drawing/2014/main" id="{44E8A997-6283-EC30-5176-C6D79C262D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1" name="Line 7">
            <a:extLst>
              <a:ext uri="{FF2B5EF4-FFF2-40B4-BE49-F238E27FC236}">
                <a16:creationId xmlns:a16="http://schemas.microsoft.com/office/drawing/2014/main" id="{0AA3C3FD-A3CD-5DA3-313B-38E2AF1FC6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2" name="Line 8">
            <a:extLst>
              <a:ext uri="{FF2B5EF4-FFF2-40B4-BE49-F238E27FC236}">
                <a16:creationId xmlns:a16="http://schemas.microsoft.com/office/drawing/2014/main" id="{CDC8F952-60D9-9FFE-0F78-F96F900137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227</xdr:row>
      <xdr:rowOff>58616</xdr:rowOff>
    </xdr:from>
    <xdr:to>
      <xdr:col>3</xdr:col>
      <xdr:colOff>977635</xdr:colOff>
      <xdr:row>227</xdr:row>
      <xdr:rowOff>249116</xdr:rowOff>
    </xdr:to>
    <xdr:grpSp>
      <xdr:nvGrpSpPr>
        <xdr:cNvPr id="6513" name="hinh2">
          <a:extLst>
            <a:ext uri="{FF2B5EF4-FFF2-40B4-BE49-F238E27FC236}">
              <a16:creationId xmlns:a16="http://schemas.microsoft.com/office/drawing/2014/main" id="{1924BE91-4943-438E-9AE6-ACCA5362BACE}"/>
            </a:ext>
          </a:extLst>
        </xdr:cNvPr>
        <xdr:cNvGrpSpPr>
          <a:grpSpLocks noChangeAspect="1"/>
        </xdr:cNvGrpSpPr>
      </xdr:nvGrpSpPr>
      <xdr:grpSpPr bwMode="auto">
        <a:xfrm>
          <a:off x="2374970" y="87620580"/>
          <a:ext cx="875058" cy="190500"/>
          <a:chOff x="206" y="86"/>
          <a:chExt cx="73" cy="16"/>
        </a:xfrm>
      </xdr:grpSpPr>
      <xdr:sp macro="" textlink="">
        <xdr:nvSpPr>
          <xdr:cNvPr id="6514" name="Line 6">
            <a:extLst>
              <a:ext uri="{FF2B5EF4-FFF2-40B4-BE49-F238E27FC236}">
                <a16:creationId xmlns:a16="http://schemas.microsoft.com/office/drawing/2014/main" id="{2A6CD7DC-91B1-EB21-20AA-2435936D9EC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5" name="Line 7">
            <a:extLst>
              <a:ext uri="{FF2B5EF4-FFF2-40B4-BE49-F238E27FC236}">
                <a16:creationId xmlns:a16="http://schemas.microsoft.com/office/drawing/2014/main" id="{719EEDB6-FCEE-D979-2450-70E6B8D02B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6" name="Line 8">
            <a:extLst>
              <a:ext uri="{FF2B5EF4-FFF2-40B4-BE49-F238E27FC236}">
                <a16:creationId xmlns:a16="http://schemas.microsoft.com/office/drawing/2014/main" id="{0EEED184-05A0-A022-EE29-BFF12043C3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228</xdr:row>
      <xdr:rowOff>58616</xdr:rowOff>
    </xdr:from>
    <xdr:to>
      <xdr:col>3</xdr:col>
      <xdr:colOff>977635</xdr:colOff>
      <xdr:row>228</xdr:row>
      <xdr:rowOff>249116</xdr:rowOff>
    </xdr:to>
    <xdr:grpSp>
      <xdr:nvGrpSpPr>
        <xdr:cNvPr id="6517" name="hinh2">
          <a:extLst>
            <a:ext uri="{FF2B5EF4-FFF2-40B4-BE49-F238E27FC236}">
              <a16:creationId xmlns:a16="http://schemas.microsoft.com/office/drawing/2014/main" id="{28CBD089-3148-4195-8C60-5B83EA6636D7}"/>
            </a:ext>
          </a:extLst>
        </xdr:cNvPr>
        <xdr:cNvGrpSpPr>
          <a:grpSpLocks noChangeAspect="1"/>
        </xdr:cNvGrpSpPr>
      </xdr:nvGrpSpPr>
      <xdr:grpSpPr bwMode="auto">
        <a:xfrm>
          <a:off x="2374970" y="88015187"/>
          <a:ext cx="875058" cy="190500"/>
          <a:chOff x="206" y="86"/>
          <a:chExt cx="73" cy="16"/>
        </a:xfrm>
      </xdr:grpSpPr>
      <xdr:sp macro="" textlink="">
        <xdr:nvSpPr>
          <xdr:cNvPr id="6518" name="Line 6">
            <a:extLst>
              <a:ext uri="{FF2B5EF4-FFF2-40B4-BE49-F238E27FC236}">
                <a16:creationId xmlns:a16="http://schemas.microsoft.com/office/drawing/2014/main" id="{FBF3B952-AECF-C8D8-DD2C-E163B6B0BA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19" name="Line 7">
            <a:extLst>
              <a:ext uri="{FF2B5EF4-FFF2-40B4-BE49-F238E27FC236}">
                <a16:creationId xmlns:a16="http://schemas.microsoft.com/office/drawing/2014/main" id="{2670473A-CE93-6C18-DD6C-172F853220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0" name="Line 8">
            <a:extLst>
              <a:ext uri="{FF2B5EF4-FFF2-40B4-BE49-F238E27FC236}">
                <a16:creationId xmlns:a16="http://schemas.microsoft.com/office/drawing/2014/main" id="{1DDA1528-5090-B83B-B029-74256CA26E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228</xdr:row>
      <xdr:rowOff>58616</xdr:rowOff>
    </xdr:from>
    <xdr:to>
      <xdr:col>3</xdr:col>
      <xdr:colOff>977635</xdr:colOff>
      <xdr:row>228</xdr:row>
      <xdr:rowOff>249116</xdr:rowOff>
    </xdr:to>
    <xdr:grpSp>
      <xdr:nvGrpSpPr>
        <xdr:cNvPr id="6521" name="hinh2">
          <a:extLst>
            <a:ext uri="{FF2B5EF4-FFF2-40B4-BE49-F238E27FC236}">
              <a16:creationId xmlns:a16="http://schemas.microsoft.com/office/drawing/2014/main" id="{80A8128F-2507-4B35-93AE-A0191667602E}"/>
            </a:ext>
          </a:extLst>
        </xdr:cNvPr>
        <xdr:cNvGrpSpPr>
          <a:grpSpLocks noChangeAspect="1"/>
        </xdr:cNvGrpSpPr>
      </xdr:nvGrpSpPr>
      <xdr:grpSpPr bwMode="auto">
        <a:xfrm>
          <a:off x="2374970" y="88015187"/>
          <a:ext cx="875058" cy="190500"/>
          <a:chOff x="206" y="86"/>
          <a:chExt cx="73" cy="16"/>
        </a:xfrm>
      </xdr:grpSpPr>
      <xdr:sp macro="" textlink="">
        <xdr:nvSpPr>
          <xdr:cNvPr id="6522" name="Line 6">
            <a:extLst>
              <a:ext uri="{FF2B5EF4-FFF2-40B4-BE49-F238E27FC236}">
                <a16:creationId xmlns:a16="http://schemas.microsoft.com/office/drawing/2014/main" id="{FC278BC1-0519-F030-D65D-94DAD10D67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3" name="Line 7">
            <a:extLst>
              <a:ext uri="{FF2B5EF4-FFF2-40B4-BE49-F238E27FC236}">
                <a16:creationId xmlns:a16="http://schemas.microsoft.com/office/drawing/2014/main" id="{97185A49-1A9E-7BE0-3175-52E659A14D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4" name="Line 8">
            <a:extLst>
              <a:ext uri="{FF2B5EF4-FFF2-40B4-BE49-F238E27FC236}">
                <a16:creationId xmlns:a16="http://schemas.microsoft.com/office/drawing/2014/main" id="{4930E096-3430-13CA-AAC7-75573B104F3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232</xdr:row>
      <xdr:rowOff>58616</xdr:rowOff>
    </xdr:from>
    <xdr:to>
      <xdr:col>3</xdr:col>
      <xdr:colOff>977635</xdr:colOff>
      <xdr:row>232</xdr:row>
      <xdr:rowOff>249116</xdr:rowOff>
    </xdr:to>
    <xdr:grpSp>
      <xdr:nvGrpSpPr>
        <xdr:cNvPr id="6525" name="hinh2">
          <a:extLst>
            <a:ext uri="{FF2B5EF4-FFF2-40B4-BE49-F238E27FC236}">
              <a16:creationId xmlns:a16="http://schemas.microsoft.com/office/drawing/2014/main" id="{5024429D-BD8E-4543-85C3-C3D442BC775F}"/>
            </a:ext>
          </a:extLst>
        </xdr:cNvPr>
        <xdr:cNvGrpSpPr>
          <a:grpSpLocks noChangeAspect="1"/>
        </xdr:cNvGrpSpPr>
      </xdr:nvGrpSpPr>
      <xdr:grpSpPr bwMode="auto">
        <a:xfrm>
          <a:off x="2374970" y="89593616"/>
          <a:ext cx="875058" cy="190500"/>
          <a:chOff x="206" y="86"/>
          <a:chExt cx="73" cy="16"/>
        </a:xfrm>
      </xdr:grpSpPr>
      <xdr:sp macro="" textlink="">
        <xdr:nvSpPr>
          <xdr:cNvPr id="6526" name="Line 6">
            <a:extLst>
              <a:ext uri="{FF2B5EF4-FFF2-40B4-BE49-F238E27FC236}">
                <a16:creationId xmlns:a16="http://schemas.microsoft.com/office/drawing/2014/main" id="{9F1C34F1-89CE-634B-4FEA-1EABB00C20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7" name="Line 7">
            <a:extLst>
              <a:ext uri="{FF2B5EF4-FFF2-40B4-BE49-F238E27FC236}">
                <a16:creationId xmlns:a16="http://schemas.microsoft.com/office/drawing/2014/main" id="{1496E6FD-AF3F-6CCB-892C-5FC2CA2703E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28" name="Line 8">
            <a:extLst>
              <a:ext uri="{FF2B5EF4-FFF2-40B4-BE49-F238E27FC236}">
                <a16:creationId xmlns:a16="http://schemas.microsoft.com/office/drawing/2014/main" id="{F04DB0D8-CEB0-1920-E611-F9A848C284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225</xdr:row>
      <xdr:rowOff>271096</xdr:rowOff>
    </xdr:from>
    <xdr:to>
      <xdr:col>3</xdr:col>
      <xdr:colOff>930519</xdr:colOff>
      <xdr:row>225</xdr:row>
      <xdr:rowOff>271096</xdr:rowOff>
    </xdr:to>
    <xdr:cxnSp macro="">
      <xdr:nvCxnSpPr>
        <xdr:cNvPr id="6529" name="hinh1">
          <a:extLst>
            <a:ext uri="{FF2B5EF4-FFF2-40B4-BE49-F238E27FC236}">
              <a16:creationId xmlns:a16="http://schemas.microsoft.com/office/drawing/2014/main" id="{A3EC39A8-B603-4F1E-B9B2-A20358B135B1}"/>
            </a:ext>
          </a:extLst>
        </xdr:cNvPr>
        <xdr:cNvCxnSpPr/>
      </xdr:nvCxnSpPr>
      <xdr:spPr>
        <a:xfrm>
          <a:off x="2338972" y="13121263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66579</xdr:colOff>
      <xdr:row>226</xdr:row>
      <xdr:rowOff>271096</xdr:rowOff>
    </xdr:from>
    <xdr:to>
      <xdr:col>3</xdr:col>
      <xdr:colOff>930519</xdr:colOff>
      <xdr:row>226</xdr:row>
      <xdr:rowOff>271096</xdr:rowOff>
    </xdr:to>
    <xdr:cxnSp macro="">
      <xdr:nvCxnSpPr>
        <xdr:cNvPr id="6530" name="hinh1">
          <a:extLst>
            <a:ext uri="{FF2B5EF4-FFF2-40B4-BE49-F238E27FC236}">
              <a16:creationId xmlns:a16="http://schemas.microsoft.com/office/drawing/2014/main" id="{CB6F4D8F-BE44-48EF-8293-5A1F10F65EF7}"/>
            </a:ext>
          </a:extLst>
        </xdr:cNvPr>
        <xdr:cNvCxnSpPr/>
      </xdr:nvCxnSpPr>
      <xdr:spPr>
        <a:xfrm>
          <a:off x="2338972" y="131607239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102577</xdr:colOff>
      <xdr:row>233</xdr:row>
      <xdr:rowOff>58616</xdr:rowOff>
    </xdr:from>
    <xdr:to>
      <xdr:col>3</xdr:col>
      <xdr:colOff>977635</xdr:colOff>
      <xdr:row>233</xdr:row>
      <xdr:rowOff>249116</xdr:rowOff>
    </xdr:to>
    <xdr:grpSp>
      <xdr:nvGrpSpPr>
        <xdr:cNvPr id="6531" name="hinh2">
          <a:extLst>
            <a:ext uri="{FF2B5EF4-FFF2-40B4-BE49-F238E27FC236}">
              <a16:creationId xmlns:a16="http://schemas.microsoft.com/office/drawing/2014/main" id="{CCC0B264-9CDA-4B1A-B2F4-2A1AC57FFD38}"/>
            </a:ext>
          </a:extLst>
        </xdr:cNvPr>
        <xdr:cNvGrpSpPr>
          <a:grpSpLocks noChangeAspect="1"/>
        </xdr:cNvGrpSpPr>
      </xdr:nvGrpSpPr>
      <xdr:grpSpPr bwMode="auto">
        <a:xfrm>
          <a:off x="2374970" y="89988223"/>
          <a:ext cx="875058" cy="190500"/>
          <a:chOff x="206" y="86"/>
          <a:chExt cx="73" cy="16"/>
        </a:xfrm>
      </xdr:grpSpPr>
      <xdr:sp macro="" textlink="">
        <xdr:nvSpPr>
          <xdr:cNvPr id="6532" name="Line 6">
            <a:extLst>
              <a:ext uri="{FF2B5EF4-FFF2-40B4-BE49-F238E27FC236}">
                <a16:creationId xmlns:a16="http://schemas.microsoft.com/office/drawing/2014/main" id="{F17A7F00-B288-D02E-76E1-10D7A5E653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3" name="Line 7">
            <a:extLst>
              <a:ext uri="{FF2B5EF4-FFF2-40B4-BE49-F238E27FC236}">
                <a16:creationId xmlns:a16="http://schemas.microsoft.com/office/drawing/2014/main" id="{C98A31F7-D24B-4638-FB67-F577A791E7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4" name="Line 8">
            <a:extLst>
              <a:ext uri="{FF2B5EF4-FFF2-40B4-BE49-F238E27FC236}">
                <a16:creationId xmlns:a16="http://schemas.microsoft.com/office/drawing/2014/main" id="{0E52E328-E9DD-D603-471B-6107FB31A7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234</xdr:row>
      <xdr:rowOff>58616</xdr:rowOff>
    </xdr:from>
    <xdr:to>
      <xdr:col>3</xdr:col>
      <xdr:colOff>977635</xdr:colOff>
      <xdr:row>234</xdr:row>
      <xdr:rowOff>249116</xdr:rowOff>
    </xdr:to>
    <xdr:grpSp>
      <xdr:nvGrpSpPr>
        <xdr:cNvPr id="6535" name="hinh2">
          <a:extLst>
            <a:ext uri="{FF2B5EF4-FFF2-40B4-BE49-F238E27FC236}">
              <a16:creationId xmlns:a16="http://schemas.microsoft.com/office/drawing/2014/main" id="{35D19677-AE71-43D9-BD58-2B47740B37EE}"/>
            </a:ext>
          </a:extLst>
        </xdr:cNvPr>
        <xdr:cNvGrpSpPr>
          <a:grpSpLocks noChangeAspect="1"/>
        </xdr:cNvGrpSpPr>
      </xdr:nvGrpSpPr>
      <xdr:grpSpPr bwMode="auto">
        <a:xfrm>
          <a:off x="2374970" y="90382830"/>
          <a:ext cx="875058" cy="190500"/>
          <a:chOff x="206" y="86"/>
          <a:chExt cx="73" cy="16"/>
        </a:xfrm>
      </xdr:grpSpPr>
      <xdr:sp macro="" textlink="">
        <xdr:nvSpPr>
          <xdr:cNvPr id="6536" name="Line 6">
            <a:extLst>
              <a:ext uri="{FF2B5EF4-FFF2-40B4-BE49-F238E27FC236}">
                <a16:creationId xmlns:a16="http://schemas.microsoft.com/office/drawing/2014/main" id="{8C47CDAF-63E1-DE2F-31AF-C4D539E887B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7" name="Line 7">
            <a:extLst>
              <a:ext uri="{FF2B5EF4-FFF2-40B4-BE49-F238E27FC236}">
                <a16:creationId xmlns:a16="http://schemas.microsoft.com/office/drawing/2014/main" id="{085E380E-FB8A-5FC2-6C6F-B026ECCDAF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38" name="Line 8">
            <a:extLst>
              <a:ext uri="{FF2B5EF4-FFF2-40B4-BE49-F238E27FC236}">
                <a16:creationId xmlns:a16="http://schemas.microsoft.com/office/drawing/2014/main" id="{4A33C507-89E9-0154-019C-0231AE6ED3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231</xdr:row>
      <xdr:rowOff>58616</xdr:rowOff>
    </xdr:from>
    <xdr:to>
      <xdr:col>3</xdr:col>
      <xdr:colOff>977635</xdr:colOff>
      <xdr:row>231</xdr:row>
      <xdr:rowOff>249116</xdr:rowOff>
    </xdr:to>
    <xdr:grpSp>
      <xdr:nvGrpSpPr>
        <xdr:cNvPr id="6539" name="hinh2">
          <a:extLst>
            <a:ext uri="{FF2B5EF4-FFF2-40B4-BE49-F238E27FC236}">
              <a16:creationId xmlns:a16="http://schemas.microsoft.com/office/drawing/2014/main" id="{8C5B9E1E-1B9C-43F8-B568-0264CB329B3E}"/>
            </a:ext>
          </a:extLst>
        </xdr:cNvPr>
        <xdr:cNvGrpSpPr>
          <a:grpSpLocks noChangeAspect="1"/>
        </xdr:cNvGrpSpPr>
      </xdr:nvGrpSpPr>
      <xdr:grpSpPr bwMode="auto">
        <a:xfrm>
          <a:off x="2374970" y="89199009"/>
          <a:ext cx="875058" cy="190500"/>
          <a:chOff x="206" y="86"/>
          <a:chExt cx="73" cy="16"/>
        </a:xfrm>
      </xdr:grpSpPr>
      <xdr:sp macro="" textlink="">
        <xdr:nvSpPr>
          <xdr:cNvPr id="6540" name="Line 6">
            <a:extLst>
              <a:ext uri="{FF2B5EF4-FFF2-40B4-BE49-F238E27FC236}">
                <a16:creationId xmlns:a16="http://schemas.microsoft.com/office/drawing/2014/main" id="{634F9E7A-DC5F-DCEB-027A-A578B1A71F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1" name="Line 7">
            <a:extLst>
              <a:ext uri="{FF2B5EF4-FFF2-40B4-BE49-F238E27FC236}">
                <a16:creationId xmlns:a16="http://schemas.microsoft.com/office/drawing/2014/main" id="{FE341FA3-4054-3C25-C531-B049F8429D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2" name="Line 8">
            <a:extLst>
              <a:ext uri="{FF2B5EF4-FFF2-40B4-BE49-F238E27FC236}">
                <a16:creationId xmlns:a16="http://schemas.microsoft.com/office/drawing/2014/main" id="{BCFDE269-BEB2-9CD5-EDB1-047972B4D3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230</xdr:row>
      <xdr:rowOff>58616</xdr:rowOff>
    </xdr:from>
    <xdr:to>
      <xdr:col>3</xdr:col>
      <xdr:colOff>977635</xdr:colOff>
      <xdr:row>230</xdr:row>
      <xdr:rowOff>249116</xdr:rowOff>
    </xdr:to>
    <xdr:grpSp>
      <xdr:nvGrpSpPr>
        <xdr:cNvPr id="6543" name="hinh2">
          <a:extLst>
            <a:ext uri="{FF2B5EF4-FFF2-40B4-BE49-F238E27FC236}">
              <a16:creationId xmlns:a16="http://schemas.microsoft.com/office/drawing/2014/main" id="{C193A53E-798B-4D67-ACA6-44F265343440}"/>
            </a:ext>
          </a:extLst>
        </xdr:cNvPr>
        <xdr:cNvGrpSpPr>
          <a:grpSpLocks noChangeAspect="1"/>
        </xdr:cNvGrpSpPr>
      </xdr:nvGrpSpPr>
      <xdr:grpSpPr bwMode="auto">
        <a:xfrm>
          <a:off x="2374970" y="88804402"/>
          <a:ext cx="875058" cy="190500"/>
          <a:chOff x="206" y="86"/>
          <a:chExt cx="73" cy="16"/>
        </a:xfrm>
      </xdr:grpSpPr>
      <xdr:sp macro="" textlink="">
        <xdr:nvSpPr>
          <xdr:cNvPr id="6544" name="Line 6">
            <a:extLst>
              <a:ext uri="{FF2B5EF4-FFF2-40B4-BE49-F238E27FC236}">
                <a16:creationId xmlns:a16="http://schemas.microsoft.com/office/drawing/2014/main" id="{0D60C243-4EE5-4107-DC16-2B88A148C8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5" name="Line 7">
            <a:extLst>
              <a:ext uri="{FF2B5EF4-FFF2-40B4-BE49-F238E27FC236}">
                <a16:creationId xmlns:a16="http://schemas.microsoft.com/office/drawing/2014/main" id="{7C6298E8-6DAD-50E6-ECCC-601908710A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6" name="Line 8">
            <a:extLst>
              <a:ext uri="{FF2B5EF4-FFF2-40B4-BE49-F238E27FC236}">
                <a16:creationId xmlns:a16="http://schemas.microsoft.com/office/drawing/2014/main" id="{F0327D45-4E8B-B4D6-09D7-62753DBCDD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236</xdr:row>
      <xdr:rowOff>58616</xdr:rowOff>
    </xdr:from>
    <xdr:to>
      <xdr:col>3</xdr:col>
      <xdr:colOff>977635</xdr:colOff>
      <xdr:row>236</xdr:row>
      <xdr:rowOff>249116</xdr:rowOff>
    </xdr:to>
    <xdr:grpSp>
      <xdr:nvGrpSpPr>
        <xdr:cNvPr id="6547" name="hinh2">
          <a:extLst>
            <a:ext uri="{FF2B5EF4-FFF2-40B4-BE49-F238E27FC236}">
              <a16:creationId xmlns:a16="http://schemas.microsoft.com/office/drawing/2014/main" id="{67E7E84B-AED1-4D2F-9D3A-6B95FDA2EFA6}"/>
            </a:ext>
          </a:extLst>
        </xdr:cNvPr>
        <xdr:cNvGrpSpPr>
          <a:grpSpLocks noChangeAspect="1"/>
        </xdr:cNvGrpSpPr>
      </xdr:nvGrpSpPr>
      <xdr:grpSpPr bwMode="auto">
        <a:xfrm>
          <a:off x="2374970" y="91172045"/>
          <a:ext cx="875058" cy="190500"/>
          <a:chOff x="206" y="86"/>
          <a:chExt cx="73" cy="16"/>
        </a:xfrm>
      </xdr:grpSpPr>
      <xdr:sp macro="" textlink="">
        <xdr:nvSpPr>
          <xdr:cNvPr id="6548" name="Line 6">
            <a:extLst>
              <a:ext uri="{FF2B5EF4-FFF2-40B4-BE49-F238E27FC236}">
                <a16:creationId xmlns:a16="http://schemas.microsoft.com/office/drawing/2014/main" id="{95203406-1FB1-F08A-6E6C-7B09BD6247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49" name="Line 7">
            <a:extLst>
              <a:ext uri="{FF2B5EF4-FFF2-40B4-BE49-F238E27FC236}">
                <a16:creationId xmlns:a16="http://schemas.microsoft.com/office/drawing/2014/main" id="{35441106-B7B4-F3A7-C082-E6F05CF4042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0" name="Line 8">
            <a:extLst>
              <a:ext uri="{FF2B5EF4-FFF2-40B4-BE49-F238E27FC236}">
                <a16:creationId xmlns:a16="http://schemas.microsoft.com/office/drawing/2014/main" id="{CF057AF2-ABD8-DFE3-0078-32F6B7C31E7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235</xdr:row>
      <xdr:rowOff>58616</xdr:rowOff>
    </xdr:from>
    <xdr:to>
      <xdr:col>3</xdr:col>
      <xdr:colOff>977635</xdr:colOff>
      <xdr:row>235</xdr:row>
      <xdr:rowOff>249116</xdr:rowOff>
    </xdr:to>
    <xdr:grpSp>
      <xdr:nvGrpSpPr>
        <xdr:cNvPr id="6551" name="hinh2">
          <a:extLst>
            <a:ext uri="{FF2B5EF4-FFF2-40B4-BE49-F238E27FC236}">
              <a16:creationId xmlns:a16="http://schemas.microsoft.com/office/drawing/2014/main" id="{D83328B6-3EEB-43C1-A08F-F5E20A7B0D5C}"/>
            </a:ext>
          </a:extLst>
        </xdr:cNvPr>
        <xdr:cNvGrpSpPr>
          <a:grpSpLocks noChangeAspect="1"/>
        </xdr:cNvGrpSpPr>
      </xdr:nvGrpSpPr>
      <xdr:grpSpPr bwMode="auto">
        <a:xfrm>
          <a:off x="2374970" y="90777437"/>
          <a:ext cx="875058" cy="190500"/>
          <a:chOff x="206" y="86"/>
          <a:chExt cx="73" cy="16"/>
        </a:xfrm>
      </xdr:grpSpPr>
      <xdr:sp macro="" textlink="">
        <xdr:nvSpPr>
          <xdr:cNvPr id="6552" name="Line 6">
            <a:extLst>
              <a:ext uri="{FF2B5EF4-FFF2-40B4-BE49-F238E27FC236}">
                <a16:creationId xmlns:a16="http://schemas.microsoft.com/office/drawing/2014/main" id="{DB3EFDE8-5F27-5296-4A3E-41390D62F4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3" name="Line 7">
            <a:extLst>
              <a:ext uri="{FF2B5EF4-FFF2-40B4-BE49-F238E27FC236}">
                <a16:creationId xmlns:a16="http://schemas.microsoft.com/office/drawing/2014/main" id="{6EB005AA-6266-44D0-F89F-F92558523B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54" name="Line 8">
            <a:extLst>
              <a:ext uri="{FF2B5EF4-FFF2-40B4-BE49-F238E27FC236}">
                <a16:creationId xmlns:a16="http://schemas.microsoft.com/office/drawing/2014/main" id="{D95B3683-0BB8-8C2C-6C7C-DDF08B00D9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240</xdr:row>
      <xdr:rowOff>58616</xdr:rowOff>
    </xdr:from>
    <xdr:to>
      <xdr:col>3</xdr:col>
      <xdr:colOff>977635</xdr:colOff>
      <xdr:row>240</xdr:row>
      <xdr:rowOff>249116</xdr:rowOff>
    </xdr:to>
    <xdr:grpSp>
      <xdr:nvGrpSpPr>
        <xdr:cNvPr id="6567" name="hinh2">
          <a:extLst>
            <a:ext uri="{FF2B5EF4-FFF2-40B4-BE49-F238E27FC236}">
              <a16:creationId xmlns:a16="http://schemas.microsoft.com/office/drawing/2014/main" id="{DA14A7FA-D96F-4AD0-84CD-C5D6BC358705}"/>
            </a:ext>
          </a:extLst>
        </xdr:cNvPr>
        <xdr:cNvGrpSpPr>
          <a:grpSpLocks noChangeAspect="1"/>
        </xdr:cNvGrpSpPr>
      </xdr:nvGrpSpPr>
      <xdr:grpSpPr bwMode="auto">
        <a:xfrm>
          <a:off x="2374970" y="92628009"/>
          <a:ext cx="875058" cy="190500"/>
          <a:chOff x="206" y="86"/>
          <a:chExt cx="73" cy="16"/>
        </a:xfrm>
      </xdr:grpSpPr>
      <xdr:sp macro="" textlink="">
        <xdr:nvSpPr>
          <xdr:cNvPr id="6568" name="Line 6">
            <a:extLst>
              <a:ext uri="{FF2B5EF4-FFF2-40B4-BE49-F238E27FC236}">
                <a16:creationId xmlns:a16="http://schemas.microsoft.com/office/drawing/2014/main" id="{307CE620-7A8B-9DFD-830C-5B2ADE21DC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69" name="Line 7">
            <a:extLst>
              <a:ext uri="{FF2B5EF4-FFF2-40B4-BE49-F238E27FC236}">
                <a16:creationId xmlns:a16="http://schemas.microsoft.com/office/drawing/2014/main" id="{9D5535B3-550E-1590-2D94-FD2107518F8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0" name="Line 8">
            <a:extLst>
              <a:ext uri="{FF2B5EF4-FFF2-40B4-BE49-F238E27FC236}">
                <a16:creationId xmlns:a16="http://schemas.microsoft.com/office/drawing/2014/main" id="{41F9D8F5-A6C4-023E-6324-9992D09352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241</xdr:row>
      <xdr:rowOff>58616</xdr:rowOff>
    </xdr:from>
    <xdr:to>
      <xdr:col>3</xdr:col>
      <xdr:colOff>977635</xdr:colOff>
      <xdr:row>241</xdr:row>
      <xdr:rowOff>249116</xdr:rowOff>
    </xdr:to>
    <xdr:grpSp>
      <xdr:nvGrpSpPr>
        <xdr:cNvPr id="6571" name="hinh2">
          <a:extLst>
            <a:ext uri="{FF2B5EF4-FFF2-40B4-BE49-F238E27FC236}">
              <a16:creationId xmlns:a16="http://schemas.microsoft.com/office/drawing/2014/main" id="{CE5A29DB-CE75-496C-8BB9-365D6F56C99B}"/>
            </a:ext>
          </a:extLst>
        </xdr:cNvPr>
        <xdr:cNvGrpSpPr>
          <a:grpSpLocks noChangeAspect="1"/>
        </xdr:cNvGrpSpPr>
      </xdr:nvGrpSpPr>
      <xdr:grpSpPr bwMode="auto">
        <a:xfrm>
          <a:off x="2374970" y="93022616"/>
          <a:ext cx="875058" cy="190500"/>
          <a:chOff x="206" y="86"/>
          <a:chExt cx="73" cy="16"/>
        </a:xfrm>
      </xdr:grpSpPr>
      <xdr:sp macro="" textlink="">
        <xdr:nvSpPr>
          <xdr:cNvPr id="6572" name="Line 6">
            <a:extLst>
              <a:ext uri="{FF2B5EF4-FFF2-40B4-BE49-F238E27FC236}">
                <a16:creationId xmlns:a16="http://schemas.microsoft.com/office/drawing/2014/main" id="{34973449-0B8F-2E46-39ED-F8C9BFC713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3" name="Line 7">
            <a:extLst>
              <a:ext uri="{FF2B5EF4-FFF2-40B4-BE49-F238E27FC236}">
                <a16:creationId xmlns:a16="http://schemas.microsoft.com/office/drawing/2014/main" id="{219714D0-DF34-EECD-6869-DB9B4DF562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4" name="Line 8">
            <a:extLst>
              <a:ext uri="{FF2B5EF4-FFF2-40B4-BE49-F238E27FC236}">
                <a16:creationId xmlns:a16="http://schemas.microsoft.com/office/drawing/2014/main" id="{E8635744-7B4D-50DB-21A2-BF5312C0BF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240</xdr:row>
      <xdr:rowOff>58616</xdr:rowOff>
    </xdr:from>
    <xdr:to>
      <xdr:col>3</xdr:col>
      <xdr:colOff>977635</xdr:colOff>
      <xdr:row>240</xdr:row>
      <xdr:rowOff>249116</xdr:rowOff>
    </xdr:to>
    <xdr:grpSp>
      <xdr:nvGrpSpPr>
        <xdr:cNvPr id="6575" name="hinh2">
          <a:extLst>
            <a:ext uri="{FF2B5EF4-FFF2-40B4-BE49-F238E27FC236}">
              <a16:creationId xmlns:a16="http://schemas.microsoft.com/office/drawing/2014/main" id="{3AC3ECAE-F84D-4E1D-8312-F8A4F67989F4}"/>
            </a:ext>
          </a:extLst>
        </xdr:cNvPr>
        <xdr:cNvGrpSpPr>
          <a:grpSpLocks noChangeAspect="1"/>
        </xdr:cNvGrpSpPr>
      </xdr:nvGrpSpPr>
      <xdr:grpSpPr bwMode="auto">
        <a:xfrm>
          <a:off x="2374970" y="92628009"/>
          <a:ext cx="875058" cy="190500"/>
          <a:chOff x="206" y="86"/>
          <a:chExt cx="73" cy="16"/>
        </a:xfrm>
      </xdr:grpSpPr>
      <xdr:sp macro="" textlink="">
        <xdr:nvSpPr>
          <xdr:cNvPr id="6576" name="Line 6">
            <a:extLst>
              <a:ext uri="{FF2B5EF4-FFF2-40B4-BE49-F238E27FC236}">
                <a16:creationId xmlns:a16="http://schemas.microsoft.com/office/drawing/2014/main" id="{D8AA6F45-4E79-6771-E1D0-65D021957A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7" name="Line 7">
            <a:extLst>
              <a:ext uri="{FF2B5EF4-FFF2-40B4-BE49-F238E27FC236}">
                <a16:creationId xmlns:a16="http://schemas.microsoft.com/office/drawing/2014/main" id="{7B374F59-9B3C-6000-AEEC-C93A13F63C6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8" name="Line 8">
            <a:extLst>
              <a:ext uri="{FF2B5EF4-FFF2-40B4-BE49-F238E27FC236}">
                <a16:creationId xmlns:a16="http://schemas.microsoft.com/office/drawing/2014/main" id="{B3793F09-5424-AD84-BE00-7FB5E169D5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241</xdr:row>
      <xdr:rowOff>58616</xdr:rowOff>
    </xdr:from>
    <xdr:to>
      <xdr:col>3</xdr:col>
      <xdr:colOff>977635</xdr:colOff>
      <xdr:row>241</xdr:row>
      <xdr:rowOff>249116</xdr:rowOff>
    </xdr:to>
    <xdr:grpSp>
      <xdr:nvGrpSpPr>
        <xdr:cNvPr id="6579" name="hinh2">
          <a:extLst>
            <a:ext uri="{FF2B5EF4-FFF2-40B4-BE49-F238E27FC236}">
              <a16:creationId xmlns:a16="http://schemas.microsoft.com/office/drawing/2014/main" id="{BDA61985-C38B-411A-8D3A-DB2B67594601}"/>
            </a:ext>
          </a:extLst>
        </xdr:cNvPr>
        <xdr:cNvGrpSpPr>
          <a:grpSpLocks noChangeAspect="1"/>
        </xdr:cNvGrpSpPr>
      </xdr:nvGrpSpPr>
      <xdr:grpSpPr bwMode="auto">
        <a:xfrm>
          <a:off x="2374970" y="93022616"/>
          <a:ext cx="875058" cy="190500"/>
          <a:chOff x="206" y="86"/>
          <a:chExt cx="73" cy="16"/>
        </a:xfrm>
      </xdr:grpSpPr>
      <xdr:sp macro="" textlink="">
        <xdr:nvSpPr>
          <xdr:cNvPr id="6580" name="Line 6">
            <a:extLst>
              <a:ext uri="{FF2B5EF4-FFF2-40B4-BE49-F238E27FC236}">
                <a16:creationId xmlns:a16="http://schemas.microsoft.com/office/drawing/2014/main" id="{0EAC5BCB-207F-D5DE-89FA-3BA63F409B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81" name="Line 7">
            <a:extLst>
              <a:ext uri="{FF2B5EF4-FFF2-40B4-BE49-F238E27FC236}">
                <a16:creationId xmlns:a16="http://schemas.microsoft.com/office/drawing/2014/main" id="{1B3D56E6-E16E-A688-B822-A3463CEDDF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82" name="Line 8">
            <a:extLst>
              <a:ext uri="{FF2B5EF4-FFF2-40B4-BE49-F238E27FC236}">
                <a16:creationId xmlns:a16="http://schemas.microsoft.com/office/drawing/2014/main" id="{F92EF7FE-3AD3-67C8-9DBE-55991F01AB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241</xdr:row>
      <xdr:rowOff>58616</xdr:rowOff>
    </xdr:from>
    <xdr:to>
      <xdr:col>3</xdr:col>
      <xdr:colOff>977635</xdr:colOff>
      <xdr:row>241</xdr:row>
      <xdr:rowOff>249116</xdr:rowOff>
    </xdr:to>
    <xdr:grpSp>
      <xdr:nvGrpSpPr>
        <xdr:cNvPr id="6583" name="hinh2">
          <a:extLst>
            <a:ext uri="{FF2B5EF4-FFF2-40B4-BE49-F238E27FC236}">
              <a16:creationId xmlns:a16="http://schemas.microsoft.com/office/drawing/2014/main" id="{7D1A4AD8-C96C-438D-9A23-CAE349ADFAAA}"/>
            </a:ext>
          </a:extLst>
        </xdr:cNvPr>
        <xdr:cNvGrpSpPr>
          <a:grpSpLocks noChangeAspect="1"/>
        </xdr:cNvGrpSpPr>
      </xdr:nvGrpSpPr>
      <xdr:grpSpPr bwMode="auto">
        <a:xfrm>
          <a:off x="2374970" y="93022616"/>
          <a:ext cx="875058" cy="190500"/>
          <a:chOff x="206" y="86"/>
          <a:chExt cx="73" cy="16"/>
        </a:xfrm>
      </xdr:grpSpPr>
      <xdr:sp macro="" textlink="">
        <xdr:nvSpPr>
          <xdr:cNvPr id="6584" name="Line 6">
            <a:extLst>
              <a:ext uri="{FF2B5EF4-FFF2-40B4-BE49-F238E27FC236}">
                <a16:creationId xmlns:a16="http://schemas.microsoft.com/office/drawing/2014/main" id="{AB7F4F13-BE16-882E-1467-6A2EBF623C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85" name="Line 7">
            <a:extLst>
              <a:ext uri="{FF2B5EF4-FFF2-40B4-BE49-F238E27FC236}">
                <a16:creationId xmlns:a16="http://schemas.microsoft.com/office/drawing/2014/main" id="{CC6035CD-2BA3-FF4F-2F42-43659EF502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86" name="Line 8">
            <a:extLst>
              <a:ext uri="{FF2B5EF4-FFF2-40B4-BE49-F238E27FC236}">
                <a16:creationId xmlns:a16="http://schemas.microsoft.com/office/drawing/2014/main" id="{EA490511-5AAF-188C-863C-E75FE9546D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238</xdr:row>
      <xdr:rowOff>58616</xdr:rowOff>
    </xdr:from>
    <xdr:to>
      <xdr:col>3</xdr:col>
      <xdr:colOff>977635</xdr:colOff>
      <xdr:row>238</xdr:row>
      <xdr:rowOff>249116</xdr:rowOff>
    </xdr:to>
    <xdr:grpSp>
      <xdr:nvGrpSpPr>
        <xdr:cNvPr id="6589" name="hinh2">
          <a:extLst>
            <a:ext uri="{FF2B5EF4-FFF2-40B4-BE49-F238E27FC236}">
              <a16:creationId xmlns:a16="http://schemas.microsoft.com/office/drawing/2014/main" id="{1892E0EB-EDC1-4AB8-BB5C-4D1E3F60D641}"/>
            </a:ext>
          </a:extLst>
        </xdr:cNvPr>
        <xdr:cNvGrpSpPr>
          <a:grpSpLocks noChangeAspect="1"/>
        </xdr:cNvGrpSpPr>
      </xdr:nvGrpSpPr>
      <xdr:grpSpPr bwMode="auto">
        <a:xfrm>
          <a:off x="2374970" y="91838795"/>
          <a:ext cx="875058" cy="190500"/>
          <a:chOff x="206" y="86"/>
          <a:chExt cx="73" cy="16"/>
        </a:xfrm>
      </xdr:grpSpPr>
      <xdr:sp macro="" textlink="">
        <xdr:nvSpPr>
          <xdr:cNvPr id="6590" name="Line 6">
            <a:extLst>
              <a:ext uri="{FF2B5EF4-FFF2-40B4-BE49-F238E27FC236}">
                <a16:creationId xmlns:a16="http://schemas.microsoft.com/office/drawing/2014/main" id="{95A2A8DC-6C15-38A9-1784-8207E2CA4A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1" name="Line 7">
            <a:extLst>
              <a:ext uri="{FF2B5EF4-FFF2-40B4-BE49-F238E27FC236}">
                <a16:creationId xmlns:a16="http://schemas.microsoft.com/office/drawing/2014/main" id="{0D840D3B-DA1A-6FB8-DA98-9CD7688A90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2" name="Line 8">
            <a:extLst>
              <a:ext uri="{FF2B5EF4-FFF2-40B4-BE49-F238E27FC236}">
                <a16:creationId xmlns:a16="http://schemas.microsoft.com/office/drawing/2014/main" id="{47CC5643-5064-0371-60D9-F8EC81A1B3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238</xdr:row>
      <xdr:rowOff>58616</xdr:rowOff>
    </xdr:from>
    <xdr:to>
      <xdr:col>3</xdr:col>
      <xdr:colOff>977635</xdr:colOff>
      <xdr:row>238</xdr:row>
      <xdr:rowOff>249116</xdr:rowOff>
    </xdr:to>
    <xdr:grpSp>
      <xdr:nvGrpSpPr>
        <xdr:cNvPr id="6593" name="hinh2">
          <a:extLst>
            <a:ext uri="{FF2B5EF4-FFF2-40B4-BE49-F238E27FC236}">
              <a16:creationId xmlns:a16="http://schemas.microsoft.com/office/drawing/2014/main" id="{FC739AEF-EE71-4F42-9706-378AFAAE1E48}"/>
            </a:ext>
          </a:extLst>
        </xdr:cNvPr>
        <xdr:cNvGrpSpPr>
          <a:grpSpLocks noChangeAspect="1"/>
        </xdr:cNvGrpSpPr>
      </xdr:nvGrpSpPr>
      <xdr:grpSpPr bwMode="auto">
        <a:xfrm>
          <a:off x="2374970" y="91838795"/>
          <a:ext cx="875058" cy="190500"/>
          <a:chOff x="206" y="86"/>
          <a:chExt cx="73" cy="16"/>
        </a:xfrm>
      </xdr:grpSpPr>
      <xdr:sp macro="" textlink="">
        <xdr:nvSpPr>
          <xdr:cNvPr id="6594" name="Line 6">
            <a:extLst>
              <a:ext uri="{FF2B5EF4-FFF2-40B4-BE49-F238E27FC236}">
                <a16:creationId xmlns:a16="http://schemas.microsoft.com/office/drawing/2014/main" id="{7F170418-B414-2942-A110-D3ABCF0010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5" name="Line 7">
            <a:extLst>
              <a:ext uri="{FF2B5EF4-FFF2-40B4-BE49-F238E27FC236}">
                <a16:creationId xmlns:a16="http://schemas.microsoft.com/office/drawing/2014/main" id="{3837BEFB-EE7D-0C1D-BB02-6B2D608DFF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6" name="Line 8">
            <a:extLst>
              <a:ext uri="{FF2B5EF4-FFF2-40B4-BE49-F238E27FC236}">
                <a16:creationId xmlns:a16="http://schemas.microsoft.com/office/drawing/2014/main" id="{3B54B318-B6A4-1AE0-7848-4476811E3A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239</xdr:row>
      <xdr:rowOff>58616</xdr:rowOff>
    </xdr:from>
    <xdr:to>
      <xdr:col>3</xdr:col>
      <xdr:colOff>977635</xdr:colOff>
      <xdr:row>239</xdr:row>
      <xdr:rowOff>249116</xdr:rowOff>
    </xdr:to>
    <xdr:grpSp>
      <xdr:nvGrpSpPr>
        <xdr:cNvPr id="6597" name="hinh2">
          <a:extLst>
            <a:ext uri="{FF2B5EF4-FFF2-40B4-BE49-F238E27FC236}">
              <a16:creationId xmlns:a16="http://schemas.microsoft.com/office/drawing/2014/main" id="{6797A42C-A4B1-474C-A733-21A9A4C776EF}"/>
            </a:ext>
          </a:extLst>
        </xdr:cNvPr>
        <xdr:cNvGrpSpPr>
          <a:grpSpLocks noChangeAspect="1"/>
        </xdr:cNvGrpSpPr>
      </xdr:nvGrpSpPr>
      <xdr:grpSpPr bwMode="auto">
        <a:xfrm>
          <a:off x="2374970" y="92233402"/>
          <a:ext cx="875058" cy="190500"/>
          <a:chOff x="206" y="86"/>
          <a:chExt cx="73" cy="16"/>
        </a:xfrm>
      </xdr:grpSpPr>
      <xdr:sp macro="" textlink="">
        <xdr:nvSpPr>
          <xdr:cNvPr id="6598" name="Line 6">
            <a:extLst>
              <a:ext uri="{FF2B5EF4-FFF2-40B4-BE49-F238E27FC236}">
                <a16:creationId xmlns:a16="http://schemas.microsoft.com/office/drawing/2014/main" id="{C3A7BC91-1333-69CE-2909-735B1636F73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99" name="Line 7">
            <a:extLst>
              <a:ext uri="{FF2B5EF4-FFF2-40B4-BE49-F238E27FC236}">
                <a16:creationId xmlns:a16="http://schemas.microsoft.com/office/drawing/2014/main" id="{6DA5549C-776E-0B32-97DF-5BA1CC98CE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00" name="Line 8">
            <a:extLst>
              <a:ext uri="{FF2B5EF4-FFF2-40B4-BE49-F238E27FC236}">
                <a16:creationId xmlns:a16="http://schemas.microsoft.com/office/drawing/2014/main" id="{71159B25-656C-E095-5D53-7133BED7B8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239</xdr:row>
      <xdr:rowOff>58616</xdr:rowOff>
    </xdr:from>
    <xdr:to>
      <xdr:col>3</xdr:col>
      <xdr:colOff>977635</xdr:colOff>
      <xdr:row>239</xdr:row>
      <xdr:rowOff>249116</xdr:rowOff>
    </xdr:to>
    <xdr:grpSp>
      <xdr:nvGrpSpPr>
        <xdr:cNvPr id="6601" name="hinh2">
          <a:extLst>
            <a:ext uri="{FF2B5EF4-FFF2-40B4-BE49-F238E27FC236}">
              <a16:creationId xmlns:a16="http://schemas.microsoft.com/office/drawing/2014/main" id="{29FF6DD0-A51C-4ADB-991B-291CDC8EC89E}"/>
            </a:ext>
          </a:extLst>
        </xdr:cNvPr>
        <xdr:cNvGrpSpPr>
          <a:grpSpLocks noChangeAspect="1"/>
        </xdr:cNvGrpSpPr>
      </xdr:nvGrpSpPr>
      <xdr:grpSpPr bwMode="auto">
        <a:xfrm>
          <a:off x="2374970" y="92233402"/>
          <a:ext cx="875058" cy="190500"/>
          <a:chOff x="206" y="86"/>
          <a:chExt cx="73" cy="16"/>
        </a:xfrm>
      </xdr:grpSpPr>
      <xdr:sp macro="" textlink="">
        <xdr:nvSpPr>
          <xdr:cNvPr id="6602" name="Line 6">
            <a:extLst>
              <a:ext uri="{FF2B5EF4-FFF2-40B4-BE49-F238E27FC236}">
                <a16:creationId xmlns:a16="http://schemas.microsoft.com/office/drawing/2014/main" id="{F5D8CD31-216D-D7AE-BD6F-2256A302B9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03" name="Line 7">
            <a:extLst>
              <a:ext uri="{FF2B5EF4-FFF2-40B4-BE49-F238E27FC236}">
                <a16:creationId xmlns:a16="http://schemas.microsoft.com/office/drawing/2014/main" id="{A8306E31-72A6-2450-21A9-9C4006E735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04" name="Line 8">
            <a:extLst>
              <a:ext uri="{FF2B5EF4-FFF2-40B4-BE49-F238E27FC236}">
                <a16:creationId xmlns:a16="http://schemas.microsoft.com/office/drawing/2014/main" id="{5BEC07A6-C02D-3327-106F-6BAF5835C2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129</xdr:row>
      <xdr:rowOff>58616</xdr:rowOff>
    </xdr:from>
    <xdr:to>
      <xdr:col>3</xdr:col>
      <xdr:colOff>977635</xdr:colOff>
      <xdr:row>129</xdr:row>
      <xdr:rowOff>249116</xdr:rowOff>
    </xdr:to>
    <xdr:grpSp>
      <xdr:nvGrpSpPr>
        <xdr:cNvPr id="294" name="hinh2">
          <a:extLst>
            <a:ext uri="{FF2B5EF4-FFF2-40B4-BE49-F238E27FC236}">
              <a16:creationId xmlns:a16="http://schemas.microsoft.com/office/drawing/2014/main" id="{FBACC2D2-873D-44E8-81FC-A15AFC73BDE2}"/>
            </a:ext>
          </a:extLst>
        </xdr:cNvPr>
        <xdr:cNvGrpSpPr>
          <a:grpSpLocks noChangeAspect="1"/>
        </xdr:cNvGrpSpPr>
      </xdr:nvGrpSpPr>
      <xdr:grpSpPr bwMode="auto">
        <a:xfrm>
          <a:off x="2374970" y="49683866"/>
          <a:ext cx="875058" cy="190500"/>
          <a:chOff x="206" y="86"/>
          <a:chExt cx="73" cy="16"/>
        </a:xfrm>
      </xdr:grpSpPr>
      <xdr:sp macro="" textlink="">
        <xdr:nvSpPr>
          <xdr:cNvPr id="295" name="Line 6">
            <a:extLst>
              <a:ext uri="{FF2B5EF4-FFF2-40B4-BE49-F238E27FC236}">
                <a16:creationId xmlns:a16="http://schemas.microsoft.com/office/drawing/2014/main" id="{61F7BD95-5018-19FC-9275-6193940A22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" name="Line 7">
            <a:extLst>
              <a:ext uri="{FF2B5EF4-FFF2-40B4-BE49-F238E27FC236}">
                <a16:creationId xmlns:a16="http://schemas.microsoft.com/office/drawing/2014/main" id="{DD45422C-AE1C-0BA0-37C1-38D1016BA3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" name="Line 8">
            <a:extLst>
              <a:ext uri="{FF2B5EF4-FFF2-40B4-BE49-F238E27FC236}">
                <a16:creationId xmlns:a16="http://schemas.microsoft.com/office/drawing/2014/main" id="{0B057313-0669-2DB5-9588-50D5A5CF26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128</xdr:row>
      <xdr:rowOff>58616</xdr:rowOff>
    </xdr:from>
    <xdr:to>
      <xdr:col>3</xdr:col>
      <xdr:colOff>977635</xdr:colOff>
      <xdr:row>128</xdr:row>
      <xdr:rowOff>249116</xdr:rowOff>
    </xdr:to>
    <xdr:grpSp>
      <xdr:nvGrpSpPr>
        <xdr:cNvPr id="346" name="hinh2">
          <a:extLst>
            <a:ext uri="{FF2B5EF4-FFF2-40B4-BE49-F238E27FC236}">
              <a16:creationId xmlns:a16="http://schemas.microsoft.com/office/drawing/2014/main" id="{8B7D80E1-81D6-45BE-9F2E-361CB19A5E27}"/>
            </a:ext>
          </a:extLst>
        </xdr:cNvPr>
        <xdr:cNvGrpSpPr>
          <a:grpSpLocks noChangeAspect="1"/>
        </xdr:cNvGrpSpPr>
      </xdr:nvGrpSpPr>
      <xdr:grpSpPr bwMode="auto">
        <a:xfrm>
          <a:off x="2374970" y="49289259"/>
          <a:ext cx="875058" cy="190500"/>
          <a:chOff x="206" y="86"/>
          <a:chExt cx="73" cy="16"/>
        </a:xfrm>
      </xdr:grpSpPr>
      <xdr:sp macro="" textlink="">
        <xdr:nvSpPr>
          <xdr:cNvPr id="347" name="Line 6">
            <a:extLst>
              <a:ext uri="{FF2B5EF4-FFF2-40B4-BE49-F238E27FC236}">
                <a16:creationId xmlns:a16="http://schemas.microsoft.com/office/drawing/2014/main" id="{497C18DB-CA56-CF71-BC74-20C436D15FD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8" name="Line 7">
            <a:extLst>
              <a:ext uri="{FF2B5EF4-FFF2-40B4-BE49-F238E27FC236}">
                <a16:creationId xmlns:a16="http://schemas.microsoft.com/office/drawing/2014/main" id="{D0648117-9F55-3B22-D1F9-E578AE431D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9" name="Line 8">
            <a:extLst>
              <a:ext uri="{FF2B5EF4-FFF2-40B4-BE49-F238E27FC236}">
                <a16:creationId xmlns:a16="http://schemas.microsoft.com/office/drawing/2014/main" id="{C47FAF78-0095-4BA7-91DC-B1E3964F55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131</xdr:row>
      <xdr:rowOff>58616</xdr:rowOff>
    </xdr:from>
    <xdr:to>
      <xdr:col>3</xdr:col>
      <xdr:colOff>977635</xdr:colOff>
      <xdr:row>131</xdr:row>
      <xdr:rowOff>249116</xdr:rowOff>
    </xdr:to>
    <xdr:grpSp>
      <xdr:nvGrpSpPr>
        <xdr:cNvPr id="354" name="hinh2">
          <a:extLst>
            <a:ext uri="{FF2B5EF4-FFF2-40B4-BE49-F238E27FC236}">
              <a16:creationId xmlns:a16="http://schemas.microsoft.com/office/drawing/2014/main" id="{753D0204-4551-49E7-97E6-FA7D4381CCD9}"/>
            </a:ext>
          </a:extLst>
        </xdr:cNvPr>
        <xdr:cNvGrpSpPr>
          <a:grpSpLocks noChangeAspect="1"/>
        </xdr:cNvGrpSpPr>
      </xdr:nvGrpSpPr>
      <xdr:grpSpPr bwMode="auto">
        <a:xfrm>
          <a:off x="2374970" y="50473080"/>
          <a:ext cx="875058" cy="190500"/>
          <a:chOff x="206" y="86"/>
          <a:chExt cx="73" cy="16"/>
        </a:xfrm>
      </xdr:grpSpPr>
      <xdr:sp macro="" textlink="">
        <xdr:nvSpPr>
          <xdr:cNvPr id="355" name="Line 6">
            <a:extLst>
              <a:ext uri="{FF2B5EF4-FFF2-40B4-BE49-F238E27FC236}">
                <a16:creationId xmlns:a16="http://schemas.microsoft.com/office/drawing/2014/main" id="{6CFA2DFB-D979-1141-18F1-082B4B48F3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" name="Line 7">
            <a:extLst>
              <a:ext uri="{FF2B5EF4-FFF2-40B4-BE49-F238E27FC236}">
                <a16:creationId xmlns:a16="http://schemas.microsoft.com/office/drawing/2014/main" id="{96DD75E7-9707-F058-1ADB-F4C726F556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7" name="Line 8">
            <a:extLst>
              <a:ext uri="{FF2B5EF4-FFF2-40B4-BE49-F238E27FC236}">
                <a16:creationId xmlns:a16="http://schemas.microsoft.com/office/drawing/2014/main" id="{6F8F1CA1-4479-6D86-91D6-77092A50F1E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130</xdr:row>
      <xdr:rowOff>58616</xdr:rowOff>
    </xdr:from>
    <xdr:to>
      <xdr:col>3</xdr:col>
      <xdr:colOff>977635</xdr:colOff>
      <xdr:row>130</xdr:row>
      <xdr:rowOff>249116</xdr:rowOff>
    </xdr:to>
    <xdr:grpSp>
      <xdr:nvGrpSpPr>
        <xdr:cNvPr id="654" name="hinh2">
          <a:extLst>
            <a:ext uri="{FF2B5EF4-FFF2-40B4-BE49-F238E27FC236}">
              <a16:creationId xmlns:a16="http://schemas.microsoft.com/office/drawing/2014/main" id="{C2D0123A-26A3-432D-A8C2-E0625857FBC8}"/>
            </a:ext>
          </a:extLst>
        </xdr:cNvPr>
        <xdr:cNvGrpSpPr>
          <a:grpSpLocks noChangeAspect="1"/>
        </xdr:cNvGrpSpPr>
      </xdr:nvGrpSpPr>
      <xdr:grpSpPr bwMode="auto">
        <a:xfrm>
          <a:off x="2374970" y="50078473"/>
          <a:ext cx="875058" cy="190500"/>
          <a:chOff x="206" y="86"/>
          <a:chExt cx="73" cy="16"/>
        </a:xfrm>
      </xdr:grpSpPr>
      <xdr:sp macro="" textlink="">
        <xdr:nvSpPr>
          <xdr:cNvPr id="655" name="Line 6">
            <a:extLst>
              <a:ext uri="{FF2B5EF4-FFF2-40B4-BE49-F238E27FC236}">
                <a16:creationId xmlns:a16="http://schemas.microsoft.com/office/drawing/2014/main" id="{31A404CB-FB69-795E-C3D8-B2FA4EA3F9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6" name="Line 7">
            <a:extLst>
              <a:ext uri="{FF2B5EF4-FFF2-40B4-BE49-F238E27FC236}">
                <a16:creationId xmlns:a16="http://schemas.microsoft.com/office/drawing/2014/main" id="{8B188C48-C1B9-01D7-1B27-446381B45A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7" name="Line 8">
            <a:extLst>
              <a:ext uri="{FF2B5EF4-FFF2-40B4-BE49-F238E27FC236}">
                <a16:creationId xmlns:a16="http://schemas.microsoft.com/office/drawing/2014/main" id="{5DFCC7C0-88A9-A7BA-C058-5EEB7C179C1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91</xdr:row>
      <xdr:rowOff>58616</xdr:rowOff>
    </xdr:from>
    <xdr:to>
      <xdr:col>3</xdr:col>
      <xdr:colOff>977635</xdr:colOff>
      <xdr:row>91</xdr:row>
      <xdr:rowOff>249116</xdr:rowOff>
    </xdr:to>
    <xdr:grpSp>
      <xdr:nvGrpSpPr>
        <xdr:cNvPr id="890" name="hinh2">
          <a:extLst>
            <a:ext uri="{FF2B5EF4-FFF2-40B4-BE49-F238E27FC236}">
              <a16:creationId xmlns:a16="http://schemas.microsoft.com/office/drawing/2014/main" id="{372615B3-F886-4EBB-BCD1-56672A2DEF3B}"/>
            </a:ext>
          </a:extLst>
        </xdr:cNvPr>
        <xdr:cNvGrpSpPr>
          <a:grpSpLocks noChangeAspect="1"/>
        </xdr:cNvGrpSpPr>
      </xdr:nvGrpSpPr>
      <xdr:grpSpPr bwMode="auto">
        <a:xfrm>
          <a:off x="2374970" y="34811259"/>
          <a:ext cx="875058" cy="190500"/>
          <a:chOff x="206" y="86"/>
          <a:chExt cx="73" cy="16"/>
        </a:xfrm>
      </xdr:grpSpPr>
      <xdr:sp macro="" textlink="">
        <xdr:nvSpPr>
          <xdr:cNvPr id="891" name="Line 6">
            <a:extLst>
              <a:ext uri="{FF2B5EF4-FFF2-40B4-BE49-F238E27FC236}">
                <a16:creationId xmlns:a16="http://schemas.microsoft.com/office/drawing/2014/main" id="{CCE3B57B-EF99-6109-D628-C890EFD52C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2" name="Line 7">
            <a:extLst>
              <a:ext uri="{FF2B5EF4-FFF2-40B4-BE49-F238E27FC236}">
                <a16:creationId xmlns:a16="http://schemas.microsoft.com/office/drawing/2014/main" id="{D96C6687-2611-8778-A464-DE6427C922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3" name="Line 8">
            <a:extLst>
              <a:ext uri="{FF2B5EF4-FFF2-40B4-BE49-F238E27FC236}">
                <a16:creationId xmlns:a16="http://schemas.microsoft.com/office/drawing/2014/main" id="{8DE999E5-5F7A-C692-3658-1AFD228A76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90</xdr:row>
      <xdr:rowOff>58616</xdr:rowOff>
    </xdr:from>
    <xdr:to>
      <xdr:col>3</xdr:col>
      <xdr:colOff>977635</xdr:colOff>
      <xdr:row>90</xdr:row>
      <xdr:rowOff>249116</xdr:rowOff>
    </xdr:to>
    <xdr:grpSp>
      <xdr:nvGrpSpPr>
        <xdr:cNvPr id="2686" name="hinh2">
          <a:extLst>
            <a:ext uri="{FF2B5EF4-FFF2-40B4-BE49-F238E27FC236}">
              <a16:creationId xmlns:a16="http://schemas.microsoft.com/office/drawing/2014/main" id="{AA8485B2-AFFD-450A-B4DB-8BCBFB2588B9}"/>
            </a:ext>
          </a:extLst>
        </xdr:cNvPr>
        <xdr:cNvGrpSpPr>
          <a:grpSpLocks noChangeAspect="1"/>
        </xdr:cNvGrpSpPr>
      </xdr:nvGrpSpPr>
      <xdr:grpSpPr bwMode="auto">
        <a:xfrm>
          <a:off x="2374970" y="34416652"/>
          <a:ext cx="875058" cy="190500"/>
          <a:chOff x="206" y="86"/>
          <a:chExt cx="73" cy="16"/>
        </a:xfrm>
      </xdr:grpSpPr>
      <xdr:sp macro="" textlink="">
        <xdr:nvSpPr>
          <xdr:cNvPr id="2687" name="Line 6">
            <a:extLst>
              <a:ext uri="{FF2B5EF4-FFF2-40B4-BE49-F238E27FC236}">
                <a16:creationId xmlns:a16="http://schemas.microsoft.com/office/drawing/2014/main" id="{C60C9494-5BB5-9CCE-A976-666027B029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8" name="Line 7">
            <a:extLst>
              <a:ext uri="{FF2B5EF4-FFF2-40B4-BE49-F238E27FC236}">
                <a16:creationId xmlns:a16="http://schemas.microsoft.com/office/drawing/2014/main" id="{B82F7218-EB2D-3D16-D40F-95180E93ED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9" name="Line 8">
            <a:extLst>
              <a:ext uri="{FF2B5EF4-FFF2-40B4-BE49-F238E27FC236}">
                <a16:creationId xmlns:a16="http://schemas.microsoft.com/office/drawing/2014/main" id="{A2809ECE-13EC-67B3-B6E9-467535912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92493</xdr:colOff>
      <xdr:row>13</xdr:row>
      <xdr:rowOff>55220</xdr:rowOff>
    </xdr:from>
    <xdr:to>
      <xdr:col>3</xdr:col>
      <xdr:colOff>1003580</xdr:colOff>
      <xdr:row>13</xdr:row>
      <xdr:rowOff>303698</xdr:rowOff>
    </xdr:to>
    <xdr:sp macro="" textlink="">
      <xdr:nvSpPr>
        <xdr:cNvPr id="2" name="hinh15">
          <a:extLst>
            <a:ext uri="{FF2B5EF4-FFF2-40B4-BE49-F238E27FC236}">
              <a16:creationId xmlns:a16="http://schemas.microsoft.com/office/drawing/2014/main" id="{791DCB62-3250-46D5-973B-3ABD64D4A76B}"/>
            </a:ext>
          </a:extLst>
        </xdr:cNvPr>
        <xdr:cNvSpPr>
          <a:spLocks noChangeAspect="1"/>
        </xdr:cNvSpPr>
      </xdr:nvSpPr>
      <xdr:spPr bwMode="auto">
        <a:xfrm rot="10800000">
          <a:off x="2730918" y="3274670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9</xdr:row>
      <xdr:rowOff>61296</xdr:rowOff>
    </xdr:from>
    <xdr:to>
      <xdr:col>3</xdr:col>
      <xdr:colOff>965880</xdr:colOff>
      <xdr:row>9</xdr:row>
      <xdr:rowOff>224979</xdr:rowOff>
    </xdr:to>
    <xdr:grpSp>
      <xdr:nvGrpSpPr>
        <xdr:cNvPr id="3" name="hinh2">
          <a:extLst>
            <a:ext uri="{FF2B5EF4-FFF2-40B4-BE49-F238E27FC236}">
              <a16:creationId xmlns:a16="http://schemas.microsoft.com/office/drawing/2014/main" id="{8E158146-D05D-4339-B6FE-72D8BA74B19F}"/>
            </a:ext>
          </a:extLst>
        </xdr:cNvPr>
        <xdr:cNvGrpSpPr>
          <a:grpSpLocks noChangeAspect="1"/>
        </xdr:cNvGrpSpPr>
      </xdr:nvGrpSpPr>
      <xdr:grpSpPr bwMode="auto">
        <a:xfrm>
          <a:off x="2730608" y="2660260"/>
          <a:ext cx="875058" cy="163683"/>
          <a:chOff x="206" y="86"/>
          <a:chExt cx="73" cy="16"/>
        </a:xfrm>
      </xdr:grpSpPr>
      <xdr:sp macro="" textlink="">
        <xdr:nvSpPr>
          <xdr:cNvPr id="4" name="Line 6">
            <a:extLst>
              <a:ext uri="{FF2B5EF4-FFF2-40B4-BE49-F238E27FC236}">
                <a16:creationId xmlns:a16="http://schemas.microsoft.com/office/drawing/2014/main" id="{7700862E-12C5-37C6-BE1E-317FC051FFE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7">
            <a:extLst>
              <a:ext uri="{FF2B5EF4-FFF2-40B4-BE49-F238E27FC236}">
                <a16:creationId xmlns:a16="http://schemas.microsoft.com/office/drawing/2014/main" id="{D6C4398B-97C9-8A86-562C-DC25FB7572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id="{A6D5D999-ADEA-4D01-BF21-BD0C05C2EF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14</xdr:row>
      <xdr:rowOff>62196</xdr:rowOff>
    </xdr:from>
    <xdr:to>
      <xdr:col>3</xdr:col>
      <xdr:colOff>952499</xdr:colOff>
      <xdr:row>14</xdr:row>
      <xdr:rowOff>213437</xdr:rowOff>
    </xdr:to>
    <xdr:grpSp>
      <xdr:nvGrpSpPr>
        <xdr:cNvPr id="7" name="hinh3">
          <a:extLst>
            <a:ext uri="{FF2B5EF4-FFF2-40B4-BE49-F238E27FC236}">
              <a16:creationId xmlns:a16="http://schemas.microsoft.com/office/drawing/2014/main" id="{08CAA6CA-8517-4F8F-947D-36E7C3FA0F7D}"/>
            </a:ext>
          </a:extLst>
        </xdr:cNvPr>
        <xdr:cNvGrpSpPr>
          <a:grpSpLocks noChangeAspect="1"/>
        </xdr:cNvGrpSpPr>
      </xdr:nvGrpSpPr>
      <xdr:grpSpPr bwMode="auto">
        <a:xfrm>
          <a:off x="2730574" y="4225982"/>
          <a:ext cx="861711" cy="151241"/>
          <a:chOff x="206" y="112"/>
          <a:chExt cx="73" cy="16"/>
        </a:xfrm>
      </xdr:grpSpPr>
      <xdr:sp macro="" textlink="">
        <xdr:nvSpPr>
          <xdr:cNvPr id="8" name="Line 3">
            <a:extLst>
              <a:ext uri="{FF2B5EF4-FFF2-40B4-BE49-F238E27FC236}">
                <a16:creationId xmlns:a16="http://schemas.microsoft.com/office/drawing/2014/main" id="{37D26166-EB38-3E03-80D6-ED33EFCBAA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">
            <a:extLst>
              <a:ext uri="{FF2B5EF4-FFF2-40B4-BE49-F238E27FC236}">
                <a16:creationId xmlns:a16="http://schemas.microsoft.com/office/drawing/2014/main" id="{CF1E09B0-9274-EF8E-A752-9B6815D86A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11</xdr:row>
      <xdr:rowOff>50652</xdr:rowOff>
    </xdr:from>
    <xdr:to>
      <xdr:col>3</xdr:col>
      <xdr:colOff>962981</xdr:colOff>
      <xdr:row>11</xdr:row>
      <xdr:rowOff>214335</xdr:rowOff>
    </xdr:to>
    <xdr:grpSp>
      <xdr:nvGrpSpPr>
        <xdr:cNvPr id="10" name="hinh2">
          <a:extLst>
            <a:ext uri="{FF2B5EF4-FFF2-40B4-BE49-F238E27FC236}">
              <a16:creationId xmlns:a16="http://schemas.microsoft.com/office/drawing/2014/main" id="{37CAAE23-AE37-46D2-AA77-BBB9AD5EBEDA}"/>
            </a:ext>
          </a:extLst>
        </xdr:cNvPr>
        <xdr:cNvGrpSpPr>
          <a:grpSpLocks noChangeAspect="1"/>
        </xdr:cNvGrpSpPr>
      </xdr:nvGrpSpPr>
      <xdr:grpSpPr bwMode="auto">
        <a:xfrm>
          <a:off x="2727709" y="3275545"/>
          <a:ext cx="875058" cy="163683"/>
          <a:chOff x="206" y="86"/>
          <a:chExt cx="73" cy="16"/>
        </a:xfrm>
      </xdr:grpSpPr>
      <xdr:sp macro="" textlink="">
        <xdr:nvSpPr>
          <xdr:cNvPr id="11" name="Line 6">
            <a:extLst>
              <a:ext uri="{FF2B5EF4-FFF2-40B4-BE49-F238E27FC236}">
                <a16:creationId xmlns:a16="http://schemas.microsoft.com/office/drawing/2014/main" id="{293A9A9D-C132-347A-E139-C5B384BDAC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7">
            <a:extLst>
              <a:ext uri="{FF2B5EF4-FFF2-40B4-BE49-F238E27FC236}">
                <a16:creationId xmlns:a16="http://schemas.microsoft.com/office/drawing/2014/main" id="{A6E82831-7C34-360B-432B-1FE9B08DF5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8">
            <a:extLst>
              <a:ext uri="{FF2B5EF4-FFF2-40B4-BE49-F238E27FC236}">
                <a16:creationId xmlns:a16="http://schemas.microsoft.com/office/drawing/2014/main" id="{55778956-84BC-FF0B-D170-F83866BEE6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20</xdr:row>
      <xdr:rowOff>55220</xdr:rowOff>
    </xdr:from>
    <xdr:to>
      <xdr:col>3</xdr:col>
      <xdr:colOff>1003580</xdr:colOff>
      <xdr:row>20</xdr:row>
      <xdr:rowOff>303698</xdr:rowOff>
    </xdr:to>
    <xdr:sp macro="" textlink="">
      <xdr:nvSpPr>
        <xdr:cNvPr id="14" name="hinh15">
          <a:extLst>
            <a:ext uri="{FF2B5EF4-FFF2-40B4-BE49-F238E27FC236}">
              <a16:creationId xmlns:a16="http://schemas.microsoft.com/office/drawing/2014/main" id="{DBBE0FEB-DB50-4CD9-9BC2-2801421D26FC}"/>
            </a:ext>
          </a:extLst>
        </xdr:cNvPr>
        <xdr:cNvSpPr>
          <a:spLocks noChangeAspect="1"/>
        </xdr:cNvSpPr>
      </xdr:nvSpPr>
      <xdr:spPr bwMode="auto">
        <a:xfrm rot="10800000">
          <a:off x="2730918" y="4846295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16</xdr:row>
      <xdr:rowOff>61296</xdr:rowOff>
    </xdr:from>
    <xdr:to>
      <xdr:col>3</xdr:col>
      <xdr:colOff>965880</xdr:colOff>
      <xdr:row>16</xdr:row>
      <xdr:rowOff>224979</xdr:rowOff>
    </xdr:to>
    <xdr:grpSp>
      <xdr:nvGrpSpPr>
        <xdr:cNvPr id="15" name="hinh2">
          <a:extLst>
            <a:ext uri="{FF2B5EF4-FFF2-40B4-BE49-F238E27FC236}">
              <a16:creationId xmlns:a16="http://schemas.microsoft.com/office/drawing/2014/main" id="{B76110B3-FD5A-41E4-9227-C84A9BB2DBCB}"/>
            </a:ext>
          </a:extLst>
        </xdr:cNvPr>
        <xdr:cNvGrpSpPr>
          <a:grpSpLocks noChangeAspect="1"/>
        </xdr:cNvGrpSpPr>
      </xdr:nvGrpSpPr>
      <xdr:grpSpPr bwMode="auto">
        <a:xfrm>
          <a:off x="2730608" y="4851010"/>
          <a:ext cx="875058" cy="163683"/>
          <a:chOff x="206" y="86"/>
          <a:chExt cx="73" cy="16"/>
        </a:xfrm>
      </xdr:grpSpPr>
      <xdr:sp macro="" textlink="">
        <xdr:nvSpPr>
          <xdr:cNvPr id="16" name="Line 6">
            <a:extLst>
              <a:ext uri="{FF2B5EF4-FFF2-40B4-BE49-F238E27FC236}">
                <a16:creationId xmlns:a16="http://schemas.microsoft.com/office/drawing/2014/main" id="{ADFF0FFD-9EC2-1661-6285-CD898926F7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">
            <a:extLst>
              <a:ext uri="{FF2B5EF4-FFF2-40B4-BE49-F238E27FC236}">
                <a16:creationId xmlns:a16="http://schemas.microsoft.com/office/drawing/2014/main" id="{AA5B2AE2-6AF9-DD9F-EC0B-C19469FF38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8">
            <a:extLst>
              <a:ext uri="{FF2B5EF4-FFF2-40B4-BE49-F238E27FC236}">
                <a16:creationId xmlns:a16="http://schemas.microsoft.com/office/drawing/2014/main" id="{8087F429-2939-A93F-2608-230B6F111D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21</xdr:row>
      <xdr:rowOff>62196</xdr:rowOff>
    </xdr:from>
    <xdr:to>
      <xdr:col>3</xdr:col>
      <xdr:colOff>952499</xdr:colOff>
      <xdr:row>21</xdr:row>
      <xdr:rowOff>213437</xdr:rowOff>
    </xdr:to>
    <xdr:grpSp>
      <xdr:nvGrpSpPr>
        <xdr:cNvPr id="19" name="hinh3">
          <a:extLst>
            <a:ext uri="{FF2B5EF4-FFF2-40B4-BE49-F238E27FC236}">
              <a16:creationId xmlns:a16="http://schemas.microsoft.com/office/drawing/2014/main" id="{D94CE90B-84A0-4853-9539-A24179BD11F4}"/>
            </a:ext>
          </a:extLst>
        </xdr:cNvPr>
        <xdr:cNvGrpSpPr>
          <a:grpSpLocks noChangeAspect="1"/>
        </xdr:cNvGrpSpPr>
      </xdr:nvGrpSpPr>
      <xdr:grpSpPr bwMode="auto">
        <a:xfrm>
          <a:off x="2730574" y="6416732"/>
          <a:ext cx="861711" cy="151241"/>
          <a:chOff x="206" y="112"/>
          <a:chExt cx="73" cy="16"/>
        </a:xfrm>
      </xdr:grpSpPr>
      <xdr:sp macro="" textlink="">
        <xdr:nvSpPr>
          <xdr:cNvPr id="20" name="Line 3">
            <a:extLst>
              <a:ext uri="{FF2B5EF4-FFF2-40B4-BE49-F238E27FC236}">
                <a16:creationId xmlns:a16="http://schemas.microsoft.com/office/drawing/2014/main" id="{AB33C0B4-79A3-45DF-2BFA-1DEA06A1A17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">
            <a:extLst>
              <a:ext uri="{FF2B5EF4-FFF2-40B4-BE49-F238E27FC236}">
                <a16:creationId xmlns:a16="http://schemas.microsoft.com/office/drawing/2014/main" id="{E7D8D23D-CDA9-ECA2-B59C-1334DEA8C2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18</xdr:row>
      <xdr:rowOff>50652</xdr:rowOff>
    </xdr:from>
    <xdr:to>
      <xdr:col>3</xdr:col>
      <xdr:colOff>962981</xdr:colOff>
      <xdr:row>18</xdr:row>
      <xdr:rowOff>214335</xdr:rowOff>
    </xdr:to>
    <xdr:grpSp>
      <xdr:nvGrpSpPr>
        <xdr:cNvPr id="22" name="hinh2">
          <a:extLst>
            <a:ext uri="{FF2B5EF4-FFF2-40B4-BE49-F238E27FC236}">
              <a16:creationId xmlns:a16="http://schemas.microsoft.com/office/drawing/2014/main" id="{CAC49E57-844E-469F-9A3B-3D252D5E39C2}"/>
            </a:ext>
          </a:extLst>
        </xdr:cNvPr>
        <xdr:cNvGrpSpPr>
          <a:grpSpLocks noChangeAspect="1"/>
        </xdr:cNvGrpSpPr>
      </xdr:nvGrpSpPr>
      <xdr:grpSpPr bwMode="auto">
        <a:xfrm>
          <a:off x="2727709" y="5466295"/>
          <a:ext cx="875058" cy="163683"/>
          <a:chOff x="206" y="86"/>
          <a:chExt cx="73" cy="16"/>
        </a:xfrm>
      </xdr:grpSpPr>
      <xdr:sp macro="" textlink="">
        <xdr:nvSpPr>
          <xdr:cNvPr id="23" name="Line 6">
            <a:extLst>
              <a:ext uri="{FF2B5EF4-FFF2-40B4-BE49-F238E27FC236}">
                <a16:creationId xmlns:a16="http://schemas.microsoft.com/office/drawing/2014/main" id="{620AA301-3E2D-D023-840A-6AED506541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">
            <a:extLst>
              <a:ext uri="{FF2B5EF4-FFF2-40B4-BE49-F238E27FC236}">
                <a16:creationId xmlns:a16="http://schemas.microsoft.com/office/drawing/2014/main" id="{C4BA6422-1B36-4EC6-AA9B-288477D484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8">
            <a:extLst>
              <a:ext uri="{FF2B5EF4-FFF2-40B4-BE49-F238E27FC236}">
                <a16:creationId xmlns:a16="http://schemas.microsoft.com/office/drawing/2014/main" id="{BCA02096-1768-F871-0B44-98DB70DBD8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11</xdr:row>
      <xdr:rowOff>50652</xdr:rowOff>
    </xdr:from>
    <xdr:to>
      <xdr:col>3</xdr:col>
      <xdr:colOff>962981</xdr:colOff>
      <xdr:row>11</xdr:row>
      <xdr:rowOff>214335</xdr:rowOff>
    </xdr:to>
    <xdr:grpSp>
      <xdr:nvGrpSpPr>
        <xdr:cNvPr id="26" name="hinh2">
          <a:extLst>
            <a:ext uri="{FF2B5EF4-FFF2-40B4-BE49-F238E27FC236}">
              <a16:creationId xmlns:a16="http://schemas.microsoft.com/office/drawing/2014/main" id="{456B642B-A1A1-4E93-898B-EA4F3A50F39C}"/>
            </a:ext>
          </a:extLst>
        </xdr:cNvPr>
        <xdr:cNvGrpSpPr>
          <a:grpSpLocks noChangeAspect="1"/>
        </xdr:cNvGrpSpPr>
      </xdr:nvGrpSpPr>
      <xdr:grpSpPr bwMode="auto">
        <a:xfrm>
          <a:off x="2727709" y="3275545"/>
          <a:ext cx="875058" cy="163683"/>
          <a:chOff x="206" y="86"/>
          <a:chExt cx="73" cy="16"/>
        </a:xfrm>
      </xdr:grpSpPr>
      <xdr:sp macro="" textlink="">
        <xdr:nvSpPr>
          <xdr:cNvPr id="27" name="Line 6">
            <a:extLst>
              <a:ext uri="{FF2B5EF4-FFF2-40B4-BE49-F238E27FC236}">
                <a16:creationId xmlns:a16="http://schemas.microsoft.com/office/drawing/2014/main" id="{C4F257CD-DF0C-68C2-F6F8-250A071F90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">
            <a:extLst>
              <a:ext uri="{FF2B5EF4-FFF2-40B4-BE49-F238E27FC236}">
                <a16:creationId xmlns:a16="http://schemas.microsoft.com/office/drawing/2014/main" id="{E1075742-D2CC-8682-6F50-D4E97DA70D4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">
            <a:extLst>
              <a:ext uri="{FF2B5EF4-FFF2-40B4-BE49-F238E27FC236}">
                <a16:creationId xmlns:a16="http://schemas.microsoft.com/office/drawing/2014/main" id="{C96D3D58-AE16-D413-2D22-88B773F330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90822</xdr:colOff>
      <xdr:row>10</xdr:row>
      <xdr:rowOff>61296</xdr:rowOff>
    </xdr:from>
    <xdr:to>
      <xdr:col>3</xdr:col>
      <xdr:colOff>965880</xdr:colOff>
      <xdr:row>10</xdr:row>
      <xdr:rowOff>224979</xdr:rowOff>
    </xdr:to>
    <xdr:grpSp>
      <xdr:nvGrpSpPr>
        <xdr:cNvPr id="1018" name="hinh2">
          <a:extLst>
            <a:ext uri="{FF2B5EF4-FFF2-40B4-BE49-F238E27FC236}">
              <a16:creationId xmlns:a16="http://schemas.microsoft.com/office/drawing/2014/main" id="{FE457F93-D50D-4457-9CF1-FABCEF67E2B2}"/>
            </a:ext>
          </a:extLst>
        </xdr:cNvPr>
        <xdr:cNvGrpSpPr>
          <a:grpSpLocks noChangeAspect="1"/>
        </xdr:cNvGrpSpPr>
      </xdr:nvGrpSpPr>
      <xdr:grpSpPr bwMode="auto">
        <a:xfrm>
          <a:off x="2730608" y="2973225"/>
          <a:ext cx="875058" cy="163683"/>
          <a:chOff x="206" y="86"/>
          <a:chExt cx="73" cy="16"/>
        </a:xfrm>
      </xdr:grpSpPr>
      <xdr:sp macro="" textlink="">
        <xdr:nvSpPr>
          <xdr:cNvPr id="1019" name="Line 6">
            <a:extLst>
              <a:ext uri="{FF2B5EF4-FFF2-40B4-BE49-F238E27FC236}">
                <a16:creationId xmlns:a16="http://schemas.microsoft.com/office/drawing/2014/main" id="{94A78E5D-A291-3FDF-2F88-7E0E65C166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0" name="Line 7">
            <a:extLst>
              <a:ext uri="{FF2B5EF4-FFF2-40B4-BE49-F238E27FC236}">
                <a16:creationId xmlns:a16="http://schemas.microsoft.com/office/drawing/2014/main" id="{AD7E9F97-E00E-B02B-4A72-2410966BFA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1" name="Line 8">
            <a:extLst>
              <a:ext uri="{FF2B5EF4-FFF2-40B4-BE49-F238E27FC236}">
                <a16:creationId xmlns:a16="http://schemas.microsoft.com/office/drawing/2014/main" id="{AE3AB883-C8F0-3AF1-A4DD-D144E8F34A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12</xdr:row>
      <xdr:rowOff>50652</xdr:rowOff>
    </xdr:from>
    <xdr:to>
      <xdr:col>3</xdr:col>
      <xdr:colOff>962981</xdr:colOff>
      <xdr:row>12</xdr:row>
      <xdr:rowOff>214335</xdr:rowOff>
    </xdr:to>
    <xdr:grpSp>
      <xdr:nvGrpSpPr>
        <xdr:cNvPr id="1022" name="hinh2">
          <a:extLst>
            <a:ext uri="{FF2B5EF4-FFF2-40B4-BE49-F238E27FC236}">
              <a16:creationId xmlns:a16="http://schemas.microsoft.com/office/drawing/2014/main" id="{EEDB9B19-C01C-4304-BAB8-B648FD59E45D}"/>
            </a:ext>
          </a:extLst>
        </xdr:cNvPr>
        <xdr:cNvGrpSpPr>
          <a:grpSpLocks noChangeAspect="1"/>
        </xdr:cNvGrpSpPr>
      </xdr:nvGrpSpPr>
      <xdr:grpSpPr bwMode="auto">
        <a:xfrm>
          <a:off x="2727709" y="3588509"/>
          <a:ext cx="875058" cy="163683"/>
          <a:chOff x="206" y="86"/>
          <a:chExt cx="73" cy="16"/>
        </a:xfrm>
      </xdr:grpSpPr>
      <xdr:sp macro="" textlink="">
        <xdr:nvSpPr>
          <xdr:cNvPr id="1023" name="Line 6">
            <a:extLst>
              <a:ext uri="{FF2B5EF4-FFF2-40B4-BE49-F238E27FC236}">
                <a16:creationId xmlns:a16="http://schemas.microsoft.com/office/drawing/2014/main" id="{0CE41F8C-7D93-E8EA-D15F-6C60E1B33F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4" name="Line 7">
            <a:extLst>
              <a:ext uri="{FF2B5EF4-FFF2-40B4-BE49-F238E27FC236}">
                <a16:creationId xmlns:a16="http://schemas.microsoft.com/office/drawing/2014/main" id="{2944526C-BA25-5DD8-7334-705FACE128F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5" name="Line 8">
            <a:extLst>
              <a:ext uri="{FF2B5EF4-FFF2-40B4-BE49-F238E27FC236}">
                <a16:creationId xmlns:a16="http://schemas.microsoft.com/office/drawing/2014/main" id="{B101E23D-A1AA-F0A8-B61D-2006113E5B6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12</xdr:row>
      <xdr:rowOff>50652</xdr:rowOff>
    </xdr:from>
    <xdr:to>
      <xdr:col>3</xdr:col>
      <xdr:colOff>962981</xdr:colOff>
      <xdr:row>12</xdr:row>
      <xdr:rowOff>214335</xdr:rowOff>
    </xdr:to>
    <xdr:grpSp>
      <xdr:nvGrpSpPr>
        <xdr:cNvPr id="1026" name="hinh2">
          <a:extLst>
            <a:ext uri="{FF2B5EF4-FFF2-40B4-BE49-F238E27FC236}">
              <a16:creationId xmlns:a16="http://schemas.microsoft.com/office/drawing/2014/main" id="{25F34EA7-591C-4B9F-B50B-9B47350BE02A}"/>
            </a:ext>
          </a:extLst>
        </xdr:cNvPr>
        <xdr:cNvGrpSpPr>
          <a:grpSpLocks noChangeAspect="1"/>
        </xdr:cNvGrpSpPr>
      </xdr:nvGrpSpPr>
      <xdr:grpSpPr bwMode="auto">
        <a:xfrm>
          <a:off x="2727709" y="3588509"/>
          <a:ext cx="875058" cy="163683"/>
          <a:chOff x="206" y="86"/>
          <a:chExt cx="73" cy="16"/>
        </a:xfrm>
      </xdr:grpSpPr>
      <xdr:sp macro="" textlink="">
        <xdr:nvSpPr>
          <xdr:cNvPr id="1027" name="Line 6">
            <a:extLst>
              <a:ext uri="{FF2B5EF4-FFF2-40B4-BE49-F238E27FC236}">
                <a16:creationId xmlns:a16="http://schemas.microsoft.com/office/drawing/2014/main" id="{253B90A1-A723-34E4-6C5C-F6DBD26806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Line 7">
            <a:extLst>
              <a:ext uri="{FF2B5EF4-FFF2-40B4-BE49-F238E27FC236}">
                <a16:creationId xmlns:a16="http://schemas.microsoft.com/office/drawing/2014/main" id="{956A2F94-567A-54CC-DFC7-A58FAE2FA8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8">
            <a:extLst>
              <a:ext uri="{FF2B5EF4-FFF2-40B4-BE49-F238E27FC236}">
                <a16:creationId xmlns:a16="http://schemas.microsoft.com/office/drawing/2014/main" id="{6A187E80-6D5E-D347-8836-6776E26838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90822</xdr:colOff>
      <xdr:row>17</xdr:row>
      <xdr:rowOff>61296</xdr:rowOff>
    </xdr:from>
    <xdr:to>
      <xdr:col>3</xdr:col>
      <xdr:colOff>965880</xdr:colOff>
      <xdr:row>17</xdr:row>
      <xdr:rowOff>224979</xdr:rowOff>
    </xdr:to>
    <xdr:grpSp>
      <xdr:nvGrpSpPr>
        <xdr:cNvPr id="1030" name="hinh2">
          <a:extLst>
            <a:ext uri="{FF2B5EF4-FFF2-40B4-BE49-F238E27FC236}">
              <a16:creationId xmlns:a16="http://schemas.microsoft.com/office/drawing/2014/main" id="{7C8A8607-CB35-45FE-B290-F5E2B28B6EE3}"/>
            </a:ext>
          </a:extLst>
        </xdr:cNvPr>
        <xdr:cNvGrpSpPr>
          <a:grpSpLocks noChangeAspect="1"/>
        </xdr:cNvGrpSpPr>
      </xdr:nvGrpSpPr>
      <xdr:grpSpPr bwMode="auto">
        <a:xfrm>
          <a:off x="2730608" y="5163975"/>
          <a:ext cx="875058" cy="163683"/>
          <a:chOff x="206" y="86"/>
          <a:chExt cx="73" cy="16"/>
        </a:xfrm>
      </xdr:grpSpPr>
      <xdr:sp macro="" textlink="">
        <xdr:nvSpPr>
          <xdr:cNvPr id="1031" name="Line 6">
            <a:extLst>
              <a:ext uri="{FF2B5EF4-FFF2-40B4-BE49-F238E27FC236}">
                <a16:creationId xmlns:a16="http://schemas.microsoft.com/office/drawing/2014/main" id="{3F7AD6BB-C26C-3B1C-6903-E790DA1C3E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7">
            <a:extLst>
              <a:ext uri="{FF2B5EF4-FFF2-40B4-BE49-F238E27FC236}">
                <a16:creationId xmlns:a16="http://schemas.microsoft.com/office/drawing/2014/main" id="{C8C59756-608D-0CFA-F58D-D313E733FF4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Line 8">
            <a:extLst>
              <a:ext uri="{FF2B5EF4-FFF2-40B4-BE49-F238E27FC236}">
                <a16:creationId xmlns:a16="http://schemas.microsoft.com/office/drawing/2014/main" id="{5EEC5BAC-A458-C7C9-5D77-7B7E1175FE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19</xdr:row>
      <xdr:rowOff>50652</xdr:rowOff>
    </xdr:from>
    <xdr:to>
      <xdr:col>3</xdr:col>
      <xdr:colOff>962981</xdr:colOff>
      <xdr:row>19</xdr:row>
      <xdr:rowOff>214335</xdr:rowOff>
    </xdr:to>
    <xdr:grpSp>
      <xdr:nvGrpSpPr>
        <xdr:cNvPr id="1034" name="hinh2">
          <a:extLst>
            <a:ext uri="{FF2B5EF4-FFF2-40B4-BE49-F238E27FC236}">
              <a16:creationId xmlns:a16="http://schemas.microsoft.com/office/drawing/2014/main" id="{84BDDCB3-A73F-4AD3-9990-EB2296B29D74}"/>
            </a:ext>
          </a:extLst>
        </xdr:cNvPr>
        <xdr:cNvGrpSpPr>
          <a:grpSpLocks noChangeAspect="1"/>
        </xdr:cNvGrpSpPr>
      </xdr:nvGrpSpPr>
      <xdr:grpSpPr bwMode="auto">
        <a:xfrm>
          <a:off x="2727709" y="5779259"/>
          <a:ext cx="875058" cy="163683"/>
          <a:chOff x="206" y="86"/>
          <a:chExt cx="73" cy="16"/>
        </a:xfrm>
      </xdr:grpSpPr>
      <xdr:sp macro="" textlink="">
        <xdr:nvSpPr>
          <xdr:cNvPr id="1035" name="Line 6">
            <a:extLst>
              <a:ext uri="{FF2B5EF4-FFF2-40B4-BE49-F238E27FC236}">
                <a16:creationId xmlns:a16="http://schemas.microsoft.com/office/drawing/2014/main" id="{DBB3A0EF-B5FD-4DBA-D5C4-8F58C7EC62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7">
            <a:extLst>
              <a:ext uri="{FF2B5EF4-FFF2-40B4-BE49-F238E27FC236}">
                <a16:creationId xmlns:a16="http://schemas.microsoft.com/office/drawing/2014/main" id="{282EBFA3-88E3-9987-D9D8-DA58040A5E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8">
            <a:extLst>
              <a:ext uri="{FF2B5EF4-FFF2-40B4-BE49-F238E27FC236}">
                <a16:creationId xmlns:a16="http://schemas.microsoft.com/office/drawing/2014/main" id="{C7DD9E7D-E7A3-8D58-F1A4-0F6B3A53FE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27</xdr:row>
      <xdr:rowOff>55220</xdr:rowOff>
    </xdr:from>
    <xdr:to>
      <xdr:col>3</xdr:col>
      <xdr:colOff>1003580</xdr:colOff>
      <xdr:row>27</xdr:row>
      <xdr:rowOff>303698</xdr:rowOff>
    </xdr:to>
    <xdr:sp macro="" textlink="">
      <xdr:nvSpPr>
        <xdr:cNvPr id="1038" name="hinh15">
          <a:extLst>
            <a:ext uri="{FF2B5EF4-FFF2-40B4-BE49-F238E27FC236}">
              <a16:creationId xmlns:a16="http://schemas.microsoft.com/office/drawing/2014/main" id="{A7FC31E1-49B1-4F59-8827-A97885F35632}"/>
            </a:ext>
          </a:extLst>
        </xdr:cNvPr>
        <xdr:cNvSpPr>
          <a:spLocks noChangeAspect="1"/>
        </xdr:cNvSpPr>
      </xdr:nvSpPr>
      <xdr:spPr bwMode="auto">
        <a:xfrm rot="10800000">
          <a:off x="2732279" y="609679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23</xdr:row>
      <xdr:rowOff>61296</xdr:rowOff>
    </xdr:from>
    <xdr:to>
      <xdr:col>3</xdr:col>
      <xdr:colOff>965880</xdr:colOff>
      <xdr:row>23</xdr:row>
      <xdr:rowOff>224979</xdr:rowOff>
    </xdr:to>
    <xdr:grpSp>
      <xdr:nvGrpSpPr>
        <xdr:cNvPr id="1039" name="hinh2">
          <a:extLst>
            <a:ext uri="{FF2B5EF4-FFF2-40B4-BE49-F238E27FC236}">
              <a16:creationId xmlns:a16="http://schemas.microsoft.com/office/drawing/2014/main" id="{B00F2FB7-C96D-4867-91D7-36CC7F6C96A1}"/>
            </a:ext>
          </a:extLst>
        </xdr:cNvPr>
        <xdr:cNvGrpSpPr>
          <a:grpSpLocks noChangeAspect="1"/>
        </xdr:cNvGrpSpPr>
      </xdr:nvGrpSpPr>
      <xdr:grpSpPr bwMode="auto">
        <a:xfrm>
          <a:off x="2730608" y="7041760"/>
          <a:ext cx="875058" cy="163683"/>
          <a:chOff x="206" y="86"/>
          <a:chExt cx="73" cy="16"/>
        </a:xfrm>
      </xdr:grpSpPr>
      <xdr:sp macro="" textlink="">
        <xdr:nvSpPr>
          <xdr:cNvPr id="1040" name="Line 6">
            <a:extLst>
              <a:ext uri="{FF2B5EF4-FFF2-40B4-BE49-F238E27FC236}">
                <a16:creationId xmlns:a16="http://schemas.microsoft.com/office/drawing/2014/main" id="{B7DC9D3A-46A3-4F4A-D240-132FB1A266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7">
            <a:extLst>
              <a:ext uri="{FF2B5EF4-FFF2-40B4-BE49-F238E27FC236}">
                <a16:creationId xmlns:a16="http://schemas.microsoft.com/office/drawing/2014/main" id="{8975A914-FC4C-77BD-9472-7509C78541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2" name="Line 8">
            <a:extLst>
              <a:ext uri="{FF2B5EF4-FFF2-40B4-BE49-F238E27FC236}">
                <a16:creationId xmlns:a16="http://schemas.microsoft.com/office/drawing/2014/main" id="{4F325391-C2AB-9B2D-DAE3-BFED4164E8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28</xdr:row>
      <xdr:rowOff>62196</xdr:rowOff>
    </xdr:from>
    <xdr:to>
      <xdr:col>3</xdr:col>
      <xdr:colOff>952499</xdr:colOff>
      <xdr:row>28</xdr:row>
      <xdr:rowOff>213437</xdr:rowOff>
    </xdr:to>
    <xdr:grpSp>
      <xdr:nvGrpSpPr>
        <xdr:cNvPr id="1043" name="hinh3">
          <a:extLst>
            <a:ext uri="{FF2B5EF4-FFF2-40B4-BE49-F238E27FC236}">
              <a16:creationId xmlns:a16="http://schemas.microsoft.com/office/drawing/2014/main" id="{F0AA0BFF-0AA0-4694-AC66-AFA1CBC02453}"/>
            </a:ext>
          </a:extLst>
        </xdr:cNvPr>
        <xdr:cNvGrpSpPr>
          <a:grpSpLocks noChangeAspect="1"/>
        </xdr:cNvGrpSpPr>
      </xdr:nvGrpSpPr>
      <xdr:grpSpPr bwMode="auto">
        <a:xfrm>
          <a:off x="2730574" y="8607482"/>
          <a:ext cx="861711" cy="151241"/>
          <a:chOff x="206" y="112"/>
          <a:chExt cx="73" cy="16"/>
        </a:xfrm>
      </xdr:grpSpPr>
      <xdr:sp macro="" textlink="">
        <xdr:nvSpPr>
          <xdr:cNvPr id="1044" name="Line 3">
            <a:extLst>
              <a:ext uri="{FF2B5EF4-FFF2-40B4-BE49-F238E27FC236}">
                <a16:creationId xmlns:a16="http://schemas.microsoft.com/office/drawing/2014/main" id="{4592757A-1E62-155A-9F6E-154EF13F76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4">
            <a:extLst>
              <a:ext uri="{FF2B5EF4-FFF2-40B4-BE49-F238E27FC236}">
                <a16:creationId xmlns:a16="http://schemas.microsoft.com/office/drawing/2014/main" id="{16C7E4F9-44A3-D65A-D645-9351DD84FE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25</xdr:row>
      <xdr:rowOff>50652</xdr:rowOff>
    </xdr:from>
    <xdr:to>
      <xdr:col>3</xdr:col>
      <xdr:colOff>962981</xdr:colOff>
      <xdr:row>25</xdr:row>
      <xdr:rowOff>214335</xdr:rowOff>
    </xdr:to>
    <xdr:grpSp>
      <xdr:nvGrpSpPr>
        <xdr:cNvPr id="1046" name="hinh2">
          <a:extLst>
            <a:ext uri="{FF2B5EF4-FFF2-40B4-BE49-F238E27FC236}">
              <a16:creationId xmlns:a16="http://schemas.microsoft.com/office/drawing/2014/main" id="{190299A3-56E5-4525-9B3E-55A3E1C50795}"/>
            </a:ext>
          </a:extLst>
        </xdr:cNvPr>
        <xdr:cNvGrpSpPr>
          <a:grpSpLocks noChangeAspect="1"/>
        </xdr:cNvGrpSpPr>
      </xdr:nvGrpSpPr>
      <xdr:grpSpPr bwMode="auto">
        <a:xfrm>
          <a:off x="2727709" y="7657045"/>
          <a:ext cx="875058" cy="163683"/>
          <a:chOff x="206" y="86"/>
          <a:chExt cx="73" cy="16"/>
        </a:xfrm>
      </xdr:grpSpPr>
      <xdr:sp macro="" textlink="">
        <xdr:nvSpPr>
          <xdr:cNvPr id="1047" name="Line 6">
            <a:extLst>
              <a:ext uri="{FF2B5EF4-FFF2-40B4-BE49-F238E27FC236}">
                <a16:creationId xmlns:a16="http://schemas.microsoft.com/office/drawing/2014/main" id="{9AFCEE8E-377F-576B-57A5-E1D1D24E19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7">
            <a:extLst>
              <a:ext uri="{FF2B5EF4-FFF2-40B4-BE49-F238E27FC236}">
                <a16:creationId xmlns:a16="http://schemas.microsoft.com/office/drawing/2014/main" id="{DD15E724-7847-7BC0-CCCF-F2C37D158D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8">
            <a:extLst>
              <a:ext uri="{FF2B5EF4-FFF2-40B4-BE49-F238E27FC236}">
                <a16:creationId xmlns:a16="http://schemas.microsoft.com/office/drawing/2014/main" id="{725DFA6B-99D0-2874-2DDB-0E2DCB581C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90822</xdr:colOff>
      <xdr:row>24</xdr:row>
      <xdr:rowOff>61296</xdr:rowOff>
    </xdr:from>
    <xdr:to>
      <xdr:col>3</xdr:col>
      <xdr:colOff>965880</xdr:colOff>
      <xdr:row>24</xdr:row>
      <xdr:rowOff>224979</xdr:rowOff>
    </xdr:to>
    <xdr:grpSp>
      <xdr:nvGrpSpPr>
        <xdr:cNvPr id="1050" name="hinh2">
          <a:extLst>
            <a:ext uri="{FF2B5EF4-FFF2-40B4-BE49-F238E27FC236}">
              <a16:creationId xmlns:a16="http://schemas.microsoft.com/office/drawing/2014/main" id="{917D961A-F866-4963-B7F4-083D91C96780}"/>
            </a:ext>
          </a:extLst>
        </xdr:cNvPr>
        <xdr:cNvGrpSpPr>
          <a:grpSpLocks noChangeAspect="1"/>
        </xdr:cNvGrpSpPr>
      </xdr:nvGrpSpPr>
      <xdr:grpSpPr bwMode="auto">
        <a:xfrm>
          <a:off x="2730608" y="7354725"/>
          <a:ext cx="875058" cy="163683"/>
          <a:chOff x="206" y="86"/>
          <a:chExt cx="73" cy="16"/>
        </a:xfrm>
      </xdr:grpSpPr>
      <xdr:sp macro="" textlink="">
        <xdr:nvSpPr>
          <xdr:cNvPr id="1051" name="Line 6">
            <a:extLst>
              <a:ext uri="{FF2B5EF4-FFF2-40B4-BE49-F238E27FC236}">
                <a16:creationId xmlns:a16="http://schemas.microsoft.com/office/drawing/2014/main" id="{79C08AE8-BEF6-7B18-93CA-F620E71389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Line 7">
            <a:extLst>
              <a:ext uri="{FF2B5EF4-FFF2-40B4-BE49-F238E27FC236}">
                <a16:creationId xmlns:a16="http://schemas.microsoft.com/office/drawing/2014/main" id="{09906354-F2CC-65D0-7D4A-214FEC369F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3" name="Line 8">
            <a:extLst>
              <a:ext uri="{FF2B5EF4-FFF2-40B4-BE49-F238E27FC236}">
                <a16:creationId xmlns:a16="http://schemas.microsoft.com/office/drawing/2014/main" id="{DD8A8DB5-447F-FDDA-1B4C-5F97EE9FF4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26</xdr:row>
      <xdr:rowOff>50652</xdr:rowOff>
    </xdr:from>
    <xdr:to>
      <xdr:col>3</xdr:col>
      <xdr:colOff>962981</xdr:colOff>
      <xdr:row>26</xdr:row>
      <xdr:rowOff>214335</xdr:rowOff>
    </xdr:to>
    <xdr:grpSp>
      <xdr:nvGrpSpPr>
        <xdr:cNvPr id="1054" name="hinh2">
          <a:extLst>
            <a:ext uri="{FF2B5EF4-FFF2-40B4-BE49-F238E27FC236}">
              <a16:creationId xmlns:a16="http://schemas.microsoft.com/office/drawing/2014/main" id="{81FBCC5C-B2B1-4892-B8A4-1D9A2E89BFB3}"/>
            </a:ext>
          </a:extLst>
        </xdr:cNvPr>
        <xdr:cNvGrpSpPr>
          <a:grpSpLocks noChangeAspect="1"/>
        </xdr:cNvGrpSpPr>
      </xdr:nvGrpSpPr>
      <xdr:grpSpPr bwMode="auto">
        <a:xfrm>
          <a:off x="2727709" y="7970009"/>
          <a:ext cx="875058" cy="163683"/>
          <a:chOff x="206" y="86"/>
          <a:chExt cx="73" cy="16"/>
        </a:xfrm>
      </xdr:grpSpPr>
      <xdr:sp macro="" textlink="">
        <xdr:nvSpPr>
          <xdr:cNvPr id="1055" name="Line 6">
            <a:extLst>
              <a:ext uri="{FF2B5EF4-FFF2-40B4-BE49-F238E27FC236}">
                <a16:creationId xmlns:a16="http://schemas.microsoft.com/office/drawing/2014/main" id="{1FFFA4EC-C772-7B7B-9664-A1606ADEEB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7">
            <a:extLst>
              <a:ext uri="{FF2B5EF4-FFF2-40B4-BE49-F238E27FC236}">
                <a16:creationId xmlns:a16="http://schemas.microsoft.com/office/drawing/2014/main" id="{3C5481A6-C892-C07C-C2EC-6E7EFB5688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Line 8">
            <a:extLst>
              <a:ext uri="{FF2B5EF4-FFF2-40B4-BE49-F238E27FC236}">
                <a16:creationId xmlns:a16="http://schemas.microsoft.com/office/drawing/2014/main" id="{01622D30-79A3-A4FC-163A-249A53B358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34</xdr:row>
      <xdr:rowOff>55220</xdr:rowOff>
    </xdr:from>
    <xdr:to>
      <xdr:col>3</xdr:col>
      <xdr:colOff>1003580</xdr:colOff>
      <xdr:row>34</xdr:row>
      <xdr:rowOff>303698</xdr:rowOff>
    </xdr:to>
    <xdr:sp macro="" textlink="">
      <xdr:nvSpPr>
        <xdr:cNvPr id="1058" name="hinh15">
          <a:extLst>
            <a:ext uri="{FF2B5EF4-FFF2-40B4-BE49-F238E27FC236}">
              <a16:creationId xmlns:a16="http://schemas.microsoft.com/office/drawing/2014/main" id="{5C1B552A-2891-408F-AA68-F2527C9E3A90}"/>
            </a:ext>
          </a:extLst>
        </xdr:cNvPr>
        <xdr:cNvSpPr>
          <a:spLocks noChangeAspect="1"/>
        </xdr:cNvSpPr>
      </xdr:nvSpPr>
      <xdr:spPr bwMode="auto">
        <a:xfrm rot="10800000">
          <a:off x="2732279" y="828754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30</xdr:row>
      <xdr:rowOff>61296</xdr:rowOff>
    </xdr:from>
    <xdr:to>
      <xdr:col>3</xdr:col>
      <xdr:colOff>965880</xdr:colOff>
      <xdr:row>30</xdr:row>
      <xdr:rowOff>224979</xdr:rowOff>
    </xdr:to>
    <xdr:grpSp>
      <xdr:nvGrpSpPr>
        <xdr:cNvPr id="1059" name="hinh2">
          <a:extLst>
            <a:ext uri="{FF2B5EF4-FFF2-40B4-BE49-F238E27FC236}">
              <a16:creationId xmlns:a16="http://schemas.microsoft.com/office/drawing/2014/main" id="{6A444D25-8A23-4069-86D1-75AA7085B3AA}"/>
            </a:ext>
          </a:extLst>
        </xdr:cNvPr>
        <xdr:cNvGrpSpPr>
          <a:grpSpLocks noChangeAspect="1"/>
        </xdr:cNvGrpSpPr>
      </xdr:nvGrpSpPr>
      <xdr:grpSpPr bwMode="auto">
        <a:xfrm>
          <a:off x="2730608" y="9232510"/>
          <a:ext cx="875058" cy="163683"/>
          <a:chOff x="206" y="86"/>
          <a:chExt cx="73" cy="16"/>
        </a:xfrm>
      </xdr:grpSpPr>
      <xdr:sp macro="" textlink="">
        <xdr:nvSpPr>
          <xdr:cNvPr id="1060" name="Line 6">
            <a:extLst>
              <a:ext uri="{FF2B5EF4-FFF2-40B4-BE49-F238E27FC236}">
                <a16:creationId xmlns:a16="http://schemas.microsoft.com/office/drawing/2014/main" id="{3E6BB83A-538A-E9DA-AD30-34EC3C97C6C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Line 7">
            <a:extLst>
              <a:ext uri="{FF2B5EF4-FFF2-40B4-BE49-F238E27FC236}">
                <a16:creationId xmlns:a16="http://schemas.microsoft.com/office/drawing/2014/main" id="{1E7E9AAD-6C20-A5AB-F5D7-755B6B669A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Line 8">
            <a:extLst>
              <a:ext uri="{FF2B5EF4-FFF2-40B4-BE49-F238E27FC236}">
                <a16:creationId xmlns:a16="http://schemas.microsoft.com/office/drawing/2014/main" id="{8EA8D96A-F907-6952-9383-DDF1851EE0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35</xdr:row>
      <xdr:rowOff>62196</xdr:rowOff>
    </xdr:from>
    <xdr:to>
      <xdr:col>3</xdr:col>
      <xdr:colOff>952499</xdr:colOff>
      <xdr:row>35</xdr:row>
      <xdr:rowOff>213437</xdr:rowOff>
    </xdr:to>
    <xdr:grpSp>
      <xdr:nvGrpSpPr>
        <xdr:cNvPr id="1063" name="hinh3">
          <a:extLst>
            <a:ext uri="{FF2B5EF4-FFF2-40B4-BE49-F238E27FC236}">
              <a16:creationId xmlns:a16="http://schemas.microsoft.com/office/drawing/2014/main" id="{778B7CC3-AC64-4685-9111-EE9FF594BF01}"/>
            </a:ext>
          </a:extLst>
        </xdr:cNvPr>
        <xdr:cNvGrpSpPr>
          <a:grpSpLocks noChangeAspect="1"/>
        </xdr:cNvGrpSpPr>
      </xdr:nvGrpSpPr>
      <xdr:grpSpPr bwMode="auto">
        <a:xfrm>
          <a:off x="2730574" y="10798232"/>
          <a:ext cx="861711" cy="151241"/>
          <a:chOff x="206" y="112"/>
          <a:chExt cx="73" cy="16"/>
        </a:xfrm>
      </xdr:grpSpPr>
      <xdr:sp macro="" textlink="">
        <xdr:nvSpPr>
          <xdr:cNvPr id="1064" name="Line 3">
            <a:extLst>
              <a:ext uri="{FF2B5EF4-FFF2-40B4-BE49-F238E27FC236}">
                <a16:creationId xmlns:a16="http://schemas.microsoft.com/office/drawing/2014/main" id="{D0C5690B-2F6A-2CD4-0F2E-393A20CFD2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Line 4">
            <a:extLst>
              <a:ext uri="{FF2B5EF4-FFF2-40B4-BE49-F238E27FC236}">
                <a16:creationId xmlns:a16="http://schemas.microsoft.com/office/drawing/2014/main" id="{D366D363-D626-77A3-366B-06C3165FFA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32</xdr:row>
      <xdr:rowOff>50652</xdr:rowOff>
    </xdr:from>
    <xdr:to>
      <xdr:col>3</xdr:col>
      <xdr:colOff>962981</xdr:colOff>
      <xdr:row>32</xdr:row>
      <xdr:rowOff>214335</xdr:rowOff>
    </xdr:to>
    <xdr:grpSp>
      <xdr:nvGrpSpPr>
        <xdr:cNvPr id="1066" name="hinh2">
          <a:extLst>
            <a:ext uri="{FF2B5EF4-FFF2-40B4-BE49-F238E27FC236}">
              <a16:creationId xmlns:a16="http://schemas.microsoft.com/office/drawing/2014/main" id="{ACD0B8E9-5107-4E3D-B095-DF8C7E267119}"/>
            </a:ext>
          </a:extLst>
        </xdr:cNvPr>
        <xdr:cNvGrpSpPr>
          <a:grpSpLocks noChangeAspect="1"/>
        </xdr:cNvGrpSpPr>
      </xdr:nvGrpSpPr>
      <xdr:grpSpPr bwMode="auto">
        <a:xfrm>
          <a:off x="2727709" y="9847795"/>
          <a:ext cx="875058" cy="163683"/>
          <a:chOff x="206" y="86"/>
          <a:chExt cx="73" cy="16"/>
        </a:xfrm>
      </xdr:grpSpPr>
      <xdr:sp macro="" textlink="">
        <xdr:nvSpPr>
          <xdr:cNvPr id="1067" name="Line 6">
            <a:extLst>
              <a:ext uri="{FF2B5EF4-FFF2-40B4-BE49-F238E27FC236}">
                <a16:creationId xmlns:a16="http://schemas.microsoft.com/office/drawing/2014/main" id="{AFCD73CA-EB31-FEAA-E0FF-C7444049A0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Line 7">
            <a:extLst>
              <a:ext uri="{FF2B5EF4-FFF2-40B4-BE49-F238E27FC236}">
                <a16:creationId xmlns:a16="http://schemas.microsoft.com/office/drawing/2014/main" id="{67D78351-D585-993B-0564-D07592B1D2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8">
            <a:extLst>
              <a:ext uri="{FF2B5EF4-FFF2-40B4-BE49-F238E27FC236}">
                <a16:creationId xmlns:a16="http://schemas.microsoft.com/office/drawing/2014/main" id="{F16A63B6-D0EE-5D7C-3148-B8C6A13C556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90822</xdr:colOff>
      <xdr:row>31</xdr:row>
      <xdr:rowOff>61296</xdr:rowOff>
    </xdr:from>
    <xdr:to>
      <xdr:col>3</xdr:col>
      <xdr:colOff>965880</xdr:colOff>
      <xdr:row>31</xdr:row>
      <xdr:rowOff>224979</xdr:rowOff>
    </xdr:to>
    <xdr:grpSp>
      <xdr:nvGrpSpPr>
        <xdr:cNvPr id="1070" name="hinh2">
          <a:extLst>
            <a:ext uri="{FF2B5EF4-FFF2-40B4-BE49-F238E27FC236}">
              <a16:creationId xmlns:a16="http://schemas.microsoft.com/office/drawing/2014/main" id="{32B83D45-94AF-4144-AAFA-82188F3B4062}"/>
            </a:ext>
          </a:extLst>
        </xdr:cNvPr>
        <xdr:cNvGrpSpPr>
          <a:grpSpLocks noChangeAspect="1"/>
        </xdr:cNvGrpSpPr>
      </xdr:nvGrpSpPr>
      <xdr:grpSpPr bwMode="auto">
        <a:xfrm>
          <a:off x="2730608" y="9545475"/>
          <a:ext cx="875058" cy="163683"/>
          <a:chOff x="206" y="86"/>
          <a:chExt cx="73" cy="16"/>
        </a:xfrm>
      </xdr:grpSpPr>
      <xdr:sp macro="" textlink="">
        <xdr:nvSpPr>
          <xdr:cNvPr id="1071" name="Line 6">
            <a:extLst>
              <a:ext uri="{FF2B5EF4-FFF2-40B4-BE49-F238E27FC236}">
                <a16:creationId xmlns:a16="http://schemas.microsoft.com/office/drawing/2014/main" id="{90DB6CD1-FF63-7C72-E268-C68B8D2CF3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2" name="Line 7">
            <a:extLst>
              <a:ext uri="{FF2B5EF4-FFF2-40B4-BE49-F238E27FC236}">
                <a16:creationId xmlns:a16="http://schemas.microsoft.com/office/drawing/2014/main" id="{083680BE-768F-24FE-7A39-CD21984E88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Line 8">
            <a:extLst>
              <a:ext uri="{FF2B5EF4-FFF2-40B4-BE49-F238E27FC236}">
                <a16:creationId xmlns:a16="http://schemas.microsoft.com/office/drawing/2014/main" id="{CF6DF258-B32F-B77A-3875-AD813DDBA90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33</xdr:row>
      <xdr:rowOff>50652</xdr:rowOff>
    </xdr:from>
    <xdr:to>
      <xdr:col>3</xdr:col>
      <xdr:colOff>962981</xdr:colOff>
      <xdr:row>33</xdr:row>
      <xdr:rowOff>214335</xdr:rowOff>
    </xdr:to>
    <xdr:grpSp>
      <xdr:nvGrpSpPr>
        <xdr:cNvPr id="1074" name="hinh2">
          <a:extLst>
            <a:ext uri="{FF2B5EF4-FFF2-40B4-BE49-F238E27FC236}">
              <a16:creationId xmlns:a16="http://schemas.microsoft.com/office/drawing/2014/main" id="{A3239889-7D7C-450D-BC86-95659D3D0D24}"/>
            </a:ext>
          </a:extLst>
        </xdr:cNvPr>
        <xdr:cNvGrpSpPr>
          <a:grpSpLocks noChangeAspect="1"/>
        </xdr:cNvGrpSpPr>
      </xdr:nvGrpSpPr>
      <xdr:grpSpPr bwMode="auto">
        <a:xfrm>
          <a:off x="2727709" y="10160759"/>
          <a:ext cx="875058" cy="163683"/>
          <a:chOff x="206" y="86"/>
          <a:chExt cx="73" cy="16"/>
        </a:xfrm>
      </xdr:grpSpPr>
      <xdr:sp macro="" textlink="">
        <xdr:nvSpPr>
          <xdr:cNvPr id="1075" name="Line 6">
            <a:extLst>
              <a:ext uri="{FF2B5EF4-FFF2-40B4-BE49-F238E27FC236}">
                <a16:creationId xmlns:a16="http://schemas.microsoft.com/office/drawing/2014/main" id="{05D70A02-35F0-2382-AF8F-D31F2C9A42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6" name="Line 7">
            <a:extLst>
              <a:ext uri="{FF2B5EF4-FFF2-40B4-BE49-F238E27FC236}">
                <a16:creationId xmlns:a16="http://schemas.microsoft.com/office/drawing/2014/main" id="{1D008BE0-0C71-00D8-B102-F14B594A8E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Line 8">
            <a:extLst>
              <a:ext uri="{FF2B5EF4-FFF2-40B4-BE49-F238E27FC236}">
                <a16:creationId xmlns:a16="http://schemas.microsoft.com/office/drawing/2014/main" id="{FA105A72-AFAF-40DD-32DD-4E45178B3A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39</xdr:row>
      <xdr:rowOff>55220</xdr:rowOff>
    </xdr:from>
    <xdr:to>
      <xdr:col>3</xdr:col>
      <xdr:colOff>1003580</xdr:colOff>
      <xdr:row>39</xdr:row>
      <xdr:rowOff>303698</xdr:rowOff>
    </xdr:to>
    <xdr:sp macro="" textlink="">
      <xdr:nvSpPr>
        <xdr:cNvPr id="1078" name="hinh15">
          <a:extLst>
            <a:ext uri="{FF2B5EF4-FFF2-40B4-BE49-F238E27FC236}">
              <a16:creationId xmlns:a16="http://schemas.microsoft.com/office/drawing/2014/main" id="{4D5CD483-A9C0-439C-8BFD-BF5C6478CE64}"/>
            </a:ext>
          </a:extLst>
        </xdr:cNvPr>
        <xdr:cNvSpPr>
          <a:spLocks noChangeAspect="1"/>
        </xdr:cNvSpPr>
      </xdr:nvSpPr>
      <xdr:spPr bwMode="auto">
        <a:xfrm rot="10800000">
          <a:off x="2732279" y="3906041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37</xdr:row>
      <xdr:rowOff>61296</xdr:rowOff>
    </xdr:from>
    <xdr:to>
      <xdr:col>3</xdr:col>
      <xdr:colOff>965880</xdr:colOff>
      <xdr:row>37</xdr:row>
      <xdr:rowOff>224979</xdr:rowOff>
    </xdr:to>
    <xdr:grpSp>
      <xdr:nvGrpSpPr>
        <xdr:cNvPr id="1079" name="hinh2">
          <a:extLst>
            <a:ext uri="{FF2B5EF4-FFF2-40B4-BE49-F238E27FC236}">
              <a16:creationId xmlns:a16="http://schemas.microsoft.com/office/drawing/2014/main" id="{37FF0EA2-961B-4DB6-A596-E766FF591A34}"/>
            </a:ext>
          </a:extLst>
        </xdr:cNvPr>
        <xdr:cNvGrpSpPr>
          <a:grpSpLocks noChangeAspect="1"/>
        </xdr:cNvGrpSpPr>
      </xdr:nvGrpSpPr>
      <xdr:grpSpPr bwMode="auto">
        <a:xfrm>
          <a:off x="2730608" y="11423260"/>
          <a:ext cx="875058" cy="163683"/>
          <a:chOff x="206" y="86"/>
          <a:chExt cx="73" cy="16"/>
        </a:xfrm>
      </xdr:grpSpPr>
      <xdr:sp macro="" textlink="">
        <xdr:nvSpPr>
          <xdr:cNvPr id="1080" name="Line 6">
            <a:extLst>
              <a:ext uri="{FF2B5EF4-FFF2-40B4-BE49-F238E27FC236}">
                <a16:creationId xmlns:a16="http://schemas.microsoft.com/office/drawing/2014/main" id="{6EABB252-9AF8-DC69-922C-6E4D2BB9D0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Line 7">
            <a:extLst>
              <a:ext uri="{FF2B5EF4-FFF2-40B4-BE49-F238E27FC236}">
                <a16:creationId xmlns:a16="http://schemas.microsoft.com/office/drawing/2014/main" id="{EE4B2F45-A593-E841-04CF-18DF099AD66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" name="Line 8">
            <a:extLst>
              <a:ext uri="{FF2B5EF4-FFF2-40B4-BE49-F238E27FC236}">
                <a16:creationId xmlns:a16="http://schemas.microsoft.com/office/drawing/2014/main" id="{53AE3574-F643-AA00-F71A-36C181ED12A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40</xdr:row>
      <xdr:rowOff>62196</xdr:rowOff>
    </xdr:from>
    <xdr:to>
      <xdr:col>3</xdr:col>
      <xdr:colOff>952499</xdr:colOff>
      <xdr:row>40</xdr:row>
      <xdr:rowOff>213437</xdr:rowOff>
    </xdr:to>
    <xdr:grpSp>
      <xdr:nvGrpSpPr>
        <xdr:cNvPr id="1083" name="hinh3">
          <a:extLst>
            <a:ext uri="{FF2B5EF4-FFF2-40B4-BE49-F238E27FC236}">
              <a16:creationId xmlns:a16="http://schemas.microsoft.com/office/drawing/2014/main" id="{2D58A083-B7E2-429A-8C45-37EDF18DA4E7}"/>
            </a:ext>
          </a:extLst>
        </xdr:cNvPr>
        <xdr:cNvGrpSpPr>
          <a:grpSpLocks noChangeAspect="1"/>
        </xdr:cNvGrpSpPr>
      </xdr:nvGrpSpPr>
      <xdr:grpSpPr bwMode="auto">
        <a:xfrm>
          <a:off x="2730574" y="12363053"/>
          <a:ext cx="861711" cy="151241"/>
          <a:chOff x="206" y="112"/>
          <a:chExt cx="73" cy="16"/>
        </a:xfrm>
      </xdr:grpSpPr>
      <xdr:sp macro="" textlink="">
        <xdr:nvSpPr>
          <xdr:cNvPr id="1084" name="Line 3">
            <a:extLst>
              <a:ext uri="{FF2B5EF4-FFF2-40B4-BE49-F238E27FC236}">
                <a16:creationId xmlns:a16="http://schemas.microsoft.com/office/drawing/2014/main" id="{C4BE5E81-B812-0105-C49C-9FB4BD75DC6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" name="Line 4">
            <a:extLst>
              <a:ext uri="{FF2B5EF4-FFF2-40B4-BE49-F238E27FC236}">
                <a16:creationId xmlns:a16="http://schemas.microsoft.com/office/drawing/2014/main" id="{87D068E4-498D-67BC-4DF9-849923F0072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38</xdr:row>
      <xdr:rowOff>50652</xdr:rowOff>
    </xdr:from>
    <xdr:to>
      <xdr:col>3</xdr:col>
      <xdr:colOff>962981</xdr:colOff>
      <xdr:row>38</xdr:row>
      <xdr:rowOff>214335</xdr:rowOff>
    </xdr:to>
    <xdr:grpSp>
      <xdr:nvGrpSpPr>
        <xdr:cNvPr id="1086" name="hinh2">
          <a:extLst>
            <a:ext uri="{FF2B5EF4-FFF2-40B4-BE49-F238E27FC236}">
              <a16:creationId xmlns:a16="http://schemas.microsoft.com/office/drawing/2014/main" id="{CEE8F0DC-CD89-4F12-AFD3-555BCB8EEB6E}"/>
            </a:ext>
          </a:extLst>
        </xdr:cNvPr>
        <xdr:cNvGrpSpPr>
          <a:grpSpLocks noChangeAspect="1"/>
        </xdr:cNvGrpSpPr>
      </xdr:nvGrpSpPr>
      <xdr:grpSpPr bwMode="auto">
        <a:xfrm>
          <a:off x="2727709" y="11725581"/>
          <a:ext cx="875058" cy="163683"/>
          <a:chOff x="206" y="86"/>
          <a:chExt cx="73" cy="16"/>
        </a:xfrm>
      </xdr:grpSpPr>
      <xdr:sp macro="" textlink="">
        <xdr:nvSpPr>
          <xdr:cNvPr id="1087" name="Line 6">
            <a:extLst>
              <a:ext uri="{FF2B5EF4-FFF2-40B4-BE49-F238E27FC236}">
                <a16:creationId xmlns:a16="http://schemas.microsoft.com/office/drawing/2014/main" id="{05564EF9-D0A4-C7E9-76D7-2780120D98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" name="Line 7">
            <a:extLst>
              <a:ext uri="{FF2B5EF4-FFF2-40B4-BE49-F238E27FC236}">
                <a16:creationId xmlns:a16="http://schemas.microsoft.com/office/drawing/2014/main" id="{3E8C04E8-82D9-CDAD-BA65-3D56D99E2E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" name="Line 8">
            <a:extLst>
              <a:ext uri="{FF2B5EF4-FFF2-40B4-BE49-F238E27FC236}">
                <a16:creationId xmlns:a16="http://schemas.microsoft.com/office/drawing/2014/main" id="{4411368F-D1FC-DE4F-2FCA-40F4D13195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38</xdr:row>
      <xdr:rowOff>50652</xdr:rowOff>
    </xdr:from>
    <xdr:to>
      <xdr:col>3</xdr:col>
      <xdr:colOff>962981</xdr:colOff>
      <xdr:row>38</xdr:row>
      <xdr:rowOff>214335</xdr:rowOff>
    </xdr:to>
    <xdr:grpSp>
      <xdr:nvGrpSpPr>
        <xdr:cNvPr id="1090" name="hinh2">
          <a:extLst>
            <a:ext uri="{FF2B5EF4-FFF2-40B4-BE49-F238E27FC236}">
              <a16:creationId xmlns:a16="http://schemas.microsoft.com/office/drawing/2014/main" id="{67D7F24D-C4CF-4B8E-9F3B-1A0DA10BB869}"/>
            </a:ext>
          </a:extLst>
        </xdr:cNvPr>
        <xdr:cNvGrpSpPr>
          <a:grpSpLocks noChangeAspect="1"/>
        </xdr:cNvGrpSpPr>
      </xdr:nvGrpSpPr>
      <xdr:grpSpPr bwMode="auto">
        <a:xfrm>
          <a:off x="2727709" y="11725581"/>
          <a:ext cx="875058" cy="163683"/>
          <a:chOff x="206" y="86"/>
          <a:chExt cx="73" cy="16"/>
        </a:xfrm>
      </xdr:grpSpPr>
      <xdr:sp macro="" textlink="">
        <xdr:nvSpPr>
          <xdr:cNvPr id="1091" name="Line 6">
            <a:extLst>
              <a:ext uri="{FF2B5EF4-FFF2-40B4-BE49-F238E27FC236}">
                <a16:creationId xmlns:a16="http://schemas.microsoft.com/office/drawing/2014/main" id="{148A6CB5-1DC1-27F4-2F12-A8AA837D05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7">
            <a:extLst>
              <a:ext uri="{FF2B5EF4-FFF2-40B4-BE49-F238E27FC236}">
                <a16:creationId xmlns:a16="http://schemas.microsoft.com/office/drawing/2014/main" id="{14DD8D98-0CEE-B65A-C90C-6C2B2786A2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8">
            <a:extLst>
              <a:ext uri="{FF2B5EF4-FFF2-40B4-BE49-F238E27FC236}">
                <a16:creationId xmlns:a16="http://schemas.microsoft.com/office/drawing/2014/main" id="{F4BD47DA-6944-A9F2-D08E-CC8BC48F22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44</xdr:row>
      <xdr:rowOff>55220</xdr:rowOff>
    </xdr:from>
    <xdr:to>
      <xdr:col>3</xdr:col>
      <xdr:colOff>1003580</xdr:colOff>
      <xdr:row>44</xdr:row>
      <xdr:rowOff>303698</xdr:rowOff>
    </xdr:to>
    <xdr:sp macro="" textlink="">
      <xdr:nvSpPr>
        <xdr:cNvPr id="1106" name="hinh15">
          <a:extLst>
            <a:ext uri="{FF2B5EF4-FFF2-40B4-BE49-F238E27FC236}">
              <a16:creationId xmlns:a16="http://schemas.microsoft.com/office/drawing/2014/main" id="{7B62AA62-11D7-4CBE-8182-B9B3AB32C2E6}"/>
            </a:ext>
          </a:extLst>
        </xdr:cNvPr>
        <xdr:cNvSpPr>
          <a:spLocks noChangeAspect="1"/>
        </xdr:cNvSpPr>
      </xdr:nvSpPr>
      <xdr:spPr bwMode="auto">
        <a:xfrm rot="10800000">
          <a:off x="2732279" y="12043113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42</xdr:row>
      <xdr:rowOff>61296</xdr:rowOff>
    </xdr:from>
    <xdr:to>
      <xdr:col>3</xdr:col>
      <xdr:colOff>965880</xdr:colOff>
      <xdr:row>42</xdr:row>
      <xdr:rowOff>224979</xdr:rowOff>
    </xdr:to>
    <xdr:grpSp>
      <xdr:nvGrpSpPr>
        <xdr:cNvPr id="1107" name="hinh2">
          <a:extLst>
            <a:ext uri="{FF2B5EF4-FFF2-40B4-BE49-F238E27FC236}">
              <a16:creationId xmlns:a16="http://schemas.microsoft.com/office/drawing/2014/main" id="{98D06101-150E-427A-93AE-BC4F9D42129D}"/>
            </a:ext>
          </a:extLst>
        </xdr:cNvPr>
        <xdr:cNvGrpSpPr>
          <a:grpSpLocks noChangeAspect="1"/>
        </xdr:cNvGrpSpPr>
      </xdr:nvGrpSpPr>
      <xdr:grpSpPr bwMode="auto">
        <a:xfrm>
          <a:off x="2730608" y="12988082"/>
          <a:ext cx="875058" cy="163683"/>
          <a:chOff x="206" y="86"/>
          <a:chExt cx="73" cy="16"/>
        </a:xfrm>
      </xdr:grpSpPr>
      <xdr:sp macro="" textlink="">
        <xdr:nvSpPr>
          <xdr:cNvPr id="1108" name="Line 6">
            <a:extLst>
              <a:ext uri="{FF2B5EF4-FFF2-40B4-BE49-F238E27FC236}">
                <a16:creationId xmlns:a16="http://schemas.microsoft.com/office/drawing/2014/main" id="{D008F026-9AFE-DD2F-6D9A-50C0AB900F5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9" name="Line 7">
            <a:extLst>
              <a:ext uri="{FF2B5EF4-FFF2-40B4-BE49-F238E27FC236}">
                <a16:creationId xmlns:a16="http://schemas.microsoft.com/office/drawing/2014/main" id="{B0C9A7A5-C136-A341-C2F1-AFDB855A25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0" name="Line 8">
            <a:extLst>
              <a:ext uri="{FF2B5EF4-FFF2-40B4-BE49-F238E27FC236}">
                <a16:creationId xmlns:a16="http://schemas.microsoft.com/office/drawing/2014/main" id="{FEAB0B46-8762-49AE-122A-2C59DFBDEF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45</xdr:row>
      <xdr:rowOff>62196</xdr:rowOff>
    </xdr:from>
    <xdr:to>
      <xdr:col>3</xdr:col>
      <xdr:colOff>952499</xdr:colOff>
      <xdr:row>45</xdr:row>
      <xdr:rowOff>213437</xdr:rowOff>
    </xdr:to>
    <xdr:grpSp>
      <xdr:nvGrpSpPr>
        <xdr:cNvPr id="1111" name="hinh3">
          <a:extLst>
            <a:ext uri="{FF2B5EF4-FFF2-40B4-BE49-F238E27FC236}">
              <a16:creationId xmlns:a16="http://schemas.microsoft.com/office/drawing/2014/main" id="{844EA214-D2A7-4E4F-8D83-FBCC334D47F3}"/>
            </a:ext>
          </a:extLst>
        </xdr:cNvPr>
        <xdr:cNvGrpSpPr>
          <a:grpSpLocks noChangeAspect="1"/>
        </xdr:cNvGrpSpPr>
      </xdr:nvGrpSpPr>
      <xdr:grpSpPr bwMode="auto">
        <a:xfrm>
          <a:off x="2730574" y="13927875"/>
          <a:ext cx="861711" cy="151241"/>
          <a:chOff x="206" y="112"/>
          <a:chExt cx="73" cy="16"/>
        </a:xfrm>
      </xdr:grpSpPr>
      <xdr:sp macro="" textlink="">
        <xdr:nvSpPr>
          <xdr:cNvPr id="1112" name="Line 3">
            <a:extLst>
              <a:ext uri="{FF2B5EF4-FFF2-40B4-BE49-F238E27FC236}">
                <a16:creationId xmlns:a16="http://schemas.microsoft.com/office/drawing/2014/main" id="{2E97A05B-028A-30D3-22FE-8BB10702FED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3" name="Line 4">
            <a:extLst>
              <a:ext uri="{FF2B5EF4-FFF2-40B4-BE49-F238E27FC236}">
                <a16:creationId xmlns:a16="http://schemas.microsoft.com/office/drawing/2014/main" id="{98BB921E-ACEB-DC45-6530-3FAA78508F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43</xdr:row>
      <xdr:rowOff>50652</xdr:rowOff>
    </xdr:from>
    <xdr:to>
      <xdr:col>3</xdr:col>
      <xdr:colOff>962981</xdr:colOff>
      <xdr:row>43</xdr:row>
      <xdr:rowOff>214335</xdr:rowOff>
    </xdr:to>
    <xdr:grpSp>
      <xdr:nvGrpSpPr>
        <xdr:cNvPr id="1114" name="hinh2">
          <a:extLst>
            <a:ext uri="{FF2B5EF4-FFF2-40B4-BE49-F238E27FC236}">
              <a16:creationId xmlns:a16="http://schemas.microsoft.com/office/drawing/2014/main" id="{904A560B-0106-404E-BFDF-2E8DE0330565}"/>
            </a:ext>
          </a:extLst>
        </xdr:cNvPr>
        <xdr:cNvGrpSpPr>
          <a:grpSpLocks noChangeAspect="1"/>
        </xdr:cNvGrpSpPr>
      </xdr:nvGrpSpPr>
      <xdr:grpSpPr bwMode="auto">
        <a:xfrm>
          <a:off x="2727709" y="13290402"/>
          <a:ext cx="875058" cy="163683"/>
          <a:chOff x="206" y="86"/>
          <a:chExt cx="73" cy="16"/>
        </a:xfrm>
      </xdr:grpSpPr>
      <xdr:sp macro="" textlink="">
        <xdr:nvSpPr>
          <xdr:cNvPr id="1115" name="Line 6">
            <a:extLst>
              <a:ext uri="{FF2B5EF4-FFF2-40B4-BE49-F238E27FC236}">
                <a16:creationId xmlns:a16="http://schemas.microsoft.com/office/drawing/2014/main" id="{0C09C798-FB02-8BA0-34AA-932430B2F1E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6" name="Line 7">
            <a:extLst>
              <a:ext uri="{FF2B5EF4-FFF2-40B4-BE49-F238E27FC236}">
                <a16:creationId xmlns:a16="http://schemas.microsoft.com/office/drawing/2014/main" id="{F3A2014A-F137-29CA-BEF5-8C6AD8DA3F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7" name="Line 8">
            <a:extLst>
              <a:ext uri="{FF2B5EF4-FFF2-40B4-BE49-F238E27FC236}">
                <a16:creationId xmlns:a16="http://schemas.microsoft.com/office/drawing/2014/main" id="{8051F65C-B99F-4526-AC46-77C4650058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43</xdr:row>
      <xdr:rowOff>50652</xdr:rowOff>
    </xdr:from>
    <xdr:to>
      <xdr:col>3</xdr:col>
      <xdr:colOff>962981</xdr:colOff>
      <xdr:row>43</xdr:row>
      <xdr:rowOff>214335</xdr:rowOff>
    </xdr:to>
    <xdr:grpSp>
      <xdr:nvGrpSpPr>
        <xdr:cNvPr id="1118" name="hinh2">
          <a:extLst>
            <a:ext uri="{FF2B5EF4-FFF2-40B4-BE49-F238E27FC236}">
              <a16:creationId xmlns:a16="http://schemas.microsoft.com/office/drawing/2014/main" id="{610886B9-3D15-41D4-B963-E933F0C41608}"/>
            </a:ext>
          </a:extLst>
        </xdr:cNvPr>
        <xdr:cNvGrpSpPr>
          <a:grpSpLocks noChangeAspect="1"/>
        </xdr:cNvGrpSpPr>
      </xdr:nvGrpSpPr>
      <xdr:grpSpPr bwMode="auto">
        <a:xfrm>
          <a:off x="2727709" y="13290402"/>
          <a:ext cx="875058" cy="163683"/>
          <a:chOff x="206" y="86"/>
          <a:chExt cx="73" cy="16"/>
        </a:xfrm>
      </xdr:grpSpPr>
      <xdr:sp macro="" textlink="">
        <xdr:nvSpPr>
          <xdr:cNvPr id="1119" name="Line 6">
            <a:extLst>
              <a:ext uri="{FF2B5EF4-FFF2-40B4-BE49-F238E27FC236}">
                <a16:creationId xmlns:a16="http://schemas.microsoft.com/office/drawing/2014/main" id="{4F98CA03-F7FA-E07F-A94F-33C5A3ED31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Line 7">
            <a:extLst>
              <a:ext uri="{FF2B5EF4-FFF2-40B4-BE49-F238E27FC236}">
                <a16:creationId xmlns:a16="http://schemas.microsoft.com/office/drawing/2014/main" id="{00664673-C909-80F8-1C52-7EEB5518ACC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1" name="Line 8">
            <a:extLst>
              <a:ext uri="{FF2B5EF4-FFF2-40B4-BE49-F238E27FC236}">
                <a16:creationId xmlns:a16="http://schemas.microsoft.com/office/drawing/2014/main" id="{69D9D7A0-864C-FE8D-B889-76EB488CCA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49</xdr:row>
      <xdr:rowOff>55220</xdr:rowOff>
    </xdr:from>
    <xdr:to>
      <xdr:col>3</xdr:col>
      <xdr:colOff>1003580</xdr:colOff>
      <xdr:row>49</xdr:row>
      <xdr:rowOff>303698</xdr:rowOff>
    </xdr:to>
    <xdr:sp macro="" textlink="">
      <xdr:nvSpPr>
        <xdr:cNvPr id="1122" name="hinh15">
          <a:extLst>
            <a:ext uri="{FF2B5EF4-FFF2-40B4-BE49-F238E27FC236}">
              <a16:creationId xmlns:a16="http://schemas.microsoft.com/office/drawing/2014/main" id="{CD5BF237-038D-4A27-83D4-CEB2E8925627}"/>
            </a:ext>
          </a:extLst>
        </xdr:cNvPr>
        <xdr:cNvSpPr>
          <a:spLocks noChangeAspect="1"/>
        </xdr:cNvSpPr>
      </xdr:nvSpPr>
      <xdr:spPr bwMode="auto">
        <a:xfrm rot="10800000">
          <a:off x="2732279" y="1360793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47</xdr:row>
      <xdr:rowOff>61296</xdr:rowOff>
    </xdr:from>
    <xdr:to>
      <xdr:col>3</xdr:col>
      <xdr:colOff>965880</xdr:colOff>
      <xdr:row>47</xdr:row>
      <xdr:rowOff>224979</xdr:rowOff>
    </xdr:to>
    <xdr:grpSp>
      <xdr:nvGrpSpPr>
        <xdr:cNvPr id="1123" name="hinh2">
          <a:extLst>
            <a:ext uri="{FF2B5EF4-FFF2-40B4-BE49-F238E27FC236}">
              <a16:creationId xmlns:a16="http://schemas.microsoft.com/office/drawing/2014/main" id="{AAD95EF4-E677-4101-B7A3-2297689016D5}"/>
            </a:ext>
          </a:extLst>
        </xdr:cNvPr>
        <xdr:cNvGrpSpPr>
          <a:grpSpLocks noChangeAspect="1"/>
        </xdr:cNvGrpSpPr>
      </xdr:nvGrpSpPr>
      <xdr:grpSpPr bwMode="auto">
        <a:xfrm>
          <a:off x="2730608" y="14552903"/>
          <a:ext cx="875058" cy="163683"/>
          <a:chOff x="206" y="86"/>
          <a:chExt cx="73" cy="16"/>
        </a:xfrm>
      </xdr:grpSpPr>
      <xdr:sp macro="" textlink="">
        <xdr:nvSpPr>
          <xdr:cNvPr id="1124" name="Line 6">
            <a:extLst>
              <a:ext uri="{FF2B5EF4-FFF2-40B4-BE49-F238E27FC236}">
                <a16:creationId xmlns:a16="http://schemas.microsoft.com/office/drawing/2014/main" id="{AD40CD71-50FD-C047-854C-3B43B5A080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5" name="Line 7">
            <a:extLst>
              <a:ext uri="{FF2B5EF4-FFF2-40B4-BE49-F238E27FC236}">
                <a16:creationId xmlns:a16="http://schemas.microsoft.com/office/drawing/2014/main" id="{E6ABB515-9F71-9C6A-386F-024FEB59267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6" name="Line 8">
            <a:extLst>
              <a:ext uri="{FF2B5EF4-FFF2-40B4-BE49-F238E27FC236}">
                <a16:creationId xmlns:a16="http://schemas.microsoft.com/office/drawing/2014/main" id="{FE97F7C7-6FF0-1DE7-7370-60E7E3CF78D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50</xdr:row>
      <xdr:rowOff>62196</xdr:rowOff>
    </xdr:from>
    <xdr:to>
      <xdr:col>3</xdr:col>
      <xdr:colOff>952499</xdr:colOff>
      <xdr:row>50</xdr:row>
      <xdr:rowOff>213437</xdr:rowOff>
    </xdr:to>
    <xdr:grpSp>
      <xdr:nvGrpSpPr>
        <xdr:cNvPr id="1127" name="hinh3">
          <a:extLst>
            <a:ext uri="{FF2B5EF4-FFF2-40B4-BE49-F238E27FC236}">
              <a16:creationId xmlns:a16="http://schemas.microsoft.com/office/drawing/2014/main" id="{93A3E807-4DC3-4C88-B48D-8E684BF1B56F}"/>
            </a:ext>
          </a:extLst>
        </xdr:cNvPr>
        <xdr:cNvGrpSpPr>
          <a:grpSpLocks noChangeAspect="1"/>
        </xdr:cNvGrpSpPr>
      </xdr:nvGrpSpPr>
      <xdr:grpSpPr bwMode="auto">
        <a:xfrm>
          <a:off x="2730574" y="15492696"/>
          <a:ext cx="861711" cy="151241"/>
          <a:chOff x="206" y="112"/>
          <a:chExt cx="73" cy="16"/>
        </a:xfrm>
      </xdr:grpSpPr>
      <xdr:sp macro="" textlink="">
        <xdr:nvSpPr>
          <xdr:cNvPr id="1128" name="Line 3">
            <a:extLst>
              <a:ext uri="{FF2B5EF4-FFF2-40B4-BE49-F238E27FC236}">
                <a16:creationId xmlns:a16="http://schemas.microsoft.com/office/drawing/2014/main" id="{E1DDFCD6-B381-C23F-AEF8-BF275F4A8E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9" name="Line 4">
            <a:extLst>
              <a:ext uri="{FF2B5EF4-FFF2-40B4-BE49-F238E27FC236}">
                <a16:creationId xmlns:a16="http://schemas.microsoft.com/office/drawing/2014/main" id="{3DEC1902-4D04-8F2C-40CD-5B39144A07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48</xdr:row>
      <xdr:rowOff>50652</xdr:rowOff>
    </xdr:from>
    <xdr:to>
      <xdr:col>3</xdr:col>
      <xdr:colOff>962981</xdr:colOff>
      <xdr:row>48</xdr:row>
      <xdr:rowOff>214335</xdr:rowOff>
    </xdr:to>
    <xdr:grpSp>
      <xdr:nvGrpSpPr>
        <xdr:cNvPr id="1130" name="hinh2">
          <a:extLst>
            <a:ext uri="{FF2B5EF4-FFF2-40B4-BE49-F238E27FC236}">
              <a16:creationId xmlns:a16="http://schemas.microsoft.com/office/drawing/2014/main" id="{AAE7F412-D9A0-49A2-BC84-354F03DAD475}"/>
            </a:ext>
          </a:extLst>
        </xdr:cNvPr>
        <xdr:cNvGrpSpPr>
          <a:grpSpLocks noChangeAspect="1"/>
        </xdr:cNvGrpSpPr>
      </xdr:nvGrpSpPr>
      <xdr:grpSpPr bwMode="auto">
        <a:xfrm>
          <a:off x="2727709" y="14855223"/>
          <a:ext cx="875058" cy="163683"/>
          <a:chOff x="206" y="86"/>
          <a:chExt cx="73" cy="16"/>
        </a:xfrm>
      </xdr:grpSpPr>
      <xdr:sp macro="" textlink="">
        <xdr:nvSpPr>
          <xdr:cNvPr id="1131" name="Line 6">
            <a:extLst>
              <a:ext uri="{FF2B5EF4-FFF2-40B4-BE49-F238E27FC236}">
                <a16:creationId xmlns:a16="http://schemas.microsoft.com/office/drawing/2014/main" id="{926D693A-6575-B245-CFF2-74BDBD6EC2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2" name="Line 7">
            <a:extLst>
              <a:ext uri="{FF2B5EF4-FFF2-40B4-BE49-F238E27FC236}">
                <a16:creationId xmlns:a16="http://schemas.microsoft.com/office/drawing/2014/main" id="{304E3943-EA8B-5190-23BA-23E3A57932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3" name="Line 8">
            <a:extLst>
              <a:ext uri="{FF2B5EF4-FFF2-40B4-BE49-F238E27FC236}">
                <a16:creationId xmlns:a16="http://schemas.microsoft.com/office/drawing/2014/main" id="{39913805-7A1A-123C-6133-710F8771BD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48</xdr:row>
      <xdr:rowOff>50652</xdr:rowOff>
    </xdr:from>
    <xdr:to>
      <xdr:col>3</xdr:col>
      <xdr:colOff>962981</xdr:colOff>
      <xdr:row>48</xdr:row>
      <xdr:rowOff>214335</xdr:rowOff>
    </xdr:to>
    <xdr:grpSp>
      <xdr:nvGrpSpPr>
        <xdr:cNvPr id="1134" name="hinh2">
          <a:extLst>
            <a:ext uri="{FF2B5EF4-FFF2-40B4-BE49-F238E27FC236}">
              <a16:creationId xmlns:a16="http://schemas.microsoft.com/office/drawing/2014/main" id="{1A467925-B9A5-4D27-84D9-E7A1B299064D}"/>
            </a:ext>
          </a:extLst>
        </xdr:cNvPr>
        <xdr:cNvGrpSpPr>
          <a:grpSpLocks noChangeAspect="1"/>
        </xdr:cNvGrpSpPr>
      </xdr:nvGrpSpPr>
      <xdr:grpSpPr bwMode="auto">
        <a:xfrm>
          <a:off x="2727709" y="14855223"/>
          <a:ext cx="875058" cy="163683"/>
          <a:chOff x="206" y="86"/>
          <a:chExt cx="73" cy="16"/>
        </a:xfrm>
      </xdr:grpSpPr>
      <xdr:sp macro="" textlink="">
        <xdr:nvSpPr>
          <xdr:cNvPr id="1135" name="Line 6">
            <a:extLst>
              <a:ext uri="{FF2B5EF4-FFF2-40B4-BE49-F238E27FC236}">
                <a16:creationId xmlns:a16="http://schemas.microsoft.com/office/drawing/2014/main" id="{E26DD134-FFED-3C07-7751-5EA1721C02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6" name="Line 7">
            <a:extLst>
              <a:ext uri="{FF2B5EF4-FFF2-40B4-BE49-F238E27FC236}">
                <a16:creationId xmlns:a16="http://schemas.microsoft.com/office/drawing/2014/main" id="{D6C5EFC3-1AEC-B51D-0CAA-DD8A753F8E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Line 8">
            <a:extLst>
              <a:ext uri="{FF2B5EF4-FFF2-40B4-BE49-F238E27FC236}">
                <a16:creationId xmlns:a16="http://schemas.microsoft.com/office/drawing/2014/main" id="{5623A0F9-BDF5-053A-A87C-0A387C8ECB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54</xdr:row>
      <xdr:rowOff>55220</xdr:rowOff>
    </xdr:from>
    <xdr:to>
      <xdr:col>3</xdr:col>
      <xdr:colOff>1003580</xdr:colOff>
      <xdr:row>54</xdr:row>
      <xdr:rowOff>303698</xdr:rowOff>
    </xdr:to>
    <xdr:sp macro="" textlink="">
      <xdr:nvSpPr>
        <xdr:cNvPr id="1138" name="hinh15">
          <a:extLst>
            <a:ext uri="{FF2B5EF4-FFF2-40B4-BE49-F238E27FC236}">
              <a16:creationId xmlns:a16="http://schemas.microsoft.com/office/drawing/2014/main" id="{1A604D18-6E78-450C-9F71-29A262BB2DCB}"/>
            </a:ext>
          </a:extLst>
        </xdr:cNvPr>
        <xdr:cNvSpPr>
          <a:spLocks noChangeAspect="1"/>
        </xdr:cNvSpPr>
      </xdr:nvSpPr>
      <xdr:spPr bwMode="auto">
        <a:xfrm rot="10800000">
          <a:off x="2732279" y="15172756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52</xdr:row>
      <xdr:rowOff>61296</xdr:rowOff>
    </xdr:from>
    <xdr:to>
      <xdr:col>3</xdr:col>
      <xdr:colOff>965880</xdr:colOff>
      <xdr:row>52</xdr:row>
      <xdr:rowOff>224979</xdr:rowOff>
    </xdr:to>
    <xdr:grpSp>
      <xdr:nvGrpSpPr>
        <xdr:cNvPr id="1139" name="hinh2">
          <a:extLst>
            <a:ext uri="{FF2B5EF4-FFF2-40B4-BE49-F238E27FC236}">
              <a16:creationId xmlns:a16="http://schemas.microsoft.com/office/drawing/2014/main" id="{8072BE63-C454-42AB-AC46-26E3C40F173D}"/>
            </a:ext>
          </a:extLst>
        </xdr:cNvPr>
        <xdr:cNvGrpSpPr>
          <a:grpSpLocks noChangeAspect="1"/>
        </xdr:cNvGrpSpPr>
      </xdr:nvGrpSpPr>
      <xdr:grpSpPr bwMode="auto">
        <a:xfrm>
          <a:off x="2730608" y="16117725"/>
          <a:ext cx="875058" cy="163683"/>
          <a:chOff x="206" y="86"/>
          <a:chExt cx="73" cy="16"/>
        </a:xfrm>
      </xdr:grpSpPr>
      <xdr:sp macro="" textlink="">
        <xdr:nvSpPr>
          <xdr:cNvPr id="1140" name="Line 6">
            <a:extLst>
              <a:ext uri="{FF2B5EF4-FFF2-40B4-BE49-F238E27FC236}">
                <a16:creationId xmlns:a16="http://schemas.microsoft.com/office/drawing/2014/main" id="{76A272BA-A9B4-E5B9-F0F5-E64B6957ABA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1" name="Line 7">
            <a:extLst>
              <a:ext uri="{FF2B5EF4-FFF2-40B4-BE49-F238E27FC236}">
                <a16:creationId xmlns:a16="http://schemas.microsoft.com/office/drawing/2014/main" id="{F89029F2-41DA-C3BF-7BBD-FCEB30AE39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2" name="Line 8">
            <a:extLst>
              <a:ext uri="{FF2B5EF4-FFF2-40B4-BE49-F238E27FC236}">
                <a16:creationId xmlns:a16="http://schemas.microsoft.com/office/drawing/2014/main" id="{E1619749-9C2F-2F65-4710-FEC3AFE5AD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55</xdr:row>
      <xdr:rowOff>62196</xdr:rowOff>
    </xdr:from>
    <xdr:to>
      <xdr:col>3</xdr:col>
      <xdr:colOff>952499</xdr:colOff>
      <xdr:row>55</xdr:row>
      <xdr:rowOff>213437</xdr:rowOff>
    </xdr:to>
    <xdr:grpSp>
      <xdr:nvGrpSpPr>
        <xdr:cNvPr id="1143" name="hinh3">
          <a:extLst>
            <a:ext uri="{FF2B5EF4-FFF2-40B4-BE49-F238E27FC236}">
              <a16:creationId xmlns:a16="http://schemas.microsoft.com/office/drawing/2014/main" id="{0B626F7E-2787-4122-8EE9-417A8F4A53B2}"/>
            </a:ext>
          </a:extLst>
        </xdr:cNvPr>
        <xdr:cNvGrpSpPr>
          <a:grpSpLocks noChangeAspect="1"/>
        </xdr:cNvGrpSpPr>
      </xdr:nvGrpSpPr>
      <xdr:grpSpPr bwMode="auto">
        <a:xfrm>
          <a:off x="2730574" y="17057517"/>
          <a:ext cx="861711" cy="151241"/>
          <a:chOff x="206" y="112"/>
          <a:chExt cx="73" cy="16"/>
        </a:xfrm>
      </xdr:grpSpPr>
      <xdr:sp macro="" textlink="">
        <xdr:nvSpPr>
          <xdr:cNvPr id="1144" name="Line 3">
            <a:extLst>
              <a:ext uri="{FF2B5EF4-FFF2-40B4-BE49-F238E27FC236}">
                <a16:creationId xmlns:a16="http://schemas.microsoft.com/office/drawing/2014/main" id="{CB879CC6-2652-C739-2673-677D08478B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5" name="Line 4">
            <a:extLst>
              <a:ext uri="{FF2B5EF4-FFF2-40B4-BE49-F238E27FC236}">
                <a16:creationId xmlns:a16="http://schemas.microsoft.com/office/drawing/2014/main" id="{12635D06-D129-3D67-D457-7B89E721C7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53</xdr:row>
      <xdr:rowOff>50652</xdr:rowOff>
    </xdr:from>
    <xdr:to>
      <xdr:col>3</xdr:col>
      <xdr:colOff>962981</xdr:colOff>
      <xdr:row>53</xdr:row>
      <xdr:rowOff>214335</xdr:rowOff>
    </xdr:to>
    <xdr:grpSp>
      <xdr:nvGrpSpPr>
        <xdr:cNvPr id="1146" name="hinh2">
          <a:extLst>
            <a:ext uri="{FF2B5EF4-FFF2-40B4-BE49-F238E27FC236}">
              <a16:creationId xmlns:a16="http://schemas.microsoft.com/office/drawing/2014/main" id="{ADBD6607-B66C-4212-A7EA-BD716427EEB3}"/>
            </a:ext>
          </a:extLst>
        </xdr:cNvPr>
        <xdr:cNvGrpSpPr>
          <a:grpSpLocks noChangeAspect="1"/>
        </xdr:cNvGrpSpPr>
      </xdr:nvGrpSpPr>
      <xdr:grpSpPr bwMode="auto">
        <a:xfrm>
          <a:off x="2727709" y="16420045"/>
          <a:ext cx="875058" cy="163683"/>
          <a:chOff x="206" y="86"/>
          <a:chExt cx="73" cy="16"/>
        </a:xfrm>
      </xdr:grpSpPr>
      <xdr:sp macro="" textlink="">
        <xdr:nvSpPr>
          <xdr:cNvPr id="1147" name="Line 6">
            <a:extLst>
              <a:ext uri="{FF2B5EF4-FFF2-40B4-BE49-F238E27FC236}">
                <a16:creationId xmlns:a16="http://schemas.microsoft.com/office/drawing/2014/main" id="{A162478C-E73D-0939-8432-74ABC042E5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8" name="Line 7">
            <a:extLst>
              <a:ext uri="{FF2B5EF4-FFF2-40B4-BE49-F238E27FC236}">
                <a16:creationId xmlns:a16="http://schemas.microsoft.com/office/drawing/2014/main" id="{7C537B01-3DE1-F8B9-2820-1C42D5D8E09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Line 8">
            <a:extLst>
              <a:ext uri="{FF2B5EF4-FFF2-40B4-BE49-F238E27FC236}">
                <a16:creationId xmlns:a16="http://schemas.microsoft.com/office/drawing/2014/main" id="{2EA64236-227D-3655-3FD5-BCFE88454B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53</xdr:row>
      <xdr:rowOff>50652</xdr:rowOff>
    </xdr:from>
    <xdr:to>
      <xdr:col>3</xdr:col>
      <xdr:colOff>962981</xdr:colOff>
      <xdr:row>53</xdr:row>
      <xdr:rowOff>214335</xdr:rowOff>
    </xdr:to>
    <xdr:grpSp>
      <xdr:nvGrpSpPr>
        <xdr:cNvPr id="1150" name="hinh2">
          <a:extLst>
            <a:ext uri="{FF2B5EF4-FFF2-40B4-BE49-F238E27FC236}">
              <a16:creationId xmlns:a16="http://schemas.microsoft.com/office/drawing/2014/main" id="{742E9D6C-942F-4995-8531-626957E468BA}"/>
            </a:ext>
          </a:extLst>
        </xdr:cNvPr>
        <xdr:cNvGrpSpPr>
          <a:grpSpLocks noChangeAspect="1"/>
        </xdr:cNvGrpSpPr>
      </xdr:nvGrpSpPr>
      <xdr:grpSpPr bwMode="auto">
        <a:xfrm>
          <a:off x="2727709" y="16420045"/>
          <a:ext cx="875058" cy="163683"/>
          <a:chOff x="206" y="86"/>
          <a:chExt cx="73" cy="16"/>
        </a:xfrm>
      </xdr:grpSpPr>
      <xdr:sp macro="" textlink="">
        <xdr:nvSpPr>
          <xdr:cNvPr id="1151" name="Line 6">
            <a:extLst>
              <a:ext uri="{FF2B5EF4-FFF2-40B4-BE49-F238E27FC236}">
                <a16:creationId xmlns:a16="http://schemas.microsoft.com/office/drawing/2014/main" id="{65B544DB-0361-B5DB-65C3-564E2023E6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2" name="Line 7">
            <a:extLst>
              <a:ext uri="{FF2B5EF4-FFF2-40B4-BE49-F238E27FC236}">
                <a16:creationId xmlns:a16="http://schemas.microsoft.com/office/drawing/2014/main" id="{D198ADCE-A872-AB81-AE1A-208D877E90A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3" name="Line 8">
            <a:extLst>
              <a:ext uri="{FF2B5EF4-FFF2-40B4-BE49-F238E27FC236}">
                <a16:creationId xmlns:a16="http://schemas.microsoft.com/office/drawing/2014/main" id="{7C0BDC45-75E5-C055-40A9-E62151ED25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61</xdr:row>
      <xdr:rowOff>55220</xdr:rowOff>
    </xdr:from>
    <xdr:to>
      <xdr:col>3</xdr:col>
      <xdr:colOff>1003580</xdr:colOff>
      <xdr:row>61</xdr:row>
      <xdr:rowOff>303698</xdr:rowOff>
    </xdr:to>
    <xdr:sp macro="" textlink="">
      <xdr:nvSpPr>
        <xdr:cNvPr id="1154" name="hinh15">
          <a:extLst>
            <a:ext uri="{FF2B5EF4-FFF2-40B4-BE49-F238E27FC236}">
              <a16:creationId xmlns:a16="http://schemas.microsoft.com/office/drawing/2014/main" id="{C26F333F-C84E-4D6C-BD1F-CE8E424700E8}"/>
            </a:ext>
          </a:extLst>
        </xdr:cNvPr>
        <xdr:cNvSpPr>
          <a:spLocks noChangeAspect="1"/>
        </xdr:cNvSpPr>
      </xdr:nvSpPr>
      <xdr:spPr bwMode="auto">
        <a:xfrm rot="10800000">
          <a:off x="2732279" y="167375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57</xdr:row>
      <xdr:rowOff>61296</xdr:rowOff>
    </xdr:from>
    <xdr:to>
      <xdr:col>3</xdr:col>
      <xdr:colOff>965880</xdr:colOff>
      <xdr:row>57</xdr:row>
      <xdr:rowOff>224979</xdr:rowOff>
    </xdr:to>
    <xdr:grpSp>
      <xdr:nvGrpSpPr>
        <xdr:cNvPr id="1155" name="hinh2">
          <a:extLst>
            <a:ext uri="{FF2B5EF4-FFF2-40B4-BE49-F238E27FC236}">
              <a16:creationId xmlns:a16="http://schemas.microsoft.com/office/drawing/2014/main" id="{6F219C9D-BB0D-4404-98F0-52FF15F435E3}"/>
            </a:ext>
          </a:extLst>
        </xdr:cNvPr>
        <xdr:cNvGrpSpPr>
          <a:grpSpLocks noChangeAspect="1"/>
        </xdr:cNvGrpSpPr>
      </xdr:nvGrpSpPr>
      <xdr:grpSpPr bwMode="auto">
        <a:xfrm>
          <a:off x="2730608" y="17682546"/>
          <a:ext cx="875058" cy="163683"/>
          <a:chOff x="206" y="86"/>
          <a:chExt cx="73" cy="16"/>
        </a:xfrm>
      </xdr:grpSpPr>
      <xdr:sp macro="" textlink="">
        <xdr:nvSpPr>
          <xdr:cNvPr id="1156" name="Line 6">
            <a:extLst>
              <a:ext uri="{FF2B5EF4-FFF2-40B4-BE49-F238E27FC236}">
                <a16:creationId xmlns:a16="http://schemas.microsoft.com/office/drawing/2014/main" id="{203624A6-5581-AE43-EAFD-6884CA23F2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7" name="Line 7">
            <a:extLst>
              <a:ext uri="{FF2B5EF4-FFF2-40B4-BE49-F238E27FC236}">
                <a16:creationId xmlns:a16="http://schemas.microsoft.com/office/drawing/2014/main" id="{B1BFFCAE-4DDC-EE86-28B8-6134014C7B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Line 8">
            <a:extLst>
              <a:ext uri="{FF2B5EF4-FFF2-40B4-BE49-F238E27FC236}">
                <a16:creationId xmlns:a16="http://schemas.microsoft.com/office/drawing/2014/main" id="{C9F271F3-9D67-8517-8285-641E268183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62</xdr:row>
      <xdr:rowOff>62196</xdr:rowOff>
    </xdr:from>
    <xdr:to>
      <xdr:col>3</xdr:col>
      <xdr:colOff>952499</xdr:colOff>
      <xdr:row>62</xdr:row>
      <xdr:rowOff>213437</xdr:rowOff>
    </xdr:to>
    <xdr:grpSp>
      <xdr:nvGrpSpPr>
        <xdr:cNvPr id="1159" name="hinh3">
          <a:extLst>
            <a:ext uri="{FF2B5EF4-FFF2-40B4-BE49-F238E27FC236}">
              <a16:creationId xmlns:a16="http://schemas.microsoft.com/office/drawing/2014/main" id="{4FB7CA5D-0865-4239-B569-3D2EAB661533}"/>
            </a:ext>
          </a:extLst>
        </xdr:cNvPr>
        <xdr:cNvGrpSpPr>
          <a:grpSpLocks noChangeAspect="1"/>
        </xdr:cNvGrpSpPr>
      </xdr:nvGrpSpPr>
      <xdr:grpSpPr bwMode="auto">
        <a:xfrm>
          <a:off x="2730574" y="19248267"/>
          <a:ext cx="861711" cy="151241"/>
          <a:chOff x="206" y="112"/>
          <a:chExt cx="73" cy="16"/>
        </a:xfrm>
      </xdr:grpSpPr>
      <xdr:sp macro="" textlink="">
        <xdr:nvSpPr>
          <xdr:cNvPr id="1160" name="Line 3">
            <a:extLst>
              <a:ext uri="{FF2B5EF4-FFF2-40B4-BE49-F238E27FC236}">
                <a16:creationId xmlns:a16="http://schemas.microsoft.com/office/drawing/2014/main" id="{753B0901-682B-41A8-2221-0596D24091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" name="Line 4">
            <a:extLst>
              <a:ext uri="{FF2B5EF4-FFF2-40B4-BE49-F238E27FC236}">
                <a16:creationId xmlns:a16="http://schemas.microsoft.com/office/drawing/2014/main" id="{E28E9C91-F3AC-D19C-B598-060E272B6B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58</xdr:row>
      <xdr:rowOff>50652</xdr:rowOff>
    </xdr:from>
    <xdr:to>
      <xdr:col>3</xdr:col>
      <xdr:colOff>962981</xdr:colOff>
      <xdr:row>58</xdr:row>
      <xdr:rowOff>214335</xdr:rowOff>
    </xdr:to>
    <xdr:grpSp>
      <xdr:nvGrpSpPr>
        <xdr:cNvPr id="1162" name="hinh2">
          <a:extLst>
            <a:ext uri="{FF2B5EF4-FFF2-40B4-BE49-F238E27FC236}">
              <a16:creationId xmlns:a16="http://schemas.microsoft.com/office/drawing/2014/main" id="{B008DA52-0B74-487C-B8E0-AC644531F054}"/>
            </a:ext>
          </a:extLst>
        </xdr:cNvPr>
        <xdr:cNvGrpSpPr>
          <a:grpSpLocks noChangeAspect="1"/>
        </xdr:cNvGrpSpPr>
      </xdr:nvGrpSpPr>
      <xdr:grpSpPr bwMode="auto">
        <a:xfrm>
          <a:off x="2727709" y="17984866"/>
          <a:ext cx="875058" cy="163683"/>
          <a:chOff x="206" y="86"/>
          <a:chExt cx="73" cy="16"/>
        </a:xfrm>
      </xdr:grpSpPr>
      <xdr:sp macro="" textlink="">
        <xdr:nvSpPr>
          <xdr:cNvPr id="1163" name="Line 6">
            <a:extLst>
              <a:ext uri="{FF2B5EF4-FFF2-40B4-BE49-F238E27FC236}">
                <a16:creationId xmlns:a16="http://schemas.microsoft.com/office/drawing/2014/main" id="{FE7BB799-19C9-F198-9FE3-BCFE802209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" name="Line 7">
            <a:extLst>
              <a:ext uri="{FF2B5EF4-FFF2-40B4-BE49-F238E27FC236}">
                <a16:creationId xmlns:a16="http://schemas.microsoft.com/office/drawing/2014/main" id="{A43AA74D-AAD1-396D-AED1-8BCF958419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5" name="Line 8">
            <a:extLst>
              <a:ext uri="{FF2B5EF4-FFF2-40B4-BE49-F238E27FC236}">
                <a16:creationId xmlns:a16="http://schemas.microsoft.com/office/drawing/2014/main" id="{A818E839-19DF-1113-2F1D-07EBA13379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58</xdr:row>
      <xdr:rowOff>50652</xdr:rowOff>
    </xdr:from>
    <xdr:to>
      <xdr:col>3</xdr:col>
      <xdr:colOff>962981</xdr:colOff>
      <xdr:row>58</xdr:row>
      <xdr:rowOff>214335</xdr:rowOff>
    </xdr:to>
    <xdr:grpSp>
      <xdr:nvGrpSpPr>
        <xdr:cNvPr id="1166" name="hinh2">
          <a:extLst>
            <a:ext uri="{FF2B5EF4-FFF2-40B4-BE49-F238E27FC236}">
              <a16:creationId xmlns:a16="http://schemas.microsoft.com/office/drawing/2014/main" id="{C3CA475F-895D-4C5F-A82C-A6C119D208BF}"/>
            </a:ext>
          </a:extLst>
        </xdr:cNvPr>
        <xdr:cNvGrpSpPr>
          <a:grpSpLocks noChangeAspect="1"/>
        </xdr:cNvGrpSpPr>
      </xdr:nvGrpSpPr>
      <xdr:grpSpPr bwMode="auto">
        <a:xfrm>
          <a:off x="2727709" y="17984866"/>
          <a:ext cx="875058" cy="163683"/>
          <a:chOff x="206" y="86"/>
          <a:chExt cx="73" cy="16"/>
        </a:xfrm>
      </xdr:grpSpPr>
      <xdr:sp macro="" textlink="">
        <xdr:nvSpPr>
          <xdr:cNvPr id="1167" name="Line 6">
            <a:extLst>
              <a:ext uri="{FF2B5EF4-FFF2-40B4-BE49-F238E27FC236}">
                <a16:creationId xmlns:a16="http://schemas.microsoft.com/office/drawing/2014/main" id="{057284B1-CA8E-B1F6-3A07-9548C6C843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" name="Line 7">
            <a:extLst>
              <a:ext uri="{FF2B5EF4-FFF2-40B4-BE49-F238E27FC236}">
                <a16:creationId xmlns:a16="http://schemas.microsoft.com/office/drawing/2014/main" id="{7E6B4AED-1737-8A15-D6EC-F45FD3C442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9" name="Line 8">
            <a:extLst>
              <a:ext uri="{FF2B5EF4-FFF2-40B4-BE49-F238E27FC236}">
                <a16:creationId xmlns:a16="http://schemas.microsoft.com/office/drawing/2014/main" id="{9A3D8EE4-42EE-CC55-08F6-3C765D807A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59</xdr:row>
      <xdr:rowOff>271096</xdr:rowOff>
    </xdr:from>
    <xdr:to>
      <xdr:col>3</xdr:col>
      <xdr:colOff>930519</xdr:colOff>
      <xdr:row>59</xdr:row>
      <xdr:rowOff>271096</xdr:rowOff>
    </xdr:to>
    <xdr:cxnSp macro="">
      <xdr:nvCxnSpPr>
        <xdr:cNvPr id="1178" name="hinh1">
          <a:extLst>
            <a:ext uri="{FF2B5EF4-FFF2-40B4-BE49-F238E27FC236}">
              <a16:creationId xmlns:a16="http://schemas.microsoft.com/office/drawing/2014/main" id="{34D6D4DF-669A-40C9-8317-871123179834}"/>
            </a:ext>
          </a:extLst>
        </xdr:cNvPr>
        <xdr:cNvCxnSpPr/>
      </xdr:nvCxnSpPr>
      <xdr:spPr>
        <a:xfrm>
          <a:off x="2066829" y="55982821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60</xdr:row>
      <xdr:rowOff>194570</xdr:rowOff>
    </xdr:from>
    <xdr:to>
      <xdr:col>3</xdr:col>
      <xdr:colOff>916476</xdr:colOff>
      <xdr:row>60</xdr:row>
      <xdr:rowOff>273398</xdr:rowOff>
    </xdr:to>
    <xdr:grpSp>
      <xdr:nvGrpSpPr>
        <xdr:cNvPr id="1180" name="hinh23">
          <a:extLst>
            <a:ext uri="{FF2B5EF4-FFF2-40B4-BE49-F238E27FC236}">
              <a16:creationId xmlns:a16="http://schemas.microsoft.com/office/drawing/2014/main" id="{21745608-A06B-465A-ADE0-05E06CC1C5FC}"/>
            </a:ext>
          </a:extLst>
        </xdr:cNvPr>
        <xdr:cNvGrpSpPr>
          <a:grpSpLocks noChangeAspect="1"/>
        </xdr:cNvGrpSpPr>
      </xdr:nvGrpSpPr>
      <xdr:grpSpPr bwMode="auto">
        <a:xfrm>
          <a:off x="2691075" y="18754713"/>
          <a:ext cx="865187" cy="78828"/>
          <a:chOff x="181" y="372"/>
          <a:chExt cx="129" cy="5"/>
        </a:xfrm>
      </xdr:grpSpPr>
      <xdr:sp macro="" textlink="">
        <xdr:nvSpPr>
          <xdr:cNvPr id="1181" name="Line 29">
            <a:extLst>
              <a:ext uri="{FF2B5EF4-FFF2-40B4-BE49-F238E27FC236}">
                <a16:creationId xmlns:a16="http://schemas.microsoft.com/office/drawing/2014/main" id="{0577697E-A598-4DD2-BB87-2B94B5436EA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2" name="Line 30">
            <a:extLst>
              <a:ext uri="{FF2B5EF4-FFF2-40B4-BE49-F238E27FC236}">
                <a16:creationId xmlns:a16="http://schemas.microsoft.com/office/drawing/2014/main" id="{02EFA4FC-79F0-C8BE-96D2-0483E1BBEEE8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3" name="Line 31">
            <a:extLst>
              <a:ext uri="{FF2B5EF4-FFF2-40B4-BE49-F238E27FC236}">
                <a16:creationId xmlns:a16="http://schemas.microsoft.com/office/drawing/2014/main" id="{7B8A537D-5751-968D-0DBF-13E7DA99D61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4" name="Line 32">
            <a:extLst>
              <a:ext uri="{FF2B5EF4-FFF2-40B4-BE49-F238E27FC236}">
                <a16:creationId xmlns:a16="http://schemas.microsoft.com/office/drawing/2014/main" id="{F1FB5F6D-CAC6-9FA5-3443-A54FF68660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5" name="Line 33">
            <a:extLst>
              <a:ext uri="{FF2B5EF4-FFF2-40B4-BE49-F238E27FC236}">
                <a16:creationId xmlns:a16="http://schemas.microsoft.com/office/drawing/2014/main" id="{5CC503D0-3A98-E623-33F6-1F6F3B4B832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68</xdr:row>
      <xdr:rowOff>55220</xdr:rowOff>
    </xdr:from>
    <xdr:to>
      <xdr:col>3</xdr:col>
      <xdr:colOff>1003580</xdr:colOff>
      <xdr:row>68</xdr:row>
      <xdr:rowOff>303698</xdr:rowOff>
    </xdr:to>
    <xdr:sp macro="" textlink="">
      <xdr:nvSpPr>
        <xdr:cNvPr id="1186" name="hinh15">
          <a:extLst>
            <a:ext uri="{FF2B5EF4-FFF2-40B4-BE49-F238E27FC236}">
              <a16:creationId xmlns:a16="http://schemas.microsoft.com/office/drawing/2014/main" id="{D392B9A0-7902-4E82-87ED-C3BDD5544771}"/>
            </a:ext>
          </a:extLst>
        </xdr:cNvPr>
        <xdr:cNvSpPr>
          <a:spLocks noChangeAspect="1"/>
        </xdr:cNvSpPr>
      </xdr:nvSpPr>
      <xdr:spPr bwMode="auto">
        <a:xfrm rot="10800000">
          <a:off x="2732279" y="1892832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64</xdr:row>
      <xdr:rowOff>61296</xdr:rowOff>
    </xdr:from>
    <xdr:to>
      <xdr:col>3</xdr:col>
      <xdr:colOff>965880</xdr:colOff>
      <xdr:row>64</xdr:row>
      <xdr:rowOff>224979</xdr:rowOff>
    </xdr:to>
    <xdr:grpSp>
      <xdr:nvGrpSpPr>
        <xdr:cNvPr id="1187" name="hinh2">
          <a:extLst>
            <a:ext uri="{FF2B5EF4-FFF2-40B4-BE49-F238E27FC236}">
              <a16:creationId xmlns:a16="http://schemas.microsoft.com/office/drawing/2014/main" id="{95D586F7-929F-4DBD-A9F6-D3AAF4F42BCC}"/>
            </a:ext>
          </a:extLst>
        </xdr:cNvPr>
        <xdr:cNvGrpSpPr>
          <a:grpSpLocks noChangeAspect="1"/>
        </xdr:cNvGrpSpPr>
      </xdr:nvGrpSpPr>
      <xdr:grpSpPr bwMode="auto">
        <a:xfrm>
          <a:off x="2730608" y="19873296"/>
          <a:ext cx="875058" cy="163683"/>
          <a:chOff x="206" y="86"/>
          <a:chExt cx="73" cy="16"/>
        </a:xfrm>
      </xdr:grpSpPr>
      <xdr:sp macro="" textlink="">
        <xdr:nvSpPr>
          <xdr:cNvPr id="1188" name="Line 6">
            <a:extLst>
              <a:ext uri="{FF2B5EF4-FFF2-40B4-BE49-F238E27FC236}">
                <a16:creationId xmlns:a16="http://schemas.microsoft.com/office/drawing/2014/main" id="{373ADB8D-65F2-4BAF-A294-8B949DC244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9" name="Line 7">
            <a:extLst>
              <a:ext uri="{FF2B5EF4-FFF2-40B4-BE49-F238E27FC236}">
                <a16:creationId xmlns:a16="http://schemas.microsoft.com/office/drawing/2014/main" id="{974C85C1-67F8-047F-7EA9-EFF88A2452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0" name="Line 8">
            <a:extLst>
              <a:ext uri="{FF2B5EF4-FFF2-40B4-BE49-F238E27FC236}">
                <a16:creationId xmlns:a16="http://schemas.microsoft.com/office/drawing/2014/main" id="{7E2DA32B-B6FC-7310-647B-B23C59932B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69</xdr:row>
      <xdr:rowOff>62196</xdr:rowOff>
    </xdr:from>
    <xdr:to>
      <xdr:col>3</xdr:col>
      <xdr:colOff>952499</xdr:colOff>
      <xdr:row>69</xdr:row>
      <xdr:rowOff>213437</xdr:rowOff>
    </xdr:to>
    <xdr:grpSp>
      <xdr:nvGrpSpPr>
        <xdr:cNvPr id="1191" name="hinh3">
          <a:extLst>
            <a:ext uri="{FF2B5EF4-FFF2-40B4-BE49-F238E27FC236}">
              <a16:creationId xmlns:a16="http://schemas.microsoft.com/office/drawing/2014/main" id="{220A9FF6-3714-43FC-A6EC-C18ADA34D9BC}"/>
            </a:ext>
          </a:extLst>
        </xdr:cNvPr>
        <xdr:cNvGrpSpPr>
          <a:grpSpLocks noChangeAspect="1"/>
        </xdr:cNvGrpSpPr>
      </xdr:nvGrpSpPr>
      <xdr:grpSpPr bwMode="auto">
        <a:xfrm>
          <a:off x="2730574" y="21439017"/>
          <a:ext cx="861711" cy="151241"/>
          <a:chOff x="206" y="112"/>
          <a:chExt cx="73" cy="16"/>
        </a:xfrm>
      </xdr:grpSpPr>
      <xdr:sp macro="" textlink="">
        <xdr:nvSpPr>
          <xdr:cNvPr id="1192" name="Line 3">
            <a:extLst>
              <a:ext uri="{FF2B5EF4-FFF2-40B4-BE49-F238E27FC236}">
                <a16:creationId xmlns:a16="http://schemas.microsoft.com/office/drawing/2014/main" id="{E7B94FE1-3C37-FF16-A968-5ECEC9D6C6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3" name="Line 4">
            <a:extLst>
              <a:ext uri="{FF2B5EF4-FFF2-40B4-BE49-F238E27FC236}">
                <a16:creationId xmlns:a16="http://schemas.microsoft.com/office/drawing/2014/main" id="{1D2A03CA-23CC-2E82-7820-960A7129D3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65</xdr:row>
      <xdr:rowOff>50652</xdr:rowOff>
    </xdr:from>
    <xdr:to>
      <xdr:col>3</xdr:col>
      <xdr:colOff>962981</xdr:colOff>
      <xdr:row>65</xdr:row>
      <xdr:rowOff>214335</xdr:rowOff>
    </xdr:to>
    <xdr:grpSp>
      <xdr:nvGrpSpPr>
        <xdr:cNvPr id="1194" name="hinh2">
          <a:extLst>
            <a:ext uri="{FF2B5EF4-FFF2-40B4-BE49-F238E27FC236}">
              <a16:creationId xmlns:a16="http://schemas.microsoft.com/office/drawing/2014/main" id="{6921FACF-4A4F-4761-9A8D-B10B249E80F9}"/>
            </a:ext>
          </a:extLst>
        </xdr:cNvPr>
        <xdr:cNvGrpSpPr>
          <a:grpSpLocks noChangeAspect="1"/>
        </xdr:cNvGrpSpPr>
      </xdr:nvGrpSpPr>
      <xdr:grpSpPr bwMode="auto">
        <a:xfrm>
          <a:off x="2727709" y="20175616"/>
          <a:ext cx="875058" cy="163683"/>
          <a:chOff x="206" y="86"/>
          <a:chExt cx="73" cy="16"/>
        </a:xfrm>
      </xdr:grpSpPr>
      <xdr:sp macro="" textlink="">
        <xdr:nvSpPr>
          <xdr:cNvPr id="1195" name="Line 6">
            <a:extLst>
              <a:ext uri="{FF2B5EF4-FFF2-40B4-BE49-F238E27FC236}">
                <a16:creationId xmlns:a16="http://schemas.microsoft.com/office/drawing/2014/main" id="{B1B2BC81-5E5B-92CC-CD5F-5E5E03CB1D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6" name="Line 7">
            <a:extLst>
              <a:ext uri="{FF2B5EF4-FFF2-40B4-BE49-F238E27FC236}">
                <a16:creationId xmlns:a16="http://schemas.microsoft.com/office/drawing/2014/main" id="{77FD0FF9-24B7-DEFE-9F7E-7A8FCFF9AE9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7" name="Line 8">
            <a:extLst>
              <a:ext uri="{FF2B5EF4-FFF2-40B4-BE49-F238E27FC236}">
                <a16:creationId xmlns:a16="http://schemas.microsoft.com/office/drawing/2014/main" id="{661E3073-A68D-7696-67E0-6011CF5A746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65</xdr:row>
      <xdr:rowOff>50652</xdr:rowOff>
    </xdr:from>
    <xdr:to>
      <xdr:col>3</xdr:col>
      <xdr:colOff>962981</xdr:colOff>
      <xdr:row>65</xdr:row>
      <xdr:rowOff>214335</xdr:rowOff>
    </xdr:to>
    <xdr:grpSp>
      <xdr:nvGrpSpPr>
        <xdr:cNvPr id="1198" name="hinh2">
          <a:extLst>
            <a:ext uri="{FF2B5EF4-FFF2-40B4-BE49-F238E27FC236}">
              <a16:creationId xmlns:a16="http://schemas.microsoft.com/office/drawing/2014/main" id="{D5B7A550-0736-4829-8239-7A5228F048B7}"/>
            </a:ext>
          </a:extLst>
        </xdr:cNvPr>
        <xdr:cNvGrpSpPr>
          <a:grpSpLocks noChangeAspect="1"/>
        </xdr:cNvGrpSpPr>
      </xdr:nvGrpSpPr>
      <xdr:grpSpPr bwMode="auto">
        <a:xfrm>
          <a:off x="2727709" y="20175616"/>
          <a:ext cx="875058" cy="163683"/>
          <a:chOff x="206" y="86"/>
          <a:chExt cx="73" cy="16"/>
        </a:xfrm>
      </xdr:grpSpPr>
      <xdr:sp macro="" textlink="">
        <xdr:nvSpPr>
          <xdr:cNvPr id="1199" name="Line 6">
            <a:extLst>
              <a:ext uri="{FF2B5EF4-FFF2-40B4-BE49-F238E27FC236}">
                <a16:creationId xmlns:a16="http://schemas.microsoft.com/office/drawing/2014/main" id="{793D3E1E-A238-F97F-40AC-FC2504FFE1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0" name="Line 7">
            <a:extLst>
              <a:ext uri="{FF2B5EF4-FFF2-40B4-BE49-F238E27FC236}">
                <a16:creationId xmlns:a16="http://schemas.microsoft.com/office/drawing/2014/main" id="{F32A9289-963B-6BF0-1B5B-D4A5FD54DA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1" name="Line 8">
            <a:extLst>
              <a:ext uri="{FF2B5EF4-FFF2-40B4-BE49-F238E27FC236}">
                <a16:creationId xmlns:a16="http://schemas.microsoft.com/office/drawing/2014/main" id="{36426910-AB7A-3BA4-448F-AB431F50E0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66</xdr:row>
      <xdr:rowOff>271096</xdr:rowOff>
    </xdr:from>
    <xdr:to>
      <xdr:col>3</xdr:col>
      <xdr:colOff>930519</xdr:colOff>
      <xdr:row>66</xdr:row>
      <xdr:rowOff>271096</xdr:rowOff>
    </xdr:to>
    <xdr:cxnSp macro="">
      <xdr:nvCxnSpPr>
        <xdr:cNvPr id="1202" name="hinh1">
          <a:extLst>
            <a:ext uri="{FF2B5EF4-FFF2-40B4-BE49-F238E27FC236}">
              <a16:creationId xmlns:a16="http://schemas.microsoft.com/office/drawing/2014/main" id="{EC67471A-5DC6-45B9-AA21-3603B37C69DB}"/>
            </a:ext>
          </a:extLst>
        </xdr:cNvPr>
        <xdr:cNvCxnSpPr/>
      </xdr:nvCxnSpPr>
      <xdr:spPr>
        <a:xfrm>
          <a:off x="2706365" y="1851827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67</xdr:row>
      <xdr:rowOff>194570</xdr:rowOff>
    </xdr:from>
    <xdr:to>
      <xdr:col>3</xdr:col>
      <xdr:colOff>916476</xdr:colOff>
      <xdr:row>67</xdr:row>
      <xdr:rowOff>273398</xdr:rowOff>
    </xdr:to>
    <xdr:grpSp>
      <xdr:nvGrpSpPr>
        <xdr:cNvPr id="1203" name="hinh23">
          <a:extLst>
            <a:ext uri="{FF2B5EF4-FFF2-40B4-BE49-F238E27FC236}">
              <a16:creationId xmlns:a16="http://schemas.microsoft.com/office/drawing/2014/main" id="{3666423C-1241-4735-9F11-62ED6ACE6A5D}"/>
            </a:ext>
          </a:extLst>
        </xdr:cNvPr>
        <xdr:cNvGrpSpPr>
          <a:grpSpLocks noChangeAspect="1"/>
        </xdr:cNvGrpSpPr>
      </xdr:nvGrpSpPr>
      <xdr:grpSpPr bwMode="auto">
        <a:xfrm>
          <a:off x="2691075" y="20945463"/>
          <a:ext cx="865187" cy="78828"/>
          <a:chOff x="181" y="372"/>
          <a:chExt cx="129" cy="5"/>
        </a:xfrm>
      </xdr:grpSpPr>
      <xdr:sp macro="" textlink="">
        <xdr:nvSpPr>
          <xdr:cNvPr id="1204" name="Line 29">
            <a:extLst>
              <a:ext uri="{FF2B5EF4-FFF2-40B4-BE49-F238E27FC236}">
                <a16:creationId xmlns:a16="http://schemas.microsoft.com/office/drawing/2014/main" id="{904C38B2-AE3E-02D6-3B62-DD9E01D830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5" name="Line 30">
            <a:extLst>
              <a:ext uri="{FF2B5EF4-FFF2-40B4-BE49-F238E27FC236}">
                <a16:creationId xmlns:a16="http://schemas.microsoft.com/office/drawing/2014/main" id="{27289631-B6BC-B692-9AC4-9B69605434D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6" name="Line 31">
            <a:extLst>
              <a:ext uri="{FF2B5EF4-FFF2-40B4-BE49-F238E27FC236}">
                <a16:creationId xmlns:a16="http://schemas.microsoft.com/office/drawing/2014/main" id="{BCC8BD8D-645F-D596-E244-A2F92CCBB0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7" name="Line 32">
            <a:extLst>
              <a:ext uri="{FF2B5EF4-FFF2-40B4-BE49-F238E27FC236}">
                <a16:creationId xmlns:a16="http://schemas.microsoft.com/office/drawing/2014/main" id="{05F16DC8-1802-9CEF-2657-FCD34E2BF40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8" name="Line 33">
            <a:extLst>
              <a:ext uri="{FF2B5EF4-FFF2-40B4-BE49-F238E27FC236}">
                <a16:creationId xmlns:a16="http://schemas.microsoft.com/office/drawing/2014/main" id="{E93323A2-3AB1-694E-04A5-09692F807C08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75</xdr:row>
      <xdr:rowOff>55220</xdr:rowOff>
    </xdr:from>
    <xdr:to>
      <xdr:col>3</xdr:col>
      <xdr:colOff>1003580</xdr:colOff>
      <xdr:row>75</xdr:row>
      <xdr:rowOff>303698</xdr:rowOff>
    </xdr:to>
    <xdr:sp macro="" textlink="">
      <xdr:nvSpPr>
        <xdr:cNvPr id="1209" name="hinh15">
          <a:extLst>
            <a:ext uri="{FF2B5EF4-FFF2-40B4-BE49-F238E27FC236}">
              <a16:creationId xmlns:a16="http://schemas.microsoft.com/office/drawing/2014/main" id="{3D1B516B-D600-4E89-9352-6509285AC6DE}"/>
            </a:ext>
          </a:extLst>
        </xdr:cNvPr>
        <xdr:cNvSpPr>
          <a:spLocks noChangeAspect="1"/>
        </xdr:cNvSpPr>
      </xdr:nvSpPr>
      <xdr:spPr bwMode="auto">
        <a:xfrm rot="10800000">
          <a:off x="2732279" y="211190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71</xdr:row>
      <xdr:rowOff>61296</xdr:rowOff>
    </xdr:from>
    <xdr:to>
      <xdr:col>3</xdr:col>
      <xdr:colOff>965880</xdr:colOff>
      <xdr:row>71</xdr:row>
      <xdr:rowOff>224979</xdr:rowOff>
    </xdr:to>
    <xdr:grpSp>
      <xdr:nvGrpSpPr>
        <xdr:cNvPr id="1210" name="hinh2">
          <a:extLst>
            <a:ext uri="{FF2B5EF4-FFF2-40B4-BE49-F238E27FC236}">
              <a16:creationId xmlns:a16="http://schemas.microsoft.com/office/drawing/2014/main" id="{7339F4BE-7B3A-4603-A2F5-7787329AEB1B}"/>
            </a:ext>
          </a:extLst>
        </xdr:cNvPr>
        <xdr:cNvGrpSpPr>
          <a:grpSpLocks noChangeAspect="1"/>
        </xdr:cNvGrpSpPr>
      </xdr:nvGrpSpPr>
      <xdr:grpSpPr bwMode="auto">
        <a:xfrm>
          <a:off x="2730608" y="22064046"/>
          <a:ext cx="875058" cy="163683"/>
          <a:chOff x="206" y="86"/>
          <a:chExt cx="73" cy="16"/>
        </a:xfrm>
      </xdr:grpSpPr>
      <xdr:sp macro="" textlink="">
        <xdr:nvSpPr>
          <xdr:cNvPr id="1211" name="Line 6">
            <a:extLst>
              <a:ext uri="{FF2B5EF4-FFF2-40B4-BE49-F238E27FC236}">
                <a16:creationId xmlns:a16="http://schemas.microsoft.com/office/drawing/2014/main" id="{21C0BEA2-BE5F-D605-28BE-2F2D7A52C6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2" name="Line 7">
            <a:extLst>
              <a:ext uri="{FF2B5EF4-FFF2-40B4-BE49-F238E27FC236}">
                <a16:creationId xmlns:a16="http://schemas.microsoft.com/office/drawing/2014/main" id="{B6D03289-9BD9-EB63-6BFD-4FEB888F0D4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3" name="Line 8">
            <a:extLst>
              <a:ext uri="{FF2B5EF4-FFF2-40B4-BE49-F238E27FC236}">
                <a16:creationId xmlns:a16="http://schemas.microsoft.com/office/drawing/2014/main" id="{1F42B2D6-91C1-7189-83CF-9FD3C494CD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76</xdr:row>
      <xdr:rowOff>62196</xdr:rowOff>
    </xdr:from>
    <xdr:to>
      <xdr:col>3</xdr:col>
      <xdr:colOff>952499</xdr:colOff>
      <xdr:row>76</xdr:row>
      <xdr:rowOff>213437</xdr:rowOff>
    </xdr:to>
    <xdr:grpSp>
      <xdr:nvGrpSpPr>
        <xdr:cNvPr id="1214" name="hinh3">
          <a:extLst>
            <a:ext uri="{FF2B5EF4-FFF2-40B4-BE49-F238E27FC236}">
              <a16:creationId xmlns:a16="http://schemas.microsoft.com/office/drawing/2014/main" id="{FD58EA3F-2C39-4AEF-BB6D-FFD1DF88FE08}"/>
            </a:ext>
          </a:extLst>
        </xdr:cNvPr>
        <xdr:cNvGrpSpPr>
          <a:grpSpLocks noChangeAspect="1"/>
        </xdr:cNvGrpSpPr>
      </xdr:nvGrpSpPr>
      <xdr:grpSpPr bwMode="auto">
        <a:xfrm>
          <a:off x="2730574" y="23629767"/>
          <a:ext cx="861711" cy="151241"/>
          <a:chOff x="206" y="112"/>
          <a:chExt cx="73" cy="16"/>
        </a:xfrm>
      </xdr:grpSpPr>
      <xdr:sp macro="" textlink="">
        <xdr:nvSpPr>
          <xdr:cNvPr id="1215" name="Line 3">
            <a:extLst>
              <a:ext uri="{FF2B5EF4-FFF2-40B4-BE49-F238E27FC236}">
                <a16:creationId xmlns:a16="http://schemas.microsoft.com/office/drawing/2014/main" id="{6E0CF40D-92C6-770C-FED8-642B8CC690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6" name="Line 4">
            <a:extLst>
              <a:ext uri="{FF2B5EF4-FFF2-40B4-BE49-F238E27FC236}">
                <a16:creationId xmlns:a16="http://schemas.microsoft.com/office/drawing/2014/main" id="{E85220E3-C2D0-E057-4F5F-D8C607CBF8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72</xdr:row>
      <xdr:rowOff>50652</xdr:rowOff>
    </xdr:from>
    <xdr:to>
      <xdr:col>3</xdr:col>
      <xdr:colOff>962981</xdr:colOff>
      <xdr:row>72</xdr:row>
      <xdr:rowOff>214335</xdr:rowOff>
    </xdr:to>
    <xdr:grpSp>
      <xdr:nvGrpSpPr>
        <xdr:cNvPr id="1217" name="hinh2">
          <a:extLst>
            <a:ext uri="{FF2B5EF4-FFF2-40B4-BE49-F238E27FC236}">
              <a16:creationId xmlns:a16="http://schemas.microsoft.com/office/drawing/2014/main" id="{B01A624A-A948-44ED-BE74-A893FBD1D680}"/>
            </a:ext>
          </a:extLst>
        </xdr:cNvPr>
        <xdr:cNvGrpSpPr>
          <a:grpSpLocks noChangeAspect="1"/>
        </xdr:cNvGrpSpPr>
      </xdr:nvGrpSpPr>
      <xdr:grpSpPr bwMode="auto">
        <a:xfrm>
          <a:off x="2727709" y="22366366"/>
          <a:ext cx="875058" cy="163683"/>
          <a:chOff x="206" y="86"/>
          <a:chExt cx="73" cy="16"/>
        </a:xfrm>
      </xdr:grpSpPr>
      <xdr:sp macro="" textlink="">
        <xdr:nvSpPr>
          <xdr:cNvPr id="1218" name="Line 6">
            <a:extLst>
              <a:ext uri="{FF2B5EF4-FFF2-40B4-BE49-F238E27FC236}">
                <a16:creationId xmlns:a16="http://schemas.microsoft.com/office/drawing/2014/main" id="{FC936193-5563-187F-C218-54DB11046B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9" name="Line 7">
            <a:extLst>
              <a:ext uri="{FF2B5EF4-FFF2-40B4-BE49-F238E27FC236}">
                <a16:creationId xmlns:a16="http://schemas.microsoft.com/office/drawing/2014/main" id="{C9BD5162-614F-0D9E-8599-81203C3FEE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0" name="Line 8">
            <a:extLst>
              <a:ext uri="{FF2B5EF4-FFF2-40B4-BE49-F238E27FC236}">
                <a16:creationId xmlns:a16="http://schemas.microsoft.com/office/drawing/2014/main" id="{5E6FDC9D-3AF6-7BCC-8C7A-F8EFC31E85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72</xdr:row>
      <xdr:rowOff>50652</xdr:rowOff>
    </xdr:from>
    <xdr:to>
      <xdr:col>3</xdr:col>
      <xdr:colOff>962981</xdr:colOff>
      <xdr:row>72</xdr:row>
      <xdr:rowOff>214335</xdr:rowOff>
    </xdr:to>
    <xdr:grpSp>
      <xdr:nvGrpSpPr>
        <xdr:cNvPr id="1221" name="hinh2">
          <a:extLst>
            <a:ext uri="{FF2B5EF4-FFF2-40B4-BE49-F238E27FC236}">
              <a16:creationId xmlns:a16="http://schemas.microsoft.com/office/drawing/2014/main" id="{E45E928F-C46E-4DAE-93B4-8D19A7D1C226}"/>
            </a:ext>
          </a:extLst>
        </xdr:cNvPr>
        <xdr:cNvGrpSpPr>
          <a:grpSpLocks noChangeAspect="1"/>
        </xdr:cNvGrpSpPr>
      </xdr:nvGrpSpPr>
      <xdr:grpSpPr bwMode="auto">
        <a:xfrm>
          <a:off x="2727709" y="22366366"/>
          <a:ext cx="875058" cy="163683"/>
          <a:chOff x="206" y="86"/>
          <a:chExt cx="73" cy="16"/>
        </a:xfrm>
      </xdr:grpSpPr>
      <xdr:sp macro="" textlink="">
        <xdr:nvSpPr>
          <xdr:cNvPr id="1222" name="Line 6">
            <a:extLst>
              <a:ext uri="{FF2B5EF4-FFF2-40B4-BE49-F238E27FC236}">
                <a16:creationId xmlns:a16="http://schemas.microsoft.com/office/drawing/2014/main" id="{D0CE9C55-4D9C-C0E7-A1F6-B802618A1F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3" name="Line 7">
            <a:extLst>
              <a:ext uri="{FF2B5EF4-FFF2-40B4-BE49-F238E27FC236}">
                <a16:creationId xmlns:a16="http://schemas.microsoft.com/office/drawing/2014/main" id="{FD326818-4140-D7AF-C498-09683EC564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4" name="Line 8">
            <a:extLst>
              <a:ext uri="{FF2B5EF4-FFF2-40B4-BE49-F238E27FC236}">
                <a16:creationId xmlns:a16="http://schemas.microsoft.com/office/drawing/2014/main" id="{851758C7-8AFF-2EC6-F1B4-3BAC7985A3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73</xdr:row>
      <xdr:rowOff>271096</xdr:rowOff>
    </xdr:from>
    <xdr:to>
      <xdr:col>3</xdr:col>
      <xdr:colOff>930519</xdr:colOff>
      <xdr:row>73</xdr:row>
      <xdr:rowOff>271096</xdr:rowOff>
    </xdr:to>
    <xdr:cxnSp macro="">
      <xdr:nvCxnSpPr>
        <xdr:cNvPr id="1225" name="hinh1">
          <a:extLst>
            <a:ext uri="{FF2B5EF4-FFF2-40B4-BE49-F238E27FC236}">
              <a16:creationId xmlns:a16="http://schemas.microsoft.com/office/drawing/2014/main" id="{07369C64-A32D-4D94-B63D-9F2393BFACE4}"/>
            </a:ext>
          </a:extLst>
        </xdr:cNvPr>
        <xdr:cNvCxnSpPr/>
      </xdr:nvCxnSpPr>
      <xdr:spPr>
        <a:xfrm>
          <a:off x="2706365" y="2070902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74</xdr:row>
      <xdr:rowOff>194570</xdr:rowOff>
    </xdr:from>
    <xdr:to>
      <xdr:col>3</xdr:col>
      <xdr:colOff>916476</xdr:colOff>
      <xdr:row>74</xdr:row>
      <xdr:rowOff>273398</xdr:rowOff>
    </xdr:to>
    <xdr:grpSp>
      <xdr:nvGrpSpPr>
        <xdr:cNvPr id="1226" name="hinh23">
          <a:extLst>
            <a:ext uri="{FF2B5EF4-FFF2-40B4-BE49-F238E27FC236}">
              <a16:creationId xmlns:a16="http://schemas.microsoft.com/office/drawing/2014/main" id="{AF632A17-BE82-4814-9B2A-8C4B1305983A}"/>
            </a:ext>
          </a:extLst>
        </xdr:cNvPr>
        <xdr:cNvGrpSpPr>
          <a:grpSpLocks noChangeAspect="1"/>
        </xdr:cNvGrpSpPr>
      </xdr:nvGrpSpPr>
      <xdr:grpSpPr bwMode="auto">
        <a:xfrm>
          <a:off x="2691075" y="23136213"/>
          <a:ext cx="865187" cy="78828"/>
          <a:chOff x="181" y="372"/>
          <a:chExt cx="129" cy="5"/>
        </a:xfrm>
      </xdr:grpSpPr>
      <xdr:sp macro="" textlink="">
        <xdr:nvSpPr>
          <xdr:cNvPr id="1227" name="Line 29">
            <a:extLst>
              <a:ext uri="{FF2B5EF4-FFF2-40B4-BE49-F238E27FC236}">
                <a16:creationId xmlns:a16="http://schemas.microsoft.com/office/drawing/2014/main" id="{3814CAD3-3F07-A59C-D8C4-BEE75DE73A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8" name="Line 30">
            <a:extLst>
              <a:ext uri="{FF2B5EF4-FFF2-40B4-BE49-F238E27FC236}">
                <a16:creationId xmlns:a16="http://schemas.microsoft.com/office/drawing/2014/main" id="{6E5115C4-EE49-6F42-2500-14EFDCD03FF7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9" name="Line 31">
            <a:extLst>
              <a:ext uri="{FF2B5EF4-FFF2-40B4-BE49-F238E27FC236}">
                <a16:creationId xmlns:a16="http://schemas.microsoft.com/office/drawing/2014/main" id="{909BBFD3-14A8-E6D6-C25F-8F2F24DDDB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0" name="Line 32">
            <a:extLst>
              <a:ext uri="{FF2B5EF4-FFF2-40B4-BE49-F238E27FC236}">
                <a16:creationId xmlns:a16="http://schemas.microsoft.com/office/drawing/2014/main" id="{AE5E2699-8980-1BA5-DB77-0E7D6BA0A5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1" name="Line 33">
            <a:extLst>
              <a:ext uri="{FF2B5EF4-FFF2-40B4-BE49-F238E27FC236}">
                <a16:creationId xmlns:a16="http://schemas.microsoft.com/office/drawing/2014/main" id="{E6F127BB-9446-D22E-6977-1F3AB7D12C2C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82</xdr:row>
      <xdr:rowOff>55220</xdr:rowOff>
    </xdr:from>
    <xdr:to>
      <xdr:col>3</xdr:col>
      <xdr:colOff>1003580</xdr:colOff>
      <xdr:row>82</xdr:row>
      <xdr:rowOff>303698</xdr:rowOff>
    </xdr:to>
    <xdr:sp macro="" textlink="">
      <xdr:nvSpPr>
        <xdr:cNvPr id="1232" name="hinh15">
          <a:extLst>
            <a:ext uri="{FF2B5EF4-FFF2-40B4-BE49-F238E27FC236}">
              <a16:creationId xmlns:a16="http://schemas.microsoft.com/office/drawing/2014/main" id="{C469E1A9-D105-44DD-BC03-D1CA61CFC379}"/>
            </a:ext>
          </a:extLst>
        </xdr:cNvPr>
        <xdr:cNvSpPr>
          <a:spLocks noChangeAspect="1"/>
        </xdr:cNvSpPr>
      </xdr:nvSpPr>
      <xdr:spPr bwMode="auto">
        <a:xfrm rot="10800000">
          <a:off x="2732279" y="2330982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78</xdr:row>
      <xdr:rowOff>61296</xdr:rowOff>
    </xdr:from>
    <xdr:to>
      <xdr:col>3</xdr:col>
      <xdr:colOff>965880</xdr:colOff>
      <xdr:row>78</xdr:row>
      <xdr:rowOff>224979</xdr:rowOff>
    </xdr:to>
    <xdr:grpSp>
      <xdr:nvGrpSpPr>
        <xdr:cNvPr id="1233" name="hinh2">
          <a:extLst>
            <a:ext uri="{FF2B5EF4-FFF2-40B4-BE49-F238E27FC236}">
              <a16:creationId xmlns:a16="http://schemas.microsoft.com/office/drawing/2014/main" id="{034F358B-B19E-44AA-8EA4-9053685AA5B0}"/>
            </a:ext>
          </a:extLst>
        </xdr:cNvPr>
        <xdr:cNvGrpSpPr>
          <a:grpSpLocks noChangeAspect="1"/>
        </xdr:cNvGrpSpPr>
      </xdr:nvGrpSpPr>
      <xdr:grpSpPr bwMode="auto">
        <a:xfrm>
          <a:off x="2730608" y="24254796"/>
          <a:ext cx="875058" cy="163683"/>
          <a:chOff x="206" y="86"/>
          <a:chExt cx="73" cy="16"/>
        </a:xfrm>
      </xdr:grpSpPr>
      <xdr:sp macro="" textlink="">
        <xdr:nvSpPr>
          <xdr:cNvPr id="1234" name="Line 6">
            <a:extLst>
              <a:ext uri="{FF2B5EF4-FFF2-40B4-BE49-F238E27FC236}">
                <a16:creationId xmlns:a16="http://schemas.microsoft.com/office/drawing/2014/main" id="{FE2D1D22-33B7-6495-B2F3-1856D85DB4F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5" name="Line 7">
            <a:extLst>
              <a:ext uri="{FF2B5EF4-FFF2-40B4-BE49-F238E27FC236}">
                <a16:creationId xmlns:a16="http://schemas.microsoft.com/office/drawing/2014/main" id="{45E1F797-97E2-AFEB-C41F-F940AB4F46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6" name="Line 8">
            <a:extLst>
              <a:ext uri="{FF2B5EF4-FFF2-40B4-BE49-F238E27FC236}">
                <a16:creationId xmlns:a16="http://schemas.microsoft.com/office/drawing/2014/main" id="{60DD89EB-0425-A474-28AD-84E117FB16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83</xdr:row>
      <xdr:rowOff>62196</xdr:rowOff>
    </xdr:from>
    <xdr:to>
      <xdr:col>3</xdr:col>
      <xdr:colOff>952499</xdr:colOff>
      <xdr:row>83</xdr:row>
      <xdr:rowOff>213437</xdr:rowOff>
    </xdr:to>
    <xdr:grpSp>
      <xdr:nvGrpSpPr>
        <xdr:cNvPr id="1237" name="hinh3">
          <a:extLst>
            <a:ext uri="{FF2B5EF4-FFF2-40B4-BE49-F238E27FC236}">
              <a16:creationId xmlns:a16="http://schemas.microsoft.com/office/drawing/2014/main" id="{06F7938B-A0D1-45FE-A631-05CED718F5FC}"/>
            </a:ext>
          </a:extLst>
        </xdr:cNvPr>
        <xdr:cNvGrpSpPr>
          <a:grpSpLocks noChangeAspect="1"/>
        </xdr:cNvGrpSpPr>
      </xdr:nvGrpSpPr>
      <xdr:grpSpPr bwMode="auto">
        <a:xfrm>
          <a:off x="2730574" y="25820517"/>
          <a:ext cx="861711" cy="151241"/>
          <a:chOff x="206" y="112"/>
          <a:chExt cx="73" cy="16"/>
        </a:xfrm>
      </xdr:grpSpPr>
      <xdr:sp macro="" textlink="">
        <xdr:nvSpPr>
          <xdr:cNvPr id="1238" name="Line 3">
            <a:extLst>
              <a:ext uri="{FF2B5EF4-FFF2-40B4-BE49-F238E27FC236}">
                <a16:creationId xmlns:a16="http://schemas.microsoft.com/office/drawing/2014/main" id="{F2DE80BE-A06F-1689-DEF6-43DCBD597B4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9" name="Line 4">
            <a:extLst>
              <a:ext uri="{FF2B5EF4-FFF2-40B4-BE49-F238E27FC236}">
                <a16:creationId xmlns:a16="http://schemas.microsoft.com/office/drawing/2014/main" id="{B63491D2-1301-C9DD-5D79-E86943299E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79</xdr:row>
      <xdr:rowOff>50652</xdr:rowOff>
    </xdr:from>
    <xdr:to>
      <xdr:col>3</xdr:col>
      <xdr:colOff>962981</xdr:colOff>
      <xdr:row>79</xdr:row>
      <xdr:rowOff>214335</xdr:rowOff>
    </xdr:to>
    <xdr:grpSp>
      <xdr:nvGrpSpPr>
        <xdr:cNvPr id="1240" name="hinh2">
          <a:extLst>
            <a:ext uri="{FF2B5EF4-FFF2-40B4-BE49-F238E27FC236}">
              <a16:creationId xmlns:a16="http://schemas.microsoft.com/office/drawing/2014/main" id="{5287688E-BE01-4FA5-8134-F4BFFEE8DE1D}"/>
            </a:ext>
          </a:extLst>
        </xdr:cNvPr>
        <xdr:cNvGrpSpPr>
          <a:grpSpLocks noChangeAspect="1"/>
        </xdr:cNvGrpSpPr>
      </xdr:nvGrpSpPr>
      <xdr:grpSpPr bwMode="auto">
        <a:xfrm>
          <a:off x="2727709" y="24557116"/>
          <a:ext cx="875058" cy="163683"/>
          <a:chOff x="206" y="86"/>
          <a:chExt cx="73" cy="16"/>
        </a:xfrm>
      </xdr:grpSpPr>
      <xdr:sp macro="" textlink="">
        <xdr:nvSpPr>
          <xdr:cNvPr id="1241" name="Line 6">
            <a:extLst>
              <a:ext uri="{FF2B5EF4-FFF2-40B4-BE49-F238E27FC236}">
                <a16:creationId xmlns:a16="http://schemas.microsoft.com/office/drawing/2014/main" id="{1F741340-D606-C729-17BD-B0071837876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2" name="Line 7">
            <a:extLst>
              <a:ext uri="{FF2B5EF4-FFF2-40B4-BE49-F238E27FC236}">
                <a16:creationId xmlns:a16="http://schemas.microsoft.com/office/drawing/2014/main" id="{09B1921E-480D-84A6-AB57-F3009261B1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3" name="Line 8">
            <a:extLst>
              <a:ext uri="{FF2B5EF4-FFF2-40B4-BE49-F238E27FC236}">
                <a16:creationId xmlns:a16="http://schemas.microsoft.com/office/drawing/2014/main" id="{8EAC666D-FD18-EE3C-37B1-30C6FF08ED2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79</xdr:row>
      <xdr:rowOff>50652</xdr:rowOff>
    </xdr:from>
    <xdr:to>
      <xdr:col>3</xdr:col>
      <xdr:colOff>962981</xdr:colOff>
      <xdr:row>79</xdr:row>
      <xdr:rowOff>214335</xdr:rowOff>
    </xdr:to>
    <xdr:grpSp>
      <xdr:nvGrpSpPr>
        <xdr:cNvPr id="1244" name="hinh2">
          <a:extLst>
            <a:ext uri="{FF2B5EF4-FFF2-40B4-BE49-F238E27FC236}">
              <a16:creationId xmlns:a16="http://schemas.microsoft.com/office/drawing/2014/main" id="{01171E24-B019-4F74-B1AB-FF21E69EBF82}"/>
            </a:ext>
          </a:extLst>
        </xdr:cNvPr>
        <xdr:cNvGrpSpPr>
          <a:grpSpLocks noChangeAspect="1"/>
        </xdr:cNvGrpSpPr>
      </xdr:nvGrpSpPr>
      <xdr:grpSpPr bwMode="auto">
        <a:xfrm>
          <a:off x="2727709" y="24557116"/>
          <a:ext cx="875058" cy="163683"/>
          <a:chOff x="206" y="86"/>
          <a:chExt cx="73" cy="16"/>
        </a:xfrm>
      </xdr:grpSpPr>
      <xdr:sp macro="" textlink="">
        <xdr:nvSpPr>
          <xdr:cNvPr id="1245" name="Line 6">
            <a:extLst>
              <a:ext uri="{FF2B5EF4-FFF2-40B4-BE49-F238E27FC236}">
                <a16:creationId xmlns:a16="http://schemas.microsoft.com/office/drawing/2014/main" id="{67F2F1BE-38AF-2302-72EF-E372B54765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6" name="Line 7">
            <a:extLst>
              <a:ext uri="{FF2B5EF4-FFF2-40B4-BE49-F238E27FC236}">
                <a16:creationId xmlns:a16="http://schemas.microsoft.com/office/drawing/2014/main" id="{D20A1E55-8596-FF56-925A-F03DEE63B6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7" name="Line 8">
            <a:extLst>
              <a:ext uri="{FF2B5EF4-FFF2-40B4-BE49-F238E27FC236}">
                <a16:creationId xmlns:a16="http://schemas.microsoft.com/office/drawing/2014/main" id="{10464338-FE8B-25AE-B7F5-C2C169E7E1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80</xdr:row>
      <xdr:rowOff>271096</xdr:rowOff>
    </xdr:from>
    <xdr:to>
      <xdr:col>3</xdr:col>
      <xdr:colOff>930519</xdr:colOff>
      <xdr:row>80</xdr:row>
      <xdr:rowOff>271096</xdr:rowOff>
    </xdr:to>
    <xdr:cxnSp macro="">
      <xdr:nvCxnSpPr>
        <xdr:cNvPr id="1248" name="hinh1">
          <a:extLst>
            <a:ext uri="{FF2B5EF4-FFF2-40B4-BE49-F238E27FC236}">
              <a16:creationId xmlns:a16="http://schemas.microsoft.com/office/drawing/2014/main" id="{18ADCB68-C4AF-49F6-920E-4F13DC0FB95A}"/>
            </a:ext>
          </a:extLst>
        </xdr:cNvPr>
        <xdr:cNvCxnSpPr/>
      </xdr:nvCxnSpPr>
      <xdr:spPr>
        <a:xfrm>
          <a:off x="2706365" y="2289977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81</xdr:row>
      <xdr:rowOff>194570</xdr:rowOff>
    </xdr:from>
    <xdr:to>
      <xdr:col>3</xdr:col>
      <xdr:colOff>916476</xdr:colOff>
      <xdr:row>81</xdr:row>
      <xdr:rowOff>273398</xdr:rowOff>
    </xdr:to>
    <xdr:grpSp>
      <xdr:nvGrpSpPr>
        <xdr:cNvPr id="1249" name="hinh23">
          <a:extLst>
            <a:ext uri="{FF2B5EF4-FFF2-40B4-BE49-F238E27FC236}">
              <a16:creationId xmlns:a16="http://schemas.microsoft.com/office/drawing/2014/main" id="{0A6DC629-A025-4F15-9DFD-21B76DE83823}"/>
            </a:ext>
          </a:extLst>
        </xdr:cNvPr>
        <xdr:cNvGrpSpPr>
          <a:grpSpLocks noChangeAspect="1"/>
        </xdr:cNvGrpSpPr>
      </xdr:nvGrpSpPr>
      <xdr:grpSpPr bwMode="auto">
        <a:xfrm>
          <a:off x="2691075" y="25326963"/>
          <a:ext cx="865187" cy="78828"/>
          <a:chOff x="181" y="372"/>
          <a:chExt cx="129" cy="5"/>
        </a:xfrm>
      </xdr:grpSpPr>
      <xdr:sp macro="" textlink="">
        <xdr:nvSpPr>
          <xdr:cNvPr id="1250" name="Line 29">
            <a:extLst>
              <a:ext uri="{FF2B5EF4-FFF2-40B4-BE49-F238E27FC236}">
                <a16:creationId xmlns:a16="http://schemas.microsoft.com/office/drawing/2014/main" id="{995AB33A-2FC8-4BB2-A138-DFF9BE5084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1" name="Line 30">
            <a:extLst>
              <a:ext uri="{FF2B5EF4-FFF2-40B4-BE49-F238E27FC236}">
                <a16:creationId xmlns:a16="http://schemas.microsoft.com/office/drawing/2014/main" id="{E83E8B4F-A53B-04EF-6C39-36523D7ADDD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2" name="Line 31">
            <a:extLst>
              <a:ext uri="{FF2B5EF4-FFF2-40B4-BE49-F238E27FC236}">
                <a16:creationId xmlns:a16="http://schemas.microsoft.com/office/drawing/2014/main" id="{DAE52901-D6A7-B751-AB6C-9737532A11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3" name="Line 32">
            <a:extLst>
              <a:ext uri="{FF2B5EF4-FFF2-40B4-BE49-F238E27FC236}">
                <a16:creationId xmlns:a16="http://schemas.microsoft.com/office/drawing/2014/main" id="{B635348E-C032-FEAE-5A94-6E01E5E12C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4" name="Line 33">
            <a:extLst>
              <a:ext uri="{FF2B5EF4-FFF2-40B4-BE49-F238E27FC236}">
                <a16:creationId xmlns:a16="http://schemas.microsoft.com/office/drawing/2014/main" id="{E2D81522-7160-0849-6ACE-51736B7B916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89</xdr:row>
      <xdr:rowOff>55220</xdr:rowOff>
    </xdr:from>
    <xdr:to>
      <xdr:col>3</xdr:col>
      <xdr:colOff>1003580</xdr:colOff>
      <xdr:row>89</xdr:row>
      <xdr:rowOff>303698</xdr:rowOff>
    </xdr:to>
    <xdr:sp macro="" textlink="">
      <xdr:nvSpPr>
        <xdr:cNvPr id="1255" name="hinh15">
          <a:extLst>
            <a:ext uri="{FF2B5EF4-FFF2-40B4-BE49-F238E27FC236}">
              <a16:creationId xmlns:a16="http://schemas.microsoft.com/office/drawing/2014/main" id="{4D9B2CA5-7DE2-4AE8-B881-B51419F415E5}"/>
            </a:ext>
          </a:extLst>
        </xdr:cNvPr>
        <xdr:cNvSpPr>
          <a:spLocks noChangeAspect="1"/>
        </xdr:cNvSpPr>
      </xdr:nvSpPr>
      <xdr:spPr bwMode="auto">
        <a:xfrm rot="10800000">
          <a:off x="2732279" y="255005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85</xdr:row>
      <xdr:rowOff>61296</xdr:rowOff>
    </xdr:from>
    <xdr:to>
      <xdr:col>3</xdr:col>
      <xdr:colOff>965880</xdr:colOff>
      <xdr:row>85</xdr:row>
      <xdr:rowOff>224979</xdr:rowOff>
    </xdr:to>
    <xdr:grpSp>
      <xdr:nvGrpSpPr>
        <xdr:cNvPr id="1256" name="hinh2">
          <a:extLst>
            <a:ext uri="{FF2B5EF4-FFF2-40B4-BE49-F238E27FC236}">
              <a16:creationId xmlns:a16="http://schemas.microsoft.com/office/drawing/2014/main" id="{4B3B4D56-EF32-420B-90CE-1EF1E0418B90}"/>
            </a:ext>
          </a:extLst>
        </xdr:cNvPr>
        <xdr:cNvGrpSpPr>
          <a:grpSpLocks noChangeAspect="1"/>
        </xdr:cNvGrpSpPr>
      </xdr:nvGrpSpPr>
      <xdr:grpSpPr bwMode="auto">
        <a:xfrm>
          <a:off x="2730608" y="26445546"/>
          <a:ext cx="875058" cy="163683"/>
          <a:chOff x="206" y="86"/>
          <a:chExt cx="73" cy="16"/>
        </a:xfrm>
      </xdr:grpSpPr>
      <xdr:sp macro="" textlink="">
        <xdr:nvSpPr>
          <xdr:cNvPr id="1257" name="Line 6">
            <a:extLst>
              <a:ext uri="{FF2B5EF4-FFF2-40B4-BE49-F238E27FC236}">
                <a16:creationId xmlns:a16="http://schemas.microsoft.com/office/drawing/2014/main" id="{291300FC-0EFD-A298-B454-00696C6E74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8" name="Line 7">
            <a:extLst>
              <a:ext uri="{FF2B5EF4-FFF2-40B4-BE49-F238E27FC236}">
                <a16:creationId xmlns:a16="http://schemas.microsoft.com/office/drawing/2014/main" id="{5C93B291-AE17-6732-F171-87EBF85537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9" name="Line 8">
            <a:extLst>
              <a:ext uri="{FF2B5EF4-FFF2-40B4-BE49-F238E27FC236}">
                <a16:creationId xmlns:a16="http://schemas.microsoft.com/office/drawing/2014/main" id="{F2E7E7D4-5F9F-7D94-FA71-CE030A75DF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90</xdr:row>
      <xdr:rowOff>62196</xdr:rowOff>
    </xdr:from>
    <xdr:to>
      <xdr:col>3</xdr:col>
      <xdr:colOff>952499</xdr:colOff>
      <xdr:row>90</xdr:row>
      <xdr:rowOff>213437</xdr:rowOff>
    </xdr:to>
    <xdr:grpSp>
      <xdr:nvGrpSpPr>
        <xdr:cNvPr id="1260" name="hinh3">
          <a:extLst>
            <a:ext uri="{FF2B5EF4-FFF2-40B4-BE49-F238E27FC236}">
              <a16:creationId xmlns:a16="http://schemas.microsoft.com/office/drawing/2014/main" id="{3130F44A-87AC-4CE9-9E0C-DF8C4A0C0784}"/>
            </a:ext>
          </a:extLst>
        </xdr:cNvPr>
        <xdr:cNvGrpSpPr>
          <a:grpSpLocks noChangeAspect="1"/>
        </xdr:cNvGrpSpPr>
      </xdr:nvGrpSpPr>
      <xdr:grpSpPr bwMode="auto">
        <a:xfrm>
          <a:off x="2730574" y="28011267"/>
          <a:ext cx="861711" cy="151241"/>
          <a:chOff x="206" y="112"/>
          <a:chExt cx="73" cy="16"/>
        </a:xfrm>
      </xdr:grpSpPr>
      <xdr:sp macro="" textlink="">
        <xdr:nvSpPr>
          <xdr:cNvPr id="1261" name="Line 3">
            <a:extLst>
              <a:ext uri="{FF2B5EF4-FFF2-40B4-BE49-F238E27FC236}">
                <a16:creationId xmlns:a16="http://schemas.microsoft.com/office/drawing/2014/main" id="{04378A46-525E-A290-4121-9296686597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2" name="Line 4">
            <a:extLst>
              <a:ext uri="{FF2B5EF4-FFF2-40B4-BE49-F238E27FC236}">
                <a16:creationId xmlns:a16="http://schemas.microsoft.com/office/drawing/2014/main" id="{40AA3638-2D94-17CD-164A-CC13EB9BA2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86</xdr:row>
      <xdr:rowOff>50652</xdr:rowOff>
    </xdr:from>
    <xdr:to>
      <xdr:col>3</xdr:col>
      <xdr:colOff>962981</xdr:colOff>
      <xdr:row>86</xdr:row>
      <xdr:rowOff>214335</xdr:rowOff>
    </xdr:to>
    <xdr:grpSp>
      <xdr:nvGrpSpPr>
        <xdr:cNvPr id="1263" name="hinh2">
          <a:extLst>
            <a:ext uri="{FF2B5EF4-FFF2-40B4-BE49-F238E27FC236}">
              <a16:creationId xmlns:a16="http://schemas.microsoft.com/office/drawing/2014/main" id="{A38C3F74-F532-4252-9AC6-DFBAAF6F1F25}"/>
            </a:ext>
          </a:extLst>
        </xdr:cNvPr>
        <xdr:cNvGrpSpPr>
          <a:grpSpLocks noChangeAspect="1"/>
        </xdr:cNvGrpSpPr>
      </xdr:nvGrpSpPr>
      <xdr:grpSpPr bwMode="auto">
        <a:xfrm>
          <a:off x="2727709" y="26747866"/>
          <a:ext cx="875058" cy="163683"/>
          <a:chOff x="206" y="86"/>
          <a:chExt cx="73" cy="16"/>
        </a:xfrm>
      </xdr:grpSpPr>
      <xdr:sp macro="" textlink="">
        <xdr:nvSpPr>
          <xdr:cNvPr id="1264" name="Line 6">
            <a:extLst>
              <a:ext uri="{FF2B5EF4-FFF2-40B4-BE49-F238E27FC236}">
                <a16:creationId xmlns:a16="http://schemas.microsoft.com/office/drawing/2014/main" id="{AD88F7E4-B606-5904-8289-EF7BC7385E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5" name="Line 7">
            <a:extLst>
              <a:ext uri="{FF2B5EF4-FFF2-40B4-BE49-F238E27FC236}">
                <a16:creationId xmlns:a16="http://schemas.microsoft.com/office/drawing/2014/main" id="{011662A3-B308-F91A-8C27-5B86416D07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6" name="Line 8">
            <a:extLst>
              <a:ext uri="{FF2B5EF4-FFF2-40B4-BE49-F238E27FC236}">
                <a16:creationId xmlns:a16="http://schemas.microsoft.com/office/drawing/2014/main" id="{F1FA93E8-C5B2-C22B-5D64-9954BCE2E8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86</xdr:row>
      <xdr:rowOff>50652</xdr:rowOff>
    </xdr:from>
    <xdr:to>
      <xdr:col>3</xdr:col>
      <xdr:colOff>962981</xdr:colOff>
      <xdr:row>86</xdr:row>
      <xdr:rowOff>214335</xdr:rowOff>
    </xdr:to>
    <xdr:grpSp>
      <xdr:nvGrpSpPr>
        <xdr:cNvPr id="1267" name="hinh2">
          <a:extLst>
            <a:ext uri="{FF2B5EF4-FFF2-40B4-BE49-F238E27FC236}">
              <a16:creationId xmlns:a16="http://schemas.microsoft.com/office/drawing/2014/main" id="{77811623-0B3A-499B-B5A3-B9266BD21147}"/>
            </a:ext>
          </a:extLst>
        </xdr:cNvPr>
        <xdr:cNvGrpSpPr>
          <a:grpSpLocks noChangeAspect="1"/>
        </xdr:cNvGrpSpPr>
      </xdr:nvGrpSpPr>
      <xdr:grpSpPr bwMode="auto">
        <a:xfrm>
          <a:off x="2727709" y="26747866"/>
          <a:ext cx="875058" cy="163683"/>
          <a:chOff x="206" y="86"/>
          <a:chExt cx="73" cy="16"/>
        </a:xfrm>
      </xdr:grpSpPr>
      <xdr:sp macro="" textlink="">
        <xdr:nvSpPr>
          <xdr:cNvPr id="1268" name="Line 6">
            <a:extLst>
              <a:ext uri="{FF2B5EF4-FFF2-40B4-BE49-F238E27FC236}">
                <a16:creationId xmlns:a16="http://schemas.microsoft.com/office/drawing/2014/main" id="{9D35BA97-FF05-BEAB-D42F-3104C82DF15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9" name="Line 7">
            <a:extLst>
              <a:ext uri="{FF2B5EF4-FFF2-40B4-BE49-F238E27FC236}">
                <a16:creationId xmlns:a16="http://schemas.microsoft.com/office/drawing/2014/main" id="{DC226845-9D0B-5071-4F3A-693117F67B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0" name="Line 8">
            <a:extLst>
              <a:ext uri="{FF2B5EF4-FFF2-40B4-BE49-F238E27FC236}">
                <a16:creationId xmlns:a16="http://schemas.microsoft.com/office/drawing/2014/main" id="{8F8445E9-84CA-96F9-CDEE-229AB6CACB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87</xdr:row>
      <xdr:rowOff>271096</xdr:rowOff>
    </xdr:from>
    <xdr:to>
      <xdr:col>3</xdr:col>
      <xdr:colOff>930519</xdr:colOff>
      <xdr:row>87</xdr:row>
      <xdr:rowOff>271096</xdr:rowOff>
    </xdr:to>
    <xdr:cxnSp macro="">
      <xdr:nvCxnSpPr>
        <xdr:cNvPr id="1271" name="hinh1">
          <a:extLst>
            <a:ext uri="{FF2B5EF4-FFF2-40B4-BE49-F238E27FC236}">
              <a16:creationId xmlns:a16="http://schemas.microsoft.com/office/drawing/2014/main" id="{F3E8FFD4-4F86-4393-A9A6-5AFA757698F4}"/>
            </a:ext>
          </a:extLst>
        </xdr:cNvPr>
        <xdr:cNvCxnSpPr/>
      </xdr:nvCxnSpPr>
      <xdr:spPr>
        <a:xfrm>
          <a:off x="2706365" y="2509052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88</xdr:row>
      <xdr:rowOff>194570</xdr:rowOff>
    </xdr:from>
    <xdr:to>
      <xdr:col>3</xdr:col>
      <xdr:colOff>916476</xdr:colOff>
      <xdr:row>88</xdr:row>
      <xdr:rowOff>273398</xdr:rowOff>
    </xdr:to>
    <xdr:grpSp>
      <xdr:nvGrpSpPr>
        <xdr:cNvPr id="1272" name="hinh23">
          <a:extLst>
            <a:ext uri="{FF2B5EF4-FFF2-40B4-BE49-F238E27FC236}">
              <a16:creationId xmlns:a16="http://schemas.microsoft.com/office/drawing/2014/main" id="{65326F67-6042-4ED2-8438-9D3C57D9A90C}"/>
            </a:ext>
          </a:extLst>
        </xdr:cNvPr>
        <xdr:cNvGrpSpPr>
          <a:grpSpLocks noChangeAspect="1"/>
        </xdr:cNvGrpSpPr>
      </xdr:nvGrpSpPr>
      <xdr:grpSpPr bwMode="auto">
        <a:xfrm>
          <a:off x="2691075" y="27517713"/>
          <a:ext cx="865187" cy="78828"/>
          <a:chOff x="181" y="372"/>
          <a:chExt cx="129" cy="5"/>
        </a:xfrm>
      </xdr:grpSpPr>
      <xdr:sp macro="" textlink="">
        <xdr:nvSpPr>
          <xdr:cNvPr id="1273" name="Line 29">
            <a:extLst>
              <a:ext uri="{FF2B5EF4-FFF2-40B4-BE49-F238E27FC236}">
                <a16:creationId xmlns:a16="http://schemas.microsoft.com/office/drawing/2014/main" id="{5D3C8DDE-B7DA-B58A-6CCC-03418C53EBA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4" name="Line 30">
            <a:extLst>
              <a:ext uri="{FF2B5EF4-FFF2-40B4-BE49-F238E27FC236}">
                <a16:creationId xmlns:a16="http://schemas.microsoft.com/office/drawing/2014/main" id="{8BBBCE03-1347-3B83-5CEB-A3213E1060C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5" name="Line 31">
            <a:extLst>
              <a:ext uri="{FF2B5EF4-FFF2-40B4-BE49-F238E27FC236}">
                <a16:creationId xmlns:a16="http://schemas.microsoft.com/office/drawing/2014/main" id="{CBC8CD6E-C232-38A7-9F75-74B5FD9B36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6" name="Line 32">
            <a:extLst>
              <a:ext uri="{FF2B5EF4-FFF2-40B4-BE49-F238E27FC236}">
                <a16:creationId xmlns:a16="http://schemas.microsoft.com/office/drawing/2014/main" id="{0CE06EAB-01CA-9082-1BDA-F1D1A9378D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" name="Line 33">
            <a:extLst>
              <a:ext uri="{FF2B5EF4-FFF2-40B4-BE49-F238E27FC236}">
                <a16:creationId xmlns:a16="http://schemas.microsoft.com/office/drawing/2014/main" id="{E7E00CFC-0EDC-E436-7B90-76F59F1A4AC7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96</xdr:row>
      <xdr:rowOff>55220</xdr:rowOff>
    </xdr:from>
    <xdr:to>
      <xdr:col>3</xdr:col>
      <xdr:colOff>1003580</xdr:colOff>
      <xdr:row>96</xdr:row>
      <xdr:rowOff>303698</xdr:rowOff>
    </xdr:to>
    <xdr:sp macro="" textlink="">
      <xdr:nvSpPr>
        <xdr:cNvPr id="1278" name="hinh15">
          <a:extLst>
            <a:ext uri="{FF2B5EF4-FFF2-40B4-BE49-F238E27FC236}">
              <a16:creationId xmlns:a16="http://schemas.microsoft.com/office/drawing/2014/main" id="{F49097E6-D53C-4527-B3A3-070953B8DA39}"/>
            </a:ext>
          </a:extLst>
        </xdr:cNvPr>
        <xdr:cNvSpPr>
          <a:spLocks noChangeAspect="1"/>
        </xdr:cNvSpPr>
      </xdr:nvSpPr>
      <xdr:spPr bwMode="auto">
        <a:xfrm rot="10800000">
          <a:off x="2732279" y="2769132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92</xdr:row>
      <xdr:rowOff>61296</xdr:rowOff>
    </xdr:from>
    <xdr:to>
      <xdr:col>3</xdr:col>
      <xdr:colOff>965880</xdr:colOff>
      <xdr:row>92</xdr:row>
      <xdr:rowOff>224979</xdr:rowOff>
    </xdr:to>
    <xdr:grpSp>
      <xdr:nvGrpSpPr>
        <xdr:cNvPr id="1279" name="hinh2">
          <a:extLst>
            <a:ext uri="{FF2B5EF4-FFF2-40B4-BE49-F238E27FC236}">
              <a16:creationId xmlns:a16="http://schemas.microsoft.com/office/drawing/2014/main" id="{D7C7307A-1221-47D6-8C30-D5E9F3472EE5}"/>
            </a:ext>
          </a:extLst>
        </xdr:cNvPr>
        <xdr:cNvGrpSpPr>
          <a:grpSpLocks noChangeAspect="1"/>
        </xdr:cNvGrpSpPr>
      </xdr:nvGrpSpPr>
      <xdr:grpSpPr bwMode="auto">
        <a:xfrm>
          <a:off x="2730608" y="28636296"/>
          <a:ext cx="875058" cy="163683"/>
          <a:chOff x="206" y="86"/>
          <a:chExt cx="73" cy="16"/>
        </a:xfrm>
      </xdr:grpSpPr>
      <xdr:sp macro="" textlink="">
        <xdr:nvSpPr>
          <xdr:cNvPr id="1280" name="Line 6">
            <a:extLst>
              <a:ext uri="{FF2B5EF4-FFF2-40B4-BE49-F238E27FC236}">
                <a16:creationId xmlns:a16="http://schemas.microsoft.com/office/drawing/2014/main" id="{75E5B171-2FAB-73AA-4EFD-C831718645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1" name="Line 7">
            <a:extLst>
              <a:ext uri="{FF2B5EF4-FFF2-40B4-BE49-F238E27FC236}">
                <a16:creationId xmlns:a16="http://schemas.microsoft.com/office/drawing/2014/main" id="{7A4FB7C1-F410-9F4B-5A1F-15BF9D6D2E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2" name="Line 8">
            <a:extLst>
              <a:ext uri="{FF2B5EF4-FFF2-40B4-BE49-F238E27FC236}">
                <a16:creationId xmlns:a16="http://schemas.microsoft.com/office/drawing/2014/main" id="{3098D643-7E0B-E633-77A9-BD5281360E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97</xdr:row>
      <xdr:rowOff>62196</xdr:rowOff>
    </xdr:from>
    <xdr:to>
      <xdr:col>3</xdr:col>
      <xdr:colOff>952499</xdr:colOff>
      <xdr:row>97</xdr:row>
      <xdr:rowOff>213437</xdr:rowOff>
    </xdr:to>
    <xdr:grpSp>
      <xdr:nvGrpSpPr>
        <xdr:cNvPr id="1283" name="hinh3">
          <a:extLst>
            <a:ext uri="{FF2B5EF4-FFF2-40B4-BE49-F238E27FC236}">
              <a16:creationId xmlns:a16="http://schemas.microsoft.com/office/drawing/2014/main" id="{24591E89-B34B-4028-B923-BDA3F9A631B9}"/>
            </a:ext>
          </a:extLst>
        </xdr:cNvPr>
        <xdr:cNvGrpSpPr>
          <a:grpSpLocks noChangeAspect="1"/>
        </xdr:cNvGrpSpPr>
      </xdr:nvGrpSpPr>
      <xdr:grpSpPr bwMode="auto">
        <a:xfrm>
          <a:off x="2730574" y="30202017"/>
          <a:ext cx="861711" cy="151241"/>
          <a:chOff x="206" y="112"/>
          <a:chExt cx="73" cy="16"/>
        </a:xfrm>
      </xdr:grpSpPr>
      <xdr:sp macro="" textlink="">
        <xdr:nvSpPr>
          <xdr:cNvPr id="1284" name="Line 3">
            <a:extLst>
              <a:ext uri="{FF2B5EF4-FFF2-40B4-BE49-F238E27FC236}">
                <a16:creationId xmlns:a16="http://schemas.microsoft.com/office/drawing/2014/main" id="{C3E01C10-3E0F-1FCC-422D-C0FDADD0A1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5" name="Line 4">
            <a:extLst>
              <a:ext uri="{FF2B5EF4-FFF2-40B4-BE49-F238E27FC236}">
                <a16:creationId xmlns:a16="http://schemas.microsoft.com/office/drawing/2014/main" id="{818230AB-8E64-AB79-16CC-7F7EFD592C9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93</xdr:row>
      <xdr:rowOff>50652</xdr:rowOff>
    </xdr:from>
    <xdr:to>
      <xdr:col>3</xdr:col>
      <xdr:colOff>962981</xdr:colOff>
      <xdr:row>93</xdr:row>
      <xdr:rowOff>214335</xdr:rowOff>
    </xdr:to>
    <xdr:grpSp>
      <xdr:nvGrpSpPr>
        <xdr:cNvPr id="1286" name="hinh2">
          <a:extLst>
            <a:ext uri="{FF2B5EF4-FFF2-40B4-BE49-F238E27FC236}">
              <a16:creationId xmlns:a16="http://schemas.microsoft.com/office/drawing/2014/main" id="{D4815A52-CFBE-4709-8894-E4D2ABC7302C}"/>
            </a:ext>
          </a:extLst>
        </xdr:cNvPr>
        <xdr:cNvGrpSpPr>
          <a:grpSpLocks noChangeAspect="1"/>
        </xdr:cNvGrpSpPr>
      </xdr:nvGrpSpPr>
      <xdr:grpSpPr bwMode="auto">
        <a:xfrm>
          <a:off x="2727709" y="28938616"/>
          <a:ext cx="875058" cy="163683"/>
          <a:chOff x="206" y="86"/>
          <a:chExt cx="73" cy="16"/>
        </a:xfrm>
      </xdr:grpSpPr>
      <xdr:sp macro="" textlink="">
        <xdr:nvSpPr>
          <xdr:cNvPr id="1287" name="Line 6">
            <a:extLst>
              <a:ext uri="{FF2B5EF4-FFF2-40B4-BE49-F238E27FC236}">
                <a16:creationId xmlns:a16="http://schemas.microsoft.com/office/drawing/2014/main" id="{AA2DA4D3-E439-E830-7426-333BF289F5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8" name="Line 7">
            <a:extLst>
              <a:ext uri="{FF2B5EF4-FFF2-40B4-BE49-F238E27FC236}">
                <a16:creationId xmlns:a16="http://schemas.microsoft.com/office/drawing/2014/main" id="{F593E34C-9C66-86BB-6DD3-E3578CD76D3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9" name="Line 8">
            <a:extLst>
              <a:ext uri="{FF2B5EF4-FFF2-40B4-BE49-F238E27FC236}">
                <a16:creationId xmlns:a16="http://schemas.microsoft.com/office/drawing/2014/main" id="{632B7DF2-35E2-08B3-E5D9-6C0F92F1B4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93</xdr:row>
      <xdr:rowOff>50652</xdr:rowOff>
    </xdr:from>
    <xdr:to>
      <xdr:col>3</xdr:col>
      <xdr:colOff>962981</xdr:colOff>
      <xdr:row>93</xdr:row>
      <xdr:rowOff>214335</xdr:rowOff>
    </xdr:to>
    <xdr:grpSp>
      <xdr:nvGrpSpPr>
        <xdr:cNvPr id="1290" name="hinh2">
          <a:extLst>
            <a:ext uri="{FF2B5EF4-FFF2-40B4-BE49-F238E27FC236}">
              <a16:creationId xmlns:a16="http://schemas.microsoft.com/office/drawing/2014/main" id="{8C386732-0F2F-4749-96A4-B1CFE01BE403}"/>
            </a:ext>
          </a:extLst>
        </xdr:cNvPr>
        <xdr:cNvGrpSpPr>
          <a:grpSpLocks noChangeAspect="1"/>
        </xdr:cNvGrpSpPr>
      </xdr:nvGrpSpPr>
      <xdr:grpSpPr bwMode="auto">
        <a:xfrm>
          <a:off x="2727709" y="28938616"/>
          <a:ext cx="875058" cy="163683"/>
          <a:chOff x="206" y="86"/>
          <a:chExt cx="73" cy="16"/>
        </a:xfrm>
      </xdr:grpSpPr>
      <xdr:sp macro="" textlink="">
        <xdr:nvSpPr>
          <xdr:cNvPr id="1291" name="Line 6">
            <a:extLst>
              <a:ext uri="{FF2B5EF4-FFF2-40B4-BE49-F238E27FC236}">
                <a16:creationId xmlns:a16="http://schemas.microsoft.com/office/drawing/2014/main" id="{3756B71D-1B15-3B11-A144-CA2F5807BC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2" name="Line 7">
            <a:extLst>
              <a:ext uri="{FF2B5EF4-FFF2-40B4-BE49-F238E27FC236}">
                <a16:creationId xmlns:a16="http://schemas.microsoft.com/office/drawing/2014/main" id="{0CD49C93-F736-7388-C25E-91B3BD02CD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3" name="Line 8">
            <a:extLst>
              <a:ext uri="{FF2B5EF4-FFF2-40B4-BE49-F238E27FC236}">
                <a16:creationId xmlns:a16="http://schemas.microsoft.com/office/drawing/2014/main" id="{3DA5D3FF-8BDC-FCA6-F703-7980178BBC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94</xdr:row>
      <xdr:rowOff>271096</xdr:rowOff>
    </xdr:from>
    <xdr:to>
      <xdr:col>3</xdr:col>
      <xdr:colOff>930519</xdr:colOff>
      <xdr:row>94</xdr:row>
      <xdr:rowOff>271096</xdr:rowOff>
    </xdr:to>
    <xdr:cxnSp macro="">
      <xdr:nvCxnSpPr>
        <xdr:cNvPr id="1294" name="hinh1">
          <a:extLst>
            <a:ext uri="{FF2B5EF4-FFF2-40B4-BE49-F238E27FC236}">
              <a16:creationId xmlns:a16="http://schemas.microsoft.com/office/drawing/2014/main" id="{2FB8CC51-5807-4699-872F-63A2DFE10F92}"/>
            </a:ext>
          </a:extLst>
        </xdr:cNvPr>
        <xdr:cNvCxnSpPr/>
      </xdr:nvCxnSpPr>
      <xdr:spPr>
        <a:xfrm>
          <a:off x="2706365" y="2728127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95</xdr:row>
      <xdr:rowOff>194570</xdr:rowOff>
    </xdr:from>
    <xdr:to>
      <xdr:col>3</xdr:col>
      <xdr:colOff>916476</xdr:colOff>
      <xdr:row>95</xdr:row>
      <xdr:rowOff>273398</xdr:rowOff>
    </xdr:to>
    <xdr:grpSp>
      <xdr:nvGrpSpPr>
        <xdr:cNvPr id="1295" name="hinh23">
          <a:extLst>
            <a:ext uri="{FF2B5EF4-FFF2-40B4-BE49-F238E27FC236}">
              <a16:creationId xmlns:a16="http://schemas.microsoft.com/office/drawing/2014/main" id="{B1D53C32-C905-4914-A691-9DD1EF63ADC7}"/>
            </a:ext>
          </a:extLst>
        </xdr:cNvPr>
        <xdr:cNvGrpSpPr>
          <a:grpSpLocks noChangeAspect="1"/>
        </xdr:cNvGrpSpPr>
      </xdr:nvGrpSpPr>
      <xdr:grpSpPr bwMode="auto">
        <a:xfrm>
          <a:off x="2691075" y="29708463"/>
          <a:ext cx="865187" cy="78828"/>
          <a:chOff x="181" y="372"/>
          <a:chExt cx="129" cy="5"/>
        </a:xfrm>
      </xdr:grpSpPr>
      <xdr:sp macro="" textlink="">
        <xdr:nvSpPr>
          <xdr:cNvPr id="1296" name="Line 29">
            <a:extLst>
              <a:ext uri="{FF2B5EF4-FFF2-40B4-BE49-F238E27FC236}">
                <a16:creationId xmlns:a16="http://schemas.microsoft.com/office/drawing/2014/main" id="{94C88D31-CC12-89D3-1F0E-B7CF1F4B13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7" name="Line 30">
            <a:extLst>
              <a:ext uri="{FF2B5EF4-FFF2-40B4-BE49-F238E27FC236}">
                <a16:creationId xmlns:a16="http://schemas.microsoft.com/office/drawing/2014/main" id="{72759A34-08E2-3532-67DD-1C977CE2327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8" name="Line 31">
            <a:extLst>
              <a:ext uri="{FF2B5EF4-FFF2-40B4-BE49-F238E27FC236}">
                <a16:creationId xmlns:a16="http://schemas.microsoft.com/office/drawing/2014/main" id="{4685598F-BAE9-1F3C-76D2-2FF948B717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9" name="Line 32">
            <a:extLst>
              <a:ext uri="{FF2B5EF4-FFF2-40B4-BE49-F238E27FC236}">
                <a16:creationId xmlns:a16="http://schemas.microsoft.com/office/drawing/2014/main" id="{64BEDD0C-B123-BBC7-6736-44760E0ABB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0" name="Line 33">
            <a:extLst>
              <a:ext uri="{FF2B5EF4-FFF2-40B4-BE49-F238E27FC236}">
                <a16:creationId xmlns:a16="http://schemas.microsoft.com/office/drawing/2014/main" id="{808B4264-7813-EBA5-A44A-BBB83C26EC69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107</xdr:row>
      <xdr:rowOff>55220</xdr:rowOff>
    </xdr:from>
    <xdr:to>
      <xdr:col>3</xdr:col>
      <xdr:colOff>1003580</xdr:colOff>
      <xdr:row>107</xdr:row>
      <xdr:rowOff>303698</xdr:rowOff>
    </xdr:to>
    <xdr:sp macro="" textlink="">
      <xdr:nvSpPr>
        <xdr:cNvPr id="30" name="hinh15">
          <a:extLst>
            <a:ext uri="{FF2B5EF4-FFF2-40B4-BE49-F238E27FC236}">
              <a16:creationId xmlns:a16="http://schemas.microsoft.com/office/drawing/2014/main" id="{923995B4-1DF3-4FC7-8AB9-AFC8B0D46A3C}"/>
            </a:ext>
          </a:extLst>
        </xdr:cNvPr>
        <xdr:cNvSpPr>
          <a:spLocks noChangeAspect="1"/>
        </xdr:cNvSpPr>
      </xdr:nvSpPr>
      <xdr:spPr bwMode="auto">
        <a:xfrm rot="10800000">
          <a:off x="2732279" y="29882077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105</xdr:row>
      <xdr:rowOff>61296</xdr:rowOff>
    </xdr:from>
    <xdr:to>
      <xdr:col>3</xdr:col>
      <xdr:colOff>965880</xdr:colOff>
      <xdr:row>105</xdr:row>
      <xdr:rowOff>224979</xdr:rowOff>
    </xdr:to>
    <xdr:grpSp>
      <xdr:nvGrpSpPr>
        <xdr:cNvPr id="31" name="hinh2">
          <a:extLst>
            <a:ext uri="{FF2B5EF4-FFF2-40B4-BE49-F238E27FC236}">
              <a16:creationId xmlns:a16="http://schemas.microsoft.com/office/drawing/2014/main" id="{115F5F5E-BDF2-426D-AF7A-538712883D87}"/>
            </a:ext>
          </a:extLst>
        </xdr:cNvPr>
        <xdr:cNvGrpSpPr>
          <a:grpSpLocks noChangeAspect="1"/>
        </xdr:cNvGrpSpPr>
      </xdr:nvGrpSpPr>
      <xdr:grpSpPr bwMode="auto">
        <a:xfrm>
          <a:off x="2730608" y="32704832"/>
          <a:ext cx="875058" cy="163683"/>
          <a:chOff x="206" y="86"/>
          <a:chExt cx="73" cy="16"/>
        </a:xfrm>
      </xdr:grpSpPr>
      <xdr:sp macro="" textlink="">
        <xdr:nvSpPr>
          <xdr:cNvPr id="32" name="Line 6">
            <a:extLst>
              <a:ext uri="{FF2B5EF4-FFF2-40B4-BE49-F238E27FC236}">
                <a16:creationId xmlns:a16="http://schemas.microsoft.com/office/drawing/2014/main" id="{96371CD2-7D66-3AA1-059D-6F35C80A6E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7">
            <a:extLst>
              <a:ext uri="{FF2B5EF4-FFF2-40B4-BE49-F238E27FC236}">
                <a16:creationId xmlns:a16="http://schemas.microsoft.com/office/drawing/2014/main" id="{6AD9A144-9211-429C-3C1E-4B5C527AB81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">
            <a:extLst>
              <a:ext uri="{FF2B5EF4-FFF2-40B4-BE49-F238E27FC236}">
                <a16:creationId xmlns:a16="http://schemas.microsoft.com/office/drawing/2014/main" id="{DB0C85F6-4D4E-7EE4-734D-98B0532B3E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108</xdr:row>
      <xdr:rowOff>62196</xdr:rowOff>
    </xdr:from>
    <xdr:to>
      <xdr:col>3</xdr:col>
      <xdr:colOff>952499</xdr:colOff>
      <xdr:row>108</xdr:row>
      <xdr:rowOff>213437</xdr:rowOff>
    </xdr:to>
    <xdr:grpSp>
      <xdr:nvGrpSpPr>
        <xdr:cNvPr id="35" name="hinh3">
          <a:extLst>
            <a:ext uri="{FF2B5EF4-FFF2-40B4-BE49-F238E27FC236}">
              <a16:creationId xmlns:a16="http://schemas.microsoft.com/office/drawing/2014/main" id="{AB936FBF-3BB7-4364-A3C6-34DEEAD76DBF}"/>
            </a:ext>
          </a:extLst>
        </xdr:cNvPr>
        <xdr:cNvGrpSpPr>
          <a:grpSpLocks noChangeAspect="1"/>
        </xdr:cNvGrpSpPr>
      </xdr:nvGrpSpPr>
      <xdr:grpSpPr bwMode="auto">
        <a:xfrm>
          <a:off x="2730574" y="33644625"/>
          <a:ext cx="861711" cy="151241"/>
          <a:chOff x="206" y="112"/>
          <a:chExt cx="73" cy="16"/>
        </a:xfrm>
      </xdr:grpSpPr>
      <xdr:sp macro="" textlink="">
        <xdr:nvSpPr>
          <xdr:cNvPr id="36" name="Line 3">
            <a:extLst>
              <a:ext uri="{FF2B5EF4-FFF2-40B4-BE49-F238E27FC236}">
                <a16:creationId xmlns:a16="http://schemas.microsoft.com/office/drawing/2014/main" id="{6B9506D6-B918-342E-9665-22041B580B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">
            <a:extLst>
              <a:ext uri="{FF2B5EF4-FFF2-40B4-BE49-F238E27FC236}">
                <a16:creationId xmlns:a16="http://schemas.microsoft.com/office/drawing/2014/main" id="{89B98AC5-8B7D-AB37-8D57-F86E0506A6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106</xdr:row>
      <xdr:rowOff>50652</xdr:rowOff>
    </xdr:from>
    <xdr:to>
      <xdr:col>3</xdr:col>
      <xdr:colOff>962981</xdr:colOff>
      <xdr:row>106</xdr:row>
      <xdr:rowOff>214335</xdr:rowOff>
    </xdr:to>
    <xdr:grpSp>
      <xdr:nvGrpSpPr>
        <xdr:cNvPr id="38" name="hinh2">
          <a:extLst>
            <a:ext uri="{FF2B5EF4-FFF2-40B4-BE49-F238E27FC236}">
              <a16:creationId xmlns:a16="http://schemas.microsoft.com/office/drawing/2014/main" id="{DA75C6B6-F0CF-4A7A-A19B-A49CC93E3FEE}"/>
            </a:ext>
          </a:extLst>
        </xdr:cNvPr>
        <xdr:cNvGrpSpPr>
          <a:grpSpLocks noChangeAspect="1"/>
        </xdr:cNvGrpSpPr>
      </xdr:nvGrpSpPr>
      <xdr:grpSpPr bwMode="auto">
        <a:xfrm>
          <a:off x="2727709" y="33007152"/>
          <a:ext cx="875058" cy="163683"/>
          <a:chOff x="206" y="86"/>
          <a:chExt cx="73" cy="16"/>
        </a:xfrm>
      </xdr:grpSpPr>
      <xdr:sp macro="" textlink="">
        <xdr:nvSpPr>
          <xdr:cNvPr id="39" name="Line 6">
            <a:extLst>
              <a:ext uri="{FF2B5EF4-FFF2-40B4-BE49-F238E27FC236}">
                <a16:creationId xmlns:a16="http://schemas.microsoft.com/office/drawing/2014/main" id="{E3FEFA5D-8E7F-98E8-2E69-3B217AE637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7">
            <a:extLst>
              <a:ext uri="{FF2B5EF4-FFF2-40B4-BE49-F238E27FC236}">
                <a16:creationId xmlns:a16="http://schemas.microsoft.com/office/drawing/2014/main" id="{365B925D-9E29-0807-AF1C-68D63EDEA9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8">
            <a:extLst>
              <a:ext uri="{FF2B5EF4-FFF2-40B4-BE49-F238E27FC236}">
                <a16:creationId xmlns:a16="http://schemas.microsoft.com/office/drawing/2014/main" id="{408EFBE4-ABA9-F1B4-15EE-00186860818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106</xdr:row>
      <xdr:rowOff>50652</xdr:rowOff>
    </xdr:from>
    <xdr:to>
      <xdr:col>3</xdr:col>
      <xdr:colOff>962981</xdr:colOff>
      <xdr:row>106</xdr:row>
      <xdr:rowOff>214335</xdr:rowOff>
    </xdr:to>
    <xdr:grpSp>
      <xdr:nvGrpSpPr>
        <xdr:cNvPr id="42" name="hinh2">
          <a:extLst>
            <a:ext uri="{FF2B5EF4-FFF2-40B4-BE49-F238E27FC236}">
              <a16:creationId xmlns:a16="http://schemas.microsoft.com/office/drawing/2014/main" id="{F7FDE9F8-DA7E-4BCD-8F14-DAD382D60F98}"/>
            </a:ext>
          </a:extLst>
        </xdr:cNvPr>
        <xdr:cNvGrpSpPr>
          <a:grpSpLocks noChangeAspect="1"/>
        </xdr:cNvGrpSpPr>
      </xdr:nvGrpSpPr>
      <xdr:grpSpPr bwMode="auto">
        <a:xfrm>
          <a:off x="2727709" y="33007152"/>
          <a:ext cx="875058" cy="163683"/>
          <a:chOff x="206" y="86"/>
          <a:chExt cx="73" cy="16"/>
        </a:xfrm>
      </xdr:grpSpPr>
      <xdr:sp macro="" textlink="">
        <xdr:nvSpPr>
          <xdr:cNvPr id="43" name="Line 6">
            <a:extLst>
              <a:ext uri="{FF2B5EF4-FFF2-40B4-BE49-F238E27FC236}">
                <a16:creationId xmlns:a16="http://schemas.microsoft.com/office/drawing/2014/main" id="{E6F462E7-6049-0C6C-55DE-86D253B6D26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7">
            <a:extLst>
              <a:ext uri="{FF2B5EF4-FFF2-40B4-BE49-F238E27FC236}">
                <a16:creationId xmlns:a16="http://schemas.microsoft.com/office/drawing/2014/main" id="{27A1328A-8636-A9DA-4D89-C20CAB39CB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8">
            <a:extLst>
              <a:ext uri="{FF2B5EF4-FFF2-40B4-BE49-F238E27FC236}">
                <a16:creationId xmlns:a16="http://schemas.microsoft.com/office/drawing/2014/main" id="{0BADAEE8-A961-DAF5-37B8-F694F0E74B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92493</xdr:colOff>
      <xdr:row>102</xdr:row>
      <xdr:rowOff>55220</xdr:rowOff>
    </xdr:from>
    <xdr:to>
      <xdr:col>3</xdr:col>
      <xdr:colOff>1003580</xdr:colOff>
      <xdr:row>102</xdr:row>
      <xdr:rowOff>303698</xdr:rowOff>
    </xdr:to>
    <xdr:sp macro="" textlink="">
      <xdr:nvSpPr>
        <xdr:cNvPr id="46" name="hinh15">
          <a:extLst>
            <a:ext uri="{FF2B5EF4-FFF2-40B4-BE49-F238E27FC236}">
              <a16:creationId xmlns:a16="http://schemas.microsoft.com/office/drawing/2014/main" id="{C7AC607A-62A8-499C-A382-C45B7FA68CB0}"/>
            </a:ext>
          </a:extLst>
        </xdr:cNvPr>
        <xdr:cNvSpPr>
          <a:spLocks noChangeAspect="1"/>
        </xdr:cNvSpPr>
      </xdr:nvSpPr>
      <xdr:spPr bwMode="auto">
        <a:xfrm rot="10800000">
          <a:off x="2732279" y="33324684"/>
          <a:ext cx="911087" cy="248478"/>
        </a:xfrm>
        <a:custGeom>
          <a:avLst/>
          <a:gdLst>
            <a:gd name="T0" fmla="*/ 2147483646 w 133"/>
            <a:gd name="T1" fmla="*/ 0 h 32"/>
            <a:gd name="T2" fmla="*/ 2147483646 w 133"/>
            <a:gd name="T3" fmla="*/ 2147483646 h 32"/>
            <a:gd name="T4" fmla="*/ 2147483646 w 133"/>
            <a:gd name="T5" fmla="*/ 2147483646 h 32"/>
            <a:gd name="T6" fmla="*/ 2147483646 w 133"/>
            <a:gd name="T7" fmla="*/ 2147483646 h 32"/>
            <a:gd name="T8" fmla="*/ 2147483646 w 133"/>
            <a:gd name="T9" fmla="*/ 2147483646 h 32"/>
            <a:gd name="T10" fmla="*/ 0 w 133"/>
            <a:gd name="T11" fmla="*/ 2147483646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3"/>
            <a:gd name="T19" fmla="*/ 0 h 32"/>
            <a:gd name="T20" fmla="*/ 133 w 133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3" h="32">
              <a:moveTo>
                <a:pt x="7" y="0"/>
              </a:moveTo>
              <a:lnTo>
                <a:pt x="7" y="32"/>
              </a:lnTo>
              <a:lnTo>
                <a:pt x="133" y="32"/>
              </a:lnTo>
              <a:lnTo>
                <a:pt x="133" y="8"/>
              </a:lnTo>
              <a:lnTo>
                <a:pt x="49" y="8"/>
              </a:lnTo>
              <a:lnTo>
                <a:pt x="0" y="8"/>
              </a:lnTo>
            </a:path>
          </a:pathLst>
        </a:custGeom>
        <a:noFill/>
        <a:ln w="19050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90822</xdr:colOff>
      <xdr:row>100</xdr:row>
      <xdr:rowOff>61296</xdr:rowOff>
    </xdr:from>
    <xdr:to>
      <xdr:col>3</xdr:col>
      <xdr:colOff>965880</xdr:colOff>
      <xdr:row>100</xdr:row>
      <xdr:rowOff>224979</xdr:rowOff>
    </xdr:to>
    <xdr:grpSp>
      <xdr:nvGrpSpPr>
        <xdr:cNvPr id="47" name="hinh2">
          <a:extLst>
            <a:ext uri="{FF2B5EF4-FFF2-40B4-BE49-F238E27FC236}">
              <a16:creationId xmlns:a16="http://schemas.microsoft.com/office/drawing/2014/main" id="{8087C15C-D0E9-4205-9242-82B712813EC2}"/>
            </a:ext>
          </a:extLst>
        </xdr:cNvPr>
        <xdr:cNvGrpSpPr>
          <a:grpSpLocks noChangeAspect="1"/>
        </xdr:cNvGrpSpPr>
      </xdr:nvGrpSpPr>
      <xdr:grpSpPr bwMode="auto">
        <a:xfrm>
          <a:off x="2730608" y="31140010"/>
          <a:ext cx="875058" cy="163683"/>
          <a:chOff x="206" y="86"/>
          <a:chExt cx="73" cy="16"/>
        </a:xfrm>
      </xdr:grpSpPr>
      <xdr:sp macro="" textlink="">
        <xdr:nvSpPr>
          <xdr:cNvPr id="48" name="Line 6">
            <a:extLst>
              <a:ext uri="{FF2B5EF4-FFF2-40B4-BE49-F238E27FC236}">
                <a16:creationId xmlns:a16="http://schemas.microsoft.com/office/drawing/2014/main" id="{71673ED5-6239-A557-D985-EE72756380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7">
            <a:extLst>
              <a:ext uri="{FF2B5EF4-FFF2-40B4-BE49-F238E27FC236}">
                <a16:creationId xmlns:a16="http://schemas.microsoft.com/office/drawing/2014/main" id="{7B840BEC-0314-1AB3-2737-6B38C281539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8">
            <a:extLst>
              <a:ext uri="{FF2B5EF4-FFF2-40B4-BE49-F238E27FC236}">
                <a16:creationId xmlns:a16="http://schemas.microsoft.com/office/drawing/2014/main" id="{34678BC3-C24E-EF3F-CCA3-725DA738DE4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90788</xdr:colOff>
      <xdr:row>103</xdr:row>
      <xdr:rowOff>62196</xdr:rowOff>
    </xdr:from>
    <xdr:to>
      <xdr:col>3</xdr:col>
      <xdr:colOff>952499</xdr:colOff>
      <xdr:row>103</xdr:row>
      <xdr:rowOff>213437</xdr:rowOff>
    </xdr:to>
    <xdr:grpSp>
      <xdr:nvGrpSpPr>
        <xdr:cNvPr id="51" name="hinh3">
          <a:extLst>
            <a:ext uri="{FF2B5EF4-FFF2-40B4-BE49-F238E27FC236}">
              <a16:creationId xmlns:a16="http://schemas.microsoft.com/office/drawing/2014/main" id="{79858E8E-DA11-4C23-90F8-1AF6289C2CA6}"/>
            </a:ext>
          </a:extLst>
        </xdr:cNvPr>
        <xdr:cNvGrpSpPr>
          <a:grpSpLocks noChangeAspect="1"/>
        </xdr:cNvGrpSpPr>
      </xdr:nvGrpSpPr>
      <xdr:grpSpPr bwMode="auto">
        <a:xfrm>
          <a:off x="2730574" y="32079803"/>
          <a:ext cx="861711" cy="151241"/>
          <a:chOff x="206" y="112"/>
          <a:chExt cx="73" cy="16"/>
        </a:xfrm>
      </xdr:grpSpPr>
      <xdr:sp macro="" textlink="">
        <xdr:nvSpPr>
          <xdr:cNvPr id="52" name="Line 3">
            <a:extLst>
              <a:ext uri="{FF2B5EF4-FFF2-40B4-BE49-F238E27FC236}">
                <a16:creationId xmlns:a16="http://schemas.microsoft.com/office/drawing/2014/main" id="{96265C31-D01B-E7BE-9FD5-ADD0E2C31D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">
            <a:extLst>
              <a:ext uri="{FF2B5EF4-FFF2-40B4-BE49-F238E27FC236}">
                <a16:creationId xmlns:a16="http://schemas.microsoft.com/office/drawing/2014/main" id="{A41066C6-14FB-7958-308D-04EAF980EC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101</xdr:row>
      <xdr:rowOff>50652</xdr:rowOff>
    </xdr:from>
    <xdr:to>
      <xdr:col>3</xdr:col>
      <xdr:colOff>962981</xdr:colOff>
      <xdr:row>101</xdr:row>
      <xdr:rowOff>214335</xdr:rowOff>
    </xdr:to>
    <xdr:grpSp>
      <xdr:nvGrpSpPr>
        <xdr:cNvPr id="54" name="hinh2">
          <a:extLst>
            <a:ext uri="{FF2B5EF4-FFF2-40B4-BE49-F238E27FC236}">
              <a16:creationId xmlns:a16="http://schemas.microsoft.com/office/drawing/2014/main" id="{CD92D504-8919-4B6D-8A15-3C0433DCBA05}"/>
            </a:ext>
          </a:extLst>
        </xdr:cNvPr>
        <xdr:cNvGrpSpPr>
          <a:grpSpLocks noChangeAspect="1"/>
        </xdr:cNvGrpSpPr>
      </xdr:nvGrpSpPr>
      <xdr:grpSpPr bwMode="auto">
        <a:xfrm>
          <a:off x="2727709" y="31442331"/>
          <a:ext cx="875058" cy="163683"/>
          <a:chOff x="206" y="86"/>
          <a:chExt cx="73" cy="16"/>
        </a:xfrm>
      </xdr:grpSpPr>
      <xdr:sp macro="" textlink="">
        <xdr:nvSpPr>
          <xdr:cNvPr id="55" name="Line 6">
            <a:extLst>
              <a:ext uri="{FF2B5EF4-FFF2-40B4-BE49-F238E27FC236}">
                <a16:creationId xmlns:a16="http://schemas.microsoft.com/office/drawing/2014/main" id="{2684D095-CEC7-CADE-E605-6076DF4352D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7">
            <a:extLst>
              <a:ext uri="{FF2B5EF4-FFF2-40B4-BE49-F238E27FC236}">
                <a16:creationId xmlns:a16="http://schemas.microsoft.com/office/drawing/2014/main" id="{01AC4A2D-C22C-BD2B-63EF-33D61DB498A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8">
            <a:extLst>
              <a:ext uri="{FF2B5EF4-FFF2-40B4-BE49-F238E27FC236}">
                <a16:creationId xmlns:a16="http://schemas.microsoft.com/office/drawing/2014/main" id="{C3777DDC-58ED-9635-CFE6-9EB6E6BED7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87923</xdr:colOff>
      <xdr:row>101</xdr:row>
      <xdr:rowOff>50652</xdr:rowOff>
    </xdr:from>
    <xdr:to>
      <xdr:col>3</xdr:col>
      <xdr:colOff>962981</xdr:colOff>
      <xdr:row>101</xdr:row>
      <xdr:rowOff>214335</xdr:rowOff>
    </xdr:to>
    <xdr:grpSp>
      <xdr:nvGrpSpPr>
        <xdr:cNvPr id="58" name="hinh2">
          <a:extLst>
            <a:ext uri="{FF2B5EF4-FFF2-40B4-BE49-F238E27FC236}">
              <a16:creationId xmlns:a16="http://schemas.microsoft.com/office/drawing/2014/main" id="{04ABEFF8-3D89-4488-AA6D-726725F2D908}"/>
            </a:ext>
          </a:extLst>
        </xdr:cNvPr>
        <xdr:cNvGrpSpPr>
          <a:grpSpLocks noChangeAspect="1"/>
        </xdr:cNvGrpSpPr>
      </xdr:nvGrpSpPr>
      <xdr:grpSpPr bwMode="auto">
        <a:xfrm>
          <a:off x="2727709" y="31442331"/>
          <a:ext cx="875058" cy="163683"/>
          <a:chOff x="206" y="86"/>
          <a:chExt cx="73" cy="16"/>
        </a:xfrm>
      </xdr:grpSpPr>
      <xdr:sp macro="" textlink="">
        <xdr:nvSpPr>
          <xdr:cNvPr id="59" name="Line 6">
            <a:extLst>
              <a:ext uri="{FF2B5EF4-FFF2-40B4-BE49-F238E27FC236}">
                <a16:creationId xmlns:a16="http://schemas.microsoft.com/office/drawing/2014/main" id="{A0AF2B25-18C7-694D-5750-21F144B844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7">
            <a:extLst>
              <a:ext uri="{FF2B5EF4-FFF2-40B4-BE49-F238E27FC236}">
                <a16:creationId xmlns:a16="http://schemas.microsoft.com/office/drawing/2014/main" id="{74D526E0-FC23-8DBC-A4C5-F9DCCE2C09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8">
            <a:extLst>
              <a:ext uri="{FF2B5EF4-FFF2-40B4-BE49-F238E27FC236}">
                <a16:creationId xmlns:a16="http://schemas.microsoft.com/office/drawing/2014/main" id="{4169385D-E2E9-0D78-8277-979A46CC94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83495</xdr:colOff>
      <xdr:row>8</xdr:row>
      <xdr:rowOff>65943</xdr:rowOff>
    </xdr:from>
    <xdr:to>
      <xdr:col>3</xdr:col>
      <xdr:colOff>958553</xdr:colOff>
      <xdr:row>8</xdr:row>
      <xdr:rowOff>229626</xdr:rowOff>
    </xdr:to>
    <xdr:grpSp>
      <xdr:nvGrpSpPr>
        <xdr:cNvPr id="2" name="hinh2">
          <a:extLst>
            <a:ext uri="{FF2B5EF4-FFF2-40B4-BE49-F238E27FC236}">
              <a16:creationId xmlns:a16="http://schemas.microsoft.com/office/drawing/2014/main" id="{7D817767-00E6-47FC-8875-D90C7F3B4D1E}"/>
            </a:ext>
          </a:extLst>
        </xdr:cNvPr>
        <xdr:cNvGrpSpPr>
          <a:grpSpLocks noChangeAspect="1"/>
        </xdr:cNvGrpSpPr>
      </xdr:nvGrpSpPr>
      <xdr:grpSpPr bwMode="auto">
        <a:xfrm>
          <a:off x="2083745" y="2243086"/>
          <a:ext cx="875058" cy="163683"/>
          <a:chOff x="206" y="86"/>
          <a:chExt cx="73" cy="16"/>
        </a:xfrm>
      </xdr:grpSpPr>
      <xdr:sp macro="" textlink="">
        <xdr:nvSpPr>
          <xdr:cNvPr id="3" name="Line 6">
            <a:extLst>
              <a:ext uri="{FF2B5EF4-FFF2-40B4-BE49-F238E27FC236}">
                <a16:creationId xmlns:a16="http://schemas.microsoft.com/office/drawing/2014/main" id="{2ABB818B-799A-8FDE-006E-6EA35A4476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7">
            <a:extLst>
              <a:ext uri="{FF2B5EF4-FFF2-40B4-BE49-F238E27FC236}">
                <a16:creationId xmlns:a16="http://schemas.microsoft.com/office/drawing/2014/main" id="{D5A30367-B473-5D15-7E0A-E17CD0CAEE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8">
            <a:extLst>
              <a:ext uri="{FF2B5EF4-FFF2-40B4-BE49-F238E27FC236}">
                <a16:creationId xmlns:a16="http://schemas.microsoft.com/office/drawing/2014/main" id="{6D96588F-E6C2-0413-2D7A-B3797E7DB6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11</xdr:row>
      <xdr:rowOff>58615</xdr:rowOff>
    </xdr:from>
    <xdr:to>
      <xdr:col>3</xdr:col>
      <xdr:colOff>956961</xdr:colOff>
      <xdr:row>11</xdr:row>
      <xdr:rowOff>209856</xdr:rowOff>
    </xdr:to>
    <xdr:grpSp>
      <xdr:nvGrpSpPr>
        <xdr:cNvPr id="6" name="hinh3">
          <a:extLst>
            <a:ext uri="{FF2B5EF4-FFF2-40B4-BE49-F238E27FC236}">
              <a16:creationId xmlns:a16="http://schemas.microsoft.com/office/drawing/2014/main" id="{35849CC7-EF89-49D5-ACB3-73629EC65B66}"/>
            </a:ext>
          </a:extLst>
        </xdr:cNvPr>
        <xdr:cNvGrpSpPr>
          <a:grpSpLocks noChangeAspect="1"/>
        </xdr:cNvGrpSpPr>
      </xdr:nvGrpSpPr>
      <xdr:grpSpPr bwMode="auto">
        <a:xfrm>
          <a:off x="2095500" y="3174651"/>
          <a:ext cx="861711" cy="151241"/>
          <a:chOff x="206" y="112"/>
          <a:chExt cx="73" cy="16"/>
        </a:xfrm>
      </xdr:grpSpPr>
      <xdr:sp macro="" textlink="">
        <xdr:nvSpPr>
          <xdr:cNvPr id="7" name="Line 3">
            <a:extLst>
              <a:ext uri="{FF2B5EF4-FFF2-40B4-BE49-F238E27FC236}">
                <a16:creationId xmlns:a16="http://schemas.microsoft.com/office/drawing/2014/main" id="{842190F0-B299-64C2-18E4-AF71A5C207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">
            <a:extLst>
              <a:ext uri="{FF2B5EF4-FFF2-40B4-BE49-F238E27FC236}">
                <a16:creationId xmlns:a16="http://schemas.microsoft.com/office/drawing/2014/main" id="{D4FB0761-57BC-2D28-86E5-3B61905947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9</xdr:row>
      <xdr:rowOff>271096</xdr:rowOff>
    </xdr:from>
    <xdr:to>
      <xdr:col>3</xdr:col>
      <xdr:colOff>930519</xdr:colOff>
      <xdr:row>9</xdr:row>
      <xdr:rowOff>271096</xdr:rowOff>
    </xdr:to>
    <xdr:cxnSp macro="">
      <xdr:nvCxnSpPr>
        <xdr:cNvPr id="9" name="hinh1">
          <a:extLst>
            <a:ext uri="{FF2B5EF4-FFF2-40B4-BE49-F238E27FC236}">
              <a16:creationId xmlns:a16="http://schemas.microsoft.com/office/drawing/2014/main" id="{48B21B6B-7149-4B0F-B375-D198A4108931}"/>
            </a:ext>
          </a:extLst>
        </xdr:cNvPr>
        <xdr:cNvCxnSpPr/>
      </xdr:nvCxnSpPr>
      <xdr:spPr>
        <a:xfrm>
          <a:off x="2066829" y="2747596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10</xdr:row>
      <xdr:rowOff>194570</xdr:rowOff>
    </xdr:from>
    <xdr:to>
      <xdr:col>3</xdr:col>
      <xdr:colOff>916476</xdr:colOff>
      <xdr:row>10</xdr:row>
      <xdr:rowOff>273398</xdr:rowOff>
    </xdr:to>
    <xdr:grpSp>
      <xdr:nvGrpSpPr>
        <xdr:cNvPr id="10" name="hinh23">
          <a:extLst>
            <a:ext uri="{FF2B5EF4-FFF2-40B4-BE49-F238E27FC236}">
              <a16:creationId xmlns:a16="http://schemas.microsoft.com/office/drawing/2014/main" id="{E5C68B42-D379-4254-A63B-C369D91323D6}"/>
            </a:ext>
          </a:extLst>
        </xdr:cNvPr>
        <xdr:cNvGrpSpPr>
          <a:grpSpLocks noChangeAspect="1"/>
        </xdr:cNvGrpSpPr>
      </xdr:nvGrpSpPr>
      <xdr:grpSpPr bwMode="auto">
        <a:xfrm>
          <a:off x="2051539" y="2997641"/>
          <a:ext cx="865187" cy="78828"/>
          <a:chOff x="181" y="372"/>
          <a:chExt cx="129" cy="5"/>
        </a:xfrm>
      </xdr:grpSpPr>
      <xdr:sp macro="" textlink="">
        <xdr:nvSpPr>
          <xdr:cNvPr id="11" name="Line 29">
            <a:extLst>
              <a:ext uri="{FF2B5EF4-FFF2-40B4-BE49-F238E27FC236}">
                <a16:creationId xmlns:a16="http://schemas.microsoft.com/office/drawing/2014/main" id="{3151BD5D-1763-16AA-9621-FD820C7899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0">
            <a:extLst>
              <a:ext uri="{FF2B5EF4-FFF2-40B4-BE49-F238E27FC236}">
                <a16:creationId xmlns:a16="http://schemas.microsoft.com/office/drawing/2014/main" id="{A1F34AC1-F3E0-F9A4-3B84-1E7600572ECA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>
            <a:extLst>
              <a:ext uri="{FF2B5EF4-FFF2-40B4-BE49-F238E27FC236}">
                <a16:creationId xmlns:a16="http://schemas.microsoft.com/office/drawing/2014/main" id="{9CB6DB7F-1D6F-101C-2354-06AEAAA22F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>
            <a:extLst>
              <a:ext uri="{FF2B5EF4-FFF2-40B4-BE49-F238E27FC236}">
                <a16:creationId xmlns:a16="http://schemas.microsoft.com/office/drawing/2014/main" id="{04B3C4A5-F60A-E59B-2576-B8079B0C98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>
            <a:extLst>
              <a:ext uri="{FF2B5EF4-FFF2-40B4-BE49-F238E27FC236}">
                <a16:creationId xmlns:a16="http://schemas.microsoft.com/office/drawing/2014/main" id="{3090D20D-542B-3DD1-8DA9-791AB2BC26ED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13</xdr:row>
      <xdr:rowOff>65943</xdr:rowOff>
    </xdr:from>
    <xdr:to>
      <xdr:col>3</xdr:col>
      <xdr:colOff>958553</xdr:colOff>
      <xdr:row>13</xdr:row>
      <xdr:rowOff>229626</xdr:rowOff>
    </xdr:to>
    <xdr:grpSp>
      <xdr:nvGrpSpPr>
        <xdr:cNvPr id="506" name="hinh2">
          <a:extLst>
            <a:ext uri="{FF2B5EF4-FFF2-40B4-BE49-F238E27FC236}">
              <a16:creationId xmlns:a16="http://schemas.microsoft.com/office/drawing/2014/main" id="{1FF7AC95-70CF-433C-9737-D986276515FA}"/>
            </a:ext>
          </a:extLst>
        </xdr:cNvPr>
        <xdr:cNvGrpSpPr>
          <a:grpSpLocks noChangeAspect="1"/>
        </xdr:cNvGrpSpPr>
      </xdr:nvGrpSpPr>
      <xdr:grpSpPr bwMode="auto">
        <a:xfrm>
          <a:off x="2083745" y="3699050"/>
          <a:ext cx="875058" cy="163683"/>
          <a:chOff x="206" y="86"/>
          <a:chExt cx="73" cy="16"/>
        </a:xfrm>
      </xdr:grpSpPr>
      <xdr:sp macro="" textlink="">
        <xdr:nvSpPr>
          <xdr:cNvPr id="507" name="Line 6">
            <a:extLst>
              <a:ext uri="{FF2B5EF4-FFF2-40B4-BE49-F238E27FC236}">
                <a16:creationId xmlns:a16="http://schemas.microsoft.com/office/drawing/2014/main" id="{3BCE2E4C-E094-6FF3-97F8-8720423254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" name="Line 7">
            <a:extLst>
              <a:ext uri="{FF2B5EF4-FFF2-40B4-BE49-F238E27FC236}">
                <a16:creationId xmlns:a16="http://schemas.microsoft.com/office/drawing/2014/main" id="{A53DB31E-DF36-371A-B2F6-88A39003495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" name="Line 8">
            <a:extLst>
              <a:ext uri="{FF2B5EF4-FFF2-40B4-BE49-F238E27FC236}">
                <a16:creationId xmlns:a16="http://schemas.microsoft.com/office/drawing/2014/main" id="{BD7F539E-6DAE-39A1-B649-5EA4AD421E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16</xdr:row>
      <xdr:rowOff>58615</xdr:rowOff>
    </xdr:from>
    <xdr:to>
      <xdr:col>3</xdr:col>
      <xdr:colOff>956961</xdr:colOff>
      <xdr:row>16</xdr:row>
      <xdr:rowOff>209856</xdr:rowOff>
    </xdr:to>
    <xdr:grpSp>
      <xdr:nvGrpSpPr>
        <xdr:cNvPr id="510" name="hinh3">
          <a:extLst>
            <a:ext uri="{FF2B5EF4-FFF2-40B4-BE49-F238E27FC236}">
              <a16:creationId xmlns:a16="http://schemas.microsoft.com/office/drawing/2014/main" id="{D0691023-1452-4A45-A744-6154F57B3A31}"/>
            </a:ext>
          </a:extLst>
        </xdr:cNvPr>
        <xdr:cNvGrpSpPr>
          <a:grpSpLocks noChangeAspect="1"/>
        </xdr:cNvGrpSpPr>
      </xdr:nvGrpSpPr>
      <xdr:grpSpPr bwMode="auto">
        <a:xfrm>
          <a:off x="2095500" y="4630615"/>
          <a:ext cx="861711" cy="151241"/>
          <a:chOff x="206" y="112"/>
          <a:chExt cx="73" cy="16"/>
        </a:xfrm>
      </xdr:grpSpPr>
      <xdr:sp macro="" textlink="">
        <xdr:nvSpPr>
          <xdr:cNvPr id="511" name="Line 3">
            <a:extLst>
              <a:ext uri="{FF2B5EF4-FFF2-40B4-BE49-F238E27FC236}">
                <a16:creationId xmlns:a16="http://schemas.microsoft.com/office/drawing/2014/main" id="{57C7C16C-3428-D25A-3B2C-3988FF56CAB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4">
            <a:extLst>
              <a:ext uri="{FF2B5EF4-FFF2-40B4-BE49-F238E27FC236}">
                <a16:creationId xmlns:a16="http://schemas.microsoft.com/office/drawing/2014/main" id="{DABE58F7-7462-52AE-9EFF-7FB051326A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14</xdr:row>
      <xdr:rowOff>271096</xdr:rowOff>
    </xdr:from>
    <xdr:to>
      <xdr:col>3</xdr:col>
      <xdr:colOff>930519</xdr:colOff>
      <xdr:row>14</xdr:row>
      <xdr:rowOff>271096</xdr:rowOff>
    </xdr:to>
    <xdr:cxnSp macro="">
      <xdr:nvCxnSpPr>
        <xdr:cNvPr id="513" name="hinh1">
          <a:extLst>
            <a:ext uri="{FF2B5EF4-FFF2-40B4-BE49-F238E27FC236}">
              <a16:creationId xmlns:a16="http://schemas.microsoft.com/office/drawing/2014/main" id="{7674E7FD-032A-4C26-B1A4-188F6E27C84A}"/>
            </a:ext>
          </a:extLst>
        </xdr:cNvPr>
        <xdr:cNvCxnSpPr/>
      </xdr:nvCxnSpPr>
      <xdr:spPr>
        <a:xfrm>
          <a:off x="2066829" y="2761203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15</xdr:row>
      <xdr:rowOff>194570</xdr:rowOff>
    </xdr:from>
    <xdr:to>
      <xdr:col>3</xdr:col>
      <xdr:colOff>916476</xdr:colOff>
      <xdr:row>15</xdr:row>
      <xdr:rowOff>273398</xdr:rowOff>
    </xdr:to>
    <xdr:grpSp>
      <xdr:nvGrpSpPr>
        <xdr:cNvPr id="514" name="hinh23">
          <a:extLst>
            <a:ext uri="{FF2B5EF4-FFF2-40B4-BE49-F238E27FC236}">
              <a16:creationId xmlns:a16="http://schemas.microsoft.com/office/drawing/2014/main" id="{219971C0-C644-4FE2-A080-A4D110836DFB}"/>
            </a:ext>
          </a:extLst>
        </xdr:cNvPr>
        <xdr:cNvGrpSpPr>
          <a:grpSpLocks noChangeAspect="1"/>
        </xdr:cNvGrpSpPr>
      </xdr:nvGrpSpPr>
      <xdr:grpSpPr bwMode="auto">
        <a:xfrm>
          <a:off x="2051539" y="4453606"/>
          <a:ext cx="865187" cy="78828"/>
          <a:chOff x="181" y="372"/>
          <a:chExt cx="129" cy="5"/>
        </a:xfrm>
      </xdr:grpSpPr>
      <xdr:sp macro="" textlink="">
        <xdr:nvSpPr>
          <xdr:cNvPr id="515" name="Line 29">
            <a:extLst>
              <a:ext uri="{FF2B5EF4-FFF2-40B4-BE49-F238E27FC236}">
                <a16:creationId xmlns:a16="http://schemas.microsoft.com/office/drawing/2014/main" id="{F036D9E9-D3EB-5AFD-B62F-A53B26FCCA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6" name="Line 30">
            <a:extLst>
              <a:ext uri="{FF2B5EF4-FFF2-40B4-BE49-F238E27FC236}">
                <a16:creationId xmlns:a16="http://schemas.microsoft.com/office/drawing/2014/main" id="{A66B6A1A-8362-033A-C27D-CB5301FE986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7" name="Line 31">
            <a:extLst>
              <a:ext uri="{FF2B5EF4-FFF2-40B4-BE49-F238E27FC236}">
                <a16:creationId xmlns:a16="http://schemas.microsoft.com/office/drawing/2014/main" id="{81425D03-0360-826C-ECAE-E1240BBBA0A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8" name="Line 32">
            <a:extLst>
              <a:ext uri="{FF2B5EF4-FFF2-40B4-BE49-F238E27FC236}">
                <a16:creationId xmlns:a16="http://schemas.microsoft.com/office/drawing/2014/main" id="{D2442A0B-BAF2-438C-9A1E-32CBFA778F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9" name="Line 33">
            <a:extLst>
              <a:ext uri="{FF2B5EF4-FFF2-40B4-BE49-F238E27FC236}">
                <a16:creationId xmlns:a16="http://schemas.microsoft.com/office/drawing/2014/main" id="{9858F393-8733-7C8D-C5B7-FD9EBAF74DA2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18</xdr:row>
      <xdr:rowOff>65943</xdr:rowOff>
    </xdr:from>
    <xdr:to>
      <xdr:col>3</xdr:col>
      <xdr:colOff>958553</xdr:colOff>
      <xdr:row>18</xdr:row>
      <xdr:rowOff>229626</xdr:rowOff>
    </xdr:to>
    <xdr:grpSp>
      <xdr:nvGrpSpPr>
        <xdr:cNvPr id="520" name="hinh2">
          <a:extLst>
            <a:ext uri="{FF2B5EF4-FFF2-40B4-BE49-F238E27FC236}">
              <a16:creationId xmlns:a16="http://schemas.microsoft.com/office/drawing/2014/main" id="{D31E21E2-264F-4365-975B-C8C9F13DBC77}"/>
            </a:ext>
          </a:extLst>
        </xdr:cNvPr>
        <xdr:cNvGrpSpPr>
          <a:grpSpLocks noChangeAspect="1"/>
        </xdr:cNvGrpSpPr>
      </xdr:nvGrpSpPr>
      <xdr:grpSpPr bwMode="auto">
        <a:xfrm>
          <a:off x="2083745" y="5155014"/>
          <a:ext cx="875058" cy="163683"/>
          <a:chOff x="206" y="86"/>
          <a:chExt cx="73" cy="16"/>
        </a:xfrm>
      </xdr:grpSpPr>
      <xdr:sp macro="" textlink="">
        <xdr:nvSpPr>
          <xdr:cNvPr id="521" name="Line 6">
            <a:extLst>
              <a:ext uri="{FF2B5EF4-FFF2-40B4-BE49-F238E27FC236}">
                <a16:creationId xmlns:a16="http://schemas.microsoft.com/office/drawing/2014/main" id="{B3F7F59F-0E1D-2611-BA72-429DBA6B537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2" name="Line 7">
            <a:extLst>
              <a:ext uri="{FF2B5EF4-FFF2-40B4-BE49-F238E27FC236}">
                <a16:creationId xmlns:a16="http://schemas.microsoft.com/office/drawing/2014/main" id="{29E53D08-9940-0DB6-D53F-417FBBB2A1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3" name="Line 8">
            <a:extLst>
              <a:ext uri="{FF2B5EF4-FFF2-40B4-BE49-F238E27FC236}">
                <a16:creationId xmlns:a16="http://schemas.microsoft.com/office/drawing/2014/main" id="{F78FC281-CB51-09D1-4B62-0499F752373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21</xdr:row>
      <xdr:rowOff>58615</xdr:rowOff>
    </xdr:from>
    <xdr:to>
      <xdr:col>3</xdr:col>
      <xdr:colOff>956961</xdr:colOff>
      <xdr:row>21</xdr:row>
      <xdr:rowOff>209856</xdr:rowOff>
    </xdr:to>
    <xdr:grpSp>
      <xdr:nvGrpSpPr>
        <xdr:cNvPr id="524" name="hinh3">
          <a:extLst>
            <a:ext uri="{FF2B5EF4-FFF2-40B4-BE49-F238E27FC236}">
              <a16:creationId xmlns:a16="http://schemas.microsoft.com/office/drawing/2014/main" id="{37375613-8ADF-4964-B15E-0030F2723770}"/>
            </a:ext>
          </a:extLst>
        </xdr:cNvPr>
        <xdr:cNvGrpSpPr>
          <a:grpSpLocks noChangeAspect="1"/>
        </xdr:cNvGrpSpPr>
      </xdr:nvGrpSpPr>
      <xdr:grpSpPr bwMode="auto">
        <a:xfrm>
          <a:off x="2095500" y="6086579"/>
          <a:ext cx="861711" cy="151241"/>
          <a:chOff x="206" y="112"/>
          <a:chExt cx="73" cy="16"/>
        </a:xfrm>
      </xdr:grpSpPr>
      <xdr:sp macro="" textlink="">
        <xdr:nvSpPr>
          <xdr:cNvPr id="525" name="Line 3">
            <a:extLst>
              <a:ext uri="{FF2B5EF4-FFF2-40B4-BE49-F238E27FC236}">
                <a16:creationId xmlns:a16="http://schemas.microsoft.com/office/drawing/2014/main" id="{EB9CF546-42E6-14D7-3C30-AAB779F44D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6" name="Line 4">
            <a:extLst>
              <a:ext uri="{FF2B5EF4-FFF2-40B4-BE49-F238E27FC236}">
                <a16:creationId xmlns:a16="http://schemas.microsoft.com/office/drawing/2014/main" id="{C74C6C70-FE81-3F06-B669-49AAE45465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19</xdr:row>
      <xdr:rowOff>271096</xdr:rowOff>
    </xdr:from>
    <xdr:to>
      <xdr:col>3</xdr:col>
      <xdr:colOff>930519</xdr:colOff>
      <xdr:row>19</xdr:row>
      <xdr:rowOff>271096</xdr:rowOff>
    </xdr:to>
    <xdr:cxnSp macro="">
      <xdr:nvCxnSpPr>
        <xdr:cNvPr id="527" name="hinh1">
          <a:extLst>
            <a:ext uri="{FF2B5EF4-FFF2-40B4-BE49-F238E27FC236}">
              <a16:creationId xmlns:a16="http://schemas.microsoft.com/office/drawing/2014/main" id="{D5AF5AF5-1036-4BCE-8C5C-258B759C6265}"/>
            </a:ext>
          </a:extLst>
        </xdr:cNvPr>
        <xdr:cNvCxnSpPr/>
      </xdr:nvCxnSpPr>
      <xdr:spPr>
        <a:xfrm>
          <a:off x="2066829" y="4217167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20</xdr:row>
      <xdr:rowOff>194570</xdr:rowOff>
    </xdr:from>
    <xdr:to>
      <xdr:col>3</xdr:col>
      <xdr:colOff>916476</xdr:colOff>
      <xdr:row>20</xdr:row>
      <xdr:rowOff>273398</xdr:rowOff>
    </xdr:to>
    <xdr:grpSp>
      <xdr:nvGrpSpPr>
        <xdr:cNvPr id="528" name="hinh23">
          <a:extLst>
            <a:ext uri="{FF2B5EF4-FFF2-40B4-BE49-F238E27FC236}">
              <a16:creationId xmlns:a16="http://schemas.microsoft.com/office/drawing/2014/main" id="{C9568DC7-7630-4108-BF3D-39D7706BB2A3}"/>
            </a:ext>
          </a:extLst>
        </xdr:cNvPr>
        <xdr:cNvGrpSpPr>
          <a:grpSpLocks noChangeAspect="1"/>
        </xdr:cNvGrpSpPr>
      </xdr:nvGrpSpPr>
      <xdr:grpSpPr bwMode="auto">
        <a:xfrm>
          <a:off x="2051539" y="5909570"/>
          <a:ext cx="865187" cy="78828"/>
          <a:chOff x="181" y="372"/>
          <a:chExt cx="129" cy="5"/>
        </a:xfrm>
      </xdr:grpSpPr>
      <xdr:sp macro="" textlink="">
        <xdr:nvSpPr>
          <xdr:cNvPr id="529" name="Line 29">
            <a:extLst>
              <a:ext uri="{FF2B5EF4-FFF2-40B4-BE49-F238E27FC236}">
                <a16:creationId xmlns:a16="http://schemas.microsoft.com/office/drawing/2014/main" id="{8576B7BF-E8E0-4514-3F66-12BE03219A9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" name="Line 30">
            <a:extLst>
              <a:ext uri="{FF2B5EF4-FFF2-40B4-BE49-F238E27FC236}">
                <a16:creationId xmlns:a16="http://schemas.microsoft.com/office/drawing/2014/main" id="{38999708-A9AB-114F-FEDB-9367615EA51B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" name="Line 31">
            <a:extLst>
              <a:ext uri="{FF2B5EF4-FFF2-40B4-BE49-F238E27FC236}">
                <a16:creationId xmlns:a16="http://schemas.microsoft.com/office/drawing/2014/main" id="{4BB5322A-384D-361A-62DE-780E047DE7C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" name="Line 32">
            <a:extLst>
              <a:ext uri="{FF2B5EF4-FFF2-40B4-BE49-F238E27FC236}">
                <a16:creationId xmlns:a16="http://schemas.microsoft.com/office/drawing/2014/main" id="{D72DC921-A535-5F76-AA34-A7F76AC8AF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" name="Line 33">
            <a:extLst>
              <a:ext uri="{FF2B5EF4-FFF2-40B4-BE49-F238E27FC236}">
                <a16:creationId xmlns:a16="http://schemas.microsoft.com/office/drawing/2014/main" id="{79A91D82-CFE2-682B-18D4-B3705D9F7BE3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23</xdr:row>
      <xdr:rowOff>65943</xdr:rowOff>
    </xdr:from>
    <xdr:to>
      <xdr:col>3</xdr:col>
      <xdr:colOff>958553</xdr:colOff>
      <xdr:row>23</xdr:row>
      <xdr:rowOff>229626</xdr:rowOff>
    </xdr:to>
    <xdr:grpSp>
      <xdr:nvGrpSpPr>
        <xdr:cNvPr id="534" name="hinh2">
          <a:extLst>
            <a:ext uri="{FF2B5EF4-FFF2-40B4-BE49-F238E27FC236}">
              <a16:creationId xmlns:a16="http://schemas.microsoft.com/office/drawing/2014/main" id="{2E1E0B44-D9DA-4266-9D2E-D3F8537BB28D}"/>
            </a:ext>
          </a:extLst>
        </xdr:cNvPr>
        <xdr:cNvGrpSpPr>
          <a:grpSpLocks noChangeAspect="1"/>
        </xdr:cNvGrpSpPr>
      </xdr:nvGrpSpPr>
      <xdr:grpSpPr bwMode="auto">
        <a:xfrm>
          <a:off x="2083745" y="6610979"/>
          <a:ext cx="875058" cy="163683"/>
          <a:chOff x="206" y="86"/>
          <a:chExt cx="73" cy="16"/>
        </a:xfrm>
      </xdr:grpSpPr>
      <xdr:sp macro="" textlink="">
        <xdr:nvSpPr>
          <xdr:cNvPr id="535" name="Line 6">
            <a:extLst>
              <a:ext uri="{FF2B5EF4-FFF2-40B4-BE49-F238E27FC236}">
                <a16:creationId xmlns:a16="http://schemas.microsoft.com/office/drawing/2014/main" id="{8B8C66DC-CFF8-5F5F-C74E-6DDC735BE8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6" name="Line 7">
            <a:extLst>
              <a:ext uri="{FF2B5EF4-FFF2-40B4-BE49-F238E27FC236}">
                <a16:creationId xmlns:a16="http://schemas.microsoft.com/office/drawing/2014/main" id="{7ACF0841-AF15-12FC-BB7F-E450026321C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7" name="Line 8">
            <a:extLst>
              <a:ext uri="{FF2B5EF4-FFF2-40B4-BE49-F238E27FC236}">
                <a16:creationId xmlns:a16="http://schemas.microsoft.com/office/drawing/2014/main" id="{3F3E6B1C-790B-DE87-4AF8-B8DFF548F15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27</xdr:row>
      <xdr:rowOff>58615</xdr:rowOff>
    </xdr:from>
    <xdr:to>
      <xdr:col>3</xdr:col>
      <xdr:colOff>956961</xdr:colOff>
      <xdr:row>27</xdr:row>
      <xdr:rowOff>209856</xdr:rowOff>
    </xdr:to>
    <xdr:grpSp>
      <xdr:nvGrpSpPr>
        <xdr:cNvPr id="538" name="hinh3">
          <a:extLst>
            <a:ext uri="{FF2B5EF4-FFF2-40B4-BE49-F238E27FC236}">
              <a16:creationId xmlns:a16="http://schemas.microsoft.com/office/drawing/2014/main" id="{A233892A-BA39-4401-9986-51C415CD9D95}"/>
            </a:ext>
          </a:extLst>
        </xdr:cNvPr>
        <xdr:cNvGrpSpPr>
          <a:grpSpLocks noChangeAspect="1"/>
        </xdr:cNvGrpSpPr>
      </xdr:nvGrpSpPr>
      <xdr:grpSpPr bwMode="auto">
        <a:xfrm>
          <a:off x="2095500" y="7855508"/>
          <a:ext cx="861711" cy="151241"/>
          <a:chOff x="206" y="112"/>
          <a:chExt cx="73" cy="16"/>
        </a:xfrm>
      </xdr:grpSpPr>
      <xdr:sp macro="" textlink="">
        <xdr:nvSpPr>
          <xdr:cNvPr id="539" name="Line 3">
            <a:extLst>
              <a:ext uri="{FF2B5EF4-FFF2-40B4-BE49-F238E27FC236}">
                <a16:creationId xmlns:a16="http://schemas.microsoft.com/office/drawing/2014/main" id="{03426F12-54C1-4584-164A-2B0268198B6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0" name="Line 4">
            <a:extLst>
              <a:ext uri="{FF2B5EF4-FFF2-40B4-BE49-F238E27FC236}">
                <a16:creationId xmlns:a16="http://schemas.microsoft.com/office/drawing/2014/main" id="{E709512B-9093-09FF-0161-9F511F5C25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25</xdr:row>
      <xdr:rowOff>271096</xdr:rowOff>
    </xdr:from>
    <xdr:to>
      <xdr:col>3</xdr:col>
      <xdr:colOff>930519</xdr:colOff>
      <xdr:row>25</xdr:row>
      <xdr:rowOff>271096</xdr:rowOff>
    </xdr:to>
    <xdr:cxnSp macro="">
      <xdr:nvCxnSpPr>
        <xdr:cNvPr id="541" name="hinh1">
          <a:extLst>
            <a:ext uri="{FF2B5EF4-FFF2-40B4-BE49-F238E27FC236}">
              <a16:creationId xmlns:a16="http://schemas.microsoft.com/office/drawing/2014/main" id="{E0213F39-733F-4ED7-AAA4-666CD3FC75F5}"/>
            </a:ext>
          </a:extLst>
        </xdr:cNvPr>
        <xdr:cNvCxnSpPr/>
      </xdr:nvCxnSpPr>
      <xdr:spPr>
        <a:xfrm>
          <a:off x="2066829" y="567313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26</xdr:row>
      <xdr:rowOff>194570</xdr:rowOff>
    </xdr:from>
    <xdr:to>
      <xdr:col>3</xdr:col>
      <xdr:colOff>916476</xdr:colOff>
      <xdr:row>26</xdr:row>
      <xdr:rowOff>273398</xdr:rowOff>
    </xdr:to>
    <xdr:grpSp>
      <xdr:nvGrpSpPr>
        <xdr:cNvPr id="542" name="hinh23">
          <a:extLst>
            <a:ext uri="{FF2B5EF4-FFF2-40B4-BE49-F238E27FC236}">
              <a16:creationId xmlns:a16="http://schemas.microsoft.com/office/drawing/2014/main" id="{3E1F6749-3582-4316-B4EA-2CBA18B4552D}"/>
            </a:ext>
          </a:extLst>
        </xdr:cNvPr>
        <xdr:cNvGrpSpPr>
          <a:grpSpLocks noChangeAspect="1"/>
        </xdr:cNvGrpSpPr>
      </xdr:nvGrpSpPr>
      <xdr:grpSpPr bwMode="auto">
        <a:xfrm>
          <a:off x="2051539" y="7678499"/>
          <a:ext cx="865187" cy="78828"/>
          <a:chOff x="181" y="372"/>
          <a:chExt cx="129" cy="5"/>
        </a:xfrm>
      </xdr:grpSpPr>
      <xdr:sp macro="" textlink="">
        <xdr:nvSpPr>
          <xdr:cNvPr id="543" name="Line 29">
            <a:extLst>
              <a:ext uri="{FF2B5EF4-FFF2-40B4-BE49-F238E27FC236}">
                <a16:creationId xmlns:a16="http://schemas.microsoft.com/office/drawing/2014/main" id="{C062838A-0401-67C0-2D84-78C7CCDCA16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4" name="Line 30">
            <a:extLst>
              <a:ext uri="{FF2B5EF4-FFF2-40B4-BE49-F238E27FC236}">
                <a16:creationId xmlns:a16="http://schemas.microsoft.com/office/drawing/2014/main" id="{6097C248-5608-5B44-ECA1-F31D07866DFE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5" name="Line 31">
            <a:extLst>
              <a:ext uri="{FF2B5EF4-FFF2-40B4-BE49-F238E27FC236}">
                <a16:creationId xmlns:a16="http://schemas.microsoft.com/office/drawing/2014/main" id="{A0CA442A-4B11-BE25-FC90-B34B32DAB7D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6" name="Line 32">
            <a:extLst>
              <a:ext uri="{FF2B5EF4-FFF2-40B4-BE49-F238E27FC236}">
                <a16:creationId xmlns:a16="http://schemas.microsoft.com/office/drawing/2014/main" id="{9332B664-E827-DEFA-6475-0E88457880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7" name="Line 33">
            <a:extLst>
              <a:ext uri="{FF2B5EF4-FFF2-40B4-BE49-F238E27FC236}">
                <a16:creationId xmlns:a16="http://schemas.microsoft.com/office/drawing/2014/main" id="{CF29E613-7777-164B-F150-BBF15D338F8F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24</xdr:row>
      <xdr:rowOff>65943</xdr:rowOff>
    </xdr:from>
    <xdr:to>
      <xdr:col>3</xdr:col>
      <xdr:colOff>958553</xdr:colOff>
      <xdr:row>24</xdr:row>
      <xdr:rowOff>229626</xdr:rowOff>
    </xdr:to>
    <xdr:grpSp>
      <xdr:nvGrpSpPr>
        <xdr:cNvPr id="548" name="hinh2">
          <a:extLst>
            <a:ext uri="{FF2B5EF4-FFF2-40B4-BE49-F238E27FC236}">
              <a16:creationId xmlns:a16="http://schemas.microsoft.com/office/drawing/2014/main" id="{DB3FFF9F-DF42-4E26-9167-78588DAD9EE4}"/>
            </a:ext>
          </a:extLst>
        </xdr:cNvPr>
        <xdr:cNvGrpSpPr>
          <a:grpSpLocks noChangeAspect="1"/>
        </xdr:cNvGrpSpPr>
      </xdr:nvGrpSpPr>
      <xdr:grpSpPr bwMode="auto">
        <a:xfrm>
          <a:off x="2083745" y="6923943"/>
          <a:ext cx="875058" cy="163683"/>
          <a:chOff x="206" y="86"/>
          <a:chExt cx="73" cy="16"/>
        </a:xfrm>
      </xdr:grpSpPr>
      <xdr:sp macro="" textlink="">
        <xdr:nvSpPr>
          <xdr:cNvPr id="549" name="Line 6">
            <a:extLst>
              <a:ext uri="{FF2B5EF4-FFF2-40B4-BE49-F238E27FC236}">
                <a16:creationId xmlns:a16="http://schemas.microsoft.com/office/drawing/2014/main" id="{9FCD7C22-229D-0621-7F8F-A2681486C2E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0" name="Line 7">
            <a:extLst>
              <a:ext uri="{FF2B5EF4-FFF2-40B4-BE49-F238E27FC236}">
                <a16:creationId xmlns:a16="http://schemas.microsoft.com/office/drawing/2014/main" id="{288198F4-0731-76FC-F1C1-162F54175B4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1" name="Line 8">
            <a:extLst>
              <a:ext uri="{FF2B5EF4-FFF2-40B4-BE49-F238E27FC236}">
                <a16:creationId xmlns:a16="http://schemas.microsoft.com/office/drawing/2014/main" id="{6A2D4FF7-E311-A7CF-4D7E-B520232ACF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29</xdr:row>
      <xdr:rowOff>65943</xdr:rowOff>
    </xdr:from>
    <xdr:to>
      <xdr:col>3</xdr:col>
      <xdr:colOff>958553</xdr:colOff>
      <xdr:row>29</xdr:row>
      <xdr:rowOff>229626</xdr:rowOff>
    </xdr:to>
    <xdr:grpSp>
      <xdr:nvGrpSpPr>
        <xdr:cNvPr id="552" name="hinh2">
          <a:extLst>
            <a:ext uri="{FF2B5EF4-FFF2-40B4-BE49-F238E27FC236}">
              <a16:creationId xmlns:a16="http://schemas.microsoft.com/office/drawing/2014/main" id="{26287ABC-D3E4-4883-9CA0-9EFDE1E2B36F}"/>
            </a:ext>
          </a:extLst>
        </xdr:cNvPr>
        <xdr:cNvGrpSpPr>
          <a:grpSpLocks noChangeAspect="1"/>
        </xdr:cNvGrpSpPr>
      </xdr:nvGrpSpPr>
      <xdr:grpSpPr bwMode="auto">
        <a:xfrm>
          <a:off x="2083745" y="8379907"/>
          <a:ext cx="875058" cy="163683"/>
          <a:chOff x="206" y="86"/>
          <a:chExt cx="73" cy="16"/>
        </a:xfrm>
      </xdr:grpSpPr>
      <xdr:sp macro="" textlink="">
        <xdr:nvSpPr>
          <xdr:cNvPr id="553" name="Line 6">
            <a:extLst>
              <a:ext uri="{FF2B5EF4-FFF2-40B4-BE49-F238E27FC236}">
                <a16:creationId xmlns:a16="http://schemas.microsoft.com/office/drawing/2014/main" id="{E6412DAF-7D4F-0447-D4A6-751925C8A7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" name="Line 7">
            <a:extLst>
              <a:ext uri="{FF2B5EF4-FFF2-40B4-BE49-F238E27FC236}">
                <a16:creationId xmlns:a16="http://schemas.microsoft.com/office/drawing/2014/main" id="{431406CF-B6DF-4DCD-EF76-BC62CA50A7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5" name="Line 8">
            <a:extLst>
              <a:ext uri="{FF2B5EF4-FFF2-40B4-BE49-F238E27FC236}">
                <a16:creationId xmlns:a16="http://schemas.microsoft.com/office/drawing/2014/main" id="{A6D8FB1F-3D09-6488-CA8C-3833C694263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32</xdr:row>
      <xdr:rowOff>58615</xdr:rowOff>
    </xdr:from>
    <xdr:to>
      <xdr:col>3</xdr:col>
      <xdr:colOff>956961</xdr:colOff>
      <xdr:row>32</xdr:row>
      <xdr:rowOff>209856</xdr:rowOff>
    </xdr:to>
    <xdr:grpSp>
      <xdr:nvGrpSpPr>
        <xdr:cNvPr id="556" name="hinh3">
          <a:extLst>
            <a:ext uri="{FF2B5EF4-FFF2-40B4-BE49-F238E27FC236}">
              <a16:creationId xmlns:a16="http://schemas.microsoft.com/office/drawing/2014/main" id="{BE6AE8C3-96AE-4E77-B7BF-978543E4B570}"/>
            </a:ext>
          </a:extLst>
        </xdr:cNvPr>
        <xdr:cNvGrpSpPr>
          <a:grpSpLocks noChangeAspect="1"/>
        </xdr:cNvGrpSpPr>
      </xdr:nvGrpSpPr>
      <xdr:grpSpPr bwMode="auto">
        <a:xfrm>
          <a:off x="2095500" y="9311472"/>
          <a:ext cx="861711" cy="151241"/>
          <a:chOff x="206" y="112"/>
          <a:chExt cx="73" cy="16"/>
        </a:xfrm>
      </xdr:grpSpPr>
      <xdr:sp macro="" textlink="">
        <xdr:nvSpPr>
          <xdr:cNvPr id="557" name="Line 3">
            <a:extLst>
              <a:ext uri="{FF2B5EF4-FFF2-40B4-BE49-F238E27FC236}">
                <a16:creationId xmlns:a16="http://schemas.microsoft.com/office/drawing/2014/main" id="{2848A517-151D-502A-4457-E5E81482452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8" name="Line 4">
            <a:extLst>
              <a:ext uri="{FF2B5EF4-FFF2-40B4-BE49-F238E27FC236}">
                <a16:creationId xmlns:a16="http://schemas.microsoft.com/office/drawing/2014/main" id="{D2019A7C-52FE-4A3D-B90C-5076B7F21E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30</xdr:row>
      <xdr:rowOff>271096</xdr:rowOff>
    </xdr:from>
    <xdr:to>
      <xdr:col>3</xdr:col>
      <xdr:colOff>930519</xdr:colOff>
      <xdr:row>30</xdr:row>
      <xdr:rowOff>271096</xdr:rowOff>
    </xdr:to>
    <xdr:cxnSp macro="">
      <xdr:nvCxnSpPr>
        <xdr:cNvPr id="559" name="hinh1">
          <a:extLst>
            <a:ext uri="{FF2B5EF4-FFF2-40B4-BE49-F238E27FC236}">
              <a16:creationId xmlns:a16="http://schemas.microsoft.com/office/drawing/2014/main" id="{2F6DB62D-F000-4132-BD5A-28253202FFD9}"/>
            </a:ext>
          </a:extLst>
        </xdr:cNvPr>
        <xdr:cNvCxnSpPr/>
      </xdr:nvCxnSpPr>
      <xdr:spPr>
        <a:xfrm>
          <a:off x="2066829" y="5673132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31</xdr:row>
      <xdr:rowOff>194570</xdr:rowOff>
    </xdr:from>
    <xdr:to>
      <xdr:col>3</xdr:col>
      <xdr:colOff>916476</xdr:colOff>
      <xdr:row>31</xdr:row>
      <xdr:rowOff>273398</xdr:rowOff>
    </xdr:to>
    <xdr:grpSp>
      <xdr:nvGrpSpPr>
        <xdr:cNvPr id="560" name="hinh23">
          <a:extLst>
            <a:ext uri="{FF2B5EF4-FFF2-40B4-BE49-F238E27FC236}">
              <a16:creationId xmlns:a16="http://schemas.microsoft.com/office/drawing/2014/main" id="{3B86F9C2-B9BE-47D0-8365-C585D29EEB53}"/>
            </a:ext>
          </a:extLst>
        </xdr:cNvPr>
        <xdr:cNvGrpSpPr>
          <a:grpSpLocks noChangeAspect="1"/>
        </xdr:cNvGrpSpPr>
      </xdr:nvGrpSpPr>
      <xdr:grpSpPr bwMode="auto">
        <a:xfrm>
          <a:off x="2051539" y="9134463"/>
          <a:ext cx="865187" cy="78828"/>
          <a:chOff x="181" y="372"/>
          <a:chExt cx="129" cy="5"/>
        </a:xfrm>
      </xdr:grpSpPr>
      <xdr:sp macro="" textlink="">
        <xdr:nvSpPr>
          <xdr:cNvPr id="561" name="Line 29">
            <a:extLst>
              <a:ext uri="{FF2B5EF4-FFF2-40B4-BE49-F238E27FC236}">
                <a16:creationId xmlns:a16="http://schemas.microsoft.com/office/drawing/2014/main" id="{1BDBC1C4-CDBC-5661-3309-4693D2810BF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" name="Line 30">
            <a:extLst>
              <a:ext uri="{FF2B5EF4-FFF2-40B4-BE49-F238E27FC236}">
                <a16:creationId xmlns:a16="http://schemas.microsoft.com/office/drawing/2014/main" id="{E0803758-2AD4-DE6F-AEE3-2A6FE3146324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" name="Line 31">
            <a:extLst>
              <a:ext uri="{FF2B5EF4-FFF2-40B4-BE49-F238E27FC236}">
                <a16:creationId xmlns:a16="http://schemas.microsoft.com/office/drawing/2014/main" id="{30B65822-6EFE-3655-C125-47BD1D9E96A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" name="Line 32">
            <a:extLst>
              <a:ext uri="{FF2B5EF4-FFF2-40B4-BE49-F238E27FC236}">
                <a16:creationId xmlns:a16="http://schemas.microsoft.com/office/drawing/2014/main" id="{E24CF4DC-779A-43B5-D95F-E3EE2AABC8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" name="Line 33">
            <a:extLst>
              <a:ext uri="{FF2B5EF4-FFF2-40B4-BE49-F238E27FC236}">
                <a16:creationId xmlns:a16="http://schemas.microsoft.com/office/drawing/2014/main" id="{B4186391-6D59-8373-1661-2063C442B2F5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83495</xdr:colOff>
      <xdr:row>34</xdr:row>
      <xdr:rowOff>65943</xdr:rowOff>
    </xdr:from>
    <xdr:to>
      <xdr:col>3</xdr:col>
      <xdr:colOff>958553</xdr:colOff>
      <xdr:row>34</xdr:row>
      <xdr:rowOff>229626</xdr:rowOff>
    </xdr:to>
    <xdr:grpSp>
      <xdr:nvGrpSpPr>
        <xdr:cNvPr id="16" name="hinh2">
          <a:extLst>
            <a:ext uri="{FF2B5EF4-FFF2-40B4-BE49-F238E27FC236}">
              <a16:creationId xmlns:a16="http://schemas.microsoft.com/office/drawing/2014/main" id="{A3A9DBC5-5670-48C7-B79B-9A9D53DFB965}"/>
            </a:ext>
          </a:extLst>
        </xdr:cNvPr>
        <xdr:cNvGrpSpPr>
          <a:grpSpLocks noChangeAspect="1"/>
        </xdr:cNvGrpSpPr>
      </xdr:nvGrpSpPr>
      <xdr:grpSpPr bwMode="auto">
        <a:xfrm>
          <a:off x="2083745" y="9835872"/>
          <a:ext cx="875058" cy="163683"/>
          <a:chOff x="206" y="86"/>
          <a:chExt cx="73" cy="16"/>
        </a:xfrm>
      </xdr:grpSpPr>
      <xdr:sp macro="" textlink="">
        <xdr:nvSpPr>
          <xdr:cNvPr id="17" name="Line 6">
            <a:extLst>
              <a:ext uri="{FF2B5EF4-FFF2-40B4-BE49-F238E27FC236}">
                <a16:creationId xmlns:a16="http://schemas.microsoft.com/office/drawing/2014/main" id="{18375971-7387-C579-7828-91D651CBED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">
            <a:extLst>
              <a:ext uri="{FF2B5EF4-FFF2-40B4-BE49-F238E27FC236}">
                <a16:creationId xmlns:a16="http://schemas.microsoft.com/office/drawing/2014/main" id="{F3BF2B67-8A8B-9C90-8BE8-CC626E6E04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8">
            <a:extLst>
              <a:ext uri="{FF2B5EF4-FFF2-40B4-BE49-F238E27FC236}">
                <a16:creationId xmlns:a16="http://schemas.microsoft.com/office/drawing/2014/main" id="{7890E944-7ADF-3054-2623-FFC38B8CFD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37</xdr:row>
      <xdr:rowOff>58615</xdr:rowOff>
    </xdr:from>
    <xdr:to>
      <xdr:col>3</xdr:col>
      <xdr:colOff>956961</xdr:colOff>
      <xdr:row>37</xdr:row>
      <xdr:rowOff>209856</xdr:rowOff>
    </xdr:to>
    <xdr:grpSp>
      <xdr:nvGrpSpPr>
        <xdr:cNvPr id="20" name="hinh3">
          <a:extLst>
            <a:ext uri="{FF2B5EF4-FFF2-40B4-BE49-F238E27FC236}">
              <a16:creationId xmlns:a16="http://schemas.microsoft.com/office/drawing/2014/main" id="{E592F0CC-49CE-499B-B664-C936B959D934}"/>
            </a:ext>
          </a:extLst>
        </xdr:cNvPr>
        <xdr:cNvGrpSpPr>
          <a:grpSpLocks noChangeAspect="1"/>
        </xdr:cNvGrpSpPr>
      </xdr:nvGrpSpPr>
      <xdr:grpSpPr bwMode="auto">
        <a:xfrm>
          <a:off x="2095500" y="10767436"/>
          <a:ext cx="861711" cy="151241"/>
          <a:chOff x="206" y="112"/>
          <a:chExt cx="73" cy="16"/>
        </a:xfrm>
      </xdr:grpSpPr>
      <xdr:sp macro="" textlink="">
        <xdr:nvSpPr>
          <xdr:cNvPr id="21" name="Line 3">
            <a:extLst>
              <a:ext uri="{FF2B5EF4-FFF2-40B4-BE49-F238E27FC236}">
                <a16:creationId xmlns:a16="http://schemas.microsoft.com/office/drawing/2014/main" id="{7BCB262F-FCE5-868C-60AF-8D43E5D5C3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">
            <a:extLst>
              <a:ext uri="{FF2B5EF4-FFF2-40B4-BE49-F238E27FC236}">
                <a16:creationId xmlns:a16="http://schemas.microsoft.com/office/drawing/2014/main" id="{B0B95851-F87E-DE7C-BE87-50C9C6539F2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112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66579</xdr:colOff>
      <xdr:row>35</xdr:row>
      <xdr:rowOff>271096</xdr:rowOff>
    </xdr:from>
    <xdr:to>
      <xdr:col>3</xdr:col>
      <xdr:colOff>930519</xdr:colOff>
      <xdr:row>35</xdr:row>
      <xdr:rowOff>271096</xdr:rowOff>
    </xdr:to>
    <xdr:cxnSp macro="">
      <xdr:nvCxnSpPr>
        <xdr:cNvPr id="23" name="hinh1">
          <a:extLst>
            <a:ext uri="{FF2B5EF4-FFF2-40B4-BE49-F238E27FC236}">
              <a16:creationId xmlns:a16="http://schemas.microsoft.com/office/drawing/2014/main" id="{2BF33FA2-DC27-4495-9327-B31B81D943A1}"/>
            </a:ext>
          </a:extLst>
        </xdr:cNvPr>
        <xdr:cNvCxnSpPr/>
      </xdr:nvCxnSpPr>
      <xdr:spPr>
        <a:xfrm>
          <a:off x="2066829" y="8898025"/>
          <a:ext cx="863940" cy="0"/>
        </a:xfrm>
        <a:prstGeom prst="line">
          <a:avLst/>
        </a:prstGeom>
        <a:ln w="19050">
          <a:solidFill>
            <a:srgbClr val="00006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51289</xdr:colOff>
      <xdr:row>36</xdr:row>
      <xdr:rowOff>194570</xdr:rowOff>
    </xdr:from>
    <xdr:to>
      <xdr:col>3</xdr:col>
      <xdr:colOff>916476</xdr:colOff>
      <xdr:row>36</xdr:row>
      <xdr:rowOff>273398</xdr:rowOff>
    </xdr:to>
    <xdr:grpSp>
      <xdr:nvGrpSpPr>
        <xdr:cNvPr id="24" name="hinh23">
          <a:extLst>
            <a:ext uri="{FF2B5EF4-FFF2-40B4-BE49-F238E27FC236}">
              <a16:creationId xmlns:a16="http://schemas.microsoft.com/office/drawing/2014/main" id="{21E189C9-5387-4275-BEF0-DC4A0ADADE86}"/>
            </a:ext>
          </a:extLst>
        </xdr:cNvPr>
        <xdr:cNvGrpSpPr>
          <a:grpSpLocks noChangeAspect="1"/>
        </xdr:cNvGrpSpPr>
      </xdr:nvGrpSpPr>
      <xdr:grpSpPr bwMode="auto">
        <a:xfrm>
          <a:off x="2051539" y="10590427"/>
          <a:ext cx="865187" cy="78828"/>
          <a:chOff x="181" y="372"/>
          <a:chExt cx="129" cy="5"/>
        </a:xfrm>
      </xdr:grpSpPr>
      <xdr:sp macro="" textlink="">
        <xdr:nvSpPr>
          <xdr:cNvPr id="25" name="Line 29">
            <a:extLst>
              <a:ext uri="{FF2B5EF4-FFF2-40B4-BE49-F238E27FC236}">
                <a16:creationId xmlns:a16="http://schemas.microsoft.com/office/drawing/2014/main" id="{E334099D-E92F-6443-EACF-254B12C4EB2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2" y="377"/>
            <a:ext cx="127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0">
            <a:extLst>
              <a:ext uri="{FF2B5EF4-FFF2-40B4-BE49-F238E27FC236}">
                <a16:creationId xmlns:a16="http://schemas.microsoft.com/office/drawing/2014/main" id="{71675B5B-E2DA-0B80-C647-98443CDC51FA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181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">
            <a:extLst>
              <a:ext uri="{FF2B5EF4-FFF2-40B4-BE49-F238E27FC236}">
                <a16:creationId xmlns:a16="http://schemas.microsoft.com/office/drawing/2014/main" id="{3E1C7E01-8EF7-F766-8504-39DD7E2F20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81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2">
            <a:extLst>
              <a:ext uri="{FF2B5EF4-FFF2-40B4-BE49-F238E27FC236}">
                <a16:creationId xmlns:a16="http://schemas.microsoft.com/office/drawing/2014/main" id="{950D2A21-FDED-B26B-281B-94B305B54EA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00" y="372"/>
            <a:ext cx="10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3">
            <a:extLst>
              <a:ext uri="{FF2B5EF4-FFF2-40B4-BE49-F238E27FC236}">
                <a16:creationId xmlns:a16="http://schemas.microsoft.com/office/drawing/2014/main" id="{95170B5A-5DC0-3FB0-397A-328FD7B67FF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10" y="372"/>
            <a:ext cx="0" cy="5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11</xdr:row>
      <xdr:rowOff>80596</xdr:rowOff>
    </xdr:from>
    <xdr:to>
      <xdr:col>3</xdr:col>
      <xdr:colOff>970308</xdr:colOff>
      <xdr:row>11</xdr:row>
      <xdr:rowOff>244279</xdr:rowOff>
    </xdr:to>
    <xdr:grpSp>
      <xdr:nvGrpSpPr>
        <xdr:cNvPr id="4346" name="hinh2">
          <a:extLst>
            <a:ext uri="{FF2B5EF4-FFF2-40B4-BE49-F238E27FC236}">
              <a16:creationId xmlns:a16="http://schemas.microsoft.com/office/drawing/2014/main" id="{BD308F1A-91E2-4B0A-8CDF-6A5FBE0A1257}"/>
            </a:ext>
          </a:extLst>
        </xdr:cNvPr>
        <xdr:cNvGrpSpPr>
          <a:grpSpLocks noChangeAspect="1"/>
        </xdr:cNvGrpSpPr>
      </xdr:nvGrpSpPr>
      <xdr:grpSpPr bwMode="auto">
        <a:xfrm>
          <a:off x="2367643" y="3509596"/>
          <a:ext cx="875058" cy="163683"/>
          <a:chOff x="206" y="86"/>
          <a:chExt cx="73" cy="16"/>
        </a:xfrm>
      </xdr:grpSpPr>
      <xdr:sp macro="" textlink="">
        <xdr:nvSpPr>
          <xdr:cNvPr id="4347" name="Line 6">
            <a:extLst>
              <a:ext uri="{FF2B5EF4-FFF2-40B4-BE49-F238E27FC236}">
                <a16:creationId xmlns:a16="http://schemas.microsoft.com/office/drawing/2014/main" id="{BD90CAB2-E4AD-B1E1-7A12-1AC961B5AD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8" name="Line 7">
            <a:extLst>
              <a:ext uri="{FF2B5EF4-FFF2-40B4-BE49-F238E27FC236}">
                <a16:creationId xmlns:a16="http://schemas.microsoft.com/office/drawing/2014/main" id="{76323B64-2B0D-3799-AB20-E972538BD15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9" name="Line 8">
            <a:extLst>
              <a:ext uri="{FF2B5EF4-FFF2-40B4-BE49-F238E27FC236}">
                <a16:creationId xmlns:a16="http://schemas.microsoft.com/office/drawing/2014/main" id="{4E15E928-E271-A7E3-43E6-4B9A9D309D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12</xdr:row>
      <xdr:rowOff>58616</xdr:rowOff>
    </xdr:from>
    <xdr:to>
      <xdr:col>3</xdr:col>
      <xdr:colOff>977635</xdr:colOff>
      <xdr:row>12</xdr:row>
      <xdr:rowOff>249116</xdr:rowOff>
    </xdr:to>
    <xdr:grpSp>
      <xdr:nvGrpSpPr>
        <xdr:cNvPr id="4350" name="hinh2">
          <a:extLst>
            <a:ext uri="{FF2B5EF4-FFF2-40B4-BE49-F238E27FC236}">
              <a16:creationId xmlns:a16="http://schemas.microsoft.com/office/drawing/2014/main" id="{447E018D-881D-4699-85CE-27D098FDDEA0}"/>
            </a:ext>
          </a:extLst>
        </xdr:cNvPr>
        <xdr:cNvGrpSpPr>
          <a:grpSpLocks noChangeAspect="1"/>
        </xdr:cNvGrpSpPr>
      </xdr:nvGrpSpPr>
      <xdr:grpSpPr bwMode="auto">
        <a:xfrm>
          <a:off x="2374970" y="3882223"/>
          <a:ext cx="875058" cy="190500"/>
          <a:chOff x="206" y="86"/>
          <a:chExt cx="73" cy="16"/>
        </a:xfrm>
      </xdr:grpSpPr>
      <xdr:sp macro="" textlink="">
        <xdr:nvSpPr>
          <xdr:cNvPr id="4351" name="Line 6">
            <a:extLst>
              <a:ext uri="{FF2B5EF4-FFF2-40B4-BE49-F238E27FC236}">
                <a16:creationId xmlns:a16="http://schemas.microsoft.com/office/drawing/2014/main" id="{592F1928-EF2E-9B22-8958-97301E33E4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2" name="Line 7">
            <a:extLst>
              <a:ext uri="{FF2B5EF4-FFF2-40B4-BE49-F238E27FC236}">
                <a16:creationId xmlns:a16="http://schemas.microsoft.com/office/drawing/2014/main" id="{E9C9311B-5BE8-0A82-BF32-B3E7E965C45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3" name="Line 8">
            <a:extLst>
              <a:ext uri="{FF2B5EF4-FFF2-40B4-BE49-F238E27FC236}">
                <a16:creationId xmlns:a16="http://schemas.microsoft.com/office/drawing/2014/main" id="{E046E2C2-8DE9-A563-E526-5B6D99388E4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13</xdr:row>
      <xdr:rowOff>80596</xdr:rowOff>
    </xdr:from>
    <xdr:to>
      <xdr:col>3</xdr:col>
      <xdr:colOff>970308</xdr:colOff>
      <xdr:row>13</xdr:row>
      <xdr:rowOff>244279</xdr:rowOff>
    </xdr:to>
    <xdr:grpSp>
      <xdr:nvGrpSpPr>
        <xdr:cNvPr id="4354" name="hinh2">
          <a:extLst>
            <a:ext uri="{FF2B5EF4-FFF2-40B4-BE49-F238E27FC236}">
              <a16:creationId xmlns:a16="http://schemas.microsoft.com/office/drawing/2014/main" id="{FA92905A-F3D2-4470-BEE3-ED85BB190902}"/>
            </a:ext>
          </a:extLst>
        </xdr:cNvPr>
        <xdr:cNvGrpSpPr>
          <a:grpSpLocks noChangeAspect="1"/>
        </xdr:cNvGrpSpPr>
      </xdr:nvGrpSpPr>
      <xdr:grpSpPr bwMode="auto">
        <a:xfrm>
          <a:off x="2367643" y="4298810"/>
          <a:ext cx="875058" cy="163683"/>
          <a:chOff x="206" y="86"/>
          <a:chExt cx="73" cy="16"/>
        </a:xfrm>
      </xdr:grpSpPr>
      <xdr:sp macro="" textlink="">
        <xdr:nvSpPr>
          <xdr:cNvPr id="4355" name="Line 6">
            <a:extLst>
              <a:ext uri="{FF2B5EF4-FFF2-40B4-BE49-F238E27FC236}">
                <a16:creationId xmlns:a16="http://schemas.microsoft.com/office/drawing/2014/main" id="{A54ECD8E-C9BC-76CB-7627-CD7932CDBAD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6" name="Line 7">
            <a:extLst>
              <a:ext uri="{FF2B5EF4-FFF2-40B4-BE49-F238E27FC236}">
                <a16:creationId xmlns:a16="http://schemas.microsoft.com/office/drawing/2014/main" id="{FCE38D41-941C-8D32-32C1-2F59AF2F9A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7" name="Line 8">
            <a:extLst>
              <a:ext uri="{FF2B5EF4-FFF2-40B4-BE49-F238E27FC236}">
                <a16:creationId xmlns:a16="http://schemas.microsoft.com/office/drawing/2014/main" id="{EFB8F004-0BF0-B7C0-0188-51B394DFEFC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15</xdr:row>
      <xdr:rowOff>80596</xdr:rowOff>
    </xdr:from>
    <xdr:to>
      <xdr:col>3</xdr:col>
      <xdr:colOff>970308</xdr:colOff>
      <xdr:row>15</xdr:row>
      <xdr:rowOff>244279</xdr:rowOff>
    </xdr:to>
    <xdr:grpSp>
      <xdr:nvGrpSpPr>
        <xdr:cNvPr id="4358" name="hinh2">
          <a:extLst>
            <a:ext uri="{FF2B5EF4-FFF2-40B4-BE49-F238E27FC236}">
              <a16:creationId xmlns:a16="http://schemas.microsoft.com/office/drawing/2014/main" id="{B21F6ED3-D1CE-4AC7-B6A6-2D9E1E9C6D7A}"/>
            </a:ext>
          </a:extLst>
        </xdr:cNvPr>
        <xdr:cNvGrpSpPr>
          <a:grpSpLocks noChangeAspect="1"/>
        </xdr:cNvGrpSpPr>
      </xdr:nvGrpSpPr>
      <xdr:grpSpPr bwMode="auto">
        <a:xfrm>
          <a:off x="2367643" y="4965560"/>
          <a:ext cx="875058" cy="163683"/>
          <a:chOff x="206" y="86"/>
          <a:chExt cx="73" cy="16"/>
        </a:xfrm>
      </xdr:grpSpPr>
      <xdr:sp macro="" textlink="">
        <xdr:nvSpPr>
          <xdr:cNvPr id="4359" name="Line 6">
            <a:extLst>
              <a:ext uri="{FF2B5EF4-FFF2-40B4-BE49-F238E27FC236}">
                <a16:creationId xmlns:a16="http://schemas.microsoft.com/office/drawing/2014/main" id="{36E459B2-3DDD-72C9-D5E9-D4F980AE9E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0" name="Line 7">
            <a:extLst>
              <a:ext uri="{FF2B5EF4-FFF2-40B4-BE49-F238E27FC236}">
                <a16:creationId xmlns:a16="http://schemas.microsoft.com/office/drawing/2014/main" id="{FA05D15F-717F-3DCA-B373-B018E90319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1" name="Line 8">
            <a:extLst>
              <a:ext uri="{FF2B5EF4-FFF2-40B4-BE49-F238E27FC236}">
                <a16:creationId xmlns:a16="http://schemas.microsoft.com/office/drawing/2014/main" id="{A9FEAC75-2ADD-FE2C-D92A-A92093CC5A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16</xdr:row>
      <xdr:rowOff>58616</xdr:rowOff>
    </xdr:from>
    <xdr:to>
      <xdr:col>3</xdr:col>
      <xdr:colOff>977635</xdr:colOff>
      <xdr:row>16</xdr:row>
      <xdr:rowOff>249116</xdr:rowOff>
    </xdr:to>
    <xdr:grpSp>
      <xdr:nvGrpSpPr>
        <xdr:cNvPr id="4362" name="hinh2">
          <a:extLst>
            <a:ext uri="{FF2B5EF4-FFF2-40B4-BE49-F238E27FC236}">
              <a16:creationId xmlns:a16="http://schemas.microsoft.com/office/drawing/2014/main" id="{F65F1404-0B5B-47C0-AEEB-12101B946649}"/>
            </a:ext>
          </a:extLst>
        </xdr:cNvPr>
        <xdr:cNvGrpSpPr>
          <a:grpSpLocks noChangeAspect="1"/>
        </xdr:cNvGrpSpPr>
      </xdr:nvGrpSpPr>
      <xdr:grpSpPr bwMode="auto">
        <a:xfrm>
          <a:off x="2374970" y="5338187"/>
          <a:ext cx="875058" cy="190500"/>
          <a:chOff x="206" y="86"/>
          <a:chExt cx="73" cy="16"/>
        </a:xfrm>
      </xdr:grpSpPr>
      <xdr:sp macro="" textlink="">
        <xdr:nvSpPr>
          <xdr:cNvPr id="4363" name="Line 6">
            <a:extLst>
              <a:ext uri="{FF2B5EF4-FFF2-40B4-BE49-F238E27FC236}">
                <a16:creationId xmlns:a16="http://schemas.microsoft.com/office/drawing/2014/main" id="{789E7553-1636-3834-9D2F-3901E9DFFBE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4" name="Line 7">
            <a:extLst>
              <a:ext uri="{FF2B5EF4-FFF2-40B4-BE49-F238E27FC236}">
                <a16:creationId xmlns:a16="http://schemas.microsoft.com/office/drawing/2014/main" id="{BC657C48-A066-F7EC-731E-1338EC992D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5" name="Line 8">
            <a:extLst>
              <a:ext uri="{FF2B5EF4-FFF2-40B4-BE49-F238E27FC236}">
                <a16:creationId xmlns:a16="http://schemas.microsoft.com/office/drawing/2014/main" id="{22D2198A-597E-B8D5-036F-F8EECC67FD1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17</xdr:row>
      <xdr:rowOff>80596</xdr:rowOff>
    </xdr:from>
    <xdr:to>
      <xdr:col>3</xdr:col>
      <xdr:colOff>970308</xdr:colOff>
      <xdr:row>17</xdr:row>
      <xdr:rowOff>244279</xdr:rowOff>
    </xdr:to>
    <xdr:grpSp>
      <xdr:nvGrpSpPr>
        <xdr:cNvPr id="4366" name="hinh2">
          <a:extLst>
            <a:ext uri="{FF2B5EF4-FFF2-40B4-BE49-F238E27FC236}">
              <a16:creationId xmlns:a16="http://schemas.microsoft.com/office/drawing/2014/main" id="{1906C5C7-8851-4161-A5D1-B344E07812C2}"/>
            </a:ext>
          </a:extLst>
        </xdr:cNvPr>
        <xdr:cNvGrpSpPr>
          <a:grpSpLocks noChangeAspect="1"/>
        </xdr:cNvGrpSpPr>
      </xdr:nvGrpSpPr>
      <xdr:grpSpPr bwMode="auto">
        <a:xfrm>
          <a:off x="2367643" y="5754775"/>
          <a:ext cx="875058" cy="163683"/>
          <a:chOff x="206" y="86"/>
          <a:chExt cx="73" cy="16"/>
        </a:xfrm>
      </xdr:grpSpPr>
      <xdr:sp macro="" textlink="">
        <xdr:nvSpPr>
          <xdr:cNvPr id="4367" name="Line 6">
            <a:extLst>
              <a:ext uri="{FF2B5EF4-FFF2-40B4-BE49-F238E27FC236}">
                <a16:creationId xmlns:a16="http://schemas.microsoft.com/office/drawing/2014/main" id="{F15974AD-8412-AC68-BBA8-A392080954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8" name="Line 7">
            <a:extLst>
              <a:ext uri="{FF2B5EF4-FFF2-40B4-BE49-F238E27FC236}">
                <a16:creationId xmlns:a16="http://schemas.microsoft.com/office/drawing/2014/main" id="{6180FD17-C567-929B-0AD9-EF3643F0478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9" name="Line 8">
            <a:extLst>
              <a:ext uri="{FF2B5EF4-FFF2-40B4-BE49-F238E27FC236}">
                <a16:creationId xmlns:a16="http://schemas.microsoft.com/office/drawing/2014/main" id="{0872ED47-32E5-0CAF-80B3-11DCB8D7D32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18</xdr:row>
      <xdr:rowOff>80596</xdr:rowOff>
    </xdr:from>
    <xdr:to>
      <xdr:col>3</xdr:col>
      <xdr:colOff>970308</xdr:colOff>
      <xdr:row>18</xdr:row>
      <xdr:rowOff>244279</xdr:rowOff>
    </xdr:to>
    <xdr:grpSp>
      <xdr:nvGrpSpPr>
        <xdr:cNvPr id="4370" name="hinh2">
          <a:extLst>
            <a:ext uri="{FF2B5EF4-FFF2-40B4-BE49-F238E27FC236}">
              <a16:creationId xmlns:a16="http://schemas.microsoft.com/office/drawing/2014/main" id="{EFFB8784-6AFF-4919-B079-CEA74BF1D520}"/>
            </a:ext>
          </a:extLst>
        </xdr:cNvPr>
        <xdr:cNvGrpSpPr>
          <a:grpSpLocks noChangeAspect="1"/>
        </xdr:cNvGrpSpPr>
      </xdr:nvGrpSpPr>
      <xdr:grpSpPr bwMode="auto">
        <a:xfrm>
          <a:off x="2367643" y="6149382"/>
          <a:ext cx="875058" cy="163683"/>
          <a:chOff x="206" y="86"/>
          <a:chExt cx="73" cy="16"/>
        </a:xfrm>
      </xdr:grpSpPr>
      <xdr:sp macro="" textlink="">
        <xdr:nvSpPr>
          <xdr:cNvPr id="4371" name="Line 6">
            <a:extLst>
              <a:ext uri="{FF2B5EF4-FFF2-40B4-BE49-F238E27FC236}">
                <a16:creationId xmlns:a16="http://schemas.microsoft.com/office/drawing/2014/main" id="{F30A816C-F7ED-AAFC-B05D-98567A7CF38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2" name="Line 7">
            <a:extLst>
              <a:ext uri="{FF2B5EF4-FFF2-40B4-BE49-F238E27FC236}">
                <a16:creationId xmlns:a16="http://schemas.microsoft.com/office/drawing/2014/main" id="{69C1DBD2-E766-F277-3D6B-E12C4597AC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3" name="Line 8">
            <a:extLst>
              <a:ext uri="{FF2B5EF4-FFF2-40B4-BE49-F238E27FC236}">
                <a16:creationId xmlns:a16="http://schemas.microsoft.com/office/drawing/2014/main" id="{CEB2F75C-35C7-07B2-7115-700D28858E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19</xdr:row>
      <xdr:rowOff>58616</xdr:rowOff>
    </xdr:from>
    <xdr:to>
      <xdr:col>3</xdr:col>
      <xdr:colOff>977635</xdr:colOff>
      <xdr:row>19</xdr:row>
      <xdr:rowOff>249116</xdr:rowOff>
    </xdr:to>
    <xdr:grpSp>
      <xdr:nvGrpSpPr>
        <xdr:cNvPr id="4374" name="hinh2">
          <a:extLst>
            <a:ext uri="{FF2B5EF4-FFF2-40B4-BE49-F238E27FC236}">
              <a16:creationId xmlns:a16="http://schemas.microsoft.com/office/drawing/2014/main" id="{D5ECB871-A840-43D9-93CE-C59C57EAEECC}"/>
            </a:ext>
          </a:extLst>
        </xdr:cNvPr>
        <xdr:cNvGrpSpPr>
          <a:grpSpLocks noChangeAspect="1"/>
        </xdr:cNvGrpSpPr>
      </xdr:nvGrpSpPr>
      <xdr:grpSpPr bwMode="auto">
        <a:xfrm>
          <a:off x="2374970" y="6522009"/>
          <a:ext cx="875058" cy="190500"/>
          <a:chOff x="206" y="86"/>
          <a:chExt cx="73" cy="16"/>
        </a:xfrm>
      </xdr:grpSpPr>
      <xdr:sp macro="" textlink="">
        <xdr:nvSpPr>
          <xdr:cNvPr id="4375" name="Line 6">
            <a:extLst>
              <a:ext uri="{FF2B5EF4-FFF2-40B4-BE49-F238E27FC236}">
                <a16:creationId xmlns:a16="http://schemas.microsoft.com/office/drawing/2014/main" id="{5CD95864-0193-23A2-A01D-15D52DAE79D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6" name="Line 7">
            <a:extLst>
              <a:ext uri="{FF2B5EF4-FFF2-40B4-BE49-F238E27FC236}">
                <a16:creationId xmlns:a16="http://schemas.microsoft.com/office/drawing/2014/main" id="{EBDD6A96-47B3-6093-2EF4-73A932D022E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7" name="Line 8">
            <a:extLst>
              <a:ext uri="{FF2B5EF4-FFF2-40B4-BE49-F238E27FC236}">
                <a16:creationId xmlns:a16="http://schemas.microsoft.com/office/drawing/2014/main" id="{E496EF38-2253-DCAA-3432-8BBC9D61B61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20</xdr:row>
      <xdr:rowOff>80596</xdr:rowOff>
    </xdr:from>
    <xdr:to>
      <xdr:col>3</xdr:col>
      <xdr:colOff>970308</xdr:colOff>
      <xdr:row>20</xdr:row>
      <xdr:rowOff>244279</xdr:rowOff>
    </xdr:to>
    <xdr:grpSp>
      <xdr:nvGrpSpPr>
        <xdr:cNvPr id="4378" name="hinh2">
          <a:extLst>
            <a:ext uri="{FF2B5EF4-FFF2-40B4-BE49-F238E27FC236}">
              <a16:creationId xmlns:a16="http://schemas.microsoft.com/office/drawing/2014/main" id="{E01DC44A-AF73-4BFD-AACB-FBBB12AC738E}"/>
            </a:ext>
          </a:extLst>
        </xdr:cNvPr>
        <xdr:cNvGrpSpPr>
          <a:grpSpLocks noChangeAspect="1"/>
        </xdr:cNvGrpSpPr>
      </xdr:nvGrpSpPr>
      <xdr:grpSpPr bwMode="auto">
        <a:xfrm>
          <a:off x="2367643" y="6938596"/>
          <a:ext cx="875058" cy="163683"/>
          <a:chOff x="206" y="86"/>
          <a:chExt cx="73" cy="16"/>
        </a:xfrm>
      </xdr:grpSpPr>
      <xdr:sp macro="" textlink="">
        <xdr:nvSpPr>
          <xdr:cNvPr id="4379" name="Line 6">
            <a:extLst>
              <a:ext uri="{FF2B5EF4-FFF2-40B4-BE49-F238E27FC236}">
                <a16:creationId xmlns:a16="http://schemas.microsoft.com/office/drawing/2014/main" id="{8487AD18-25B1-527C-835D-28B1D692E8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0" name="Line 7">
            <a:extLst>
              <a:ext uri="{FF2B5EF4-FFF2-40B4-BE49-F238E27FC236}">
                <a16:creationId xmlns:a16="http://schemas.microsoft.com/office/drawing/2014/main" id="{7F9BB96E-1F26-DEB6-D65C-DD5FD476140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1" name="Line 8">
            <a:extLst>
              <a:ext uri="{FF2B5EF4-FFF2-40B4-BE49-F238E27FC236}">
                <a16:creationId xmlns:a16="http://schemas.microsoft.com/office/drawing/2014/main" id="{0699CEF4-7E5E-FAA9-D954-B782369F4AF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22</xdr:row>
      <xdr:rowOff>80596</xdr:rowOff>
    </xdr:from>
    <xdr:to>
      <xdr:col>3</xdr:col>
      <xdr:colOff>970308</xdr:colOff>
      <xdr:row>22</xdr:row>
      <xdr:rowOff>244279</xdr:rowOff>
    </xdr:to>
    <xdr:grpSp>
      <xdr:nvGrpSpPr>
        <xdr:cNvPr id="4382" name="hinh2">
          <a:extLst>
            <a:ext uri="{FF2B5EF4-FFF2-40B4-BE49-F238E27FC236}">
              <a16:creationId xmlns:a16="http://schemas.microsoft.com/office/drawing/2014/main" id="{6D08EBDC-BF5B-4179-B497-191E2FCED8F2}"/>
            </a:ext>
          </a:extLst>
        </xdr:cNvPr>
        <xdr:cNvGrpSpPr>
          <a:grpSpLocks noChangeAspect="1"/>
        </xdr:cNvGrpSpPr>
      </xdr:nvGrpSpPr>
      <xdr:grpSpPr bwMode="auto">
        <a:xfrm>
          <a:off x="2367643" y="7605346"/>
          <a:ext cx="875058" cy="163683"/>
          <a:chOff x="206" y="86"/>
          <a:chExt cx="73" cy="16"/>
        </a:xfrm>
      </xdr:grpSpPr>
      <xdr:sp macro="" textlink="">
        <xdr:nvSpPr>
          <xdr:cNvPr id="4383" name="Line 6">
            <a:extLst>
              <a:ext uri="{FF2B5EF4-FFF2-40B4-BE49-F238E27FC236}">
                <a16:creationId xmlns:a16="http://schemas.microsoft.com/office/drawing/2014/main" id="{026F0324-F36C-49AF-3AB3-8508E1D69B5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4" name="Line 7">
            <a:extLst>
              <a:ext uri="{FF2B5EF4-FFF2-40B4-BE49-F238E27FC236}">
                <a16:creationId xmlns:a16="http://schemas.microsoft.com/office/drawing/2014/main" id="{C2757A9A-FE80-42A8-764D-74AB57C5A02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5" name="Line 8">
            <a:extLst>
              <a:ext uri="{FF2B5EF4-FFF2-40B4-BE49-F238E27FC236}">
                <a16:creationId xmlns:a16="http://schemas.microsoft.com/office/drawing/2014/main" id="{4A7FD37A-D9DD-BFEE-431E-B95E589CB2C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23</xdr:row>
      <xdr:rowOff>58616</xdr:rowOff>
    </xdr:from>
    <xdr:to>
      <xdr:col>3</xdr:col>
      <xdr:colOff>977635</xdr:colOff>
      <xdr:row>23</xdr:row>
      <xdr:rowOff>249116</xdr:rowOff>
    </xdr:to>
    <xdr:grpSp>
      <xdr:nvGrpSpPr>
        <xdr:cNvPr id="4386" name="hinh2">
          <a:extLst>
            <a:ext uri="{FF2B5EF4-FFF2-40B4-BE49-F238E27FC236}">
              <a16:creationId xmlns:a16="http://schemas.microsoft.com/office/drawing/2014/main" id="{A3CA78C2-6089-4158-9830-B2312AF47381}"/>
            </a:ext>
          </a:extLst>
        </xdr:cNvPr>
        <xdr:cNvGrpSpPr>
          <a:grpSpLocks noChangeAspect="1"/>
        </xdr:cNvGrpSpPr>
      </xdr:nvGrpSpPr>
      <xdr:grpSpPr bwMode="auto">
        <a:xfrm>
          <a:off x="2374970" y="7977973"/>
          <a:ext cx="875058" cy="190500"/>
          <a:chOff x="206" y="86"/>
          <a:chExt cx="73" cy="16"/>
        </a:xfrm>
      </xdr:grpSpPr>
      <xdr:sp macro="" textlink="">
        <xdr:nvSpPr>
          <xdr:cNvPr id="4387" name="Line 6">
            <a:extLst>
              <a:ext uri="{FF2B5EF4-FFF2-40B4-BE49-F238E27FC236}">
                <a16:creationId xmlns:a16="http://schemas.microsoft.com/office/drawing/2014/main" id="{A7F0758E-5132-0335-5C07-707EE3A4C5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8" name="Line 7">
            <a:extLst>
              <a:ext uri="{FF2B5EF4-FFF2-40B4-BE49-F238E27FC236}">
                <a16:creationId xmlns:a16="http://schemas.microsoft.com/office/drawing/2014/main" id="{E3717C78-932E-4756-788E-1E68C8BEDA5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9" name="Line 8">
            <a:extLst>
              <a:ext uri="{FF2B5EF4-FFF2-40B4-BE49-F238E27FC236}">
                <a16:creationId xmlns:a16="http://schemas.microsoft.com/office/drawing/2014/main" id="{DD946743-0181-8769-7DB6-FA93DB40BE2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24</xdr:row>
      <xdr:rowOff>80596</xdr:rowOff>
    </xdr:from>
    <xdr:to>
      <xdr:col>3</xdr:col>
      <xdr:colOff>970308</xdr:colOff>
      <xdr:row>24</xdr:row>
      <xdr:rowOff>244279</xdr:rowOff>
    </xdr:to>
    <xdr:grpSp>
      <xdr:nvGrpSpPr>
        <xdr:cNvPr id="4390" name="hinh2">
          <a:extLst>
            <a:ext uri="{FF2B5EF4-FFF2-40B4-BE49-F238E27FC236}">
              <a16:creationId xmlns:a16="http://schemas.microsoft.com/office/drawing/2014/main" id="{DE1D6BD8-9A17-4E20-8867-C5DC4DC477BF}"/>
            </a:ext>
          </a:extLst>
        </xdr:cNvPr>
        <xdr:cNvGrpSpPr>
          <a:grpSpLocks noChangeAspect="1"/>
        </xdr:cNvGrpSpPr>
      </xdr:nvGrpSpPr>
      <xdr:grpSpPr bwMode="auto">
        <a:xfrm>
          <a:off x="2367643" y="8394560"/>
          <a:ext cx="875058" cy="163683"/>
          <a:chOff x="206" y="86"/>
          <a:chExt cx="73" cy="16"/>
        </a:xfrm>
      </xdr:grpSpPr>
      <xdr:sp macro="" textlink="">
        <xdr:nvSpPr>
          <xdr:cNvPr id="4391" name="Line 6">
            <a:extLst>
              <a:ext uri="{FF2B5EF4-FFF2-40B4-BE49-F238E27FC236}">
                <a16:creationId xmlns:a16="http://schemas.microsoft.com/office/drawing/2014/main" id="{D5CD8779-4B82-F2AC-81EC-0E5900B098B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2" name="Line 7">
            <a:extLst>
              <a:ext uri="{FF2B5EF4-FFF2-40B4-BE49-F238E27FC236}">
                <a16:creationId xmlns:a16="http://schemas.microsoft.com/office/drawing/2014/main" id="{44552529-6ABA-0F99-3E52-B7A26030492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3" name="Line 8">
            <a:extLst>
              <a:ext uri="{FF2B5EF4-FFF2-40B4-BE49-F238E27FC236}">
                <a16:creationId xmlns:a16="http://schemas.microsoft.com/office/drawing/2014/main" id="{7C39E6FC-15DF-F1B6-B6E0-2E3D5DC91FC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26</xdr:row>
      <xdr:rowOff>80596</xdr:rowOff>
    </xdr:from>
    <xdr:to>
      <xdr:col>3</xdr:col>
      <xdr:colOff>970308</xdr:colOff>
      <xdr:row>26</xdr:row>
      <xdr:rowOff>244279</xdr:rowOff>
    </xdr:to>
    <xdr:grpSp>
      <xdr:nvGrpSpPr>
        <xdr:cNvPr id="4394" name="hinh2">
          <a:extLst>
            <a:ext uri="{FF2B5EF4-FFF2-40B4-BE49-F238E27FC236}">
              <a16:creationId xmlns:a16="http://schemas.microsoft.com/office/drawing/2014/main" id="{9FD19BDB-57E9-485E-9421-455BE8516CBF}"/>
            </a:ext>
          </a:extLst>
        </xdr:cNvPr>
        <xdr:cNvGrpSpPr>
          <a:grpSpLocks noChangeAspect="1"/>
        </xdr:cNvGrpSpPr>
      </xdr:nvGrpSpPr>
      <xdr:grpSpPr bwMode="auto">
        <a:xfrm>
          <a:off x="2367643" y="9183775"/>
          <a:ext cx="875058" cy="163683"/>
          <a:chOff x="206" y="86"/>
          <a:chExt cx="73" cy="16"/>
        </a:xfrm>
      </xdr:grpSpPr>
      <xdr:sp macro="" textlink="">
        <xdr:nvSpPr>
          <xdr:cNvPr id="4395" name="Line 6">
            <a:extLst>
              <a:ext uri="{FF2B5EF4-FFF2-40B4-BE49-F238E27FC236}">
                <a16:creationId xmlns:a16="http://schemas.microsoft.com/office/drawing/2014/main" id="{3E239949-851F-5984-0263-350878B02D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6" name="Line 7">
            <a:extLst>
              <a:ext uri="{FF2B5EF4-FFF2-40B4-BE49-F238E27FC236}">
                <a16:creationId xmlns:a16="http://schemas.microsoft.com/office/drawing/2014/main" id="{F9062DB4-1FFA-BC78-AA9F-2C3A6631E49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7" name="Line 8">
            <a:extLst>
              <a:ext uri="{FF2B5EF4-FFF2-40B4-BE49-F238E27FC236}">
                <a16:creationId xmlns:a16="http://schemas.microsoft.com/office/drawing/2014/main" id="{2A86E2B1-F4BF-380C-99B3-8FFDD630FAE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27</xdr:row>
      <xdr:rowOff>58616</xdr:rowOff>
    </xdr:from>
    <xdr:to>
      <xdr:col>3</xdr:col>
      <xdr:colOff>977635</xdr:colOff>
      <xdr:row>27</xdr:row>
      <xdr:rowOff>249116</xdr:rowOff>
    </xdr:to>
    <xdr:grpSp>
      <xdr:nvGrpSpPr>
        <xdr:cNvPr id="4398" name="hinh2">
          <a:extLst>
            <a:ext uri="{FF2B5EF4-FFF2-40B4-BE49-F238E27FC236}">
              <a16:creationId xmlns:a16="http://schemas.microsoft.com/office/drawing/2014/main" id="{A165C3DD-53BA-42FE-B5E6-1FD30C4F510E}"/>
            </a:ext>
          </a:extLst>
        </xdr:cNvPr>
        <xdr:cNvGrpSpPr>
          <a:grpSpLocks noChangeAspect="1"/>
        </xdr:cNvGrpSpPr>
      </xdr:nvGrpSpPr>
      <xdr:grpSpPr bwMode="auto">
        <a:xfrm>
          <a:off x="2374970" y="9556402"/>
          <a:ext cx="875058" cy="190500"/>
          <a:chOff x="206" y="86"/>
          <a:chExt cx="73" cy="16"/>
        </a:xfrm>
      </xdr:grpSpPr>
      <xdr:sp macro="" textlink="">
        <xdr:nvSpPr>
          <xdr:cNvPr id="4399" name="Line 6">
            <a:extLst>
              <a:ext uri="{FF2B5EF4-FFF2-40B4-BE49-F238E27FC236}">
                <a16:creationId xmlns:a16="http://schemas.microsoft.com/office/drawing/2014/main" id="{78B61536-E94F-E97D-8781-2B6A2F499A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0" name="Line 7">
            <a:extLst>
              <a:ext uri="{FF2B5EF4-FFF2-40B4-BE49-F238E27FC236}">
                <a16:creationId xmlns:a16="http://schemas.microsoft.com/office/drawing/2014/main" id="{05C251FF-BF3C-259F-78C4-BB16BCD533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1" name="Line 8">
            <a:extLst>
              <a:ext uri="{FF2B5EF4-FFF2-40B4-BE49-F238E27FC236}">
                <a16:creationId xmlns:a16="http://schemas.microsoft.com/office/drawing/2014/main" id="{4EC0ABF4-2354-870F-065F-0FE1D1D704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29</xdr:row>
      <xdr:rowOff>80596</xdr:rowOff>
    </xdr:from>
    <xdr:to>
      <xdr:col>3</xdr:col>
      <xdr:colOff>970308</xdr:colOff>
      <xdr:row>29</xdr:row>
      <xdr:rowOff>244279</xdr:rowOff>
    </xdr:to>
    <xdr:grpSp>
      <xdr:nvGrpSpPr>
        <xdr:cNvPr id="4402" name="hinh2">
          <a:extLst>
            <a:ext uri="{FF2B5EF4-FFF2-40B4-BE49-F238E27FC236}">
              <a16:creationId xmlns:a16="http://schemas.microsoft.com/office/drawing/2014/main" id="{37728875-7164-4F52-87C0-2F17C07761A5}"/>
            </a:ext>
          </a:extLst>
        </xdr:cNvPr>
        <xdr:cNvGrpSpPr>
          <a:grpSpLocks noChangeAspect="1"/>
        </xdr:cNvGrpSpPr>
      </xdr:nvGrpSpPr>
      <xdr:grpSpPr bwMode="auto">
        <a:xfrm>
          <a:off x="2367643" y="10367596"/>
          <a:ext cx="875058" cy="163683"/>
          <a:chOff x="206" y="86"/>
          <a:chExt cx="73" cy="16"/>
        </a:xfrm>
      </xdr:grpSpPr>
      <xdr:sp macro="" textlink="">
        <xdr:nvSpPr>
          <xdr:cNvPr id="4403" name="Line 6">
            <a:extLst>
              <a:ext uri="{FF2B5EF4-FFF2-40B4-BE49-F238E27FC236}">
                <a16:creationId xmlns:a16="http://schemas.microsoft.com/office/drawing/2014/main" id="{10BDD2DF-D7A0-0B85-F5F2-C893241F50B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4" name="Line 7">
            <a:extLst>
              <a:ext uri="{FF2B5EF4-FFF2-40B4-BE49-F238E27FC236}">
                <a16:creationId xmlns:a16="http://schemas.microsoft.com/office/drawing/2014/main" id="{67104CD9-398A-784E-F8A6-D1EC6E482A6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5" name="Line 8">
            <a:extLst>
              <a:ext uri="{FF2B5EF4-FFF2-40B4-BE49-F238E27FC236}">
                <a16:creationId xmlns:a16="http://schemas.microsoft.com/office/drawing/2014/main" id="{86C37E17-BB6B-A983-70FD-75091F38F9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25</xdr:row>
      <xdr:rowOff>80596</xdr:rowOff>
    </xdr:from>
    <xdr:to>
      <xdr:col>3</xdr:col>
      <xdr:colOff>970308</xdr:colOff>
      <xdr:row>25</xdr:row>
      <xdr:rowOff>244279</xdr:rowOff>
    </xdr:to>
    <xdr:grpSp>
      <xdr:nvGrpSpPr>
        <xdr:cNvPr id="4406" name="hinh2">
          <a:extLst>
            <a:ext uri="{FF2B5EF4-FFF2-40B4-BE49-F238E27FC236}">
              <a16:creationId xmlns:a16="http://schemas.microsoft.com/office/drawing/2014/main" id="{F813BD92-497D-4852-9ECB-07845A1A7C8E}"/>
            </a:ext>
          </a:extLst>
        </xdr:cNvPr>
        <xdr:cNvGrpSpPr>
          <a:grpSpLocks noChangeAspect="1"/>
        </xdr:cNvGrpSpPr>
      </xdr:nvGrpSpPr>
      <xdr:grpSpPr bwMode="auto">
        <a:xfrm>
          <a:off x="2367643" y="8789167"/>
          <a:ext cx="875058" cy="163683"/>
          <a:chOff x="206" y="86"/>
          <a:chExt cx="73" cy="16"/>
        </a:xfrm>
      </xdr:grpSpPr>
      <xdr:sp macro="" textlink="">
        <xdr:nvSpPr>
          <xdr:cNvPr id="4407" name="Line 6">
            <a:extLst>
              <a:ext uri="{FF2B5EF4-FFF2-40B4-BE49-F238E27FC236}">
                <a16:creationId xmlns:a16="http://schemas.microsoft.com/office/drawing/2014/main" id="{52E7C15F-0CD5-24E9-71AC-0667983268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8" name="Line 7">
            <a:extLst>
              <a:ext uri="{FF2B5EF4-FFF2-40B4-BE49-F238E27FC236}">
                <a16:creationId xmlns:a16="http://schemas.microsoft.com/office/drawing/2014/main" id="{C1DC47DE-75AB-8E33-8748-8709BD58C7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9" name="Line 8">
            <a:extLst>
              <a:ext uri="{FF2B5EF4-FFF2-40B4-BE49-F238E27FC236}">
                <a16:creationId xmlns:a16="http://schemas.microsoft.com/office/drawing/2014/main" id="{C61F3D83-43E9-5D1E-4DC0-3D783C39990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28</xdr:row>
      <xdr:rowOff>80596</xdr:rowOff>
    </xdr:from>
    <xdr:to>
      <xdr:col>3</xdr:col>
      <xdr:colOff>970308</xdr:colOff>
      <xdr:row>28</xdr:row>
      <xdr:rowOff>244279</xdr:rowOff>
    </xdr:to>
    <xdr:grpSp>
      <xdr:nvGrpSpPr>
        <xdr:cNvPr id="4410" name="hinh2">
          <a:extLst>
            <a:ext uri="{FF2B5EF4-FFF2-40B4-BE49-F238E27FC236}">
              <a16:creationId xmlns:a16="http://schemas.microsoft.com/office/drawing/2014/main" id="{55FC2F6A-29D0-4542-9F90-FF6BEC67EE6F}"/>
            </a:ext>
          </a:extLst>
        </xdr:cNvPr>
        <xdr:cNvGrpSpPr>
          <a:grpSpLocks noChangeAspect="1"/>
        </xdr:cNvGrpSpPr>
      </xdr:nvGrpSpPr>
      <xdr:grpSpPr bwMode="auto">
        <a:xfrm>
          <a:off x="2367643" y="9972989"/>
          <a:ext cx="875058" cy="163683"/>
          <a:chOff x="206" y="86"/>
          <a:chExt cx="73" cy="16"/>
        </a:xfrm>
      </xdr:grpSpPr>
      <xdr:sp macro="" textlink="">
        <xdr:nvSpPr>
          <xdr:cNvPr id="4411" name="Line 6">
            <a:extLst>
              <a:ext uri="{FF2B5EF4-FFF2-40B4-BE49-F238E27FC236}">
                <a16:creationId xmlns:a16="http://schemas.microsoft.com/office/drawing/2014/main" id="{7FCFF6DC-7C22-ECD9-475F-FF401F05E0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2" name="Line 7">
            <a:extLst>
              <a:ext uri="{FF2B5EF4-FFF2-40B4-BE49-F238E27FC236}">
                <a16:creationId xmlns:a16="http://schemas.microsoft.com/office/drawing/2014/main" id="{BCA1D283-E564-6EDD-0B20-C8CD83614D8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3" name="Line 8">
            <a:extLst>
              <a:ext uri="{FF2B5EF4-FFF2-40B4-BE49-F238E27FC236}">
                <a16:creationId xmlns:a16="http://schemas.microsoft.com/office/drawing/2014/main" id="{F6AD0EC1-30A4-6A0B-E46C-39BE6C14A8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31</xdr:row>
      <xdr:rowOff>80596</xdr:rowOff>
    </xdr:from>
    <xdr:to>
      <xdr:col>3</xdr:col>
      <xdr:colOff>970308</xdr:colOff>
      <xdr:row>31</xdr:row>
      <xdr:rowOff>244279</xdr:rowOff>
    </xdr:to>
    <xdr:grpSp>
      <xdr:nvGrpSpPr>
        <xdr:cNvPr id="4414" name="hinh2">
          <a:extLst>
            <a:ext uri="{FF2B5EF4-FFF2-40B4-BE49-F238E27FC236}">
              <a16:creationId xmlns:a16="http://schemas.microsoft.com/office/drawing/2014/main" id="{7CB610EF-17FE-4DD0-8F43-CA2B8C81DCC4}"/>
            </a:ext>
          </a:extLst>
        </xdr:cNvPr>
        <xdr:cNvGrpSpPr>
          <a:grpSpLocks noChangeAspect="1"/>
        </xdr:cNvGrpSpPr>
      </xdr:nvGrpSpPr>
      <xdr:grpSpPr bwMode="auto">
        <a:xfrm>
          <a:off x="2367643" y="11034346"/>
          <a:ext cx="875058" cy="163683"/>
          <a:chOff x="206" y="86"/>
          <a:chExt cx="73" cy="16"/>
        </a:xfrm>
      </xdr:grpSpPr>
      <xdr:sp macro="" textlink="">
        <xdr:nvSpPr>
          <xdr:cNvPr id="4415" name="Line 6">
            <a:extLst>
              <a:ext uri="{FF2B5EF4-FFF2-40B4-BE49-F238E27FC236}">
                <a16:creationId xmlns:a16="http://schemas.microsoft.com/office/drawing/2014/main" id="{D14F79C9-B2BD-20F9-75B4-023EFFF9EC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6" name="Line 7">
            <a:extLst>
              <a:ext uri="{FF2B5EF4-FFF2-40B4-BE49-F238E27FC236}">
                <a16:creationId xmlns:a16="http://schemas.microsoft.com/office/drawing/2014/main" id="{F4A2BA10-7E6A-FDD4-A4EF-9429E938798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7" name="Line 8">
            <a:extLst>
              <a:ext uri="{FF2B5EF4-FFF2-40B4-BE49-F238E27FC236}">
                <a16:creationId xmlns:a16="http://schemas.microsoft.com/office/drawing/2014/main" id="{C17628B8-9E45-E1AC-AD78-31219DDF0C2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32</xdr:row>
      <xdr:rowOff>58616</xdr:rowOff>
    </xdr:from>
    <xdr:to>
      <xdr:col>3</xdr:col>
      <xdr:colOff>977635</xdr:colOff>
      <xdr:row>32</xdr:row>
      <xdr:rowOff>249116</xdr:rowOff>
    </xdr:to>
    <xdr:grpSp>
      <xdr:nvGrpSpPr>
        <xdr:cNvPr id="4418" name="hinh2">
          <a:extLst>
            <a:ext uri="{FF2B5EF4-FFF2-40B4-BE49-F238E27FC236}">
              <a16:creationId xmlns:a16="http://schemas.microsoft.com/office/drawing/2014/main" id="{AD1FF506-C992-46F3-A278-6A9A6E411CAA}"/>
            </a:ext>
          </a:extLst>
        </xdr:cNvPr>
        <xdr:cNvGrpSpPr>
          <a:grpSpLocks noChangeAspect="1"/>
        </xdr:cNvGrpSpPr>
      </xdr:nvGrpSpPr>
      <xdr:grpSpPr bwMode="auto">
        <a:xfrm>
          <a:off x="2374970" y="11406973"/>
          <a:ext cx="875058" cy="190500"/>
          <a:chOff x="206" y="86"/>
          <a:chExt cx="73" cy="16"/>
        </a:xfrm>
      </xdr:grpSpPr>
      <xdr:sp macro="" textlink="">
        <xdr:nvSpPr>
          <xdr:cNvPr id="4419" name="Line 6">
            <a:extLst>
              <a:ext uri="{FF2B5EF4-FFF2-40B4-BE49-F238E27FC236}">
                <a16:creationId xmlns:a16="http://schemas.microsoft.com/office/drawing/2014/main" id="{46096A98-4AF3-ACBA-0077-D8FAC125F40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0" name="Line 7">
            <a:extLst>
              <a:ext uri="{FF2B5EF4-FFF2-40B4-BE49-F238E27FC236}">
                <a16:creationId xmlns:a16="http://schemas.microsoft.com/office/drawing/2014/main" id="{6105F170-E612-50AD-226A-2A56E951C7F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1" name="Line 8">
            <a:extLst>
              <a:ext uri="{FF2B5EF4-FFF2-40B4-BE49-F238E27FC236}">
                <a16:creationId xmlns:a16="http://schemas.microsoft.com/office/drawing/2014/main" id="{47570200-CBE1-CAD5-89E6-9272121497B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33</xdr:row>
      <xdr:rowOff>80596</xdr:rowOff>
    </xdr:from>
    <xdr:to>
      <xdr:col>3</xdr:col>
      <xdr:colOff>970308</xdr:colOff>
      <xdr:row>33</xdr:row>
      <xdr:rowOff>244279</xdr:rowOff>
    </xdr:to>
    <xdr:grpSp>
      <xdr:nvGrpSpPr>
        <xdr:cNvPr id="4422" name="hinh2">
          <a:extLst>
            <a:ext uri="{FF2B5EF4-FFF2-40B4-BE49-F238E27FC236}">
              <a16:creationId xmlns:a16="http://schemas.microsoft.com/office/drawing/2014/main" id="{FA0D7704-B6E4-4CB9-BE30-9212D911099F}"/>
            </a:ext>
          </a:extLst>
        </xdr:cNvPr>
        <xdr:cNvGrpSpPr>
          <a:grpSpLocks noChangeAspect="1"/>
        </xdr:cNvGrpSpPr>
      </xdr:nvGrpSpPr>
      <xdr:grpSpPr bwMode="auto">
        <a:xfrm>
          <a:off x="2367643" y="11823560"/>
          <a:ext cx="875058" cy="163683"/>
          <a:chOff x="206" y="86"/>
          <a:chExt cx="73" cy="16"/>
        </a:xfrm>
      </xdr:grpSpPr>
      <xdr:sp macro="" textlink="">
        <xdr:nvSpPr>
          <xdr:cNvPr id="4423" name="Line 6">
            <a:extLst>
              <a:ext uri="{FF2B5EF4-FFF2-40B4-BE49-F238E27FC236}">
                <a16:creationId xmlns:a16="http://schemas.microsoft.com/office/drawing/2014/main" id="{F7DB284C-0AE0-DE55-4731-862EBEC1AF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4" name="Line 7">
            <a:extLst>
              <a:ext uri="{FF2B5EF4-FFF2-40B4-BE49-F238E27FC236}">
                <a16:creationId xmlns:a16="http://schemas.microsoft.com/office/drawing/2014/main" id="{90249202-4F5C-EF77-1B4E-8E659E3881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5" name="Line 8">
            <a:extLst>
              <a:ext uri="{FF2B5EF4-FFF2-40B4-BE49-F238E27FC236}">
                <a16:creationId xmlns:a16="http://schemas.microsoft.com/office/drawing/2014/main" id="{27C6BB38-6B34-D9EB-FF30-A994A764781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34</xdr:row>
      <xdr:rowOff>80596</xdr:rowOff>
    </xdr:from>
    <xdr:to>
      <xdr:col>3</xdr:col>
      <xdr:colOff>970308</xdr:colOff>
      <xdr:row>34</xdr:row>
      <xdr:rowOff>244279</xdr:rowOff>
    </xdr:to>
    <xdr:grpSp>
      <xdr:nvGrpSpPr>
        <xdr:cNvPr id="4426" name="hinh2">
          <a:extLst>
            <a:ext uri="{FF2B5EF4-FFF2-40B4-BE49-F238E27FC236}">
              <a16:creationId xmlns:a16="http://schemas.microsoft.com/office/drawing/2014/main" id="{AB6FCD5F-AF39-493A-BE7C-2C8708A68856}"/>
            </a:ext>
          </a:extLst>
        </xdr:cNvPr>
        <xdr:cNvGrpSpPr>
          <a:grpSpLocks noChangeAspect="1"/>
        </xdr:cNvGrpSpPr>
      </xdr:nvGrpSpPr>
      <xdr:grpSpPr bwMode="auto">
        <a:xfrm>
          <a:off x="2367643" y="12218167"/>
          <a:ext cx="875058" cy="163683"/>
          <a:chOff x="206" y="86"/>
          <a:chExt cx="73" cy="16"/>
        </a:xfrm>
      </xdr:grpSpPr>
      <xdr:sp macro="" textlink="">
        <xdr:nvSpPr>
          <xdr:cNvPr id="4427" name="Line 6">
            <a:extLst>
              <a:ext uri="{FF2B5EF4-FFF2-40B4-BE49-F238E27FC236}">
                <a16:creationId xmlns:a16="http://schemas.microsoft.com/office/drawing/2014/main" id="{F7F72DD2-E464-41C9-956C-A152D97FC9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8" name="Line 7">
            <a:extLst>
              <a:ext uri="{FF2B5EF4-FFF2-40B4-BE49-F238E27FC236}">
                <a16:creationId xmlns:a16="http://schemas.microsoft.com/office/drawing/2014/main" id="{45A4B438-5AA0-1D12-95F8-449CE985A23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9" name="Line 8">
            <a:extLst>
              <a:ext uri="{FF2B5EF4-FFF2-40B4-BE49-F238E27FC236}">
                <a16:creationId xmlns:a16="http://schemas.microsoft.com/office/drawing/2014/main" id="{F4A95E06-BC8E-5CA6-F3FC-C67AF89B6B6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35</xdr:row>
      <xdr:rowOff>58616</xdr:rowOff>
    </xdr:from>
    <xdr:to>
      <xdr:col>3</xdr:col>
      <xdr:colOff>977635</xdr:colOff>
      <xdr:row>35</xdr:row>
      <xdr:rowOff>249116</xdr:rowOff>
    </xdr:to>
    <xdr:grpSp>
      <xdr:nvGrpSpPr>
        <xdr:cNvPr id="4430" name="hinh2">
          <a:extLst>
            <a:ext uri="{FF2B5EF4-FFF2-40B4-BE49-F238E27FC236}">
              <a16:creationId xmlns:a16="http://schemas.microsoft.com/office/drawing/2014/main" id="{F16FE519-D69F-45DC-8D3F-8FB36E95E14C}"/>
            </a:ext>
          </a:extLst>
        </xdr:cNvPr>
        <xdr:cNvGrpSpPr>
          <a:grpSpLocks noChangeAspect="1"/>
        </xdr:cNvGrpSpPr>
      </xdr:nvGrpSpPr>
      <xdr:grpSpPr bwMode="auto">
        <a:xfrm>
          <a:off x="2374970" y="12590795"/>
          <a:ext cx="875058" cy="190500"/>
          <a:chOff x="206" y="86"/>
          <a:chExt cx="73" cy="16"/>
        </a:xfrm>
      </xdr:grpSpPr>
      <xdr:sp macro="" textlink="">
        <xdr:nvSpPr>
          <xdr:cNvPr id="4431" name="Line 6">
            <a:extLst>
              <a:ext uri="{FF2B5EF4-FFF2-40B4-BE49-F238E27FC236}">
                <a16:creationId xmlns:a16="http://schemas.microsoft.com/office/drawing/2014/main" id="{0EB30E8C-48B8-D72B-105C-2F5196E467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32" name="Line 7">
            <a:extLst>
              <a:ext uri="{FF2B5EF4-FFF2-40B4-BE49-F238E27FC236}">
                <a16:creationId xmlns:a16="http://schemas.microsoft.com/office/drawing/2014/main" id="{A7A6CF40-951E-AF95-FEA0-62892E1DE58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33" name="Line 8">
            <a:extLst>
              <a:ext uri="{FF2B5EF4-FFF2-40B4-BE49-F238E27FC236}">
                <a16:creationId xmlns:a16="http://schemas.microsoft.com/office/drawing/2014/main" id="{3C5B639F-454C-8652-7999-A70E00B937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36</xdr:row>
      <xdr:rowOff>80596</xdr:rowOff>
    </xdr:from>
    <xdr:to>
      <xdr:col>3</xdr:col>
      <xdr:colOff>970308</xdr:colOff>
      <xdr:row>36</xdr:row>
      <xdr:rowOff>244279</xdr:rowOff>
    </xdr:to>
    <xdr:grpSp>
      <xdr:nvGrpSpPr>
        <xdr:cNvPr id="4442" name="hinh2">
          <a:extLst>
            <a:ext uri="{FF2B5EF4-FFF2-40B4-BE49-F238E27FC236}">
              <a16:creationId xmlns:a16="http://schemas.microsoft.com/office/drawing/2014/main" id="{905404F6-27EB-4629-B256-BE7B23356A5E}"/>
            </a:ext>
          </a:extLst>
        </xdr:cNvPr>
        <xdr:cNvGrpSpPr>
          <a:grpSpLocks noChangeAspect="1"/>
        </xdr:cNvGrpSpPr>
      </xdr:nvGrpSpPr>
      <xdr:grpSpPr bwMode="auto">
        <a:xfrm>
          <a:off x="2367643" y="13007382"/>
          <a:ext cx="875058" cy="163683"/>
          <a:chOff x="206" y="86"/>
          <a:chExt cx="73" cy="16"/>
        </a:xfrm>
      </xdr:grpSpPr>
      <xdr:sp macro="" textlink="">
        <xdr:nvSpPr>
          <xdr:cNvPr id="4443" name="Line 6">
            <a:extLst>
              <a:ext uri="{FF2B5EF4-FFF2-40B4-BE49-F238E27FC236}">
                <a16:creationId xmlns:a16="http://schemas.microsoft.com/office/drawing/2014/main" id="{D865C47A-E29F-01F4-35F6-5DBE013BB38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4" name="Line 7">
            <a:extLst>
              <a:ext uri="{FF2B5EF4-FFF2-40B4-BE49-F238E27FC236}">
                <a16:creationId xmlns:a16="http://schemas.microsoft.com/office/drawing/2014/main" id="{D60E80AB-F08E-29A2-38C1-ED6053C94B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5" name="Line 8">
            <a:extLst>
              <a:ext uri="{FF2B5EF4-FFF2-40B4-BE49-F238E27FC236}">
                <a16:creationId xmlns:a16="http://schemas.microsoft.com/office/drawing/2014/main" id="{47129132-C576-F1F0-D5B9-5CD3BE78FE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55</xdr:row>
      <xdr:rowOff>80596</xdr:rowOff>
    </xdr:from>
    <xdr:to>
      <xdr:col>3</xdr:col>
      <xdr:colOff>970308</xdr:colOff>
      <xdr:row>55</xdr:row>
      <xdr:rowOff>244279</xdr:rowOff>
    </xdr:to>
    <xdr:grpSp>
      <xdr:nvGrpSpPr>
        <xdr:cNvPr id="4446" name="hinh2">
          <a:extLst>
            <a:ext uri="{FF2B5EF4-FFF2-40B4-BE49-F238E27FC236}">
              <a16:creationId xmlns:a16="http://schemas.microsoft.com/office/drawing/2014/main" id="{15873118-7A82-4C02-93CA-12D356AA9713}"/>
            </a:ext>
          </a:extLst>
        </xdr:cNvPr>
        <xdr:cNvGrpSpPr>
          <a:grpSpLocks noChangeAspect="1"/>
        </xdr:cNvGrpSpPr>
      </xdr:nvGrpSpPr>
      <xdr:grpSpPr bwMode="auto">
        <a:xfrm>
          <a:off x="2367643" y="20015060"/>
          <a:ext cx="875058" cy="163683"/>
          <a:chOff x="206" y="86"/>
          <a:chExt cx="73" cy="16"/>
        </a:xfrm>
      </xdr:grpSpPr>
      <xdr:sp macro="" textlink="">
        <xdr:nvSpPr>
          <xdr:cNvPr id="4447" name="Line 6">
            <a:extLst>
              <a:ext uri="{FF2B5EF4-FFF2-40B4-BE49-F238E27FC236}">
                <a16:creationId xmlns:a16="http://schemas.microsoft.com/office/drawing/2014/main" id="{CF4AA604-83B8-CC34-8E69-7313EAFDC2F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8" name="Line 7">
            <a:extLst>
              <a:ext uri="{FF2B5EF4-FFF2-40B4-BE49-F238E27FC236}">
                <a16:creationId xmlns:a16="http://schemas.microsoft.com/office/drawing/2014/main" id="{C5A90B70-299C-9023-1CFE-DF8DB57F30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9" name="Line 8">
            <a:extLst>
              <a:ext uri="{FF2B5EF4-FFF2-40B4-BE49-F238E27FC236}">
                <a16:creationId xmlns:a16="http://schemas.microsoft.com/office/drawing/2014/main" id="{7F7E7BE2-7E8C-3952-A3D5-AE9049ECD4B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56</xdr:row>
      <xdr:rowOff>58616</xdr:rowOff>
    </xdr:from>
    <xdr:to>
      <xdr:col>3</xdr:col>
      <xdr:colOff>977635</xdr:colOff>
      <xdr:row>56</xdr:row>
      <xdr:rowOff>249116</xdr:rowOff>
    </xdr:to>
    <xdr:grpSp>
      <xdr:nvGrpSpPr>
        <xdr:cNvPr id="4450" name="hinh2">
          <a:extLst>
            <a:ext uri="{FF2B5EF4-FFF2-40B4-BE49-F238E27FC236}">
              <a16:creationId xmlns:a16="http://schemas.microsoft.com/office/drawing/2014/main" id="{50C47EF4-0B87-4420-8219-21D8EFE8A6CE}"/>
            </a:ext>
          </a:extLst>
        </xdr:cNvPr>
        <xdr:cNvGrpSpPr>
          <a:grpSpLocks noChangeAspect="1"/>
        </xdr:cNvGrpSpPr>
      </xdr:nvGrpSpPr>
      <xdr:grpSpPr bwMode="auto">
        <a:xfrm>
          <a:off x="2374970" y="20387687"/>
          <a:ext cx="875058" cy="190500"/>
          <a:chOff x="206" y="86"/>
          <a:chExt cx="73" cy="16"/>
        </a:xfrm>
      </xdr:grpSpPr>
      <xdr:sp macro="" textlink="">
        <xdr:nvSpPr>
          <xdr:cNvPr id="4451" name="Line 6">
            <a:extLst>
              <a:ext uri="{FF2B5EF4-FFF2-40B4-BE49-F238E27FC236}">
                <a16:creationId xmlns:a16="http://schemas.microsoft.com/office/drawing/2014/main" id="{21549C7F-2E3D-A56D-9D6C-36F7567D10F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2" name="Line 7">
            <a:extLst>
              <a:ext uri="{FF2B5EF4-FFF2-40B4-BE49-F238E27FC236}">
                <a16:creationId xmlns:a16="http://schemas.microsoft.com/office/drawing/2014/main" id="{F4EB33A4-1125-DC95-FF14-5289A49FBA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3" name="Line 8">
            <a:extLst>
              <a:ext uri="{FF2B5EF4-FFF2-40B4-BE49-F238E27FC236}">
                <a16:creationId xmlns:a16="http://schemas.microsoft.com/office/drawing/2014/main" id="{CBA360D8-B597-A085-063F-00AD790C050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57</xdr:row>
      <xdr:rowOff>80596</xdr:rowOff>
    </xdr:from>
    <xdr:to>
      <xdr:col>3</xdr:col>
      <xdr:colOff>970308</xdr:colOff>
      <xdr:row>57</xdr:row>
      <xdr:rowOff>244279</xdr:rowOff>
    </xdr:to>
    <xdr:grpSp>
      <xdr:nvGrpSpPr>
        <xdr:cNvPr id="4454" name="hinh2">
          <a:extLst>
            <a:ext uri="{FF2B5EF4-FFF2-40B4-BE49-F238E27FC236}">
              <a16:creationId xmlns:a16="http://schemas.microsoft.com/office/drawing/2014/main" id="{B69C2628-2441-41D5-9CA9-A88291183224}"/>
            </a:ext>
          </a:extLst>
        </xdr:cNvPr>
        <xdr:cNvGrpSpPr>
          <a:grpSpLocks noChangeAspect="1"/>
        </xdr:cNvGrpSpPr>
      </xdr:nvGrpSpPr>
      <xdr:grpSpPr bwMode="auto">
        <a:xfrm>
          <a:off x="2367643" y="20804275"/>
          <a:ext cx="875058" cy="163683"/>
          <a:chOff x="206" y="86"/>
          <a:chExt cx="73" cy="16"/>
        </a:xfrm>
      </xdr:grpSpPr>
      <xdr:sp macro="" textlink="">
        <xdr:nvSpPr>
          <xdr:cNvPr id="4455" name="Line 6">
            <a:extLst>
              <a:ext uri="{FF2B5EF4-FFF2-40B4-BE49-F238E27FC236}">
                <a16:creationId xmlns:a16="http://schemas.microsoft.com/office/drawing/2014/main" id="{3D39A97D-2C33-FD96-78A8-5C0DC905341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6" name="Line 7">
            <a:extLst>
              <a:ext uri="{FF2B5EF4-FFF2-40B4-BE49-F238E27FC236}">
                <a16:creationId xmlns:a16="http://schemas.microsoft.com/office/drawing/2014/main" id="{38FAF83B-17FA-A800-888B-625AACF50F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7" name="Line 8">
            <a:extLst>
              <a:ext uri="{FF2B5EF4-FFF2-40B4-BE49-F238E27FC236}">
                <a16:creationId xmlns:a16="http://schemas.microsoft.com/office/drawing/2014/main" id="{49A4E6FE-0A80-E86D-15BE-9146222FB0D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58</xdr:row>
      <xdr:rowOff>80596</xdr:rowOff>
    </xdr:from>
    <xdr:to>
      <xdr:col>3</xdr:col>
      <xdr:colOff>970308</xdr:colOff>
      <xdr:row>58</xdr:row>
      <xdr:rowOff>244279</xdr:rowOff>
    </xdr:to>
    <xdr:grpSp>
      <xdr:nvGrpSpPr>
        <xdr:cNvPr id="4458" name="hinh2">
          <a:extLst>
            <a:ext uri="{FF2B5EF4-FFF2-40B4-BE49-F238E27FC236}">
              <a16:creationId xmlns:a16="http://schemas.microsoft.com/office/drawing/2014/main" id="{8C24E0DE-2FC9-4AD5-BF58-AC9EDA8AD236}"/>
            </a:ext>
          </a:extLst>
        </xdr:cNvPr>
        <xdr:cNvGrpSpPr>
          <a:grpSpLocks noChangeAspect="1"/>
        </xdr:cNvGrpSpPr>
      </xdr:nvGrpSpPr>
      <xdr:grpSpPr bwMode="auto">
        <a:xfrm>
          <a:off x="2367643" y="21198882"/>
          <a:ext cx="875058" cy="163683"/>
          <a:chOff x="206" y="86"/>
          <a:chExt cx="73" cy="16"/>
        </a:xfrm>
      </xdr:grpSpPr>
      <xdr:sp macro="" textlink="">
        <xdr:nvSpPr>
          <xdr:cNvPr id="4459" name="Line 6">
            <a:extLst>
              <a:ext uri="{FF2B5EF4-FFF2-40B4-BE49-F238E27FC236}">
                <a16:creationId xmlns:a16="http://schemas.microsoft.com/office/drawing/2014/main" id="{E688FC9D-CB37-D381-5411-F5585966AC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0" name="Line 7">
            <a:extLst>
              <a:ext uri="{FF2B5EF4-FFF2-40B4-BE49-F238E27FC236}">
                <a16:creationId xmlns:a16="http://schemas.microsoft.com/office/drawing/2014/main" id="{7B45ECB4-462B-DB86-C328-748DB197A6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1" name="Line 8">
            <a:extLst>
              <a:ext uri="{FF2B5EF4-FFF2-40B4-BE49-F238E27FC236}">
                <a16:creationId xmlns:a16="http://schemas.microsoft.com/office/drawing/2014/main" id="{0263E613-5333-B5A6-0B96-D7DA313D2E4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67</xdr:row>
      <xdr:rowOff>58616</xdr:rowOff>
    </xdr:from>
    <xdr:to>
      <xdr:col>3</xdr:col>
      <xdr:colOff>977635</xdr:colOff>
      <xdr:row>67</xdr:row>
      <xdr:rowOff>249116</xdr:rowOff>
    </xdr:to>
    <xdr:grpSp>
      <xdr:nvGrpSpPr>
        <xdr:cNvPr id="4462" name="hinh2">
          <a:extLst>
            <a:ext uri="{FF2B5EF4-FFF2-40B4-BE49-F238E27FC236}">
              <a16:creationId xmlns:a16="http://schemas.microsoft.com/office/drawing/2014/main" id="{8BB95000-295E-442A-A3A3-C29EE4106789}"/>
            </a:ext>
          </a:extLst>
        </xdr:cNvPr>
        <xdr:cNvGrpSpPr>
          <a:grpSpLocks noChangeAspect="1"/>
        </xdr:cNvGrpSpPr>
      </xdr:nvGrpSpPr>
      <xdr:grpSpPr bwMode="auto">
        <a:xfrm>
          <a:off x="2374970" y="24728366"/>
          <a:ext cx="875058" cy="190500"/>
          <a:chOff x="206" y="86"/>
          <a:chExt cx="73" cy="16"/>
        </a:xfrm>
      </xdr:grpSpPr>
      <xdr:sp macro="" textlink="">
        <xdr:nvSpPr>
          <xdr:cNvPr id="4463" name="Line 6">
            <a:extLst>
              <a:ext uri="{FF2B5EF4-FFF2-40B4-BE49-F238E27FC236}">
                <a16:creationId xmlns:a16="http://schemas.microsoft.com/office/drawing/2014/main" id="{BC1C9A2A-6F73-399C-F952-799A15C1F3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4" name="Line 7">
            <a:extLst>
              <a:ext uri="{FF2B5EF4-FFF2-40B4-BE49-F238E27FC236}">
                <a16:creationId xmlns:a16="http://schemas.microsoft.com/office/drawing/2014/main" id="{0B10ECD9-2165-B95D-E290-2E3AFA2EC8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5" name="Line 8">
            <a:extLst>
              <a:ext uri="{FF2B5EF4-FFF2-40B4-BE49-F238E27FC236}">
                <a16:creationId xmlns:a16="http://schemas.microsoft.com/office/drawing/2014/main" id="{557869A1-DB1D-D9DE-8CBD-0A13CCFD5E3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75</xdr:row>
      <xdr:rowOff>80596</xdr:rowOff>
    </xdr:from>
    <xdr:to>
      <xdr:col>3</xdr:col>
      <xdr:colOff>970308</xdr:colOff>
      <xdr:row>75</xdr:row>
      <xdr:rowOff>244279</xdr:rowOff>
    </xdr:to>
    <xdr:grpSp>
      <xdr:nvGrpSpPr>
        <xdr:cNvPr id="4466" name="hinh2">
          <a:extLst>
            <a:ext uri="{FF2B5EF4-FFF2-40B4-BE49-F238E27FC236}">
              <a16:creationId xmlns:a16="http://schemas.microsoft.com/office/drawing/2014/main" id="{CEA4CABE-2521-405F-ACD5-408AE4E693E3}"/>
            </a:ext>
          </a:extLst>
        </xdr:cNvPr>
        <xdr:cNvGrpSpPr>
          <a:grpSpLocks noChangeAspect="1"/>
        </xdr:cNvGrpSpPr>
      </xdr:nvGrpSpPr>
      <xdr:grpSpPr bwMode="auto">
        <a:xfrm>
          <a:off x="2367643" y="27907203"/>
          <a:ext cx="875058" cy="163683"/>
          <a:chOff x="206" y="86"/>
          <a:chExt cx="73" cy="16"/>
        </a:xfrm>
      </xdr:grpSpPr>
      <xdr:sp macro="" textlink="">
        <xdr:nvSpPr>
          <xdr:cNvPr id="4467" name="Line 6">
            <a:extLst>
              <a:ext uri="{FF2B5EF4-FFF2-40B4-BE49-F238E27FC236}">
                <a16:creationId xmlns:a16="http://schemas.microsoft.com/office/drawing/2014/main" id="{724710F5-66DE-95D9-3730-FAFC13AF0A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8" name="Line 7">
            <a:extLst>
              <a:ext uri="{FF2B5EF4-FFF2-40B4-BE49-F238E27FC236}">
                <a16:creationId xmlns:a16="http://schemas.microsoft.com/office/drawing/2014/main" id="{EF021978-479F-3A30-BCCD-C2B5D6BD24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9" name="Line 8">
            <a:extLst>
              <a:ext uri="{FF2B5EF4-FFF2-40B4-BE49-F238E27FC236}">
                <a16:creationId xmlns:a16="http://schemas.microsoft.com/office/drawing/2014/main" id="{1EB11B51-978D-21D7-E7D1-24F3547010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59</xdr:row>
      <xdr:rowOff>58616</xdr:rowOff>
    </xdr:from>
    <xdr:to>
      <xdr:col>3</xdr:col>
      <xdr:colOff>977635</xdr:colOff>
      <xdr:row>59</xdr:row>
      <xdr:rowOff>249116</xdr:rowOff>
    </xdr:to>
    <xdr:grpSp>
      <xdr:nvGrpSpPr>
        <xdr:cNvPr id="4470" name="hinh2">
          <a:extLst>
            <a:ext uri="{FF2B5EF4-FFF2-40B4-BE49-F238E27FC236}">
              <a16:creationId xmlns:a16="http://schemas.microsoft.com/office/drawing/2014/main" id="{0150EBD2-4122-4866-8788-980EBDB7648D}"/>
            </a:ext>
          </a:extLst>
        </xdr:cNvPr>
        <xdr:cNvGrpSpPr>
          <a:grpSpLocks noChangeAspect="1"/>
        </xdr:cNvGrpSpPr>
      </xdr:nvGrpSpPr>
      <xdr:grpSpPr bwMode="auto">
        <a:xfrm>
          <a:off x="2374970" y="21571509"/>
          <a:ext cx="875058" cy="190500"/>
          <a:chOff x="206" y="86"/>
          <a:chExt cx="73" cy="16"/>
        </a:xfrm>
      </xdr:grpSpPr>
      <xdr:sp macro="" textlink="">
        <xdr:nvSpPr>
          <xdr:cNvPr id="4471" name="Line 6">
            <a:extLst>
              <a:ext uri="{FF2B5EF4-FFF2-40B4-BE49-F238E27FC236}">
                <a16:creationId xmlns:a16="http://schemas.microsoft.com/office/drawing/2014/main" id="{D4653518-F074-9346-D795-795FECEFDC1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2" name="Line 7">
            <a:extLst>
              <a:ext uri="{FF2B5EF4-FFF2-40B4-BE49-F238E27FC236}">
                <a16:creationId xmlns:a16="http://schemas.microsoft.com/office/drawing/2014/main" id="{77368D11-58D2-0061-715B-939748D83D6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3" name="Line 8">
            <a:extLst>
              <a:ext uri="{FF2B5EF4-FFF2-40B4-BE49-F238E27FC236}">
                <a16:creationId xmlns:a16="http://schemas.microsoft.com/office/drawing/2014/main" id="{946C1D17-EFD8-45D9-A62A-12AA25E5D07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60</xdr:row>
      <xdr:rowOff>80596</xdr:rowOff>
    </xdr:from>
    <xdr:to>
      <xdr:col>3</xdr:col>
      <xdr:colOff>970308</xdr:colOff>
      <xdr:row>60</xdr:row>
      <xdr:rowOff>244279</xdr:rowOff>
    </xdr:to>
    <xdr:grpSp>
      <xdr:nvGrpSpPr>
        <xdr:cNvPr id="4474" name="hinh2">
          <a:extLst>
            <a:ext uri="{FF2B5EF4-FFF2-40B4-BE49-F238E27FC236}">
              <a16:creationId xmlns:a16="http://schemas.microsoft.com/office/drawing/2014/main" id="{DE26D30D-CF86-4A2E-84AD-577641FD8A2F}"/>
            </a:ext>
          </a:extLst>
        </xdr:cNvPr>
        <xdr:cNvGrpSpPr>
          <a:grpSpLocks noChangeAspect="1"/>
        </xdr:cNvGrpSpPr>
      </xdr:nvGrpSpPr>
      <xdr:grpSpPr bwMode="auto">
        <a:xfrm>
          <a:off x="2367643" y="21988096"/>
          <a:ext cx="875058" cy="163683"/>
          <a:chOff x="206" y="86"/>
          <a:chExt cx="73" cy="16"/>
        </a:xfrm>
      </xdr:grpSpPr>
      <xdr:sp macro="" textlink="">
        <xdr:nvSpPr>
          <xdr:cNvPr id="4475" name="Line 6">
            <a:extLst>
              <a:ext uri="{FF2B5EF4-FFF2-40B4-BE49-F238E27FC236}">
                <a16:creationId xmlns:a16="http://schemas.microsoft.com/office/drawing/2014/main" id="{E93ADBD5-9728-0651-C48B-323E134E6C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6" name="Line 7">
            <a:extLst>
              <a:ext uri="{FF2B5EF4-FFF2-40B4-BE49-F238E27FC236}">
                <a16:creationId xmlns:a16="http://schemas.microsoft.com/office/drawing/2014/main" id="{BAA31108-4222-3AB2-1CC7-E986BA65ABC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7" name="Line 8">
            <a:extLst>
              <a:ext uri="{FF2B5EF4-FFF2-40B4-BE49-F238E27FC236}">
                <a16:creationId xmlns:a16="http://schemas.microsoft.com/office/drawing/2014/main" id="{AD96F7DB-6DF5-E2AD-9992-6FAEF575B53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61</xdr:row>
      <xdr:rowOff>58616</xdr:rowOff>
    </xdr:from>
    <xdr:to>
      <xdr:col>3</xdr:col>
      <xdr:colOff>977635</xdr:colOff>
      <xdr:row>61</xdr:row>
      <xdr:rowOff>249116</xdr:rowOff>
    </xdr:to>
    <xdr:grpSp>
      <xdr:nvGrpSpPr>
        <xdr:cNvPr id="4478" name="hinh2">
          <a:extLst>
            <a:ext uri="{FF2B5EF4-FFF2-40B4-BE49-F238E27FC236}">
              <a16:creationId xmlns:a16="http://schemas.microsoft.com/office/drawing/2014/main" id="{DA39FC18-BFE3-44B5-8D45-0B729CA95086}"/>
            </a:ext>
          </a:extLst>
        </xdr:cNvPr>
        <xdr:cNvGrpSpPr>
          <a:grpSpLocks noChangeAspect="1"/>
        </xdr:cNvGrpSpPr>
      </xdr:nvGrpSpPr>
      <xdr:grpSpPr bwMode="auto">
        <a:xfrm>
          <a:off x="2374970" y="22360723"/>
          <a:ext cx="875058" cy="190500"/>
          <a:chOff x="206" y="86"/>
          <a:chExt cx="73" cy="16"/>
        </a:xfrm>
      </xdr:grpSpPr>
      <xdr:sp macro="" textlink="">
        <xdr:nvSpPr>
          <xdr:cNvPr id="4479" name="Line 6">
            <a:extLst>
              <a:ext uri="{FF2B5EF4-FFF2-40B4-BE49-F238E27FC236}">
                <a16:creationId xmlns:a16="http://schemas.microsoft.com/office/drawing/2014/main" id="{35686085-4B3E-A769-4819-B16A18C3622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0" name="Line 7">
            <a:extLst>
              <a:ext uri="{FF2B5EF4-FFF2-40B4-BE49-F238E27FC236}">
                <a16:creationId xmlns:a16="http://schemas.microsoft.com/office/drawing/2014/main" id="{CA984304-5FD1-8665-C769-83A722CEB85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1" name="Line 8">
            <a:extLst>
              <a:ext uri="{FF2B5EF4-FFF2-40B4-BE49-F238E27FC236}">
                <a16:creationId xmlns:a16="http://schemas.microsoft.com/office/drawing/2014/main" id="{99A7407B-D606-BC39-7576-19AE9D02D6B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62</xdr:row>
      <xdr:rowOff>80596</xdr:rowOff>
    </xdr:from>
    <xdr:to>
      <xdr:col>3</xdr:col>
      <xdr:colOff>970308</xdr:colOff>
      <xdr:row>62</xdr:row>
      <xdr:rowOff>244279</xdr:rowOff>
    </xdr:to>
    <xdr:grpSp>
      <xdr:nvGrpSpPr>
        <xdr:cNvPr id="4482" name="hinh2">
          <a:extLst>
            <a:ext uri="{FF2B5EF4-FFF2-40B4-BE49-F238E27FC236}">
              <a16:creationId xmlns:a16="http://schemas.microsoft.com/office/drawing/2014/main" id="{D3C55B84-5ED9-4596-AE0E-1C38F550D525}"/>
            </a:ext>
          </a:extLst>
        </xdr:cNvPr>
        <xdr:cNvGrpSpPr>
          <a:grpSpLocks noChangeAspect="1"/>
        </xdr:cNvGrpSpPr>
      </xdr:nvGrpSpPr>
      <xdr:grpSpPr bwMode="auto">
        <a:xfrm>
          <a:off x="2367643" y="22777310"/>
          <a:ext cx="875058" cy="163683"/>
          <a:chOff x="206" y="86"/>
          <a:chExt cx="73" cy="16"/>
        </a:xfrm>
      </xdr:grpSpPr>
      <xdr:sp macro="" textlink="">
        <xdr:nvSpPr>
          <xdr:cNvPr id="4483" name="Line 6">
            <a:extLst>
              <a:ext uri="{FF2B5EF4-FFF2-40B4-BE49-F238E27FC236}">
                <a16:creationId xmlns:a16="http://schemas.microsoft.com/office/drawing/2014/main" id="{A7720A64-35AF-A3C4-C195-1BBA305EF7E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4" name="Line 7">
            <a:extLst>
              <a:ext uri="{FF2B5EF4-FFF2-40B4-BE49-F238E27FC236}">
                <a16:creationId xmlns:a16="http://schemas.microsoft.com/office/drawing/2014/main" id="{4441DBB4-19C9-D301-7C68-E086294B45A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5" name="Line 8">
            <a:extLst>
              <a:ext uri="{FF2B5EF4-FFF2-40B4-BE49-F238E27FC236}">
                <a16:creationId xmlns:a16="http://schemas.microsoft.com/office/drawing/2014/main" id="{D11EE3FE-6A5F-A68E-8888-FD69B27C68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63</xdr:row>
      <xdr:rowOff>58616</xdr:rowOff>
    </xdr:from>
    <xdr:to>
      <xdr:col>3</xdr:col>
      <xdr:colOff>977635</xdr:colOff>
      <xdr:row>63</xdr:row>
      <xdr:rowOff>249116</xdr:rowOff>
    </xdr:to>
    <xdr:grpSp>
      <xdr:nvGrpSpPr>
        <xdr:cNvPr id="4486" name="hinh2">
          <a:extLst>
            <a:ext uri="{FF2B5EF4-FFF2-40B4-BE49-F238E27FC236}">
              <a16:creationId xmlns:a16="http://schemas.microsoft.com/office/drawing/2014/main" id="{6D9845A6-8905-4696-AA4B-AC851DF8C31A}"/>
            </a:ext>
          </a:extLst>
        </xdr:cNvPr>
        <xdr:cNvGrpSpPr>
          <a:grpSpLocks noChangeAspect="1"/>
        </xdr:cNvGrpSpPr>
      </xdr:nvGrpSpPr>
      <xdr:grpSpPr bwMode="auto">
        <a:xfrm>
          <a:off x="2374970" y="23149937"/>
          <a:ext cx="875058" cy="190500"/>
          <a:chOff x="206" y="86"/>
          <a:chExt cx="73" cy="16"/>
        </a:xfrm>
      </xdr:grpSpPr>
      <xdr:sp macro="" textlink="">
        <xdr:nvSpPr>
          <xdr:cNvPr id="4487" name="Line 6">
            <a:extLst>
              <a:ext uri="{FF2B5EF4-FFF2-40B4-BE49-F238E27FC236}">
                <a16:creationId xmlns:a16="http://schemas.microsoft.com/office/drawing/2014/main" id="{1D55CDDC-98FD-C112-7D1A-60E886CC6EA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8" name="Line 7">
            <a:extLst>
              <a:ext uri="{FF2B5EF4-FFF2-40B4-BE49-F238E27FC236}">
                <a16:creationId xmlns:a16="http://schemas.microsoft.com/office/drawing/2014/main" id="{F82E065E-6C68-505C-D6C1-7AF75FACC89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9" name="Line 8">
            <a:extLst>
              <a:ext uri="{FF2B5EF4-FFF2-40B4-BE49-F238E27FC236}">
                <a16:creationId xmlns:a16="http://schemas.microsoft.com/office/drawing/2014/main" id="{0518F921-1BC1-6462-67E0-1AA93E2830F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64</xdr:row>
      <xdr:rowOff>80596</xdr:rowOff>
    </xdr:from>
    <xdr:to>
      <xdr:col>3</xdr:col>
      <xdr:colOff>970308</xdr:colOff>
      <xdr:row>64</xdr:row>
      <xdr:rowOff>244279</xdr:rowOff>
    </xdr:to>
    <xdr:grpSp>
      <xdr:nvGrpSpPr>
        <xdr:cNvPr id="4490" name="hinh2">
          <a:extLst>
            <a:ext uri="{FF2B5EF4-FFF2-40B4-BE49-F238E27FC236}">
              <a16:creationId xmlns:a16="http://schemas.microsoft.com/office/drawing/2014/main" id="{26EA0BB3-3505-4365-BAF6-F980B82D8671}"/>
            </a:ext>
          </a:extLst>
        </xdr:cNvPr>
        <xdr:cNvGrpSpPr>
          <a:grpSpLocks noChangeAspect="1"/>
        </xdr:cNvGrpSpPr>
      </xdr:nvGrpSpPr>
      <xdr:grpSpPr bwMode="auto">
        <a:xfrm>
          <a:off x="2367643" y="23566525"/>
          <a:ext cx="875058" cy="163683"/>
          <a:chOff x="206" y="86"/>
          <a:chExt cx="73" cy="16"/>
        </a:xfrm>
      </xdr:grpSpPr>
      <xdr:sp macro="" textlink="">
        <xdr:nvSpPr>
          <xdr:cNvPr id="4491" name="Line 6">
            <a:extLst>
              <a:ext uri="{FF2B5EF4-FFF2-40B4-BE49-F238E27FC236}">
                <a16:creationId xmlns:a16="http://schemas.microsoft.com/office/drawing/2014/main" id="{763E9246-23CD-8EE1-B508-A5F8B80358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2" name="Line 7">
            <a:extLst>
              <a:ext uri="{FF2B5EF4-FFF2-40B4-BE49-F238E27FC236}">
                <a16:creationId xmlns:a16="http://schemas.microsoft.com/office/drawing/2014/main" id="{1037F1D4-0EC5-F37F-1794-F33439B4607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3" name="Line 8">
            <a:extLst>
              <a:ext uri="{FF2B5EF4-FFF2-40B4-BE49-F238E27FC236}">
                <a16:creationId xmlns:a16="http://schemas.microsoft.com/office/drawing/2014/main" id="{173D8AF5-A79E-985D-8149-A4C1036BAE0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65</xdr:row>
      <xdr:rowOff>58616</xdr:rowOff>
    </xdr:from>
    <xdr:to>
      <xdr:col>3</xdr:col>
      <xdr:colOff>977635</xdr:colOff>
      <xdr:row>65</xdr:row>
      <xdr:rowOff>249116</xdr:rowOff>
    </xdr:to>
    <xdr:grpSp>
      <xdr:nvGrpSpPr>
        <xdr:cNvPr id="4494" name="hinh2">
          <a:extLst>
            <a:ext uri="{FF2B5EF4-FFF2-40B4-BE49-F238E27FC236}">
              <a16:creationId xmlns:a16="http://schemas.microsoft.com/office/drawing/2014/main" id="{87BCF97B-6405-4B7A-9C42-FB813F6CC7E3}"/>
            </a:ext>
          </a:extLst>
        </xdr:cNvPr>
        <xdr:cNvGrpSpPr>
          <a:grpSpLocks noChangeAspect="1"/>
        </xdr:cNvGrpSpPr>
      </xdr:nvGrpSpPr>
      <xdr:grpSpPr bwMode="auto">
        <a:xfrm>
          <a:off x="2374970" y="23939152"/>
          <a:ext cx="875058" cy="190500"/>
          <a:chOff x="206" y="86"/>
          <a:chExt cx="73" cy="16"/>
        </a:xfrm>
      </xdr:grpSpPr>
      <xdr:sp macro="" textlink="">
        <xdr:nvSpPr>
          <xdr:cNvPr id="4495" name="Line 6">
            <a:extLst>
              <a:ext uri="{FF2B5EF4-FFF2-40B4-BE49-F238E27FC236}">
                <a16:creationId xmlns:a16="http://schemas.microsoft.com/office/drawing/2014/main" id="{EA12624B-AD1C-02F4-83E8-023E975A514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6" name="Line 7">
            <a:extLst>
              <a:ext uri="{FF2B5EF4-FFF2-40B4-BE49-F238E27FC236}">
                <a16:creationId xmlns:a16="http://schemas.microsoft.com/office/drawing/2014/main" id="{DA57F4F0-A07A-4B9E-FCF2-730B6A3067F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7" name="Line 8">
            <a:extLst>
              <a:ext uri="{FF2B5EF4-FFF2-40B4-BE49-F238E27FC236}">
                <a16:creationId xmlns:a16="http://schemas.microsoft.com/office/drawing/2014/main" id="{D3F845E2-D9AA-3D7C-A562-04905BDC271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66</xdr:row>
      <xdr:rowOff>80596</xdr:rowOff>
    </xdr:from>
    <xdr:to>
      <xdr:col>3</xdr:col>
      <xdr:colOff>970308</xdr:colOff>
      <xdr:row>66</xdr:row>
      <xdr:rowOff>244279</xdr:rowOff>
    </xdr:to>
    <xdr:grpSp>
      <xdr:nvGrpSpPr>
        <xdr:cNvPr id="4498" name="hinh2">
          <a:extLst>
            <a:ext uri="{FF2B5EF4-FFF2-40B4-BE49-F238E27FC236}">
              <a16:creationId xmlns:a16="http://schemas.microsoft.com/office/drawing/2014/main" id="{5BC25CE9-5FBD-4DFE-AB6D-0605B1343235}"/>
            </a:ext>
          </a:extLst>
        </xdr:cNvPr>
        <xdr:cNvGrpSpPr>
          <a:grpSpLocks noChangeAspect="1"/>
        </xdr:cNvGrpSpPr>
      </xdr:nvGrpSpPr>
      <xdr:grpSpPr bwMode="auto">
        <a:xfrm>
          <a:off x="2367643" y="24355739"/>
          <a:ext cx="875058" cy="163683"/>
          <a:chOff x="206" y="86"/>
          <a:chExt cx="73" cy="16"/>
        </a:xfrm>
      </xdr:grpSpPr>
      <xdr:sp macro="" textlink="">
        <xdr:nvSpPr>
          <xdr:cNvPr id="4499" name="Line 6">
            <a:extLst>
              <a:ext uri="{FF2B5EF4-FFF2-40B4-BE49-F238E27FC236}">
                <a16:creationId xmlns:a16="http://schemas.microsoft.com/office/drawing/2014/main" id="{3017B6BF-3FB2-6CE0-4726-6612F21E513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0" name="Line 7">
            <a:extLst>
              <a:ext uri="{FF2B5EF4-FFF2-40B4-BE49-F238E27FC236}">
                <a16:creationId xmlns:a16="http://schemas.microsoft.com/office/drawing/2014/main" id="{4A125404-C4A0-6F61-1454-19DFC9C2DC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1" name="Line 8">
            <a:extLst>
              <a:ext uri="{FF2B5EF4-FFF2-40B4-BE49-F238E27FC236}">
                <a16:creationId xmlns:a16="http://schemas.microsoft.com/office/drawing/2014/main" id="{ADC2D0E2-8F8F-0D79-3FCD-5AA8436B56F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74</xdr:row>
      <xdr:rowOff>58616</xdr:rowOff>
    </xdr:from>
    <xdr:to>
      <xdr:col>3</xdr:col>
      <xdr:colOff>977635</xdr:colOff>
      <xdr:row>74</xdr:row>
      <xdr:rowOff>249116</xdr:rowOff>
    </xdr:to>
    <xdr:grpSp>
      <xdr:nvGrpSpPr>
        <xdr:cNvPr id="4502" name="hinh2">
          <a:extLst>
            <a:ext uri="{FF2B5EF4-FFF2-40B4-BE49-F238E27FC236}">
              <a16:creationId xmlns:a16="http://schemas.microsoft.com/office/drawing/2014/main" id="{E44F8607-5874-40FB-A792-FC5113918CAA}"/>
            </a:ext>
          </a:extLst>
        </xdr:cNvPr>
        <xdr:cNvGrpSpPr>
          <a:grpSpLocks noChangeAspect="1"/>
        </xdr:cNvGrpSpPr>
      </xdr:nvGrpSpPr>
      <xdr:grpSpPr bwMode="auto">
        <a:xfrm>
          <a:off x="2374970" y="27490616"/>
          <a:ext cx="875058" cy="190500"/>
          <a:chOff x="206" y="86"/>
          <a:chExt cx="73" cy="16"/>
        </a:xfrm>
      </xdr:grpSpPr>
      <xdr:sp macro="" textlink="">
        <xdr:nvSpPr>
          <xdr:cNvPr id="4503" name="Line 6">
            <a:extLst>
              <a:ext uri="{FF2B5EF4-FFF2-40B4-BE49-F238E27FC236}">
                <a16:creationId xmlns:a16="http://schemas.microsoft.com/office/drawing/2014/main" id="{082FDB1A-954D-E29A-C709-407D596FEC8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4" name="Line 7">
            <a:extLst>
              <a:ext uri="{FF2B5EF4-FFF2-40B4-BE49-F238E27FC236}">
                <a16:creationId xmlns:a16="http://schemas.microsoft.com/office/drawing/2014/main" id="{7E46679A-8C7A-6EF3-7A56-77967B87C68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5" name="Line 8">
            <a:extLst>
              <a:ext uri="{FF2B5EF4-FFF2-40B4-BE49-F238E27FC236}">
                <a16:creationId xmlns:a16="http://schemas.microsoft.com/office/drawing/2014/main" id="{4816DD94-99DB-A493-C38E-AFE4535D37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68</xdr:row>
      <xdr:rowOff>58616</xdr:rowOff>
    </xdr:from>
    <xdr:to>
      <xdr:col>3</xdr:col>
      <xdr:colOff>977635</xdr:colOff>
      <xdr:row>68</xdr:row>
      <xdr:rowOff>249116</xdr:rowOff>
    </xdr:to>
    <xdr:grpSp>
      <xdr:nvGrpSpPr>
        <xdr:cNvPr id="4506" name="hinh2">
          <a:extLst>
            <a:ext uri="{FF2B5EF4-FFF2-40B4-BE49-F238E27FC236}">
              <a16:creationId xmlns:a16="http://schemas.microsoft.com/office/drawing/2014/main" id="{60D60694-E086-45FE-872D-3EF79EFC76FD}"/>
            </a:ext>
          </a:extLst>
        </xdr:cNvPr>
        <xdr:cNvGrpSpPr>
          <a:grpSpLocks noChangeAspect="1"/>
        </xdr:cNvGrpSpPr>
      </xdr:nvGrpSpPr>
      <xdr:grpSpPr bwMode="auto">
        <a:xfrm>
          <a:off x="2374970" y="25122973"/>
          <a:ext cx="875058" cy="190500"/>
          <a:chOff x="206" y="86"/>
          <a:chExt cx="73" cy="16"/>
        </a:xfrm>
      </xdr:grpSpPr>
      <xdr:sp macro="" textlink="">
        <xdr:nvSpPr>
          <xdr:cNvPr id="4507" name="Line 6">
            <a:extLst>
              <a:ext uri="{FF2B5EF4-FFF2-40B4-BE49-F238E27FC236}">
                <a16:creationId xmlns:a16="http://schemas.microsoft.com/office/drawing/2014/main" id="{C06B122C-CBCE-6E64-1F86-279097D3669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8" name="Line 7">
            <a:extLst>
              <a:ext uri="{FF2B5EF4-FFF2-40B4-BE49-F238E27FC236}">
                <a16:creationId xmlns:a16="http://schemas.microsoft.com/office/drawing/2014/main" id="{09F0C707-08E7-8A1E-A9B3-064AAC622A8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9" name="Line 8">
            <a:extLst>
              <a:ext uri="{FF2B5EF4-FFF2-40B4-BE49-F238E27FC236}">
                <a16:creationId xmlns:a16="http://schemas.microsoft.com/office/drawing/2014/main" id="{7E727404-FDEF-19B3-516E-B9BA7BE48CF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69</xdr:row>
      <xdr:rowOff>80596</xdr:rowOff>
    </xdr:from>
    <xdr:to>
      <xdr:col>3</xdr:col>
      <xdr:colOff>970308</xdr:colOff>
      <xdr:row>69</xdr:row>
      <xdr:rowOff>244279</xdr:rowOff>
    </xdr:to>
    <xdr:grpSp>
      <xdr:nvGrpSpPr>
        <xdr:cNvPr id="4510" name="hinh2">
          <a:extLst>
            <a:ext uri="{FF2B5EF4-FFF2-40B4-BE49-F238E27FC236}">
              <a16:creationId xmlns:a16="http://schemas.microsoft.com/office/drawing/2014/main" id="{600D470A-932B-4D72-A99C-958A0E17D3C9}"/>
            </a:ext>
          </a:extLst>
        </xdr:cNvPr>
        <xdr:cNvGrpSpPr>
          <a:grpSpLocks noChangeAspect="1"/>
        </xdr:cNvGrpSpPr>
      </xdr:nvGrpSpPr>
      <xdr:grpSpPr bwMode="auto">
        <a:xfrm>
          <a:off x="2367643" y="25539560"/>
          <a:ext cx="875058" cy="163683"/>
          <a:chOff x="206" y="86"/>
          <a:chExt cx="73" cy="16"/>
        </a:xfrm>
      </xdr:grpSpPr>
      <xdr:sp macro="" textlink="">
        <xdr:nvSpPr>
          <xdr:cNvPr id="4511" name="Line 6">
            <a:extLst>
              <a:ext uri="{FF2B5EF4-FFF2-40B4-BE49-F238E27FC236}">
                <a16:creationId xmlns:a16="http://schemas.microsoft.com/office/drawing/2014/main" id="{5A3A2E25-D6D2-A129-7628-32F42DC2934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2" name="Line 7">
            <a:extLst>
              <a:ext uri="{FF2B5EF4-FFF2-40B4-BE49-F238E27FC236}">
                <a16:creationId xmlns:a16="http://schemas.microsoft.com/office/drawing/2014/main" id="{4232DC1F-77C7-298E-2FE7-6484DAB62EF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3" name="Line 8">
            <a:extLst>
              <a:ext uri="{FF2B5EF4-FFF2-40B4-BE49-F238E27FC236}">
                <a16:creationId xmlns:a16="http://schemas.microsoft.com/office/drawing/2014/main" id="{CFB31A6E-2C03-2461-4CDE-A72BED5F0E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70</xdr:row>
      <xdr:rowOff>58616</xdr:rowOff>
    </xdr:from>
    <xdr:to>
      <xdr:col>3</xdr:col>
      <xdr:colOff>977635</xdr:colOff>
      <xdr:row>70</xdr:row>
      <xdr:rowOff>249116</xdr:rowOff>
    </xdr:to>
    <xdr:grpSp>
      <xdr:nvGrpSpPr>
        <xdr:cNvPr id="4514" name="hinh2">
          <a:extLst>
            <a:ext uri="{FF2B5EF4-FFF2-40B4-BE49-F238E27FC236}">
              <a16:creationId xmlns:a16="http://schemas.microsoft.com/office/drawing/2014/main" id="{00D2CE1D-8607-4F10-81E5-140711892810}"/>
            </a:ext>
          </a:extLst>
        </xdr:cNvPr>
        <xdr:cNvGrpSpPr>
          <a:grpSpLocks noChangeAspect="1"/>
        </xdr:cNvGrpSpPr>
      </xdr:nvGrpSpPr>
      <xdr:grpSpPr bwMode="auto">
        <a:xfrm>
          <a:off x="2374970" y="25912187"/>
          <a:ext cx="875058" cy="190500"/>
          <a:chOff x="206" y="86"/>
          <a:chExt cx="73" cy="16"/>
        </a:xfrm>
      </xdr:grpSpPr>
      <xdr:sp macro="" textlink="">
        <xdr:nvSpPr>
          <xdr:cNvPr id="4515" name="Line 6">
            <a:extLst>
              <a:ext uri="{FF2B5EF4-FFF2-40B4-BE49-F238E27FC236}">
                <a16:creationId xmlns:a16="http://schemas.microsoft.com/office/drawing/2014/main" id="{38F3A17B-FC5D-98E0-0A83-48C7D23D7F0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6" name="Line 7">
            <a:extLst>
              <a:ext uri="{FF2B5EF4-FFF2-40B4-BE49-F238E27FC236}">
                <a16:creationId xmlns:a16="http://schemas.microsoft.com/office/drawing/2014/main" id="{6380E920-5AEE-EF7D-015F-29E59CACDB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7" name="Line 8">
            <a:extLst>
              <a:ext uri="{FF2B5EF4-FFF2-40B4-BE49-F238E27FC236}">
                <a16:creationId xmlns:a16="http://schemas.microsoft.com/office/drawing/2014/main" id="{3565896E-FCAF-CFA8-012E-897064A419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71</xdr:row>
      <xdr:rowOff>80596</xdr:rowOff>
    </xdr:from>
    <xdr:to>
      <xdr:col>3</xdr:col>
      <xdr:colOff>970308</xdr:colOff>
      <xdr:row>71</xdr:row>
      <xdr:rowOff>244279</xdr:rowOff>
    </xdr:to>
    <xdr:grpSp>
      <xdr:nvGrpSpPr>
        <xdr:cNvPr id="4518" name="hinh2">
          <a:extLst>
            <a:ext uri="{FF2B5EF4-FFF2-40B4-BE49-F238E27FC236}">
              <a16:creationId xmlns:a16="http://schemas.microsoft.com/office/drawing/2014/main" id="{01B60F6A-9F7A-4633-99E4-BAF1FB414345}"/>
            </a:ext>
          </a:extLst>
        </xdr:cNvPr>
        <xdr:cNvGrpSpPr>
          <a:grpSpLocks noChangeAspect="1"/>
        </xdr:cNvGrpSpPr>
      </xdr:nvGrpSpPr>
      <xdr:grpSpPr bwMode="auto">
        <a:xfrm>
          <a:off x="2367643" y="26328775"/>
          <a:ext cx="875058" cy="163683"/>
          <a:chOff x="206" y="86"/>
          <a:chExt cx="73" cy="16"/>
        </a:xfrm>
      </xdr:grpSpPr>
      <xdr:sp macro="" textlink="">
        <xdr:nvSpPr>
          <xdr:cNvPr id="4519" name="Line 6">
            <a:extLst>
              <a:ext uri="{FF2B5EF4-FFF2-40B4-BE49-F238E27FC236}">
                <a16:creationId xmlns:a16="http://schemas.microsoft.com/office/drawing/2014/main" id="{6CB8EDE1-71E0-0FCA-1868-ECC01CA7DE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0" name="Line 7">
            <a:extLst>
              <a:ext uri="{FF2B5EF4-FFF2-40B4-BE49-F238E27FC236}">
                <a16:creationId xmlns:a16="http://schemas.microsoft.com/office/drawing/2014/main" id="{F6560B1E-D4E3-BB6B-A4AA-37CDF8B3630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1" name="Line 8">
            <a:extLst>
              <a:ext uri="{FF2B5EF4-FFF2-40B4-BE49-F238E27FC236}">
                <a16:creationId xmlns:a16="http://schemas.microsoft.com/office/drawing/2014/main" id="{009B1BA8-6B8B-223B-73EB-2F4344F17D3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73</xdr:row>
      <xdr:rowOff>58616</xdr:rowOff>
    </xdr:from>
    <xdr:to>
      <xdr:col>3</xdr:col>
      <xdr:colOff>977635</xdr:colOff>
      <xdr:row>73</xdr:row>
      <xdr:rowOff>249116</xdr:rowOff>
    </xdr:to>
    <xdr:grpSp>
      <xdr:nvGrpSpPr>
        <xdr:cNvPr id="4522" name="hinh2">
          <a:extLst>
            <a:ext uri="{FF2B5EF4-FFF2-40B4-BE49-F238E27FC236}">
              <a16:creationId xmlns:a16="http://schemas.microsoft.com/office/drawing/2014/main" id="{B0310ABE-624C-4252-BA48-5B55576726CC}"/>
            </a:ext>
          </a:extLst>
        </xdr:cNvPr>
        <xdr:cNvGrpSpPr>
          <a:grpSpLocks noChangeAspect="1"/>
        </xdr:cNvGrpSpPr>
      </xdr:nvGrpSpPr>
      <xdr:grpSpPr bwMode="auto">
        <a:xfrm>
          <a:off x="2374970" y="27096009"/>
          <a:ext cx="875058" cy="190500"/>
          <a:chOff x="206" y="86"/>
          <a:chExt cx="73" cy="16"/>
        </a:xfrm>
      </xdr:grpSpPr>
      <xdr:sp macro="" textlink="">
        <xdr:nvSpPr>
          <xdr:cNvPr id="4523" name="Line 6">
            <a:extLst>
              <a:ext uri="{FF2B5EF4-FFF2-40B4-BE49-F238E27FC236}">
                <a16:creationId xmlns:a16="http://schemas.microsoft.com/office/drawing/2014/main" id="{B9AC6771-27DE-7407-F548-CF489747CC3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4" name="Line 7">
            <a:extLst>
              <a:ext uri="{FF2B5EF4-FFF2-40B4-BE49-F238E27FC236}">
                <a16:creationId xmlns:a16="http://schemas.microsoft.com/office/drawing/2014/main" id="{3F42BE48-CFE1-4207-08E0-42D9138C035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5" name="Line 8">
            <a:extLst>
              <a:ext uri="{FF2B5EF4-FFF2-40B4-BE49-F238E27FC236}">
                <a16:creationId xmlns:a16="http://schemas.microsoft.com/office/drawing/2014/main" id="{0A67C74C-E77D-B34E-8E2F-A183BE10EC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102577</xdr:colOff>
      <xdr:row>72</xdr:row>
      <xdr:rowOff>58616</xdr:rowOff>
    </xdr:from>
    <xdr:to>
      <xdr:col>3</xdr:col>
      <xdr:colOff>977635</xdr:colOff>
      <xdr:row>72</xdr:row>
      <xdr:rowOff>249116</xdr:rowOff>
    </xdr:to>
    <xdr:grpSp>
      <xdr:nvGrpSpPr>
        <xdr:cNvPr id="4526" name="hinh2">
          <a:extLst>
            <a:ext uri="{FF2B5EF4-FFF2-40B4-BE49-F238E27FC236}">
              <a16:creationId xmlns:a16="http://schemas.microsoft.com/office/drawing/2014/main" id="{BAC79E8C-C8D3-475A-86D4-67E07C103D8E}"/>
            </a:ext>
          </a:extLst>
        </xdr:cNvPr>
        <xdr:cNvGrpSpPr>
          <a:grpSpLocks noChangeAspect="1"/>
        </xdr:cNvGrpSpPr>
      </xdr:nvGrpSpPr>
      <xdr:grpSpPr bwMode="auto">
        <a:xfrm>
          <a:off x="2374970" y="26701402"/>
          <a:ext cx="875058" cy="190500"/>
          <a:chOff x="206" y="86"/>
          <a:chExt cx="73" cy="16"/>
        </a:xfrm>
      </xdr:grpSpPr>
      <xdr:sp macro="" textlink="">
        <xdr:nvSpPr>
          <xdr:cNvPr id="4527" name="Line 6">
            <a:extLst>
              <a:ext uri="{FF2B5EF4-FFF2-40B4-BE49-F238E27FC236}">
                <a16:creationId xmlns:a16="http://schemas.microsoft.com/office/drawing/2014/main" id="{555FC8FD-9505-3FAE-CB9C-00D3C0F9CB0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8" name="Line 7">
            <a:extLst>
              <a:ext uri="{FF2B5EF4-FFF2-40B4-BE49-F238E27FC236}">
                <a16:creationId xmlns:a16="http://schemas.microsoft.com/office/drawing/2014/main" id="{1C7372CF-AC84-12AF-0652-952325A8DBC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9" name="Line 8">
            <a:extLst>
              <a:ext uri="{FF2B5EF4-FFF2-40B4-BE49-F238E27FC236}">
                <a16:creationId xmlns:a16="http://schemas.microsoft.com/office/drawing/2014/main" id="{12C42C12-D4D7-2560-AE59-58CC85BCFCA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38</xdr:row>
      <xdr:rowOff>80596</xdr:rowOff>
    </xdr:from>
    <xdr:to>
      <xdr:col>3</xdr:col>
      <xdr:colOff>970308</xdr:colOff>
      <xdr:row>38</xdr:row>
      <xdr:rowOff>244279</xdr:rowOff>
    </xdr:to>
    <xdr:grpSp>
      <xdr:nvGrpSpPr>
        <xdr:cNvPr id="4530" name="hinh2">
          <a:extLst>
            <a:ext uri="{FF2B5EF4-FFF2-40B4-BE49-F238E27FC236}">
              <a16:creationId xmlns:a16="http://schemas.microsoft.com/office/drawing/2014/main" id="{3288BECE-6161-432E-AC2C-9D53BDD47E3E}"/>
            </a:ext>
          </a:extLst>
        </xdr:cNvPr>
        <xdr:cNvGrpSpPr>
          <a:grpSpLocks noChangeAspect="1"/>
        </xdr:cNvGrpSpPr>
      </xdr:nvGrpSpPr>
      <xdr:grpSpPr bwMode="auto">
        <a:xfrm>
          <a:off x="2367643" y="13674132"/>
          <a:ext cx="875058" cy="163683"/>
          <a:chOff x="206" y="86"/>
          <a:chExt cx="73" cy="16"/>
        </a:xfrm>
      </xdr:grpSpPr>
      <xdr:sp macro="" textlink="">
        <xdr:nvSpPr>
          <xdr:cNvPr id="4531" name="Line 6">
            <a:extLst>
              <a:ext uri="{FF2B5EF4-FFF2-40B4-BE49-F238E27FC236}">
                <a16:creationId xmlns:a16="http://schemas.microsoft.com/office/drawing/2014/main" id="{9AD1731C-AAE9-0327-3279-CA65329AA82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2" name="Line 7">
            <a:extLst>
              <a:ext uri="{FF2B5EF4-FFF2-40B4-BE49-F238E27FC236}">
                <a16:creationId xmlns:a16="http://schemas.microsoft.com/office/drawing/2014/main" id="{1508BB0C-5077-F155-00EA-872B5E8231D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3" name="Line 8">
            <a:extLst>
              <a:ext uri="{FF2B5EF4-FFF2-40B4-BE49-F238E27FC236}">
                <a16:creationId xmlns:a16="http://schemas.microsoft.com/office/drawing/2014/main" id="{FBC18492-BB72-A065-B57E-AEBE72D29E2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40</xdr:row>
      <xdr:rowOff>80596</xdr:rowOff>
    </xdr:from>
    <xdr:to>
      <xdr:col>3</xdr:col>
      <xdr:colOff>970308</xdr:colOff>
      <xdr:row>40</xdr:row>
      <xdr:rowOff>244279</xdr:rowOff>
    </xdr:to>
    <xdr:grpSp>
      <xdr:nvGrpSpPr>
        <xdr:cNvPr id="4538" name="hinh2">
          <a:extLst>
            <a:ext uri="{FF2B5EF4-FFF2-40B4-BE49-F238E27FC236}">
              <a16:creationId xmlns:a16="http://schemas.microsoft.com/office/drawing/2014/main" id="{4AFAC3F1-1AF8-44E4-BA67-A06C5456431C}"/>
            </a:ext>
          </a:extLst>
        </xdr:cNvPr>
        <xdr:cNvGrpSpPr>
          <a:grpSpLocks noChangeAspect="1"/>
        </xdr:cNvGrpSpPr>
      </xdr:nvGrpSpPr>
      <xdr:grpSpPr bwMode="auto">
        <a:xfrm>
          <a:off x="2367643" y="14463346"/>
          <a:ext cx="875058" cy="163683"/>
          <a:chOff x="206" y="86"/>
          <a:chExt cx="73" cy="16"/>
        </a:xfrm>
      </xdr:grpSpPr>
      <xdr:sp macro="" textlink="">
        <xdr:nvSpPr>
          <xdr:cNvPr id="4539" name="Line 6">
            <a:extLst>
              <a:ext uri="{FF2B5EF4-FFF2-40B4-BE49-F238E27FC236}">
                <a16:creationId xmlns:a16="http://schemas.microsoft.com/office/drawing/2014/main" id="{CE160C89-DDF7-A913-2D7B-887EE9A030E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0" name="Line 7">
            <a:extLst>
              <a:ext uri="{FF2B5EF4-FFF2-40B4-BE49-F238E27FC236}">
                <a16:creationId xmlns:a16="http://schemas.microsoft.com/office/drawing/2014/main" id="{A3613C13-342A-09E9-2D2F-8438E935650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1" name="Line 8">
            <a:extLst>
              <a:ext uri="{FF2B5EF4-FFF2-40B4-BE49-F238E27FC236}">
                <a16:creationId xmlns:a16="http://schemas.microsoft.com/office/drawing/2014/main" id="{3E33B68B-0A1F-AF29-1D7C-9C3760E4FDB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41</xdr:row>
      <xdr:rowOff>80596</xdr:rowOff>
    </xdr:from>
    <xdr:to>
      <xdr:col>3</xdr:col>
      <xdr:colOff>970308</xdr:colOff>
      <xdr:row>41</xdr:row>
      <xdr:rowOff>244279</xdr:rowOff>
    </xdr:to>
    <xdr:grpSp>
      <xdr:nvGrpSpPr>
        <xdr:cNvPr id="4542" name="hinh2">
          <a:extLst>
            <a:ext uri="{FF2B5EF4-FFF2-40B4-BE49-F238E27FC236}">
              <a16:creationId xmlns:a16="http://schemas.microsoft.com/office/drawing/2014/main" id="{B8ABF255-23CC-408C-A453-6BA039DCA2BF}"/>
            </a:ext>
          </a:extLst>
        </xdr:cNvPr>
        <xdr:cNvGrpSpPr>
          <a:grpSpLocks noChangeAspect="1"/>
        </xdr:cNvGrpSpPr>
      </xdr:nvGrpSpPr>
      <xdr:grpSpPr bwMode="auto">
        <a:xfrm>
          <a:off x="2367643" y="14857953"/>
          <a:ext cx="875058" cy="163683"/>
          <a:chOff x="206" y="86"/>
          <a:chExt cx="73" cy="16"/>
        </a:xfrm>
      </xdr:grpSpPr>
      <xdr:sp macro="" textlink="">
        <xdr:nvSpPr>
          <xdr:cNvPr id="4543" name="Line 6">
            <a:extLst>
              <a:ext uri="{FF2B5EF4-FFF2-40B4-BE49-F238E27FC236}">
                <a16:creationId xmlns:a16="http://schemas.microsoft.com/office/drawing/2014/main" id="{CFE1FEEC-C384-7421-438A-7776DEBA4A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4" name="Line 7">
            <a:extLst>
              <a:ext uri="{FF2B5EF4-FFF2-40B4-BE49-F238E27FC236}">
                <a16:creationId xmlns:a16="http://schemas.microsoft.com/office/drawing/2014/main" id="{944644BD-964E-9547-B913-53A5270C4AD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5" name="Line 8">
            <a:extLst>
              <a:ext uri="{FF2B5EF4-FFF2-40B4-BE49-F238E27FC236}">
                <a16:creationId xmlns:a16="http://schemas.microsoft.com/office/drawing/2014/main" id="{CA977EF3-DD12-8F32-CE15-D9AAED33DBE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43</xdr:row>
      <xdr:rowOff>80596</xdr:rowOff>
    </xdr:from>
    <xdr:to>
      <xdr:col>3</xdr:col>
      <xdr:colOff>970308</xdr:colOff>
      <xdr:row>43</xdr:row>
      <xdr:rowOff>244279</xdr:rowOff>
    </xdr:to>
    <xdr:grpSp>
      <xdr:nvGrpSpPr>
        <xdr:cNvPr id="4550" name="hinh2">
          <a:extLst>
            <a:ext uri="{FF2B5EF4-FFF2-40B4-BE49-F238E27FC236}">
              <a16:creationId xmlns:a16="http://schemas.microsoft.com/office/drawing/2014/main" id="{FD214EB5-5EF1-4B2F-8E29-74147F910E48}"/>
            </a:ext>
          </a:extLst>
        </xdr:cNvPr>
        <xdr:cNvGrpSpPr>
          <a:grpSpLocks noChangeAspect="1"/>
        </xdr:cNvGrpSpPr>
      </xdr:nvGrpSpPr>
      <xdr:grpSpPr bwMode="auto">
        <a:xfrm>
          <a:off x="2367643" y="15647167"/>
          <a:ext cx="875058" cy="163683"/>
          <a:chOff x="206" y="86"/>
          <a:chExt cx="73" cy="16"/>
        </a:xfrm>
      </xdr:grpSpPr>
      <xdr:sp macro="" textlink="">
        <xdr:nvSpPr>
          <xdr:cNvPr id="4551" name="Line 6">
            <a:extLst>
              <a:ext uri="{FF2B5EF4-FFF2-40B4-BE49-F238E27FC236}">
                <a16:creationId xmlns:a16="http://schemas.microsoft.com/office/drawing/2014/main" id="{C4E281F2-7C07-496E-FB4F-3CB2185AA4E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2" name="Line 7">
            <a:extLst>
              <a:ext uri="{FF2B5EF4-FFF2-40B4-BE49-F238E27FC236}">
                <a16:creationId xmlns:a16="http://schemas.microsoft.com/office/drawing/2014/main" id="{27AFD3B5-091B-2CE1-AD92-55BE6E0A479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3" name="Line 8">
            <a:extLst>
              <a:ext uri="{FF2B5EF4-FFF2-40B4-BE49-F238E27FC236}">
                <a16:creationId xmlns:a16="http://schemas.microsoft.com/office/drawing/2014/main" id="{69D1FA3F-FBEF-02EA-43D0-033FA341E2E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41</xdr:row>
      <xdr:rowOff>80596</xdr:rowOff>
    </xdr:from>
    <xdr:to>
      <xdr:col>3</xdr:col>
      <xdr:colOff>970308</xdr:colOff>
      <xdr:row>41</xdr:row>
      <xdr:rowOff>244279</xdr:rowOff>
    </xdr:to>
    <xdr:grpSp>
      <xdr:nvGrpSpPr>
        <xdr:cNvPr id="4554" name="hinh2">
          <a:extLst>
            <a:ext uri="{FF2B5EF4-FFF2-40B4-BE49-F238E27FC236}">
              <a16:creationId xmlns:a16="http://schemas.microsoft.com/office/drawing/2014/main" id="{D80F665B-488C-49B9-B912-F5B471882D82}"/>
            </a:ext>
          </a:extLst>
        </xdr:cNvPr>
        <xdr:cNvGrpSpPr>
          <a:grpSpLocks noChangeAspect="1"/>
        </xdr:cNvGrpSpPr>
      </xdr:nvGrpSpPr>
      <xdr:grpSpPr bwMode="auto">
        <a:xfrm>
          <a:off x="2367643" y="14857953"/>
          <a:ext cx="875058" cy="163683"/>
          <a:chOff x="206" y="86"/>
          <a:chExt cx="73" cy="16"/>
        </a:xfrm>
      </xdr:grpSpPr>
      <xdr:sp macro="" textlink="">
        <xdr:nvSpPr>
          <xdr:cNvPr id="4555" name="Line 6">
            <a:extLst>
              <a:ext uri="{FF2B5EF4-FFF2-40B4-BE49-F238E27FC236}">
                <a16:creationId xmlns:a16="http://schemas.microsoft.com/office/drawing/2014/main" id="{5D12CBE8-D5BB-D11E-8D34-3F1D51F833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6" name="Line 7">
            <a:extLst>
              <a:ext uri="{FF2B5EF4-FFF2-40B4-BE49-F238E27FC236}">
                <a16:creationId xmlns:a16="http://schemas.microsoft.com/office/drawing/2014/main" id="{F174AD85-18B5-46C8-7B17-F530B217D0D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7" name="Line 8">
            <a:extLst>
              <a:ext uri="{FF2B5EF4-FFF2-40B4-BE49-F238E27FC236}">
                <a16:creationId xmlns:a16="http://schemas.microsoft.com/office/drawing/2014/main" id="{BA70D810-1674-703D-8B87-2E5357A1F4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8</xdr:row>
      <xdr:rowOff>80596</xdr:rowOff>
    </xdr:from>
    <xdr:to>
      <xdr:col>3</xdr:col>
      <xdr:colOff>970308</xdr:colOff>
      <xdr:row>8</xdr:row>
      <xdr:rowOff>244279</xdr:rowOff>
    </xdr:to>
    <xdr:grpSp>
      <xdr:nvGrpSpPr>
        <xdr:cNvPr id="18" name="hinh2">
          <a:extLst>
            <a:ext uri="{FF2B5EF4-FFF2-40B4-BE49-F238E27FC236}">
              <a16:creationId xmlns:a16="http://schemas.microsoft.com/office/drawing/2014/main" id="{678FAC40-ADC2-4D67-A6BF-8D0CB2084C0D}"/>
            </a:ext>
          </a:extLst>
        </xdr:cNvPr>
        <xdr:cNvGrpSpPr>
          <a:grpSpLocks noChangeAspect="1"/>
        </xdr:cNvGrpSpPr>
      </xdr:nvGrpSpPr>
      <xdr:grpSpPr bwMode="auto">
        <a:xfrm>
          <a:off x="2367643" y="2325775"/>
          <a:ext cx="875058" cy="163683"/>
          <a:chOff x="206" y="86"/>
          <a:chExt cx="73" cy="16"/>
        </a:xfrm>
      </xdr:grpSpPr>
      <xdr:sp macro="" textlink="">
        <xdr:nvSpPr>
          <xdr:cNvPr id="19" name="Line 6">
            <a:extLst>
              <a:ext uri="{FF2B5EF4-FFF2-40B4-BE49-F238E27FC236}">
                <a16:creationId xmlns:a16="http://schemas.microsoft.com/office/drawing/2014/main" id="{FE34747D-DA1A-7D13-E565-AAB01FF7A47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">
            <a:extLst>
              <a:ext uri="{FF2B5EF4-FFF2-40B4-BE49-F238E27FC236}">
                <a16:creationId xmlns:a16="http://schemas.microsoft.com/office/drawing/2014/main" id="{8414DDD9-8C20-5FF8-2A81-3316E9CE6B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8">
            <a:extLst>
              <a:ext uri="{FF2B5EF4-FFF2-40B4-BE49-F238E27FC236}">
                <a16:creationId xmlns:a16="http://schemas.microsoft.com/office/drawing/2014/main" id="{FB9C45BA-C015-A62D-9C21-2D98905679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9</xdr:row>
      <xdr:rowOff>80596</xdr:rowOff>
    </xdr:from>
    <xdr:to>
      <xdr:col>3</xdr:col>
      <xdr:colOff>970308</xdr:colOff>
      <xdr:row>9</xdr:row>
      <xdr:rowOff>244279</xdr:rowOff>
    </xdr:to>
    <xdr:grpSp>
      <xdr:nvGrpSpPr>
        <xdr:cNvPr id="22" name="hinh2">
          <a:extLst>
            <a:ext uri="{FF2B5EF4-FFF2-40B4-BE49-F238E27FC236}">
              <a16:creationId xmlns:a16="http://schemas.microsoft.com/office/drawing/2014/main" id="{BBBDA5AC-B709-41BE-8A27-ACFE4D1D1277}"/>
            </a:ext>
          </a:extLst>
        </xdr:cNvPr>
        <xdr:cNvGrpSpPr>
          <a:grpSpLocks noChangeAspect="1"/>
        </xdr:cNvGrpSpPr>
      </xdr:nvGrpSpPr>
      <xdr:grpSpPr bwMode="auto">
        <a:xfrm>
          <a:off x="2367643" y="2720382"/>
          <a:ext cx="875058" cy="163683"/>
          <a:chOff x="206" y="86"/>
          <a:chExt cx="73" cy="16"/>
        </a:xfrm>
      </xdr:grpSpPr>
      <xdr:sp macro="" textlink="">
        <xdr:nvSpPr>
          <xdr:cNvPr id="23" name="Line 6">
            <a:extLst>
              <a:ext uri="{FF2B5EF4-FFF2-40B4-BE49-F238E27FC236}">
                <a16:creationId xmlns:a16="http://schemas.microsoft.com/office/drawing/2014/main" id="{DFE7BC21-437F-8C2F-C6A9-F7E6372E473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">
            <a:extLst>
              <a:ext uri="{FF2B5EF4-FFF2-40B4-BE49-F238E27FC236}">
                <a16:creationId xmlns:a16="http://schemas.microsoft.com/office/drawing/2014/main" id="{253C4D7B-237E-340B-BEA5-716512F413B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8">
            <a:extLst>
              <a:ext uri="{FF2B5EF4-FFF2-40B4-BE49-F238E27FC236}">
                <a16:creationId xmlns:a16="http://schemas.microsoft.com/office/drawing/2014/main" id="{D8B8C89F-6F46-7DEA-8DA7-C37FFD87193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10</xdr:row>
      <xdr:rowOff>80596</xdr:rowOff>
    </xdr:from>
    <xdr:to>
      <xdr:col>3</xdr:col>
      <xdr:colOff>970308</xdr:colOff>
      <xdr:row>10</xdr:row>
      <xdr:rowOff>244279</xdr:rowOff>
    </xdr:to>
    <xdr:grpSp>
      <xdr:nvGrpSpPr>
        <xdr:cNvPr id="26" name="hinh2">
          <a:extLst>
            <a:ext uri="{FF2B5EF4-FFF2-40B4-BE49-F238E27FC236}">
              <a16:creationId xmlns:a16="http://schemas.microsoft.com/office/drawing/2014/main" id="{CAE4063D-2FE4-434D-9C00-E44B212E0BB0}"/>
            </a:ext>
          </a:extLst>
        </xdr:cNvPr>
        <xdr:cNvGrpSpPr>
          <a:grpSpLocks noChangeAspect="1"/>
        </xdr:cNvGrpSpPr>
      </xdr:nvGrpSpPr>
      <xdr:grpSpPr bwMode="auto">
        <a:xfrm>
          <a:off x="2367643" y="3114989"/>
          <a:ext cx="875058" cy="163683"/>
          <a:chOff x="206" y="86"/>
          <a:chExt cx="73" cy="16"/>
        </a:xfrm>
      </xdr:grpSpPr>
      <xdr:sp macro="" textlink="">
        <xdr:nvSpPr>
          <xdr:cNvPr id="27" name="Line 6">
            <a:extLst>
              <a:ext uri="{FF2B5EF4-FFF2-40B4-BE49-F238E27FC236}">
                <a16:creationId xmlns:a16="http://schemas.microsoft.com/office/drawing/2014/main" id="{4FDD868A-9228-5726-603F-10AE1A59CC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">
            <a:extLst>
              <a:ext uri="{FF2B5EF4-FFF2-40B4-BE49-F238E27FC236}">
                <a16:creationId xmlns:a16="http://schemas.microsoft.com/office/drawing/2014/main" id="{D2FBB252-A4DE-D512-5E8A-85063F02CD9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">
            <a:extLst>
              <a:ext uri="{FF2B5EF4-FFF2-40B4-BE49-F238E27FC236}">
                <a16:creationId xmlns:a16="http://schemas.microsoft.com/office/drawing/2014/main" id="{68D289FD-3949-961E-3CD7-EEED22E4F22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39</xdr:row>
      <xdr:rowOff>80596</xdr:rowOff>
    </xdr:from>
    <xdr:to>
      <xdr:col>3</xdr:col>
      <xdr:colOff>970308</xdr:colOff>
      <xdr:row>39</xdr:row>
      <xdr:rowOff>196654</xdr:rowOff>
    </xdr:to>
    <xdr:grpSp>
      <xdr:nvGrpSpPr>
        <xdr:cNvPr id="30" name="hinh2">
          <a:extLst>
            <a:ext uri="{FF2B5EF4-FFF2-40B4-BE49-F238E27FC236}">
              <a16:creationId xmlns:a16="http://schemas.microsoft.com/office/drawing/2014/main" id="{2D16C1BB-56FE-46AE-85E6-0BC4A64B2C65}"/>
            </a:ext>
          </a:extLst>
        </xdr:cNvPr>
        <xdr:cNvGrpSpPr>
          <a:grpSpLocks noChangeAspect="1"/>
        </xdr:cNvGrpSpPr>
      </xdr:nvGrpSpPr>
      <xdr:grpSpPr bwMode="auto">
        <a:xfrm>
          <a:off x="2367643" y="14068739"/>
          <a:ext cx="875058" cy="116058"/>
          <a:chOff x="206" y="86"/>
          <a:chExt cx="73" cy="16"/>
        </a:xfrm>
      </xdr:grpSpPr>
      <xdr:sp macro="" textlink="">
        <xdr:nvSpPr>
          <xdr:cNvPr id="31" name="Line 6">
            <a:extLst>
              <a:ext uri="{FF2B5EF4-FFF2-40B4-BE49-F238E27FC236}">
                <a16:creationId xmlns:a16="http://schemas.microsoft.com/office/drawing/2014/main" id="{FA79E694-0C5B-4464-FACD-2AA8A99B5BD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7">
            <a:extLst>
              <a:ext uri="{FF2B5EF4-FFF2-40B4-BE49-F238E27FC236}">
                <a16:creationId xmlns:a16="http://schemas.microsoft.com/office/drawing/2014/main" id="{D92848E7-EA2C-9E00-016F-18D8248EDC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">
            <a:extLst>
              <a:ext uri="{FF2B5EF4-FFF2-40B4-BE49-F238E27FC236}">
                <a16:creationId xmlns:a16="http://schemas.microsoft.com/office/drawing/2014/main" id="{7B528AF8-33FD-A59A-AAC8-BBF9FA96665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80596</xdr:rowOff>
    </xdr:from>
    <xdr:to>
      <xdr:col>3</xdr:col>
      <xdr:colOff>970308</xdr:colOff>
      <xdr:row>42</xdr:row>
      <xdr:rowOff>196654</xdr:rowOff>
    </xdr:to>
    <xdr:grpSp>
      <xdr:nvGrpSpPr>
        <xdr:cNvPr id="34" name="hinh2">
          <a:extLst>
            <a:ext uri="{FF2B5EF4-FFF2-40B4-BE49-F238E27FC236}">
              <a16:creationId xmlns:a16="http://schemas.microsoft.com/office/drawing/2014/main" id="{D9388CFC-8B04-411C-A679-43265F4125A3}"/>
            </a:ext>
          </a:extLst>
        </xdr:cNvPr>
        <xdr:cNvGrpSpPr>
          <a:grpSpLocks noChangeAspect="1"/>
        </xdr:cNvGrpSpPr>
      </xdr:nvGrpSpPr>
      <xdr:grpSpPr bwMode="auto">
        <a:xfrm>
          <a:off x="2367643" y="15252560"/>
          <a:ext cx="875058" cy="116058"/>
          <a:chOff x="206" y="86"/>
          <a:chExt cx="73" cy="16"/>
        </a:xfrm>
      </xdr:grpSpPr>
      <xdr:sp macro="" textlink="">
        <xdr:nvSpPr>
          <xdr:cNvPr id="35" name="Line 6">
            <a:extLst>
              <a:ext uri="{FF2B5EF4-FFF2-40B4-BE49-F238E27FC236}">
                <a16:creationId xmlns:a16="http://schemas.microsoft.com/office/drawing/2014/main" id="{B3378224-9D20-2D9D-2648-AFB9DE8819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7">
            <a:extLst>
              <a:ext uri="{FF2B5EF4-FFF2-40B4-BE49-F238E27FC236}">
                <a16:creationId xmlns:a16="http://schemas.microsoft.com/office/drawing/2014/main" id="{E7477784-8C09-16BC-4160-EBDF34C96B5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8">
            <a:extLst>
              <a:ext uri="{FF2B5EF4-FFF2-40B4-BE49-F238E27FC236}">
                <a16:creationId xmlns:a16="http://schemas.microsoft.com/office/drawing/2014/main" id="{151DA007-A4F3-A134-94DE-38C09561A6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80596</xdr:rowOff>
    </xdr:from>
    <xdr:to>
      <xdr:col>3</xdr:col>
      <xdr:colOff>970308</xdr:colOff>
      <xdr:row>42</xdr:row>
      <xdr:rowOff>196654</xdr:rowOff>
    </xdr:to>
    <xdr:grpSp>
      <xdr:nvGrpSpPr>
        <xdr:cNvPr id="38" name="hinh2">
          <a:extLst>
            <a:ext uri="{FF2B5EF4-FFF2-40B4-BE49-F238E27FC236}">
              <a16:creationId xmlns:a16="http://schemas.microsoft.com/office/drawing/2014/main" id="{F80DF15E-174C-4882-892B-387E5AC6D510}"/>
            </a:ext>
          </a:extLst>
        </xdr:cNvPr>
        <xdr:cNvGrpSpPr>
          <a:grpSpLocks noChangeAspect="1"/>
        </xdr:cNvGrpSpPr>
      </xdr:nvGrpSpPr>
      <xdr:grpSpPr bwMode="auto">
        <a:xfrm>
          <a:off x="2367643" y="15252560"/>
          <a:ext cx="875058" cy="116058"/>
          <a:chOff x="206" y="86"/>
          <a:chExt cx="73" cy="16"/>
        </a:xfrm>
      </xdr:grpSpPr>
      <xdr:sp macro="" textlink="">
        <xdr:nvSpPr>
          <xdr:cNvPr id="39" name="Line 6">
            <a:extLst>
              <a:ext uri="{FF2B5EF4-FFF2-40B4-BE49-F238E27FC236}">
                <a16:creationId xmlns:a16="http://schemas.microsoft.com/office/drawing/2014/main" id="{C70A2770-CCAF-965C-21B4-59B368775518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7">
            <a:extLst>
              <a:ext uri="{FF2B5EF4-FFF2-40B4-BE49-F238E27FC236}">
                <a16:creationId xmlns:a16="http://schemas.microsoft.com/office/drawing/2014/main" id="{159B5C9D-C6DC-35B4-EAD1-6312826900E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8">
            <a:extLst>
              <a:ext uri="{FF2B5EF4-FFF2-40B4-BE49-F238E27FC236}">
                <a16:creationId xmlns:a16="http://schemas.microsoft.com/office/drawing/2014/main" id="{2B8617FA-7421-17CB-F346-9AC691BD0C8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45</xdr:row>
      <xdr:rowOff>80596</xdr:rowOff>
    </xdr:from>
    <xdr:to>
      <xdr:col>3</xdr:col>
      <xdr:colOff>970308</xdr:colOff>
      <xdr:row>45</xdr:row>
      <xdr:rowOff>196654</xdr:rowOff>
    </xdr:to>
    <xdr:grpSp>
      <xdr:nvGrpSpPr>
        <xdr:cNvPr id="42" name="hinh2">
          <a:extLst>
            <a:ext uri="{FF2B5EF4-FFF2-40B4-BE49-F238E27FC236}">
              <a16:creationId xmlns:a16="http://schemas.microsoft.com/office/drawing/2014/main" id="{7FD84CE5-C569-43E2-9C18-7768BF79BAEC}"/>
            </a:ext>
          </a:extLst>
        </xdr:cNvPr>
        <xdr:cNvGrpSpPr>
          <a:grpSpLocks noChangeAspect="1"/>
        </xdr:cNvGrpSpPr>
      </xdr:nvGrpSpPr>
      <xdr:grpSpPr bwMode="auto">
        <a:xfrm>
          <a:off x="2367643" y="16313917"/>
          <a:ext cx="875058" cy="116058"/>
          <a:chOff x="206" y="86"/>
          <a:chExt cx="73" cy="16"/>
        </a:xfrm>
      </xdr:grpSpPr>
      <xdr:sp macro="" textlink="">
        <xdr:nvSpPr>
          <xdr:cNvPr id="43" name="Line 6">
            <a:extLst>
              <a:ext uri="{FF2B5EF4-FFF2-40B4-BE49-F238E27FC236}">
                <a16:creationId xmlns:a16="http://schemas.microsoft.com/office/drawing/2014/main" id="{77DC86EE-4F4F-CBAE-5D62-C7FE8D825E8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7">
            <a:extLst>
              <a:ext uri="{FF2B5EF4-FFF2-40B4-BE49-F238E27FC236}">
                <a16:creationId xmlns:a16="http://schemas.microsoft.com/office/drawing/2014/main" id="{53D8C1FC-299E-1880-1549-4EACA7978FC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8">
            <a:extLst>
              <a:ext uri="{FF2B5EF4-FFF2-40B4-BE49-F238E27FC236}">
                <a16:creationId xmlns:a16="http://schemas.microsoft.com/office/drawing/2014/main" id="{A608FA8A-5B1C-BEDA-E199-43A31E3DD4B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80596</xdr:rowOff>
    </xdr:from>
    <xdr:to>
      <xdr:col>3</xdr:col>
      <xdr:colOff>970308</xdr:colOff>
      <xdr:row>47</xdr:row>
      <xdr:rowOff>196654</xdr:rowOff>
    </xdr:to>
    <xdr:grpSp>
      <xdr:nvGrpSpPr>
        <xdr:cNvPr id="46" name="hinh2">
          <a:extLst>
            <a:ext uri="{FF2B5EF4-FFF2-40B4-BE49-F238E27FC236}">
              <a16:creationId xmlns:a16="http://schemas.microsoft.com/office/drawing/2014/main" id="{F56DB954-48B0-4B67-B8BB-E1F1DF0D2913}"/>
            </a:ext>
          </a:extLst>
        </xdr:cNvPr>
        <xdr:cNvGrpSpPr>
          <a:grpSpLocks noChangeAspect="1"/>
        </xdr:cNvGrpSpPr>
      </xdr:nvGrpSpPr>
      <xdr:grpSpPr bwMode="auto">
        <a:xfrm>
          <a:off x="2367643" y="17103132"/>
          <a:ext cx="875058" cy="116058"/>
          <a:chOff x="206" y="86"/>
          <a:chExt cx="73" cy="16"/>
        </a:xfrm>
      </xdr:grpSpPr>
      <xdr:sp macro="" textlink="">
        <xdr:nvSpPr>
          <xdr:cNvPr id="47" name="Line 6">
            <a:extLst>
              <a:ext uri="{FF2B5EF4-FFF2-40B4-BE49-F238E27FC236}">
                <a16:creationId xmlns:a16="http://schemas.microsoft.com/office/drawing/2014/main" id="{5D8EDA95-F216-3BA2-4EFE-A6912C6E93E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7">
            <a:extLst>
              <a:ext uri="{FF2B5EF4-FFF2-40B4-BE49-F238E27FC236}">
                <a16:creationId xmlns:a16="http://schemas.microsoft.com/office/drawing/2014/main" id="{582EDDD9-0208-3CAF-F1FB-9DEA00325B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8">
            <a:extLst>
              <a:ext uri="{FF2B5EF4-FFF2-40B4-BE49-F238E27FC236}">
                <a16:creationId xmlns:a16="http://schemas.microsoft.com/office/drawing/2014/main" id="{06696DB2-0A23-1170-6736-2BC4D954AE6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48</xdr:row>
      <xdr:rowOff>80596</xdr:rowOff>
    </xdr:from>
    <xdr:to>
      <xdr:col>3</xdr:col>
      <xdr:colOff>970308</xdr:colOff>
      <xdr:row>48</xdr:row>
      <xdr:rowOff>196654</xdr:rowOff>
    </xdr:to>
    <xdr:grpSp>
      <xdr:nvGrpSpPr>
        <xdr:cNvPr id="50" name="hinh2">
          <a:extLst>
            <a:ext uri="{FF2B5EF4-FFF2-40B4-BE49-F238E27FC236}">
              <a16:creationId xmlns:a16="http://schemas.microsoft.com/office/drawing/2014/main" id="{893BBEC7-8070-4FB8-80BD-AD12B28F927F}"/>
            </a:ext>
          </a:extLst>
        </xdr:cNvPr>
        <xdr:cNvGrpSpPr>
          <a:grpSpLocks noChangeAspect="1"/>
        </xdr:cNvGrpSpPr>
      </xdr:nvGrpSpPr>
      <xdr:grpSpPr bwMode="auto">
        <a:xfrm>
          <a:off x="2367643" y="17497739"/>
          <a:ext cx="875058" cy="116058"/>
          <a:chOff x="206" y="86"/>
          <a:chExt cx="73" cy="16"/>
        </a:xfrm>
      </xdr:grpSpPr>
      <xdr:sp macro="" textlink="">
        <xdr:nvSpPr>
          <xdr:cNvPr id="51" name="Line 6">
            <a:extLst>
              <a:ext uri="{FF2B5EF4-FFF2-40B4-BE49-F238E27FC236}">
                <a16:creationId xmlns:a16="http://schemas.microsoft.com/office/drawing/2014/main" id="{A278010C-8FE1-9914-DEEF-59996B02ED2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7">
            <a:extLst>
              <a:ext uri="{FF2B5EF4-FFF2-40B4-BE49-F238E27FC236}">
                <a16:creationId xmlns:a16="http://schemas.microsoft.com/office/drawing/2014/main" id="{9BF16C91-221C-B00D-F320-06FC720A8BE6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8">
            <a:extLst>
              <a:ext uri="{FF2B5EF4-FFF2-40B4-BE49-F238E27FC236}">
                <a16:creationId xmlns:a16="http://schemas.microsoft.com/office/drawing/2014/main" id="{F4632F61-E8D9-ACC0-B0F6-A095FB7B03D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48</xdr:row>
      <xdr:rowOff>80596</xdr:rowOff>
    </xdr:from>
    <xdr:to>
      <xdr:col>3</xdr:col>
      <xdr:colOff>970308</xdr:colOff>
      <xdr:row>48</xdr:row>
      <xdr:rowOff>196654</xdr:rowOff>
    </xdr:to>
    <xdr:grpSp>
      <xdr:nvGrpSpPr>
        <xdr:cNvPr id="58" name="hinh2">
          <a:extLst>
            <a:ext uri="{FF2B5EF4-FFF2-40B4-BE49-F238E27FC236}">
              <a16:creationId xmlns:a16="http://schemas.microsoft.com/office/drawing/2014/main" id="{A8715A39-31BA-42E4-AC2C-B8114C50B421}"/>
            </a:ext>
          </a:extLst>
        </xdr:cNvPr>
        <xdr:cNvGrpSpPr>
          <a:grpSpLocks noChangeAspect="1"/>
        </xdr:cNvGrpSpPr>
      </xdr:nvGrpSpPr>
      <xdr:grpSpPr bwMode="auto">
        <a:xfrm>
          <a:off x="2367643" y="17497739"/>
          <a:ext cx="875058" cy="116058"/>
          <a:chOff x="206" y="86"/>
          <a:chExt cx="73" cy="16"/>
        </a:xfrm>
      </xdr:grpSpPr>
      <xdr:sp macro="" textlink="">
        <xdr:nvSpPr>
          <xdr:cNvPr id="59" name="Line 6">
            <a:extLst>
              <a:ext uri="{FF2B5EF4-FFF2-40B4-BE49-F238E27FC236}">
                <a16:creationId xmlns:a16="http://schemas.microsoft.com/office/drawing/2014/main" id="{C6F833F9-C641-04BF-0632-E76B14654D1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7">
            <a:extLst>
              <a:ext uri="{FF2B5EF4-FFF2-40B4-BE49-F238E27FC236}">
                <a16:creationId xmlns:a16="http://schemas.microsoft.com/office/drawing/2014/main" id="{C23FB521-24CC-D963-C1ED-FBF76A83EF1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8">
            <a:extLst>
              <a:ext uri="{FF2B5EF4-FFF2-40B4-BE49-F238E27FC236}">
                <a16:creationId xmlns:a16="http://schemas.microsoft.com/office/drawing/2014/main" id="{E3FB4FEC-D588-9FAD-C84E-FD3D3EAC145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46</xdr:row>
      <xdr:rowOff>80596</xdr:rowOff>
    </xdr:from>
    <xdr:to>
      <xdr:col>3</xdr:col>
      <xdr:colOff>970308</xdr:colOff>
      <xdr:row>46</xdr:row>
      <xdr:rowOff>196654</xdr:rowOff>
    </xdr:to>
    <xdr:grpSp>
      <xdr:nvGrpSpPr>
        <xdr:cNvPr id="62" name="hinh2">
          <a:extLst>
            <a:ext uri="{FF2B5EF4-FFF2-40B4-BE49-F238E27FC236}">
              <a16:creationId xmlns:a16="http://schemas.microsoft.com/office/drawing/2014/main" id="{98891451-78ED-4960-BC94-AF61979E506C}"/>
            </a:ext>
          </a:extLst>
        </xdr:cNvPr>
        <xdr:cNvGrpSpPr>
          <a:grpSpLocks noChangeAspect="1"/>
        </xdr:cNvGrpSpPr>
      </xdr:nvGrpSpPr>
      <xdr:grpSpPr bwMode="auto">
        <a:xfrm>
          <a:off x="2367643" y="16708525"/>
          <a:ext cx="875058" cy="116058"/>
          <a:chOff x="206" y="86"/>
          <a:chExt cx="73" cy="16"/>
        </a:xfrm>
      </xdr:grpSpPr>
      <xdr:sp macro="" textlink="">
        <xdr:nvSpPr>
          <xdr:cNvPr id="63" name="Line 6">
            <a:extLst>
              <a:ext uri="{FF2B5EF4-FFF2-40B4-BE49-F238E27FC236}">
                <a16:creationId xmlns:a16="http://schemas.microsoft.com/office/drawing/2014/main" id="{EB318227-3E45-1D7F-09E3-ADECFCFB343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4" name="Line 7">
            <a:extLst>
              <a:ext uri="{FF2B5EF4-FFF2-40B4-BE49-F238E27FC236}">
                <a16:creationId xmlns:a16="http://schemas.microsoft.com/office/drawing/2014/main" id="{65974294-874B-34F4-4C2A-D0E3953FE11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5" name="Line 8">
            <a:extLst>
              <a:ext uri="{FF2B5EF4-FFF2-40B4-BE49-F238E27FC236}">
                <a16:creationId xmlns:a16="http://schemas.microsoft.com/office/drawing/2014/main" id="{B2F653AC-3C18-A986-977D-EF44AAA8B5B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80596</xdr:rowOff>
    </xdr:from>
    <xdr:to>
      <xdr:col>3</xdr:col>
      <xdr:colOff>970308</xdr:colOff>
      <xdr:row>47</xdr:row>
      <xdr:rowOff>196654</xdr:rowOff>
    </xdr:to>
    <xdr:grpSp>
      <xdr:nvGrpSpPr>
        <xdr:cNvPr id="4560" name="hinh2">
          <a:extLst>
            <a:ext uri="{FF2B5EF4-FFF2-40B4-BE49-F238E27FC236}">
              <a16:creationId xmlns:a16="http://schemas.microsoft.com/office/drawing/2014/main" id="{B32C6547-3921-4A39-B972-360ACB096EDD}"/>
            </a:ext>
          </a:extLst>
        </xdr:cNvPr>
        <xdr:cNvGrpSpPr>
          <a:grpSpLocks noChangeAspect="1"/>
        </xdr:cNvGrpSpPr>
      </xdr:nvGrpSpPr>
      <xdr:grpSpPr bwMode="auto">
        <a:xfrm>
          <a:off x="2367643" y="17103132"/>
          <a:ext cx="875058" cy="116058"/>
          <a:chOff x="206" y="86"/>
          <a:chExt cx="73" cy="16"/>
        </a:xfrm>
      </xdr:grpSpPr>
      <xdr:sp macro="" textlink="">
        <xdr:nvSpPr>
          <xdr:cNvPr id="4561" name="Line 6">
            <a:extLst>
              <a:ext uri="{FF2B5EF4-FFF2-40B4-BE49-F238E27FC236}">
                <a16:creationId xmlns:a16="http://schemas.microsoft.com/office/drawing/2014/main" id="{BB4942B6-761D-AC5D-DC56-F375AF0517B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2" name="Line 7">
            <a:extLst>
              <a:ext uri="{FF2B5EF4-FFF2-40B4-BE49-F238E27FC236}">
                <a16:creationId xmlns:a16="http://schemas.microsoft.com/office/drawing/2014/main" id="{D80BF320-D8A4-1421-759D-1A87D300B65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3" name="Line 8">
            <a:extLst>
              <a:ext uri="{FF2B5EF4-FFF2-40B4-BE49-F238E27FC236}">
                <a16:creationId xmlns:a16="http://schemas.microsoft.com/office/drawing/2014/main" id="{5193B716-0141-05EA-5F7D-4DDB21C33CC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80596</xdr:rowOff>
    </xdr:from>
    <xdr:to>
      <xdr:col>3</xdr:col>
      <xdr:colOff>970308</xdr:colOff>
      <xdr:row>47</xdr:row>
      <xdr:rowOff>196654</xdr:rowOff>
    </xdr:to>
    <xdr:grpSp>
      <xdr:nvGrpSpPr>
        <xdr:cNvPr id="4564" name="hinh2">
          <a:extLst>
            <a:ext uri="{FF2B5EF4-FFF2-40B4-BE49-F238E27FC236}">
              <a16:creationId xmlns:a16="http://schemas.microsoft.com/office/drawing/2014/main" id="{B8C7910D-896E-4BB0-A6F2-FAE8C5846072}"/>
            </a:ext>
          </a:extLst>
        </xdr:cNvPr>
        <xdr:cNvGrpSpPr>
          <a:grpSpLocks noChangeAspect="1"/>
        </xdr:cNvGrpSpPr>
      </xdr:nvGrpSpPr>
      <xdr:grpSpPr bwMode="auto">
        <a:xfrm>
          <a:off x="2367643" y="17103132"/>
          <a:ext cx="875058" cy="116058"/>
          <a:chOff x="206" y="86"/>
          <a:chExt cx="73" cy="16"/>
        </a:xfrm>
      </xdr:grpSpPr>
      <xdr:sp macro="" textlink="">
        <xdr:nvSpPr>
          <xdr:cNvPr id="4565" name="Line 6">
            <a:extLst>
              <a:ext uri="{FF2B5EF4-FFF2-40B4-BE49-F238E27FC236}">
                <a16:creationId xmlns:a16="http://schemas.microsoft.com/office/drawing/2014/main" id="{5AA337F9-88D5-9ECF-5EA6-10F76E1D0CB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6" name="Line 7">
            <a:extLst>
              <a:ext uri="{FF2B5EF4-FFF2-40B4-BE49-F238E27FC236}">
                <a16:creationId xmlns:a16="http://schemas.microsoft.com/office/drawing/2014/main" id="{D067A084-FD30-271A-FF48-751BD3CB304A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7" name="Line 8">
            <a:extLst>
              <a:ext uri="{FF2B5EF4-FFF2-40B4-BE49-F238E27FC236}">
                <a16:creationId xmlns:a16="http://schemas.microsoft.com/office/drawing/2014/main" id="{0FBC283A-96D3-0401-E09E-33F9FB6523F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50</xdr:row>
      <xdr:rowOff>80596</xdr:rowOff>
    </xdr:from>
    <xdr:to>
      <xdr:col>3</xdr:col>
      <xdr:colOff>970308</xdr:colOff>
      <xdr:row>50</xdr:row>
      <xdr:rowOff>196654</xdr:rowOff>
    </xdr:to>
    <xdr:grpSp>
      <xdr:nvGrpSpPr>
        <xdr:cNvPr id="2" name="hinh2">
          <a:extLst>
            <a:ext uri="{FF2B5EF4-FFF2-40B4-BE49-F238E27FC236}">
              <a16:creationId xmlns:a16="http://schemas.microsoft.com/office/drawing/2014/main" id="{A46AE3AE-A8C2-4CB7-942B-741298276CE7}"/>
            </a:ext>
          </a:extLst>
        </xdr:cNvPr>
        <xdr:cNvGrpSpPr>
          <a:grpSpLocks noChangeAspect="1"/>
        </xdr:cNvGrpSpPr>
      </xdr:nvGrpSpPr>
      <xdr:grpSpPr bwMode="auto">
        <a:xfrm>
          <a:off x="2367643" y="18164489"/>
          <a:ext cx="875058" cy="116058"/>
          <a:chOff x="206" y="86"/>
          <a:chExt cx="73" cy="16"/>
        </a:xfrm>
      </xdr:grpSpPr>
      <xdr:sp macro="" textlink="">
        <xdr:nvSpPr>
          <xdr:cNvPr id="3" name="Line 6">
            <a:extLst>
              <a:ext uri="{FF2B5EF4-FFF2-40B4-BE49-F238E27FC236}">
                <a16:creationId xmlns:a16="http://schemas.microsoft.com/office/drawing/2014/main" id="{E25FAF96-554A-B398-2241-F2901A7325F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7">
            <a:extLst>
              <a:ext uri="{FF2B5EF4-FFF2-40B4-BE49-F238E27FC236}">
                <a16:creationId xmlns:a16="http://schemas.microsoft.com/office/drawing/2014/main" id="{AF6DA323-DC5F-8B67-BCF2-A341660462DE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8">
            <a:extLst>
              <a:ext uri="{FF2B5EF4-FFF2-40B4-BE49-F238E27FC236}">
                <a16:creationId xmlns:a16="http://schemas.microsoft.com/office/drawing/2014/main" id="{DB61F395-D163-9354-9BE4-B30FD515AA8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52</xdr:row>
      <xdr:rowOff>80596</xdr:rowOff>
    </xdr:from>
    <xdr:to>
      <xdr:col>3</xdr:col>
      <xdr:colOff>970308</xdr:colOff>
      <xdr:row>52</xdr:row>
      <xdr:rowOff>196654</xdr:rowOff>
    </xdr:to>
    <xdr:grpSp>
      <xdr:nvGrpSpPr>
        <xdr:cNvPr id="6" name="hinh2">
          <a:extLst>
            <a:ext uri="{FF2B5EF4-FFF2-40B4-BE49-F238E27FC236}">
              <a16:creationId xmlns:a16="http://schemas.microsoft.com/office/drawing/2014/main" id="{F1B2940F-B53F-44FE-97BE-208B9EED3FE2}"/>
            </a:ext>
          </a:extLst>
        </xdr:cNvPr>
        <xdr:cNvGrpSpPr>
          <a:grpSpLocks noChangeAspect="1"/>
        </xdr:cNvGrpSpPr>
      </xdr:nvGrpSpPr>
      <xdr:grpSpPr bwMode="auto">
        <a:xfrm>
          <a:off x="2367643" y="18953703"/>
          <a:ext cx="875058" cy="116058"/>
          <a:chOff x="206" y="86"/>
          <a:chExt cx="73" cy="16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5DE281CA-D1D3-3F66-9DFB-2C6DE10E9B9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723AD641-76D7-8943-61A3-4955866C509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1278931C-8795-58C7-38C6-0AB2CEFA9407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53</xdr:row>
      <xdr:rowOff>80596</xdr:rowOff>
    </xdr:from>
    <xdr:to>
      <xdr:col>3</xdr:col>
      <xdr:colOff>970308</xdr:colOff>
      <xdr:row>53</xdr:row>
      <xdr:rowOff>196654</xdr:rowOff>
    </xdr:to>
    <xdr:grpSp>
      <xdr:nvGrpSpPr>
        <xdr:cNvPr id="10" name="hinh2">
          <a:extLst>
            <a:ext uri="{FF2B5EF4-FFF2-40B4-BE49-F238E27FC236}">
              <a16:creationId xmlns:a16="http://schemas.microsoft.com/office/drawing/2014/main" id="{9586EEC3-44E3-46AD-85D1-53E7677EBF5A}"/>
            </a:ext>
          </a:extLst>
        </xdr:cNvPr>
        <xdr:cNvGrpSpPr>
          <a:grpSpLocks noChangeAspect="1"/>
        </xdr:cNvGrpSpPr>
      </xdr:nvGrpSpPr>
      <xdr:grpSpPr bwMode="auto">
        <a:xfrm>
          <a:off x="2367643" y="19348310"/>
          <a:ext cx="875058" cy="116058"/>
          <a:chOff x="206" y="86"/>
          <a:chExt cx="73" cy="16"/>
        </a:xfrm>
      </xdr:grpSpPr>
      <xdr:sp macro="" textlink="">
        <xdr:nvSpPr>
          <xdr:cNvPr id="11" name="Line 6">
            <a:extLst>
              <a:ext uri="{FF2B5EF4-FFF2-40B4-BE49-F238E27FC236}">
                <a16:creationId xmlns:a16="http://schemas.microsoft.com/office/drawing/2014/main" id="{2CBE1748-298E-9083-3386-3230AA3BA2BD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7">
            <a:extLst>
              <a:ext uri="{FF2B5EF4-FFF2-40B4-BE49-F238E27FC236}">
                <a16:creationId xmlns:a16="http://schemas.microsoft.com/office/drawing/2014/main" id="{5224C981-D24A-84A3-46D9-3F38CDD3E4CB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8">
            <a:extLst>
              <a:ext uri="{FF2B5EF4-FFF2-40B4-BE49-F238E27FC236}">
                <a16:creationId xmlns:a16="http://schemas.microsoft.com/office/drawing/2014/main" id="{92DAF243-3FCB-858E-BA69-C607F6DCE36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53</xdr:row>
      <xdr:rowOff>80596</xdr:rowOff>
    </xdr:from>
    <xdr:to>
      <xdr:col>3</xdr:col>
      <xdr:colOff>970308</xdr:colOff>
      <xdr:row>53</xdr:row>
      <xdr:rowOff>196654</xdr:rowOff>
    </xdr:to>
    <xdr:grpSp>
      <xdr:nvGrpSpPr>
        <xdr:cNvPr id="14" name="hinh2">
          <a:extLst>
            <a:ext uri="{FF2B5EF4-FFF2-40B4-BE49-F238E27FC236}">
              <a16:creationId xmlns:a16="http://schemas.microsoft.com/office/drawing/2014/main" id="{26CF1A41-BA08-4610-BF2D-0F36997DB422}"/>
            </a:ext>
          </a:extLst>
        </xdr:cNvPr>
        <xdr:cNvGrpSpPr>
          <a:grpSpLocks noChangeAspect="1"/>
        </xdr:cNvGrpSpPr>
      </xdr:nvGrpSpPr>
      <xdr:grpSpPr bwMode="auto">
        <a:xfrm>
          <a:off x="2367643" y="19348310"/>
          <a:ext cx="875058" cy="116058"/>
          <a:chOff x="206" y="86"/>
          <a:chExt cx="73" cy="16"/>
        </a:xfrm>
      </xdr:grpSpPr>
      <xdr:sp macro="" textlink="">
        <xdr:nvSpPr>
          <xdr:cNvPr id="15" name="Line 6">
            <a:extLst>
              <a:ext uri="{FF2B5EF4-FFF2-40B4-BE49-F238E27FC236}">
                <a16:creationId xmlns:a16="http://schemas.microsoft.com/office/drawing/2014/main" id="{6487658F-9D0B-2ABC-6D9B-87CB49481189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7">
            <a:extLst>
              <a:ext uri="{FF2B5EF4-FFF2-40B4-BE49-F238E27FC236}">
                <a16:creationId xmlns:a16="http://schemas.microsoft.com/office/drawing/2014/main" id="{BF95B905-45F6-0AC4-19C8-F8BCDF713872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8">
            <a:extLst>
              <a:ext uri="{FF2B5EF4-FFF2-40B4-BE49-F238E27FC236}">
                <a16:creationId xmlns:a16="http://schemas.microsoft.com/office/drawing/2014/main" id="{045B9353-E7B0-A51B-3450-934238D51CA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51</xdr:row>
      <xdr:rowOff>80596</xdr:rowOff>
    </xdr:from>
    <xdr:to>
      <xdr:col>3</xdr:col>
      <xdr:colOff>970308</xdr:colOff>
      <xdr:row>51</xdr:row>
      <xdr:rowOff>196654</xdr:rowOff>
    </xdr:to>
    <xdr:grpSp>
      <xdr:nvGrpSpPr>
        <xdr:cNvPr id="54" name="hinh2">
          <a:extLst>
            <a:ext uri="{FF2B5EF4-FFF2-40B4-BE49-F238E27FC236}">
              <a16:creationId xmlns:a16="http://schemas.microsoft.com/office/drawing/2014/main" id="{199BA9C1-C9FD-47E8-A224-B382A130D36B}"/>
            </a:ext>
          </a:extLst>
        </xdr:cNvPr>
        <xdr:cNvGrpSpPr>
          <a:grpSpLocks noChangeAspect="1"/>
        </xdr:cNvGrpSpPr>
      </xdr:nvGrpSpPr>
      <xdr:grpSpPr bwMode="auto">
        <a:xfrm>
          <a:off x="2367643" y="18559096"/>
          <a:ext cx="875058" cy="116058"/>
          <a:chOff x="206" y="86"/>
          <a:chExt cx="73" cy="16"/>
        </a:xfrm>
      </xdr:grpSpPr>
      <xdr:sp macro="" textlink="">
        <xdr:nvSpPr>
          <xdr:cNvPr id="55" name="Line 6">
            <a:extLst>
              <a:ext uri="{FF2B5EF4-FFF2-40B4-BE49-F238E27FC236}">
                <a16:creationId xmlns:a16="http://schemas.microsoft.com/office/drawing/2014/main" id="{49CCEDB7-A522-F1B6-78BC-5EB187DF9A5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7">
            <a:extLst>
              <a:ext uri="{FF2B5EF4-FFF2-40B4-BE49-F238E27FC236}">
                <a16:creationId xmlns:a16="http://schemas.microsoft.com/office/drawing/2014/main" id="{3CF9DAE5-0767-03F6-F321-97E9C7ED88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8">
            <a:extLst>
              <a:ext uri="{FF2B5EF4-FFF2-40B4-BE49-F238E27FC236}">
                <a16:creationId xmlns:a16="http://schemas.microsoft.com/office/drawing/2014/main" id="{FCC31586-1713-D003-DE13-C5A2CCF05B1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52</xdr:row>
      <xdr:rowOff>80596</xdr:rowOff>
    </xdr:from>
    <xdr:to>
      <xdr:col>3</xdr:col>
      <xdr:colOff>970308</xdr:colOff>
      <xdr:row>52</xdr:row>
      <xdr:rowOff>196654</xdr:rowOff>
    </xdr:to>
    <xdr:grpSp>
      <xdr:nvGrpSpPr>
        <xdr:cNvPr id="4536" name="hinh2">
          <a:extLst>
            <a:ext uri="{FF2B5EF4-FFF2-40B4-BE49-F238E27FC236}">
              <a16:creationId xmlns:a16="http://schemas.microsoft.com/office/drawing/2014/main" id="{8815DD19-9381-460A-B6AA-2C192D5A1D00}"/>
            </a:ext>
          </a:extLst>
        </xdr:cNvPr>
        <xdr:cNvGrpSpPr>
          <a:grpSpLocks noChangeAspect="1"/>
        </xdr:cNvGrpSpPr>
      </xdr:nvGrpSpPr>
      <xdr:grpSpPr bwMode="auto">
        <a:xfrm>
          <a:off x="2367643" y="18953703"/>
          <a:ext cx="875058" cy="116058"/>
          <a:chOff x="206" y="86"/>
          <a:chExt cx="73" cy="16"/>
        </a:xfrm>
      </xdr:grpSpPr>
      <xdr:sp macro="" textlink="">
        <xdr:nvSpPr>
          <xdr:cNvPr id="4537" name="Line 6">
            <a:extLst>
              <a:ext uri="{FF2B5EF4-FFF2-40B4-BE49-F238E27FC236}">
                <a16:creationId xmlns:a16="http://schemas.microsoft.com/office/drawing/2014/main" id="{6E0B3DF7-A849-0B88-C4F8-C9A0D54765DF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6" name="Line 7">
            <a:extLst>
              <a:ext uri="{FF2B5EF4-FFF2-40B4-BE49-F238E27FC236}">
                <a16:creationId xmlns:a16="http://schemas.microsoft.com/office/drawing/2014/main" id="{D853CEF7-4BAA-38F7-DE46-C2950E5AAA11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7" name="Line 8">
            <a:extLst>
              <a:ext uri="{FF2B5EF4-FFF2-40B4-BE49-F238E27FC236}">
                <a16:creationId xmlns:a16="http://schemas.microsoft.com/office/drawing/2014/main" id="{CDCD7C29-568C-DFD4-6EC4-ECA3C4880BC4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52</xdr:row>
      <xdr:rowOff>80596</xdr:rowOff>
    </xdr:from>
    <xdr:to>
      <xdr:col>3</xdr:col>
      <xdr:colOff>970308</xdr:colOff>
      <xdr:row>52</xdr:row>
      <xdr:rowOff>196654</xdr:rowOff>
    </xdr:to>
    <xdr:grpSp>
      <xdr:nvGrpSpPr>
        <xdr:cNvPr id="4548" name="hinh2">
          <a:extLst>
            <a:ext uri="{FF2B5EF4-FFF2-40B4-BE49-F238E27FC236}">
              <a16:creationId xmlns:a16="http://schemas.microsoft.com/office/drawing/2014/main" id="{35ED75CC-535E-4B3B-8D5E-485C3E72F394}"/>
            </a:ext>
          </a:extLst>
        </xdr:cNvPr>
        <xdr:cNvGrpSpPr>
          <a:grpSpLocks noChangeAspect="1"/>
        </xdr:cNvGrpSpPr>
      </xdr:nvGrpSpPr>
      <xdr:grpSpPr bwMode="auto">
        <a:xfrm>
          <a:off x="2367643" y="18953703"/>
          <a:ext cx="875058" cy="116058"/>
          <a:chOff x="206" y="86"/>
          <a:chExt cx="73" cy="16"/>
        </a:xfrm>
      </xdr:grpSpPr>
      <xdr:sp macro="" textlink="">
        <xdr:nvSpPr>
          <xdr:cNvPr id="4549" name="Line 6">
            <a:extLst>
              <a:ext uri="{FF2B5EF4-FFF2-40B4-BE49-F238E27FC236}">
                <a16:creationId xmlns:a16="http://schemas.microsoft.com/office/drawing/2014/main" id="{EEBB64C6-3532-F946-95CC-1B669BF8A315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73" cy="0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8" name="Line 7">
            <a:extLst>
              <a:ext uri="{FF2B5EF4-FFF2-40B4-BE49-F238E27FC236}">
                <a16:creationId xmlns:a16="http://schemas.microsoft.com/office/drawing/2014/main" id="{51E8ABFB-D13F-C18A-7B7D-30DB2A9E5BC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06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9" name="Line 8">
            <a:extLst>
              <a:ext uri="{FF2B5EF4-FFF2-40B4-BE49-F238E27FC236}">
                <a16:creationId xmlns:a16="http://schemas.microsoft.com/office/drawing/2014/main" id="{B719888F-005D-288D-65EE-D6BCED356F43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79" y="86"/>
            <a:ext cx="0" cy="16"/>
          </a:xfrm>
          <a:prstGeom prst="line">
            <a:avLst/>
          </a:prstGeom>
          <a:noFill/>
          <a:ln w="19050">
            <a:solidFill>
              <a:srgbClr val="00008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D153-2959-4530-9BA8-DAC487F53E6F}">
  <sheetPr codeName="Sheet1"/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434F-C54A-4D04-9FFD-28E2C0F26DE7}">
  <sheetPr codeName="Sheet2">
    <pageSetUpPr fitToPage="1"/>
  </sheetPr>
  <dimension ref="A1:O31"/>
  <sheetViews>
    <sheetView view="pageBreakPreview" topLeftCell="A13" zoomScale="85" zoomScaleNormal="70" zoomScaleSheetLayoutView="85" workbookViewId="0">
      <selection activeCell="E16" sqref="E16"/>
    </sheetView>
  </sheetViews>
  <sheetFormatPr defaultColWidth="9" defaultRowHeight="15"/>
  <cols>
    <col min="1" max="1" width="2.125" style="30" customWidth="1"/>
    <col min="2" max="10" width="19.25" style="30" customWidth="1"/>
    <col min="11" max="16384" width="9" style="30"/>
  </cols>
  <sheetData>
    <row r="1" spans="1:10" ht="31.5" customHeight="1" thickTop="1">
      <c r="A1" s="29"/>
      <c r="B1" s="721" t="s">
        <v>36</v>
      </c>
      <c r="C1" s="721"/>
      <c r="D1" s="721"/>
      <c r="E1" s="721"/>
      <c r="F1" s="721"/>
      <c r="G1" s="721"/>
      <c r="H1" s="721"/>
      <c r="I1" s="721"/>
      <c r="J1" s="722"/>
    </row>
    <row r="2" spans="1:10" ht="20.25" customHeight="1">
      <c r="A2" s="31"/>
      <c r="B2" s="723" t="s">
        <v>49</v>
      </c>
      <c r="C2" s="723"/>
      <c r="D2" s="723"/>
      <c r="E2" s="723"/>
      <c r="F2" s="723"/>
      <c r="G2" s="723"/>
      <c r="H2" s="723"/>
      <c r="I2" s="723"/>
      <c r="J2" s="724"/>
    </row>
    <row r="3" spans="1:10">
      <c r="A3" s="31"/>
      <c r="J3" s="32"/>
    </row>
    <row r="4" spans="1:10">
      <c r="A4" s="31"/>
      <c r="J4" s="32"/>
    </row>
    <row r="5" spans="1:10">
      <c r="A5" s="31"/>
      <c r="J5" s="32"/>
    </row>
    <row r="6" spans="1:10">
      <c r="A6" s="31"/>
      <c r="J6" s="32"/>
    </row>
    <row r="7" spans="1:10">
      <c r="A7" s="31"/>
      <c r="J7" s="32"/>
    </row>
    <row r="8" spans="1:10">
      <c r="A8" s="31"/>
      <c r="J8" s="32"/>
    </row>
    <row r="9" spans="1:10" ht="67.5" customHeight="1">
      <c r="A9" s="31"/>
      <c r="B9" s="725" t="s">
        <v>271</v>
      </c>
      <c r="C9" s="726"/>
      <c r="D9" s="726"/>
      <c r="E9" s="726"/>
      <c r="F9" s="726"/>
      <c r="G9" s="726"/>
      <c r="H9" s="726"/>
      <c r="I9" s="726"/>
      <c r="J9" s="727"/>
    </row>
    <row r="10" spans="1:10">
      <c r="A10" s="31"/>
      <c r="B10" s="345"/>
      <c r="C10" s="345"/>
      <c r="D10" s="345"/>
      <c r="E10" s="345"/>
      <c r="F10" s="345"/>
      <c r="G10" s="345"/>
      <c r="H10" s="345"/>
      <c r="I10" s="345"/>
      <c r="J10" s="346"/>
    </row>
    <row r="11" spans="1:10" ht="27">
      <c r="A11" s="31"/>
      <c r="B11" s="728" t="s">
        <v>745</v>
      </c>
      <c r="C11" s="728"/>
      <c r="D11" s="728"/>
      <c r="E11" s="728"/>
      <c r="F11" s="728"/>
      <c r="G11" s="728"/>
      <c r="H11" s="728"/>
      <c r="I11" s="728"/>
      <c r="J11" s="729"/>
    </row>
    <row r="12" spans="1:10">
      <c r="A12" s="31"/>
      <c r="J12" s="32"/>
    </row>
    <row r="13" spans="1:10" ht="30.75" customHeight="1">
      <c r="A13" s="31"/>
      <c r="J13" s="32"/>
    </row>
    <row r="14" spans="1:10" ht="30.75" customHeight="1">
      <c r="A14" s="31"/>
      <c r="J14" s="32"/>
    </row>
    <row r="15" spans="1:10" ht="30.75" customHeight="1">
      <c r="A15" s="31"/>
      <c r="J15" s="32"/>
    </row>
    <row r="16" spans="1:10" ht="30.75" customHeight="1">
      <c r="A16" s="31"/>
      <c r="J16" s="32"/>
    </row>
    <row r="17" spans="1:15" ht="30" customHeight="1">
      <c r="A17" s="31"/>
      <c r="B17" s="730" t="s">
        <v>274</v>
      </c>
      <c r="C17" s="730"/>
      <c r="D17" s="730"/>
      <c r="E17" s="730"/>
      <c r="F17" s="730"/>
      <c r="G17" s="730"/>
      <c r="H17" s="730"/>
      <c r="I17" s="730"/>
      <c r="J17" s="731"/>
    </row>
    <row r="18" spans="1:15" ht="30" customHeight="1">
      <c r="A18" s="31"/>
      <c r="B18" s="716" t="s">
        <v>275</v>
      </c>
      <c r="C18" s="716"/>
      <c r="D18" s="716"/>
      <c r="E18" s="716"/>
      <c r="F18" s="716"/>
      <c r="G18" s="716"/>
      <c r="H18" s="716"/>
      <c r="I18" s="716"/>
      <c r="J18" s="720"/>
    </row>
    <row r="19" spans="1:15" ht="48" customHeight="1">
      <c r="A19" s="31"/>
      <c r="B19" s="716" t="s">
        <v>276</v>
      </c>
      <c r="C19" s="716"/>
      <c r="D19" s="716"/>
      <c r="E19" s="716"/>
      <c r="F19" s="716"/>
      <c r="G19" s="716"/>
      <c r="H19" s="716"/>
      <c r="I19" s="716"/>
      <c r="J19" s="720"/>
    </row>
    <row r="20" spans="1:15" ht="29.25" customHeight="1">
      <c r="A20" s="31"/>
      <c r="B20" s="716" t="s">
        <v>277</v>
      </c>
      <c r="C20" s="716"/>
      <c r="D20" s="716"/>
      <c r="E20" s="716"/>
      <c r="F20" s="716"/>
      <c r="G20" s="716"/>
      <c r="H20" s="716"/>
      <c r="I20" s="716"/>
      <c r="J20" s="720"/>
    </row>
    <row r="21" spans="1:15" ht="29.25" customHeight="1">
      <c r="A21" s="31"/>
      <c r="B21" s="716" t="s">
        <v>272</v>
      </c>
      <c r="C21" s="716"/>
      <c r="D21" s="716"/>
      <c r="E21" s="716"/>
      <c r="F21" s="716"/>
      <c r="G21" s="716"/>
      <c r="H21" s="716"/>
      <c r="I21" s="716"/>
      <c r="J21" s="720"/>
    </row>
    <row r="22" spans="1:15" ht="29.25" customHeight="1">
      <c r="A22" s="31"/>
      <c r="B22" s="716" t="s">
        <v>278</v>
      </c>
      <c r="C22" s="716"/>
      <c r="D22" s="716"/>
      <c r="E22" s="716"/>
      <c r="F22" s="716"/>
      <c r="G22" s="716"/>
      <c r="H22" s="716"/>
      <c r="I22" s="716"/>
      <c r="J22" s="347"/>
      <c r="K22" s="72"/>
    </row>
    <row r="23" spans="1:15" ht="28.5" customHeight="1">
      <c r="A23" s="31"/>
      <c r="B23" s="33"/>
      <c r="C23" s="33"/>
      <c r="D23" s="33"/>
      <c r="E23" s="33"/>
      <c r="F23" s="33"/>
      <c r="G23" s="33"/>
      <c r="H23" s="33"/>
      <c r="I23" s="33"/>
      <c r="J23" s="34"/>
    </row>
    <row r="24" spans="1:15">
      <c r="A24" s="31"/>
      <c r="J24" s="32"/>
      <c r="O24" s="30" t="s">
        <v>273</v>
      </c>
    </row>
    <row r="25" spans="1:15">
      <c r="A25" s="31"/>
      <c r="J25" s="32"/>
    </row>
    <row r="26" spans="1:15">
      <c r="A26" s="31"/>
      <c r="J26" s="32"/>
    </row>
    <row r="27" spans="1:15">
      <c r="A27" s="31"/>
      <c r="J27" s="32"/>
    </row>
    <row r="28" spans="1:15">
      <c r="A28" s="31"/>
      <c r="J28" s="32"/>
    </row>
    <row r="29" spans="1:15" ht="15.75">
      <c r="A29" s="31"/>
      <c r="B29" s="717" t="s">
        <v>73</v>
      </c>
      <c r="C29" s="718"/>
      <c r="D29" s="718"/>
      <c r="E29" s="718"/>
      <c r="F29" s="718"/>
      <c r="G29" s="718"/>
      <c r="H29" s="718"/>
      <c r="I29" s="718"/>
      <c r="J29" s="719"/>
    </row>
    <row r="30" spans="1:15" ht="15.75" thickBot="1">
      <c r="A30" s="35"/>
      <c r="B30" s="36"/>
      <c r="C30" s="36"/>
      <c r="D30" s="36"/>
      <c r="E30" s="36"/>
      <c r="F30" s="36"/>
      <c r="G30" s="36"/>
      <c r="H30" s="36"/>
      <c r="I30" s="36"/>
      <c r="J30" s="37"/>
    </row>
    <row r="31" spans="1:15" ht="15.75" thickTop="1"/>
  </sheetData>
  <mergeCells count="11">
    <mergeCell ref="B22:I22"/>
    <mergeCell ref="B29:J29"/>
    <mergeCell ref="B21:J21"/>
    <mergeCell ref="B1:J1"/>
    <mergeCell ref="B2:J2"/>
    <mergeCell ref="B18:J18"/>
    <mergeCell ref="B19:J19"/>
    <mergeCell ref="B20:J20"/>
    <mergeCell ref="B9:J9"/>
    <mergeCell ref="B11:J11"/>
    <mergeCell ref="B17:J17"/>
  </mergeCells>
  <pageMargins left="0.98425196850393704" right="0.59055118110236227" top="0.59055118110236227" bottom="0.15748031496062992" header="0.31496062992125984" footer="0.31496062992125984"/>
  <pageSetup paperSize="9" scale="6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E183-6C82-4437-B96E-78D189BD7691}">
  <sheetPr codeName="Sheet6">
    <pageSetUpPr fitToPage="1"/>
  </sheetPr>
  <dimension ref="A1:N35"/>
  <sheetViews>
    <sheetView view="pageBreakPreview" zoomScale="85" zoomScaleNormal="85" zoomScaleSheetLayoutView="85" workbookViewId="0">
      <selection activeCell="F13" sqref="F13:G13"/>
    </sheetView>
  </sheetViews>
  <sheetFormatPr defaultColWidth="8.75" defaultRowHeight="16.5"/>
  <cols>
    <col min="1" max="1" width="4.875" style="349" customWidth="1"/>
    <col min="2" max="2" width="8.75" style="349"/>
    <col min="3" max="3" width="12.625" style="349" customWidth="1"/>
    <col min="4" max="4" width="5.5" style="349" customWidth="1"/>
    <col min="5" max="5" width="15.5" style="349" customWidth="1"/>
    <col min="6" max="6" width="8.75" style="349" customWidth="1"/>
    <col min="7" max="7" width="18.625" style="349" customWidth="1"/>
    <col min="8" max="8" width="6.5" style="349" customWidth="1"/>
    <col min="9" max="9" width="85.625" style="349" customWidth="1"/>
    <col min="10" max="10" width="13.75" style="349" customWidth="1"/>
    <col min="11" max="11" width="42.25" style="349" bestFit="1" customWidth="1"/>
    <col min="12" max="12" width="12.375" style="349" bestFit="1" customWidth="1"/>
    <col min="13" max="13" width="20.125" style="349" bestFit="1" customWidth="1"/>
    <col min="14" max="14" width="20.5" style="349" customWidth="1"/>
    <col min="15" max="256" width="8.75" style="349"/>
    <col min="257" max="257" width="4.875" style="349" customWidth="1"/>
    <col min="258" max="258" width="8.75" style="349"/>
    <col min="259" max="259" width="12.625" style="349" customWidth="1"/>
    <col min="260" max="260" width="5.5" style="349" customWidth="1"/>
    <col min="261" max="261" width="15.5" style="349" customWidth="1"/>
    <col min="262" max="262" width="8.75" style="349"/>
    <col min="263" max="263" width="18.625" style="349" customWidth="1"/>
    <col min="264" max="264" width="6.5" style="349" customWidth="1"/>
    <col min="265" max="265" width="8" style="349" customWidth="1"/>
    <col min="266" max="266" width="13.75" style="349" customWidth="1"/>
    <col min="267" max="267" width="42.25" style="349" bestFit="1" customWidth="1"/>
    <col min="268" max="512" width="8.75" style="349"/>
    <col min="513" max="513" width="4.875" style="349" customWidth="1"/>
    <col min="514" max="514" width="8.75" style="349"/>
    <col min="515" max="515" width="12.625" style="349" customWidth="1"/>
    <col min="516" max="516" width="5.5" style="349" customWidth="1"/>
    <col min="517" max="517" width="15.5" style="349" customWidth="1"/>
    <col min="518" max="518" width="8.75" style="349"/>
    <col min="519" max="519" width="18.625" style="349" customWidth="1"/>
    <col min="520" max="520" width="6.5" style="349" customWidth="1"/>
    <col min="521" max="521" width="8" style="349" customWidth="1"/>
    <col min="522" max="522" width="13.75" style="349" customWidth="1"/>
    <col min="523" max="523" width="42.25" style="349" bestFit="1" customWidth="1"/>
    <col min="524" max="768" width="8.75" style="349"/>
    <col min="769" max="769" width="4.875" style="349" customWidth="1"/>
    <col min="770" max="770" width="8.75" style="349"/>
    <col min="771" max="771" width="12.625" style="349" customWidth="1"/>
    <col min="772" max="772" width="5.5" style="349" customWidth="1"/>
    <col min="773" max="773" width="15.5" style="349" customWidth="1"/>
    <col min="774" max="774" width="8.75" style="349"/>
    <col min="775" max="775" width="18.625" style="349" customWidth="1"/>
    <col min="776" max="776" width="6.5" style="349" customWidth="1"/>
    <col min="777" max="777" width="8" style="349" customWidth="1"/>
    <col min="778" max="778" width="13.75" style="349" customWidth="1"/>
    <col min="779" max="779" width="42.25" style="349" bestFit="1" customWidth="1"/>
    <col min="780" max="1024" width="8.75" style="349"/>
    <col min="1025" max="1025" width="4.875" style="349" customWidth="1"/>
    <col min="1026" max="1026" width="8.75" style="349"/>
    <col min="1027" max="1027" width="12.625" style="349" customWidth="1"/>
    <col min="1028" max="1028" width="5.5" style="349" customWidth="1"/>
    <col min="1029" max="1029" width="15.5" style="349" customWidth="1"/>
    <col min="1030" max="1030" width="8.75" style="349"/>
    <col min="1031" max="1031" width="18.625" style="349" customWidth="1"/>
    <col min="1032" max="1032" width="6.5" style="349" customWidth="1"/>
    <col min="1033" max="1033" width="8" style="349" customWidth="1"/>
    <col min="1034" max="1034" width="13.75" style="349" customWidth="1"/>
    <col min="1035" max="1035" width="42.25" style="349" bestFit="1" customWidth="1"/>
    <col min="1036" max="1280" width="8.75" style="349"/>
    <col min="1281" max="1281" width="4.875" style="349" customWidth="1"/>
    <col min="1282" max="1282" width="8.75" style="349"/>
    <col min="1283" max="1283" width="12.625" style="349" customWidth="1"/>
    <col min="1284" max="1284" width="5.5" style="349" customWidth="1"/>
    <col min="1285" max="1285" width="15.5" style="349" customWidth="1"/>
    <col min="1286" max="1286" width="8.75" style="349"/>
    <col min="1287" max="1287" width="18.625" style="349" customWidth="1"/>
    <col min="1288" max="1288" width="6.5" style="349" customWidth="1"/>
    <col min="1289" max="1289" width="8" style="349" customWidth="1"/>
    <col min="1290" max="1290" width="13.75" style="349" customWidth="1"/>
    <col min="1291" max="1291" width="42.25" style="349" bestFit="1" customWidth="1"/>
    <col min="1292" max="1536" width="8.75" style="349"/>
    <col min="1537" max="1537" width="4.875" style="349" customWidth="1"/>
    <col min="1538" max="1538" width="8.75" style="349"/>
    <col min="1539" max="1539" width="12.625" style="349" customWidth="1"/>
    <col min="1540" max="1540" width="5.5" style="349" customWidth="1"/>
    <col min="1541" max="1541" width="15.5" style="349" customWidth="1"/>
    <col min="1542" max="1542" width="8.75" style="349"/>
    <col min="1543" max="1543" width="18.625" style="349" customWidth="1"/>
    <col min="1544" max="1544" width="6.5" style="349" customWidth="1"/>
    <col min="1545" max="1545" width="8" style="349" customWidth="1"/>
    <col min="1546" max="1546" width="13.75" style="349" customWidth="1"/>
    <col min="1547" max="1547" width="42.25" style="349" bestFit="1" customWidth="1"/>
    <col min="1548" max="1792" width="8.75" style="349"/>
    <col min="1793" max="1793" width="4.875" style="349" customWidth="1"/>
    <col min="1794" max="1794" width="8.75" style="349"/>
    <col min="1795" max="1795" width="12.625" style="349" customWidth="1"/>
    <col min="1796" max="1796" width="5.5" style="349" customWidth="1"/>
    <col min="1797" max="1797" width="15.5" style="349" customWidth="1"/>
    <col min="1798" max="1798" width="8.75" style="349"/>
    <col min="1799" max="1799" width="18.625" style="349" customWidth="1"/>
    <col min="1800" max="1800" width="6.5" style="349" customWidth="1"/>
    <col min="1801" max="1801" width="8" style="349" customWidth="1"/>
    <col min="1802" max="1802" width="13.75" style="349" customWidth="1"/>
    <col min="1803" max="1803" width="42.25" style="349" bestFit="1" customWidth="1"/>
    <col min="1804" max="2048" width="8.75" style="349"/>
    <col min="2049" max="2049" width="4.875" style="349" customWidth="1"/>
    <col min="2050" max="2050" width="8.75" style="349"/>
    <col min="2051" max="2051" width="12.625" style="349" customWidth="1"/>
    <col min="2052" max="2052" width="5.5" style="349" customWidth="1"/>
    <col min="2053" max="2053" width="15.5" style="349" customWidth="1"/>
    <col min="2054" max="2054" width="8.75" style="349"/>
    <col min="2055" max="2055" width="18.625" style="349" customWidth="1"/>
    <col min="2056" max="2056" width="6.5" style="349" customWidth="1"/>
    <col min="2057" max="2057" width="8" style="349" customWidth="1"/>
    <col min="2058" max="2058" width="13.75" style="349" customWidth="1"/>
    <col min="2059" max="2059" width="42.25" style="349" bestFit="1" customWidth="1"/>
    <col min="2060" max="2304" width="8.75" style="349"/>
    <col min="2305" max="2305" width="4.875" style="349" customWidth="1"/>
    <col min="2306" max="2306" width="8.75" style="349"/>
    <col min="2307" max="2307" width="12.625" style="349" customWidth="1"/>
    <col min="2308" max="2308" width="5.5" style="349" customWidth="1"/>
    <col min="2309" max="2309" width="15.5" style="349" customWidth="1"/>
    <col min="2310" max="2310" width="8.75" style="349"/>
    <col min="2311" max="2311" width="18.625" style="349" customWidth="1"/>
    <col min="2312" max="2312" width="6.5" style="349" customWidth="1"/>
    <col min="2313" max="2313" width="8" style="349" customWidth="1"/>
    <col min="2314" max="2314" width="13.75" style="349" customWidth="1"/>
    <col min="2315" max="2315" width="42.25" style="349" bestFit="1" customWidth="1"/>
    <col min="2316" max="2560" width="8.75" style="349"/>
    <col min="2561" max="2561" width="4.875" style="349" customWidth="1"/>
    <col min="2562" max="2562" width="8.75" style="349"/>
    <col min="2563" max="2563" width="12.625" style="349" customWidth="1"/>
    <col min="2564" max="2564" width="5.5" style="349" customWidth="1"/>
    <col min="2565" max="2565" width="15.5" style="349" customWidth="1"/>
    <col min="2566" max="2566" width="8.75" style="349"/>
    <col min="2567" max="2567" width="18.625" style="349" customWidth="1"/>
    <col min="2568" max="2568" width="6.5" style="349" customWidth="1"/>
    <col min="2569" max="2569" width="8" style="349" customWidth="1"/>
    <col min="2570" max="2570" width="13.75" style="349" customWidth="1"/>
    <col min="2571" max="2571" width="42.25" style="349" bestFit="1" customWidth="1"/>
    <col min="2572" max="2816" width="8.75" style="349"/>
    <col min="2817" max="2817" width="4.875" style="349" customWidth="1"/>
    <col min="2818" max="2818" width="8.75" style="349"/>
    <col min="2819" max="2819" width="12.625" style="349" customWidth="1"/>
    <col min="2820" max="2820" width="5.5" style="349" customWidth="1"/>
    <col min="2821" max="2821" width="15.5" style="349" customWidth="1"/>
    <col min="2822" max="2822" width="8.75" style="349"/>
    <col min="2823" max="2823" width="18.625" style="349" customWidth="1"/>
    <col min="2824" max="2824" width="6.5" style="349" customWidth="1"/>
    <col min="2825" max="2825" width="8" style="349" customWidth="1"/>
    <col min="2826" max="2826" width="13.75" style="349" customWidth="1"/>
    <col min="2827" max="2827" width="42.25" style="349" bestFit="1" customWidth="1"/>
    <col min="2828" max="3072" width="8.75" style="349"/>
    <col min="3073" max="3073" width="4.875" style="349" customWidth="1"/>
    <col min="3074" max="3074" width="8.75" style="349"/>
    <col min="3075" max="3075" width="12.625" style="349" customWidth="1"/>
    <col min="3076" max="3076" width="5.5" style="349" customWidth="1"/>
    <col min="3077" max="3077" width="15.5" style="349" customWidth="1"/>
    <col min="3078" max="3078" width="8.75" style="349"/>
    <col min="3079" max="3079" width="18.625" style="349" customWidth="1"/>
    <col min="3080" max="3080" width="6.5" style="349" customWidth="1"/>
    <col min="3081" max="3081" width="8" style="349" customWidth="1"/>
    <col min="3082" max="3082" width="13.75" style="349" customWidth="1"/>
    <col min="3083" max="3083" width="42.25" style="349" bestFit="1" customWidth="1"/>
    <col min="3084" max="3328" width="8.75" style="349"/>
    <col min="3329" max="3329" width="4.875" style="349" customWidth="1"/>
    <col min="3330" max="3330" width="8.75" style="349"/>
    <col min="3331" max="3331" width="12.625" style="349" customWidth="1"/>
    <col min="3332" max="3332" width="5.5" style="349" customWidth="1"/>
    <col min="3333" max="3333" width="15.5" style="349" customWidth="1"/>
    <col min="3334" max="3334" width="8.75" style="349"/>
    <col min="3335" max="3335" width="18.625" style="349" customWidth="1"/>
    <col min="3336" max="3336" width="6.5" style="349" customWidth="1"/>
    <col min="3337" max="3337" width="8" style="349" customWidth="1"/>
    <col min="3338" max="3338" width="13.75" style="349" customWidth="1"/>
    <col min="3339" max="3339" width="42.25" style="349" bestFit="1" customWidth="1"/>
    <col min="3340" max="3584" width="8.75" style="349"/>
    <col min="3585" max="3585" width="4.875" style="349" customWidth="1"/>
    <col min="3586" max="3586" width="8.75" style="349"/>
    <col min="3587" max="3587" width="12.625" style="349" customWidth="1"/>
    <col min="3588" max="3588" width="5.5" style="349" customWidth="1"/>
    <col min="3589" max="3589" width="15.5" style="349" customWidth="1"/>
    <col min="3590" max="3590" width="8.75" style="349"/>
    <col min="3591" max="3591" width="18.625" style="349" customWidth="1"/>
    <col min="3592" max="3592" width="6.5" style="349" customWidth="1"/>
    <col min="3593" max="3593" width="8" style="349" customWidth="1"/>
    <col min="3594" max="3594" width="13.75" style="349" customWidth="1"/>
    <col min="3595" max="3595" width="42.25" style="349" bestFit="1" customWidth="1"/>
    <col min="3596" max="3840" width="8.75" style="349"/>
    <col min="3841" max="3841" width="4.875" style="349" customWidth="1"/>
    <col min="3842" max="3842" width="8.75" style="349"/>
    <col min="3843" max="3843" width="12.625" style="349" customWidth="1"/>
    <col min="3844" max="3844" width="5.5" style="349" customWidth="1"/>
    <col min="3845" max="3845" width="15.5" style="349" customWidth="1"/>
    <col min="3846" max="3846" width="8.75" style="349"/>
    <col min="3847" max="3847" width="18.625" style="349" customWidth="1"/>
    <col min="3848" max="3848" width="6.5" style="349" customWidth="1"/>
    <col min="3849" max="3849" width="8" style="349" customWidth="1"/>
    <col min="3850" max="3850" width="13.75" style="349" customWidth="1"/>
    <col min="3851" max="3851" width="42.25" style="349" bestFit="1" customWidth="1"/>
    <col min="3852" max="4096" width="8.75" style="349"/>
    <col min="4097" max="4097" width="4.875" style="349" customWidth="1"/>
    <col min="4098" max="4098" width="8.75" style="349"/>
    <col min="4099" max="4099" width="12.625" style="349" customWidth="1"/>
    <col min="4100" max="4100" width="5.5" style="349" customWidth="1"/>
    <col min="4101" max="4101" width="15.5" style="349" customWidth="1"/>
    <col min="4102" max="4102" width="8.75" style="349"/>
    <col min="4103" max="4103" width="18.625" style="349" customWidth="1"/>
    <col min="4104" max="4104" width="6.5" style="349" customWidth="1"/>
    <col min="4105" max="4105" width="8" style="349" customWidth="1"/>
    <col min="4106" max="4106" width="13.75" style="349" customWidth="1"/>
    <col min="4107" max="4107" width="42.25" style="349" bestFit="1" customWidth="1"/>
    <col min="4108" max="4352" width="8.75" style="349"/>
    <col min="4353" max="4353" width="4.875" style="349" customWidth="1"/>
    <col min="4354" max="4354" width="8.75" style="349"/>
    <col min="4355" max="4355" width="12.625" style="349" customWidth="1"/>
    <col min="4356" max="4356" width="5.5" style="349" customWidth="1"/>
    <col min="4357" max="4357" width="15.5" style="349" customWidth="1"/>
    <col min="4358" max="4358" width="8.75" style="349"/>
    <col min="4359" max="4359" width="18.625" style="349" customWidth="1"/>
    <col min="4360" max="4360" width="6.5" style="349" customWidth="1"/>
    <col min="4361" max="4361" width="8" style="349" customWidth="1"/>
    <col min="4362" max="4362" width="13.75" style="349" customWidth="1"/>
    <col min="4363" max="4363" width="42.25" style="349" bestFit="1" customWidth="1"/>
    <col min="4364" max="4608" width="8.75" style="349"/>
    <col min="4609" max="4609" width="4.875" style="349" customWidth="1"/>
    <col min="4610" max="4610" width="8.75" style="349"/>
    <col min="4611" max="4611" width="12.625" style="349" customWidth="1"/>
    <col min="4612" max="4612" width="5.5" style="349" customWidth="1"/>
    <col min="4613" max="4613" width="15.5" style="349" customWidth="1"/>
    <col min="4614" max="4614" width="8.75" style="349"/>
    <col min="4615" max="4615" width="18.625" style="349" customWidth="1"/>
    <col min="4616" max="4616" width="6.5" style="349" customWidth="1"/>
    <col min="4617" max="4617" width="8" style="349" customWidth="1"/>
    <col min="4618" max="4618" width="13.75" style="349" customWidth="1"/>
    <col min="4619" max="4619" width="42.25" style="349" bestFit="1" customWidth="1"/>
    <col min="4620" max="4864" width="8.75" style="349"/>
    <col min="4865" max="4865" width="4.875" style="349" customWidth="1"/>
    <col min="4866" max="4866" width="8.75" style="349"/>
    <col min="4867" max="4867" width="12.625" style="349" customWidth="1"/>
    <col min="4868" max="4868" width="5.5" style="349" customWidth="1"/>
    <col min="4869" max="4869" width="15.5" style="349" customWidth="1"/>
    <col min="4870" max="4870" width="8.75" style="349"/>
    <col min="4871" max="4871" width="18.625" style="349" customWidth="1"/>
    <col min="4872" max="4872" width="6.5" style="349" customWidth="1"/>
    <col min="4873" max="4873" width="8" style="349" customWidth="1"/>
    <col min="4874" max="4874" width="13.75" style="349" customWidth="1"/>
    <col min="4875" max="4875" width="42.25" style="349" bestFit="1" customWidth="1"/>
    <col min="4876" max="5120" width="8.75" style="349"/>
    <col min="5121" max="5121" width="4.875" style="349" customWidth="1"/>
    <col min="5122" max="5122" width="8.75" style="349"/>
    <col min="5123" max="5123" width="12.625" style="349" customWidth="1"/>
    <col min="5124" max="5124" width="5.5" style="349" customWidth="1"/>
    <col min="5125" max="5125" width="15.5" style="349" customWidth="1"/>
    <col min="5126" max="5126" width="8.75" style="349"/>
    <col min="5127" max="5127" width="18.625" style="349" customWidth="1"/>
    <col min="5128" max="5128" width="6.5" style="349" customWidth="1"/>
    <col min="5129" max="5129" width="8" style="349" customWidth="1"/>
    <col min="5130" max="5130" width="13.75" style="349" customWidth="1"/>
    <col min="5131" max="5131" width="42.25" style="349" bestFit="1" customWidth="1"/>
    <col min="5132" max="5376" width="8.75" style="349"/>
    <col min="5377" max="5377" width="4.875" style="349" customWidth="1"/>
    <col min="5378" max="5378" width="8.75" style="349"/>
    <col min="5379" max="5379" width="12.625" style="349" customWidth="1"/>
    <col min="5380" max="5380" width="5.5" style="349" customWidth="1"/>
    <col min="5381" max="5381" width="15.5" style="349" customWidth="1"/>
    <col min="5382" max="5382" width="8.75" style="349"/>
    <col min="5383" max="5383" width="18.625" style="349" customWidth="1"/>
    <col min="5384" max="5384" width="6.5" style="349" customWidth="1"/>
    <col min="5385" max="5385" width="8" style="349" customWidth="1"/>
    <col min="5386" max="5386" width="13.75" style="349" customWidth="1"/>
    <col min="5387" max="5387" width="42.25" style="349" bestFit="1" customWidth="1"/>
    <col min="5388" max="5632" width="8.75" style="349"/>
    <col min="5633" max="5633" width="4.875" style="349" customWidth="1"/>
    <col min="5634" max="5634" width="8.75" style="349"/>
    <col min="5635" max="5635" width="12.625" style="349" customWidth="1"/>
    <col min="5636" max="5636" width="5.5" style="349" customWidth="1"/>
    <col min="5637" max="5637" width="15.5" style="349" customWidth="1"/>
    <col min="5638" max="5638" width="8.75" style="349"/>
    <col min="5639" max="5639" width="18.625" style="349" customWidth="1"/>
    <col min="5640" max="5640" width="6.5" style="349" customWidth="1"/>
    <col min="5641" max="5641" width="8" style="349" customWidth="1"/>
    <col min="5642" max="5642" width="13.75" style="349" customWidth="1"/>
    <col min="5643" max="5643" width="42.25" style="349" bestFit="1" customWidth="1"/>
    <col min="5644" max="5888" width="8.75" style="349"/>
    <col min="5889" max="5889" width="4.875" style="349" customWidth="1"/>
    <col min="5890" max="5890" width="8.75" style="349"/>
    <col min="5891" max="5891" width="12.625" style="349" customWidth="1"/>
    <col min="5892" max="5892" width="5.5" style="349" customWidth="1"/>
    <col min="5893" max="5893" width="15.5" style="349" customWidth="1"/>
    <col min="5894" max="5894" width="8.75" style="349"/>
    <col min="5895" max="5895" width="18.625" style="349" customWidth="1"/>
    <col min="5896" max="5896" width="6.5" style="349" customWidth="1"/>
    <col min="5897" max="5897" width="8" style="349" customWidth="1"/>
    <col min="5898" max="5898" width="13.75" style="349" customWidth="1"/>
    <col min="5899" max="5899" width="42.25" style="349" bestFit="1" customWidth="1"/>
    <col min="5900" max="6144" width="8.75" style="349"/>
    <col min="6145" max="6145" width="4.875" style="349" customWidth="1"/>
    <col min="6146" max="6146" width="8.75" style="349"/>
    <col min="6147" max="6147" width="12.625" style="349" customWidth="1"/>
    <col min="6148" max="6148" width="5.5" style="349" customWidth="1"/>
    <col min="6149" max="6149" width="15.5" style="349" customWidth="1"/>
    <col min="6150" max="6150" width="8.75" style="349"/>
    <col min="6151" max="6151" width="18.625" style="349" customWidth="1"/>
    <col min="6152" max="6152" width="6.5" style="349" customWidth="1"/>
    <col min="6153" max="6153" width="8" style="349" customWidth="1"/>
    <col min="6154" max="6154" width="13.75" style="349" customWidth="1"/>
    <col min="6155" max="6155" width="42.25" style="349" bestFit="1" customWidth="1"/>
    <col min="6156" max="6400" width="8.75" style="349"/>
    <col min="6401" max="6401" width="4.875" style="349" customWidth="1"/>
    <col min="6402" max="6402" width="8.75" style="349"/>
    <col min="6403" max="6403" width="12.625" style="349" customWidth="1"/>
    <col min="6404" max="6404" width="5.5" style="349" customWidth="1"/>
    <col min="6405" max="6405" width="15.5" style="349" customWidth="1"/>
    <col min="6406" max="6406" width="8.75" style="349"/>
    <col min="6407" max="6407" width="18.625" style="349" customWidth="1"/>
    <col min="6408" max="6408" width="6.5" style="349" customWidth="1"/>
    <col min="6409" max="6409" width="8" style="349" customWidth="1"/>
    <col min="6410" max="6410" width="13.75" style="349" customWidth="1"/>
    <col min="6411" max="6411" width="42.25" style="349" bestFit="1" customWidth="1"/>
    <col min="6412" max="6656" width="8.75" style="349"/>
    <col min="6657" max="6657" width="4.875" style="349" customWidth="1"/>
    <col min="6658" max="6658" width="8.75" style="349"/>
    <col min="6659" max="6659" width="12.625" style="349" customWidth="1"/>
    <col min="6660" max="6660" width="5.5" style="349" customWidth="1"/>
    <col min="6661" max="6661" width="15.5" style="349" customWidth="1"/>
    <col min="6662" max="6662" width="8.75" style="349"/>
    <col min="6663" max="6663" width="18.625" style="349" customWidth="1"/>
    <col min="6664" max="6664" width="6.5" style="349" customWidth="1"/>
    <col min="6665" max="6665" width="8" style="349" customWidth="1"/>
    <col min="6666" max="6666" width="13.75" style="349" customWidth="1"/>
    <col min="6667" max="6667" width="42.25" style="349" bestFit="1" customWidth="1"/>
    <col min="6668" max="6912" width="8.75" style="349"/>
    <col min="6913" max="6913" width="4.875" style="349" customWidth="1"/>
    <col min="6914" max="6914" width="8.75" style="349"/>
    <col min="6915" max="6915" width="12.625" style="349" customWidth="1"/>
    <col min="6916" max="6916" width="5.5" style="349" customWidth="1"/>
    <col min="6917" max="6917" width="15.5" style="349" customWidth="1"/>
    <col min="6918" max="6918" width="8.75" style="349"/>
    <col min="6919" max="6919" width="18.625" style="349" customWidth="1"/>
    <col min="6920" max="6920" width="6.5" style="349" customWidth="1"/>
    <col min="6921" max="6921" width="8" style="349" customWidth="1"/>
    <col min="6922" max="6922" width="13.75" style="349" customWidth="1"/>
    <col min="6923" max="6923" width="42.25" style="349" bestFit="1" customWidth="1"/>
    <col min="6924" max="7168" width="8.75" style="349"/>
    <col min="7169" max="7169" width="4.875" style="349" customWidth="1"/>
    <col min="7170" max="7170" width="8.75" style="349"/>
    <col min="7171" max="7171" width="12.625" style="349" customWidth="1"/>
    <col min="7172" max="7172" width="5.5" style="349" customWidth="1"/>
    <col min="7173" max="7173" width="15.5" style="349" customWidth="1"/>
    <col min="7174" max="7174" width="8.75" style="349"/>
    <col min="7175" max="7175" width="18.625" style="349" customWidth="1"/>
    <col min="7176" max="7176" width="6.5" style="349" customWidth="1"/>
    <col min="7177" max="7177" width="8" style="349" customWidth="1"/>
    <col min="7178" max="7178" width="13.75" style="349" customWidth="1"/>
    <col min="7179" max="7179" width="42.25" style="349" bestFit="1" customWidth="1"/>
    <col min="7180" max="7424" width="8.75" style="349"/>
    <col min="7425" max="7425" width="4.875" style="349" customWidth="1"/>
    <col min="7426" max="7426" width="8.75" style="349"/>
    <col min="7427" max="7427" width="12.625" style="349" customWidth="1"/>
    <col min="7428" max="7428" width="5.5" style="349" customWidth="1"/>
    <col min="7429" max="7429" width="15.5" style="349" customWidth="1"/>
    <col min="7430" max="7430" width="8.75" style="349"/>
    <col min="7431" max="7431" width="18.625" style="349" customWidth="1"/>
    <col min="7432" max="7432" width="6.5" style="349" customWidth="1"/>
    <col min="7433" max="7433" width="8" style="349" customWidth="1"/>
    <col min="7434" max="7434" width="13.75" style="349" customWidth="1"/>
    <col min="7435" max="7435" width="42.25" style="349" bestFit="1" customWidth="1"/>
    <col min="7436" max="7680" width="8.75" style="349"/>
    <col min="7681" max="7681" width="4.875" style="349" customWidth="1"/>
    <col min="7682" max="7682" width="8.75" style="349"/>
    <col min="7683" max="7683" width="12.625" style="349" customWidth="1"/>
    <col min="7684" max="7684" width="5.5" style="349" customWidth="1"/>
    <col min="7685" max="7685" width="15.5" style="349" customWidth="1"/>
    <col min="7686" max="7686" width="8.75" style="349"/>
    <col min="7687" max="7687" width="18.625" style="349" customWidth="1"/>
    <col min="7688" max="7688" width="6.5" style="349" customWidth="1"/>
    <col min="7689" max="7689" width="8" style="349" customWidth="1"/>
    <col min="7690" max="7690" width="13.75" style="349" customWidth="1"/>
    <col min="7691" max="7691" width="42.25" style="349" bestFit="1" customWidth="1"/>
    <col min="7692" max="7936" width="8.75" style="349"/>
    <col min="7937" max="7937" width="4.875" style="349" customWidth="1"/>
    <col min="7938" max="7938" width="8.75" style="349"/>
    <col min="7939" max="7939" width="12.625" style="349" customWidth="1"/>
    <col min="7940" max="7940" width="5.5" style="349" customWidth="1"/>
    <col min="7941" max="7941" width="15.5" style="349" customWidth="1"/>
    <col min="7942" max="7942" width="8.75" style="349"/>
    <col min="7943" max="7943" width="18.625" style="349" customWidth="1"/>
    <col min="7944" max="7944" width="6.5" style="349" customWidth="1"/>
    <col min="7945" max="7945" width="8" style="349" customWidth="1"/>
    <col min="7946" max="7946" width="13.75" style="349" customWidth="1"/>
    <col min="7947" max="7947" width="42.25" style="349" bestFit="1" customWidth="1"/>
    <col min="7948" max="8192" width="8.75" style="349"/>
    <col min="8193" max="8193" width="4.875" style="349" customWidth="1"/>
    <col min="8194" max="8194" width="8.75" style="349"/>
    <col min="8195" max="8195" width="12.625" style="349" customWidth="1"/>
    <col min="8196" max="8196" width="5.5" style="349" customWidth="1"/>
    <col min="8197" max="8197" width="15.5" style="349" customWidth="1"/>
    <col min="8198" max="8198" width="8.75" style="349"/>
    <col min="8199" max="8199" width="18.625" style="349" customWidth="1"/>
    <col min="8200" max="8200" width="6.5" style="349" customWidth="1"/>
    <col min="8201" max="8201" width="8" style="349" customWidth="1"/>
    <col min="8202" max="8202" width="13.75" style="349" customWidth="1"/>
    <col min="8203" max="8203" width="42.25" style="349" bestFit="1" customWidth="1"/>
    <col min="8204" max="8448" width="8.75" style="349"/>
    <col min="8449" max="8449" width="4.875" style="349" customWidth="1"/>
    <col min="8450" max="8450" width="8.75" style="349"/>
    <col min="8451" max="8451" width="12.625" style="349" customWidth="1"/>
    <col min="8452" max="8452" width="5.5" style="349" customWidth="1"/>
    <col min="8453" max="8453" width="15.5" style="349" customWidth="1"/>
    <col min="8454" max="8454" width="8.75" style="349"/>
    <col min="8455" max="8455" width="18.625" style="349" customWidth="1"/>
    <col min="8456" max="8456" width="6.5" style="349" customWidth="1"/>
    <col min="8457" max="8457" width="8" style="349" customWidth="1"/>
    <col min="8458" max="8458" width="13.75" style="349" customWidth="1"/>
    <col min="8459" max="8459" width="42.25" style="349" bestFit="1" customWidth="1"/>
    <col min="8460" max="8704" width="8.75" style="349"/>
    <col min="8705" max="8705" width="4.875" style="349" customWidth="1"/>
    <col min="8706" max="8706" width="8.75" style="349"/>
    <col min="8707" max="8707" width="12.625" style="349" customWidth="1"/>
    <col min="8708" max="8708" width="5.5" style="349" customWidth="1"/>
    <col min="8709" max="8709" width="15.5" style="349" customWidth="1"/>
    <col min="8710" max="8710" width="8.75" style="349"/>
    <col min="8711" max="8711" width="18.625" style="349" customWidth="1"/>
    <col min="8712" max="8712" width="6.5" style="349" customWidth="1"/>
    <col min="8713" max="8713" width="8" style="349" customWidth="1"/>
    <col min="8714" max="8714" width="13.75" style="349" customWidth="1"/>
    <col min="8715" max="8715" width="42.25" style="349" bestFit="1" customWidth="1"/>
    <col min="8716" max="8960" width="8.75" style="349"/>
    <col min="8961" max="8961" width="4.875" style="349" customWidth="1"/>
    <col min="8962" max="8962" width="8.75" style="349"/>
    <col min="8963" max="8963" width="12.625" style="349" customWidth="1"/>
    <col min="8964" max="8964" width="5.5" style="349" customWidth="1"/>
    <col min="8965" max="8965" width="15.5" style="349" customWidth="1"/>
    <col min="8966" max="8966" width="8.75" style="349"/>
    <col min="8967" max="8967" width="18.625" style="349" customWidth="1"/>
    <col min="8968" max="8968" width="6.5" style="349" customWidth="1"/>
    <col min="8969" max="8969" width="8" style="349" customWidth="1"/>
    <col min="8970" max="8970" width="13.75" style="349" customWidth="1"/>
    <col min="8971" max="8971" width="42.25" style="349" bestFit="1" customWidth="1"/>
    <col min="8972" max="9216" width="8.75" style="349"/>
    <col min="9217" max="9217" width="4.875" style="349" customWidth="1"/>
    <col min="9218" max="9218" width="8.75" style="349"/>
    <col min="9219" max="9219" width="12.625" style="349" customWidth="1"/>
    <col min="9220" max="9220" width="5.5" style="349" customWidth="1"/>
    <col min="9221" max="9221" width="15.5" style="349" customWidth="1"/>
    <col min="9222" max="9222" width="8.75" style="349"/>
    <col min="9223" max="9223" width="18.625" style="349" customWidth="1"/>
    <col min="9224" max="9224" width="6.5" style="349" customWidth="1"/>
    <col min="9225" max="9225" width="8" style="349" customWidth="1"/>
    <col min="9226" max="9226" width="13.75" style="349" customWidth="1"/>
    <col min="9227" max="9227" width="42.25" style="349" bestFit="1" customWidth="1"/>
    <col min="9228" max="9472" width="8.75" style="349"/>
    <col min="9473" max="9473" width="4.875" style="349" customWidth="1"/>
    <col min="9474" max="9474" width="8.75" style="349"/>
    <col min="9475" max="9475" width="12.625" style="349" customWidth="1"/>
    <col min="9476" max="9476" width="5.5" style="349" customWidth="1"/>
    <col min="9477" max="9477" width="15.5" style="349" customWidth="1"/>
    <col min="9478" max="9478" width="8.75" style="349"/>
    <col min="9479" max="9479" width="18.625" style="349" customWidth="1"/>
    <col min="9480" max="9480" width="6.5" style="349" customWidth="1"/>
    <col min="9481" max="9481" width="8" style="349" customWidth="1"/>
    <col min="9482" max="9482" width="13.75" style="349" customWidth="1"/>
    <col min="9483" max="9483" width="42.25" style="349" bestFit="1" customWidth="1"/>
    <col min="9484" max="9728" width="8.75" style="349"/>
    <col min="9729" max="9729" width="4.875" style="349" customWidth="1"/>
    <col min="9730" max="9730" width="8.75" style="349"/>
    <col min="9731" max="9731" width="12.625" style="349" customWidth="1"/>
    <col min="9732" max="9732" width="5.5" style="349" customWidth="1"/>
    <col min="9733" max="9733" width="15.5" style="349" customWidth="1"/>
    <col min="9734" max="9734" width="8.75" style="349"/>
    <col min="9735" max="9735" width="18.625" style="349" customWidth="1"/>
    <col min="9736" max="9736" width="6.5" style="349" customWidth="1"/>
    <col min="9737" max="9737" width="8" style="349" customWidth="1"/>
    <col min="9738" max="9738" width="13.75" style="349" customWidth="1"/>
    <col min="9739" max="9739" width="42.25" style="349" bestFit="1" customWidth="1"/>
    <col min="9740" max="9984" width="8.75" style="349"/>
    <col min="9985" max="9985" width="4.875" style="349" customWidth="1"/>
    <col min="9986" max="9986" width="8.75" style="349"/>
    <col min="9987" max="9987" width="12.625" style="349" customWidth="1"/>
    <col min="9988" max="9988" width="5.5" style="349" customWidth="1"/>
    <col min="9989" max="9989" width="15.5" style="349" customWidth="1"/>
    <col min="9990" max="9990" width="8.75" style="349"/>
    <col min="9991" max="9991" width="18.625" style="349" customWidth="1"/>
    <col min="9992" max="9992" width="6.5" style="349" customWidth="1"/>
    <col min="9993" max="9993" width="8" style="349" customWidth="1"/>
    <col min="9994" max="9994" width="13.75" style="349" customWidth="1"/>
    <col min="9995" max="9995" width="42.25" style="349" bestFit="1" customWidth="1"/>
    <col min="9996" max="10240" width="8.75" style="349"/>
    <col min="10241" max="10241" width="4.875" style="349" customWidth="1"/>
    <col min="10242" max="10242" width="8.75" style="349"/>
    <col min="10243" max="10243" width="12.625" style="349" customWidth="1"/>
    <col min="10244" max="10244" width="5.5" style="349" customWidth="1"/>
    <col min="10245" max="10245" width="15.5" style="349" customWidth="1"/>
    <col min="10246" max="10246" width="8.75" style="349"/>
    <col min="10247" max="10247" width="18.625" style="349" customWidth="1"/>
    <col min="10248" max="10248" width="6.5" style="349" customWidth="1"/>
    <col min="10249" max="10249" width="8" style="349" customWidth="1"/>
    <col min="10250" max="10250" width="13.75" style="349" customWidth="1"/>
    <col min="10251" max="10251" width="42.25" style="349" bestFit="1" customWidth="1"/>
    <col min="10252" max="10496" width="8.75" style="349"/>
    <col min="10497" max="10497" width="4.875" style="349" customWidth="1"/>
    <col min="10498" max="10498" width="8.75" style="349"/>
    <col min="10499" max="10499" width="12.625" style="349" customWidth="1"/>
    <col min="10500" max="10500" width="5.5" style="349" customWidth="1"/>
    <col min="10501" max="10501" width="15.5" style="349" customWidth="1"/>
    <col min="10502" max="10502" width="8.75" style="349"/>
    <col min="10503" max="10503" width="18.625" style="349" customWidth="1"/>
    <col min="10504" max="10504" width="6.5" style="349" customWidth="1"/>
    <col min="10505" max="10505" width="8" style="349" customWidth="1"/>
    <col min="10506" max="10506" width="13.75" style="349" customWidth="1"/>
    <col min="10507" max="10507" width="42.25" style="349" bestFit="1" customWidth="1"/>
    <col min="10508" max="10752" width="8.75" style="349"/>
    <col min="10753" max="10753" width="4.875" style="349" customWidth="1"/>
    <col min="10754" max="10754" width="8.75" style="349"/>
    <col min="10755" max="10755" width="12.625" style="349" customWidth="1"/>
    <col min="10756" max="10756" width="5.5" style="349" customWidth="1"/>
    <col min="10757" max="10757" width="15.5" style="349" customWidth="1"/>
    <col min="10758" max="10758" width="8.75" style="349"/>
    <col min="10759" max="10759" width="18.625" style="349" customWidth="1"/>
    <col min="10760" max="10760" width="6.5" style="349" customWidth="1"/>
    <col min="10761" max="10761" width="8" style="349" customWidth="1"/>
    <col min="10762" max="10762" width="13.75" style="349" customWidth="1"/>
    <col min="10763" max="10763" width="42.25" style="349" bestFit="1" customWidth="1"/>
    <col min="10764" max="11008" width="8.75" style="349"/>
    <col min="11009" max="11009" width="4.875" style="349" customWidth="1"/>
    <col min="11010" max="11010" width="8.75" style="349"/>
    <col min="11011" max="11011" width="12.625" style="349" customWidth="1"/>
    <col min="11012" max="11012" width="5.5" style="349" customWidth="1"/>
    <col min="11013" max="11013" width="15.5" style="349" customWidth="1"/>
    <col min="11014" max="11014" width="8.75" style="349"/>
    <col min="11015" max="11015" width="18.625" style="349" customWidth="1"/>
    <col min="11016" max="11016" width="6.5" style="349" customWidth="1"/>
    <col min="11017" max="11017" width="8" style="349" customWidth="1"/>
    <col min="11018" max="11018" width="13.75" style="349" customWidth="1"/>
    <col min="11019" max="11019" width="42.25" style="349" bestFit="1" customWidth="1"/>
    <col min="11020" max="11264" width="8.75" style="349"/>
    <col min="11265" max="11265" width="4.875" style="349" customWidth="1"/>
    <col min="11266" max="11266" width="8.75" style="349"/>
    <col min="11267" max="11267" width="12.625" style="349" customWidth="1"/>
    <col min="11268" max="11268" width="5.5" style="349" customWidth="1"/>
    <col min="11269" max="11269" width="15.5" style="349" customWidth="1"/>
    <col min="11270" max="11270" width="8.75" style="349"/>
    <col min="11271" max="11271" width="18.625" style="349" customWidth="1"/>
    <col min="11272" max="11272" width="6.5" style="349" customWidth="1"/>
    <col min="11273" max="11273" width="8" style="349" customWidth="1"/>
    <col min="11274" max="11274" width="13.75" style="349" customWidth="1"/>
    <col min="11275" max="11275" width="42.25" style="349" bestFit="1" customWidth="1"/>
    <col min="11276" max="11520" width="8.75" style="349"/>
    <col min="11521" max="11521" width="4.875" style="349" customWidth="1"/>
    <col min="11522" max="11522" width="8.75" style="349"/>
    <col min="11523" max="11523" width="12.625" style="349" customWidth="1"/>
    <col min="11524" max="11524" width="5.5" style="349" customWidth="1"/>
    <col min="11525" max="11525" width="15.5" style="349" customWidth="1"/>
    <col min="11526" max="11526" width="8.75" style="349"/>
    <col min="11527" max="11527" width="18.625" style="349" customWidth="1"/>
    <col min="11528" max="11528" width="6.5" style="349" customWidth="1"/>
    <col min="11529" max="11529" width="8" style="349" customWidth="1"/>
    <col min="11530" max="11530" width="13.75" style="349" customWidth="1"/>
    <col min="11531" max="11531" width="42.25" style="349" bestFit="1" customWidth="1"/>
    <col min="11532" max="11776" width="8.75" style="349"/>
    <col min="11777" max="11777" width="4.875" style="349" customWidth="1"/>
    <col min="11778" max="11778" width="8.75" style="349"/>
    <col min="11779" max="11779" width="12.625" style="349" customWidth="1"/>
    <col min="11780" max="11780" width="5.5" style="349" customWidth="1"/>
    <col min="11781" max="11781" width="15.5" style="349" customWidth="1"/>
    <col min="11782" max="11782" width="8.75" style="349"/>
    <col min="11783" max="11783" width="18.625" style="349" customWidth="1"/>
    <col min="11784" max="11784" width="6.5" style="349" customWidth="1"/>
    <col min="11785" max="11785" width="8" style="349" customWidth="1"/>
    <col min="11786" max="11786" width="13.75" style="349" customWidth="1"/>
    <col min="11787" max="11787" width="42.25" style="349" bestFit="1" customWidth="1"/>
    <col min="11788" max="12032" width="8.75" style="349"/>
    <col min="12033" max="12033" width="4.875" style="349" customWidth="1"/>
    <col min="12034" max="12034" width="8.75" style="349"/>
    <col min="12035" max="12035" width="12.625" style="349" customWidth="1"/>
    <col min="12036" max="12036" width="5.5" style="349" customWidth="1"/>
    <col min="12037" max="12037" width="15.5" style="349" customWidth="1"/>
    <col min="12038" max="12038" width="8.75" style="349"/>
    <col min="12039" max="12039" width="18.625" style="349" customWidth="1"/>
    <col min="12040" max="12040" width="6.5" style="349" customWidth="1"/>
    <col min="12041" max="12041" width="8" style="349" customWidth="1"/>
    <col min="12042" max="12042" width="13.75" style="349" customWidth="1"/>
    <col min="12043" max="12043" width="42.25" style="349" bestFit="1" customWidth="1"/>
    <col min="12044" max="12288" width="8.75" style="349"/>
    <col min="12289" max="12289" width="4.875" style="349" customWidth="1"/>
    <col min="12290" max="12290" width="8.75" style="349"/>
    <col min="12291" max="12291" width="12.625" style="349" customWidth="1"/>
    <col min="12292" max="12292" width="5.5" style="349" customWidth="1"/>
    <col min="12293" max="12293" width="15.5" style="349" customWidth="1"/>
    <col min="12294" max="12294" width="8.75" style="349"/>
    <col min="12295" max="12295" width="18.625" style="349" customWidth="1"/>
    <col min="12296" max="12296" width="6.5" style="349" customWidth="1"/>
    <col min="12297" max="12297" width="8" style="349" customWidth="1"/>
    <col min="12298" max="12298" width="13.75" style="349" customWidth="1"/>
    <col min="12299" max="12299" width="42.25" style="349" bestFit="1" customWidth="1"/>
    <col min="12300" max="12544" width="8.75" style="349"/>
    <col min="12545" max="12545" width="4.875" style="349" customWidth="1"/>
    <col min="12546" max="12546" width="8.75" style="349"/>
    <col min="12547" max="12547" width="12.625" style="349" customWidth="1"/>
    <col min="12548" max="12548" width="5.5" style="349" customWidth="1"/>
    <col min="12549" max="12549" width="15.5" style="349" customWidth="1"/>
    <col min="12550" max="12550" width="8.75" style="349"/>
    <col min="12551" max="12551" width="18.625" style="349" customWidth="1"/>
    <col min="12552" max="12552" width="6.5" style="349" customWidth="1"/>
    <col min="12553" max="12553" width="8" style="349" customWidth="1"/>
    <col min="12554" max="12554" width="13.75" style="349" customWidth="1"/>
    <col min="12555" max="12555" width="42.25" style="349" bestFit="1" customWidth="1"/>
    <col min="12556" max="12800" width="8.75" style="349"/>
    <col min="12801" max="12801" width="4.875" style="349" customWidth="1"/>
    <col min="12802" max="12802" width="8.75" style="349"/>
    <col min="12803" max="12803" width="12.625" style="349" customWidth="1"/>
    <col min="12804" max="12804" width="5.5" style="349" customWidth="1"/>
    <col min="12805" max="12805" width="15.5" style="349" customWidth="1"/>
    <col min="12806" max="12806" width="8.75" style="349"/>
    <col min="12807" max="12807" width="18.625" style="349" customWidth="1"/>
    <col min="12808" max="12808" width="6.5" style="349" customWidth="1"/>
    <col min="12809" max="12809" width="8" style="349" customWidth="1"/>
    <col min="12810" max="12810" width="13.75" style="349" customWidth="1"/>
    <col min="12811" max="12811" width="42.25" style="349" bestFit="1" customWidth="1"/>
    <col min="12812" max="13056" width="8.75" style="349"/>
    <col min="13057" max="13057" width="4.875" style="349" customWidth="1"/>
    <col min="13058" max="13058" width="8.75" style="349"/>
    <col min="13059" max="13059" width="12.625" style="349" customWidth="1"/>
    <col min="13060" max="13060" width="5.5" style="349" customWidth="1"/>
    <col min="13061" max="13061" width="15.5" style="349" customWidth="1"/>
    <col min="13062" max="13062" width="8.75" style="349"/>
    <col min="13063" max="13063" width="18.625" style="349" customWidth="1"/>
    <col min="13064" max="13064" width="6.5" style="349" customWidth="1"/>
    <col min="13065" max="13065" width="8" style="349" customWidth="1"/>
    <col min="13066" max="13066" width="13.75" style="349" customWidth="1"/>
    <col min="13067" max="13067" width="42.25" style="349" bestFit="1" customWidth="1"/>
    <col min="13068" max="13312" width="8.75" style="349"/>
    <col min="13313" max="13313" width="4.875" style="349" customWidth="1"/>
    <col min="13314" max="13314" width="8.75" style="349"/>
    <col min="13315" max="13315" width="12.625" style="349" customWidth="1"/>
    <col min="13316" max="13316" width="5.5" style="349" customWidth="1"/>
    <col min="13317" max="13317" width="15.5" style="349" customWidth="1"/>
    <col min="13318" max="13318" width="8.75" style="349"/>
    <col min="13319" max="13319" width="18.625" style="349" customWidth="1"/>
    <col min="13320" max="13320" width="6.5" style="349" customWidth="1"/>
    <col min="13321" max="13321" width="8" style="349" customWidth="1"/>
    <col min="13322" max="13322" width="13.75" style="349" customWidth="1"/>
    <col min="13323" max="13323" width="42.25" style="349" bestFit="1" customWidth="1"/>
    <col min="13324" max="13568" width="8.75" style="349"/>
    <col min="13569" max="13569" width="4.875" style="349" customWidth="1"/>
    <col min="13570" max="13570" width="8.75" style="349"/>
    <col min="13571" max="13571" width="12.625" style="349" customWidth="1"/>
    <col min="13572" max="13572" width="5.5" style="349" customWidth="1"/>
    <col min="13573" max="13573" width="15.5" style="349" customWidth="1"/>
    <col min="13574" max="13574" width="8.75" style="349"/>
    <col min="13575" max="13575" width="18.625" style="349" customWidth="1"/>
    <col min="13576" max="13576" width="6.5" style="349" customWidth="1"/>
    <col min="13577" max="13577" width="8" style="349" customWidth="1"/>
    <col min="13578" max="13578" width="13.75" style="349" customWidth="1"/>
    <col min="13579" max="13579" width="42.25" style="349" bestFit="1" customWidth="1"/>
    <col min="13580" max="13824" width="8.75" style="349"/>
    <col min="13825" max="13825" width="4.875" style="349" customWidth="1"/>
    <col min="13826" max="13826" width="8.75" style="349"/>
    <col min="13827" max="13827" width="12.625" style="349" customWidth="1"/>
    <col min="13828" max="13828" width="5.5" style="349" customWidth="1"/>
    <col min="13829" max="13829" width="15.5" style="349" customWidth="1"/>
    <col min="13830" max="13830" width="8.75" style="349"/>
    <col min="13831" max="13831" width="18.625" style="349" customWidth="1"/>
    <col min="13832" max="13832" width="6.5" style="349" customWidth="1"/>
    <col min="13833" max="13833" width="8" style="349" customWidth="1"/>
    <col min="13834" max="13834" width="13.75" style="349" customWidth="1"/>
    <col min="13835" max="13835" width="42.25" style="349" bestFit="1" customWidth="1"/>
    <col min="13836" max="14080" width="8.75" style="349"/>
    <col min="14081" max="14081" width="4.875" style="349" customWidth="1"/>
    <col min="14082" max="14082" width="8.75" style="349"/>
    <col min="14083" max="14083" width="12.625" style="349" customWidth="1"/>
    <col min="14084" max="14084" width="5.5" style="349" customWidth="1"/>
    <col min="14085" max="14085" width="15.5" style="349" customWidth="1"/>
    <col min="14086" max="14086" width="8.75" style="349"/>
    <col min="14087" max="14087" width="18.625" style="349" customWidth="1"/>
    <col min="14088" max="14088" width="6.5" style="349" customWidth="1"/>
    <col min="14089" max="14089" width="8" style="349" customWidth="1"/>
    <col min="14090" max="14090" width="13.75" style="349" customWidth="1"/>
    <col min="14091" max="14091" width="42.25" style="349" bestFit="1" customWidth="1"/>
    <col min="14092" max="14336" width="8.75" style="349"/>
    <col min="14337" max="14337" width="4.875" style="349" customWidth="1"/>
    <col min="14338" max="14338" width="8.75" style="349"/>
    <col min="14339" max="14339" width="12.625" style="349" customWidth="1"/>
    <col min="14340" max="14340" width="5.5" style="349" customWidth="1"/>
    <col min="14341" max="14341" width="15.5" style="349" customWidth="1"/>
    <col min="14342" max="14342" width="8.75" style="349"/>
    <col min="14343" max="14343" width="18.625" style="349" customWidth="1"/>
    <col min="14344" max="14344" width="6.5" style="349" customWidth="1"/>
    <col min="14345" max="14345" width="8" style="349" customWidth="1"/>
    <col min="14346" max="14346" width="13.75" style="349" customWidth="1"/>
    <col min="14347" max="14347" width="42.25" style="349" bestFit="1" customWidth="1"/>
    <col min="14348" max="14592" width="8.75" style="349"/>
    <col min="14593" max="14593" width="4.875" style="349" customWidth="1"/>
    <col min="14594" max="14594" width="8.75" style="349"/>
    <col min="14595" max="14595" width="12.625" style="349" customWidth="1"/>
    <col min="14596" max="14596" width="5.5" style="349" customWidth="1"/>
    <col min="14597" max="14597" width="15.5" style="349" customWidth="1"/>
    <col min="14598" max="14598" width="8.75" style="349"/>
    <col min="14599" max="14599" width="18.625" style="349" customWidth="1"/>
    <col min="14600" max="14600" width="6.5" style="349" customWidth="1"/>
    <col min="14601" max="14601" width="8" style="349" customWidth="1"/>
    <col min="14602" max="14602" width="13.75" style="349" customWidth="1"/>
    <col min="14603" max="14603" width="42.25" style="349" bestFit="1" customWidth="1"/>
    <col min="14604" max="14848" width="8.75" style="349"/>
    <col min="14849" max="14849" width="4.875" style="349" customWidth="1"/>
    <col min="14850" max="14850" width="8.75" style="349"/>
    <col min="14851" max="14851" width="12.625" style="349" customWidth="1"/>
    <col min="14852" max="14852" width="5.5" style="349" customWidth="1"/>
    <col min="14853" max="14853" width="15.5" style="349" customWidth="1"/>
    <col min="14854" max="14854" width="8.75" style="349"/>
    <col min="14855" max="14855" width="18.625" style="349" customWidth="1"/>
    <col min="14856" max="14856" width="6.5" style="349" customWidth="1"/>
    <col min="14857" max="14857" width="8" style="349" customWidth="1"/>
    <col min="14858" max="14858" width="13.75" style="349" customWidth="1"/>
    <col min="14859" max="14859" width="42.25" style="349" bestFit="1" customWidth="1"/>
    <col min="14860" max="15104" width="8.75" style="349"/>
    <col min="15105" max="15105" width="4.875" style="349" customWidth="1"/>
    <col min="15106" max="15106" width="8.75" style="349"/>
    <col min="15107" max="15107" width="12.625" style="349" customWidth="1"/>
    <col min="15108" max="15108" width="5.5" style="349" customWidth="1"/>
    <col min="15109" max="15109" width="15.5" style="349" customWidth="1"/>
    <col min="15110" max="15110" width="8.75" style="349"/>
    <col min="15111" max="15111" width="18.625" style="349" customWidth="1"/>
    <col min="15112" max="15112" width="6.5" style="349" customWidth="1"/>
    <col min="15113" max="15113" width="8" style="349" customWidth="1"/>
    <col min="15114" max="15114" width="13.75" style="349" customWidth="1"/>
    <col min="15115" max="15115" width="42.25" style="349" bestFit="1" customWidth="1"/>
    <col min="15116" max="15360" width="8.75" style="349"/>
    <col min="15361" max="15361" width="4.875" style="349" customWidth="1"/>
    <col min="15362" max="15362" width="8.75" style="349"/>
    <col min="15363" max="15363" width="12.625" style="349" customWidth="1"/>
    <col min="15364" max="15364" width="5.5" style="349" customWidth="1"/>
    <col min="15365" max="15365" width="15.5" style="349" customWidth="1"/>
    <col min="15366" max="15366" width="8.75" style="349"/>
    <col min="15367" max="15367" width="18.625" style="349" customWidth="1"/>
    <col min="15368" max="15368" width="6.5" style="349" customWidth="1"/>
    <col min="15369" max="15369" width="8" style="349" customWidth="1"/>
    <col min="15370" max="15370" width="13.75" style="349" customWidth="1"/>
    <col min="15371" max="15371" width="42.25" style="349" bestFit="1" customWidth="1"/>
    <col min="15372" max="15616" width="8.75" style="349"/>
    <col min="15617" max="15617" width="4.875" style="349" customWidth="1"/>
    <col min="15618" max="15618" width="8.75" style="349"/>
    <col min="15619" max="15619" width="12.625" style="349" customWidth="1"/>
    <col min="15620" max="15620" width="5.5" style="349" customWidth="1"/>
    <col min="15621" max="15621" width="15.5" style="349" customWidth="1"/>
    <col min="15622" max="15622" width="8.75" style="349"/>
    <col min="15623" max="15623" width="18.625" style="349" customWidth="1"/>
    <col min="15624" max="15624" width="6.5" style="349" customWidth="1"/>
    <col min="15625" max="15625" width="8" style="349" customWidth="1"/>
    <col min="15626" max="15626" width="13.75" style="349" customWidth="1"/>
    <col min="15627" max="15627" width="42.25" style="349" bestFit="1" customWidth="1"/>
    <col min="15628" max="15872" width="8.75" style="349"/>
    <col min="15873" max="15873" width="4.875" style="349" customWidth="1"/>
    <col min="15874" max="15874" width="8.75" style="349"/>
    <col min="15875" max="15875" width="12.625" style="349" customWidth="1"/>
    <col min="15876" max="15876" width="5.5" style="349" customWidth="1"/>
    <col min="15877" max="15877" width="15.5" style="349" customWidth="1"/>
    <col min="15878" max="15878" width="8.75" style="349"/>
    <col min="15879" max="15879" width="18.625" style="349" customWidth="1"/>
    <col min="15880" max="15880" width="6.5" style="349" customWidth="1"/>
    <col min="15881" max="15881" width="8" style="349" customWidth="1"/>
    <col min="15882" max="15882" width="13.75" style="349" customWidth="1"/>
    <col min="15883" max="15883" width="42.25" style="349" bestFit="1" customWidth="1"/>
    <col min="15884" max="16128" width="8.75" style="349"/>
    <col min="16129" max="16129" width="4.875" style="349" customWidth="1"/>
    <col min="16130" max="16130" width="8.75" style="349"/>
    <col min="16131" max="16131" width="12.625" style="349" customWidth="1"/>
    <col min="16132" max="16132" width="5.5" style="349" customWidth="1"/>
    <col min="16133" max="16133" width="15.5" style="349" customWidth="1"/>
    <col min="16134" max="16134" width="8.75" style="349"/>
    <col min="16135" max="16135" width="18.625" style="349" customWidth="1"/>
    <col min="16136" max="16136" width="6.5" style="349" customWidth="1"/>
    <col min="16137" max="16137" width="8" style="349" customWidth="1"/>
    <col min="16138" max="16138" width="13.75" style="349" customWidth="1"/>
    <col min="16139" max="16139" width="42.25" style="349" bestFit="1" customWidth="1"/>
    <col min="16140" max="16384" width="8.75" style="349"/>
  </cols>
  <sheetData>
    <row r="1" spans="1:14">
      <c r="A1" s="732" t="s">
        <v>279</v>
      </c>
      <c r="B1" s="732"/>
      <c r="C1" s="732"/>
      <c r="D1" s="732"/>
      <c r="E1" s="736" t="s">
        <v>36</v>
      </c>
      <c r="F1" s="736"/>
      <c r="G1" s="736"/>
      <c r="H1" s="736"/>
      <c r="I1" s="736"/>
    </row>
    <row r="2" spans="1:14">
      <c r="A2" s="732"/>
      <c r="B2" s="732"/>
      <c r="C2" s="732"/>
      <c r="D2" s="732"/>
      <c r="E2" s="733" t="s">
        <v>280</v>
      </c>
      <c r="F2" s="733"/>
      <c r="G2" s="733"/>
      <c r="H2" s="733"/>
      <c r="I2" s="733"/>
      <c r="J2" s="350"/>
    </row>
    <row r="3" spans="1:14">
      <c r="A3" s="736" t="s">
        <v>299</v>
      </c>
      <c r="B3" s="736"/>
      <c r="C3" s="736"/>
      <c r="D3" s="736"/>
      <c r="E3" s="734" t="s">
        <v>281</v>
      </c>
      <c r="F3" s="734"/>
      <c r="G3" s="734"/>
      <c r="H3" s="734"/>
      <c r="I3" s="734"/>
    </row>
    <row r="4" spans="1:14" ht="17.25">
      <c r="A4" s="739" t="s">
        <v>282</v>
      </c>
      <c r="B4" s="739"/>
      <c r="C4" s="739"/>
      <c r="D4" s="739"/>
      <c r="E4" s="735" t="s">
        <v>283</v>
      </c>
      <c r="F4" s="735"/>
      <c r="G4" s="735"/>
      <c r="H4" s="735"/>
      <c r="I4" s="735"/>
    </row>
    <row r="5" spans="1:14">
      <c r="A5" s="351"/>
      <c r="B5" s="351"/>
      <c r="C5" s="351"/>
      <c r="D5" s="351"/>
      <c r="E5" s="351"/>
      <c r="F5" s="351"/>
      <c r="G5" s="351"/>
      <c r="H5" s="351"/>
      <c r="I5" s="351"/>
      <c r="K5" s="352"/>
    </row>
    <row r="6" spans="1:14">
      <c r="A6" s="733" t="s">
        <v>37</v>
      </c>
      <c r="B6" s="733"/>
      <c r="C6" s="733"/>
      <c r="D6" s="733"/>
      <c r="E6" s="733"/>
      <c r="F6" s="733"/>
      <c r="G6" s="733"/>
      <c r="H6" s="733"/>
      <c r="I6" s="733"/>
    </row>
    <row r="7" spans="1:14" ht="23.25" customHeight="1">
      <c r="A7" s="740" t="s">
        <v>284</v>
      </c>
      <c r="B7" s="740"/>
      <c r="C7" s="353" t="s">
        <v>300</v>
      </c>
      <c r="D7" s="353"/>
      <c r="E7" s="353"/>
      <c r="F7" s="351"/>
      <c r="G7" s="351"/>
      <c r="H7" s="351"/>
      <c r="I7" s="351"/>
    </row>
    <row r="8" spans="1:14" ht="22.5" customHeight="1">
      <c r="A8" s="351"/>
      <c r="B8" s="351"/>
      <c r="C8" s="351"/>
      <c r="D8" s="351"/>
      <c r="E8" s="351"/>
      <c r="F8" s="351"/>
      <c r="G8" s="351"/>
      <c r="H8" s="351"/>
      <c r="I8" s="351"/>
      <c r="L8" s="354"/>
    </row>
    <row r="9" spans="1:14" ht="55.5" customHeight="1">
      <c r="A9" s="738" t="s">
        <v>302</v>
      </c>
      <c r="B9" s="738"/>
      <c r="C9" s="738"/>
      <c r="D9" s="738"/>
      <c r="E9" s="738"/>
      <c r="F9" s="738"/>
      <c r="G9" s="738"/>
      <c r="H9" s="738"/>
      <c r="I9" s="738"/>
    </row>
    <row r="10" spans="1:14" ht="24.75" customHeight="1">
      <c r="A10" s="738" t="s">
        <v>301</v>
      </c>
      <c r="B10" s="738"/>
      <c r="C10" s="738"/>
      <c r="D10" s="738"/>
      <c r="E10" s="738"/>
      <c r="F10" s="738"/>
      <c r="G10" s="738"/>
      <c r="H10" s="738"/>
      <c r="I10" s="738"/>
    </row>
    <row r="11" spans="1:14" ht="12" customHeight="1">
      <c r="A11" s="355"/>
      <c r="B11" s="355"/>
      <c r="C11" s="355"/>
      <c r="D11" s="355"/>
      <c r="E11" s="355"/>
      <c r="F11" s="355"/>
      <c r="G11" s="356"/>
      <c r="H11" s="355"/>
      <c r="I11" s="355"/>
      <c r="M11" s="357"/>
    </row>
    <row r="12" spans="1:14" ht="22.5" customHeight="1">
      <c r="A12" s="351"/>
      <c r="B12" s="358">
        <v>1</v>
      </c>
      <c r="C12" s="741" t="s">
        <v>285</v>
      </c>
      <c r="D12" s="741"/>
      <c r="E12" s="741"/>
      <c r="F12" s="742">
        <f>'02.2 ĐNTT'!E17</f>
        <v>1767478295</v>
      </c>
      <c r="G12" s="743"/>
      <c r="H12" s="359" t="s">
        <v>18</v>
      </c>
      <c r="I12" s="360"/>
      <c r="K12" s="361"/>
      <c r="M12" s="361"/>
      <c r="N12" s="357"/>
    </row>
    <row r="13" spans="1:14" ht="22.5" customHeight="1">
      <c r="A13" s="352"/>
      <c r="B13" s="362">
        <v>2</v>
      </c>
      <c r="C13" s="744" t="s">
        <v>286</v>
      </c>
      <c r="D13" s="744"/>
      <c r="E13" s="744"/>
      <c r="F13" s="742">
        <f>'02.2 ĐNTT'!J30</f>
        <v>1238075651.1599998</v>
      </c>
      <c r="G13" s="743"/>
      <c r="H13" s="363" t="s">
        <v>18</v>
      </c>
      <c r="I13" s="364"/>
      <c r="J13" s="365"/>
      <c r="K13" s="366">
        <v>2864147927</v>
      </c>
      <c r="M13" s="671">
        <v>1781704938</v>
      </c>
    </row>
    <row r="14" spans="1:14" ht="15.75" customHeight="1">
      <c r="A14" s="352"/>
      <c r="B14" s="367"/>
      <c r="C14" s="368"/>
      <c r="D14" s="368"/>
      <c r="E14" s="368"/>
      <c r="F14" s="369"/>
      <c r="G14" s="369"/>
      <c r="H14" s="364"/>
      <c r="I14" s="364"/>
      <c r="J14" s="365"/>
      <c r="K14" s="370">
        <f>F13-K13</f>
        <v>-1626072275.8400002</v>
      </c>
      <c r="M14" s="671">
        <v>1175710082.0908647</v>
      </c>
    </row>
    <row r="15" spans="1:14" ht="21" customHeight="1">
      <c r="A15" s="745" t="s">
        <v>312</v>
      </c>
      <c r="B15" s="745"/>
      <c r="C15" s="745"/>
      <c r="D15" s="745"/>
      <c r="E15" s="745"/>
      <c r="F15" s="745"/>
      <c r="G15" s="745"/>
      <c r="H15" s="745"/>
      <c r="I15" s="745"/>
      <c r="K15" s="365"/>
    </row>
    <row r="16" spans="1:14" ht="21" customHeight="1">
      <c r="A16" s="353" t="s">
        <v>287</v>
      </c>
      <c r="B16" s="351"/>
      <c r="C16" s="351"/>
      <c r="D16" s="746">
        <f>F13</f>
        <v>1238075651.1599998</v>
      </c>
      <c r="E16" s="746"/>
      <c r="F16" s="371" t="str">
        <f>H12</f>
        <v>đồng</v>
      </c>
      <c r="G16" s="351"/>
      <c r="H16" s="351"/>
      <c r="I16" s="351"/>
      <c r="K16" s="372"/>
      <c r="L16" s="349">
        <v>927072875</v>
      </c>
    </row>
    <row r="17" spans="1:12" s="373" customFormat="1" ht="21" customHeight="1">
      <c r="A17" s="747" t="str">
        <f>'02.2 ĐNTT'!B32</f>
        <v xml:space="preserve">Bằng chữ: </v>
      </c>
      <c r="B17" s="747"/>
      <c r="C17" s="747"/>
      <c r="D17" s="747"/>
      <c r="E17" s="747"/>
      <c r="F17" s="747"/>
      <c r="G17" s="747"/>
      <c r="H17" s="747"/>
      <c r="I17" s="747"/>
    </row>
    <row r="18" spans="1:12" ht="12.75" customHeight="1">
      <c r="A18" s="374"/>
      <c r="B18" s="374"/>
      <c r="C18" s="374"/>
      <c r="D18" s="374"/>
      <c r="E18" s="374"/>
      <c r="F18" s="374"/>
      <c r="G18" s="374"/>
      <c r="H18" s="374"/>
      <c r="I18" s="374"/>
    </row>
    <row r="19" spans="1:12" ht="21" customHeight="1">
      <c r="A19" s="351" t="s">
        <v>288</v>
      </c>
      <c r="B19" s="351"/>
      <c r="D19" s="351"/>
      <c r="E19" s="351"/>
      <c r="F19" s="351"/>
      <c r="G19" s="351"/>
      <c r="H19" s="351"/>
      <c r="I19" s="351"/>
    </row>
    <row r="20" spans="1:12" ht="21" customHeight="1">
      <c r="A20" s="353"/>
      <c r="B20" s="375" t="s">
        <v>289</v>
      </c>
      <c r="C20" s="375"/>
      <c r="D20" s="376"/>
      <c r="E20" s="375"/>
      <c r="F20" s="377"/>
      <c r="G20" s="377"/>
      <c r="H20" s="377"/>
      <c r="I20" s="353"/>
      <c r="L20" s="354"/>
    </row>
    <row r="21" spans="1:12" ht="21" customHeight="1">
      <c r="A21" s="353"/>
      <c r="B21" s="375" t="s">
        <v>290</v>
      </c>
      <c r="C21" s="375"/>
      <c r="D21" s="376"/>
      <c r="E21" s="375"/>
      <c r="F21" s="377"/>
      <c r="G21" s="377"/>
      <c r="H21" s="377"/>
      <c r="I21" s="353"/>
      <c r="K21" s="349">
        <f>'02.2 ĐNTT'!J30:K30</f>
        <v>0</v>
      </c>
      <c r="L21" s="354"/>
    </row>
    <row r="22" spans="1:12" ht="21" customHeight="1">
      <c r="A22" s="353"/>
      <c r="B22" s="375" t="s">
        <v>291</v>
      </c>
      <c r="C22" s="376"/>
      <c r="D22" s="378"/>
      <c r="E22" s="378"/>
      <c r="F22" s="378"/>
      <c r="G22" s="378"/>
      <c r="H22" s="378"/>
      <c r="I22" s="378"/>
    </row>
    <row r="23" spans="1:12" ht="21" customHeight="1">
      <c r="A23" s="353"/>
      <c r="B23" s="375" t="s">
        <v>292</v>
      </c>
      <c r="C23" s="376"/>
      <c r="D23" s="353"/>
      <c r="E23" s="353"/>
      <c r="F23" s="353"/>
      <c r="G23" s="353"/>
      <c r="H23" s="353"/>
      <c r="I23" s="353"/>
    </row>
    <row r="24" spans="1:12" ht="21" customHeight="1">
      <c r="A24" s="737" t="s">
        <v>311</v>
      </c>
      <c r="B24" s="737"/>
      <c r="C24" s="737"/>
      <c r="D24" s="737"/>
      <c r="E24" s="737"/>
      <c r="F24" s="737"/>
      <c r="G24" s="737"/>
      <c r="H24" s="737"/>
      <c r="I24" s="737"/>
    </row>
    <row r="25" spans="1:12" ht="21" customHeight="1">
      <c r="A25" s="379" t="s">
        <v>293</v>
      </c>
      <c r="B25" s="351"/>
      <c r="C25" s="351"/>
      <c r="D25" s="351"/>
      <c r="E25" s="351"/>
      <c r="F25" s="351"/>
      <c r="G25" s="351"/>
      <c r="H25" s="351"/>
      <c r="I25" s="351"/>
    </row>
    <row r="26" spans="1:12" ht="21" customHeight="1">
      <c r="A26" s="380"/>
      <c r="B26" s="353"/>
      <c r="C26" s="353"/>
      <c r="D26" s="348"/>
      <c r="E26" s="348"/>
      <c r="F26" s="732" t="s">
        <v>294</v>
      </c>
      <c r="G26" s="732"/>
      <c r="H26" s="732"/>
      <c r="I26" s="732"/>
    </row>
    <row r="27" spans="1:12" ht="21" customHeight="1">
      <c r="A27" s="381"/>
      <c r="B27" s="353"/>
      <c r="C27" s="353"/>
      <c r="D27" s="348"/>
      <c r="E27" s="348"/>
      <c r="F27" s="732" t="s">
        <v>295</v>
      </c>
      <c r="G27" s="732"/>
      <c r="H27" s="732"/>
      <c r="I27" s="732"/>
    </row>
    <row r="28" spans="1:12" ht="21" customHeight="1">
      <c r="A28" s="382" t="s">
        <v>296</v>
      </c>
      <c r="C28" s="383"/>
      <c r="D28" s="383"/>
      <c r="E28" s="348"/>
      <c r="F28" s="732"/>
      <c r="G28" s="732"/>
      <c r="H28" s="732"/>
    </row>
    <row r="29" spans="1:12" ht="21" customHeight="1">
      <c r="A29" s="384" t="s">
        <v>297</v>
      </c>
      <c r="D29" s="348"/>
      <c r="E29" s="348"/>
      <c r="F29" s="348"/>
      <c r="G29" s="348"/>
      <c r="H29" s="348"/>
    </row>
    <row r="30" spans="1:12" ht="21" customHeight="1">
      <c r="A30" s="384" t="s">
        <v>298</v>
      </c>
    </row>
    <row r="31" spans="1:12" ht="21" customHeight="1"/>
    <row r="33" spans="1:1">
      <c r="A33" s="382"/>
    </row>
    <row r="34" spans="1:1">
      <c r="A34" s="384"/>
    </row>
    <row r="35" spans="1:1">
      <c r="A35" s="384"/>
    </row>
  </sheetData>
  <mergeCells count="22">
    <mergeCell ref="A24:I24"/>
    <mergeCell ref="F26:I26"/>
    <mergeCell ref="F27:I27"/>
    <mergeCell ref="F28:H28"/>
    <mergeCell ref="A3:D3"/>
    <mergeCell ref="A9:I9"/>
    <mergeCell ref="A4:D4"/>
    <mergeCell ref="A7:B7"/>
    <mergeCell ref="A10:I10"/>
    <mergeCell ref="C12:E12"/>
    <mergeCell ref="F12:G12"/>
    <mergeCell ref="C13:E13"/>
    <mergeCell ref="F13:G13"/>
    <mergeCell ref="A15:I15"/>
    <mergeCell ref="D16:E16"/>
    <mergeCell ref="A17:I17"/>
    <mergeCell ref="A1:D2"/>
    <mergeCell ref="E2:I2"/>
    <mergeCell ref="E3:I3"/>
    <mergeCell ref="E4:I4"/>
    <mergeCell ref="A6:I6"/>
    <mergeCell ref="E1:I1"/>
  </mergeCells>
  <pageMargins left="0.88" right="0" top="0.75" bottom="0.75" header="0.3" footer="0.3"/>
  <pageSetup paperSize="9" scale="7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5F99-76DD-45A3-9D9B-56D721813E91}">
  <sheetPr codeName="Sheet3">
    <pageSetUpPr fitToPage="1"/>
  </sheetPr>
  <dimension ref="A1:Q158"/>
  <sheetViews>
    <sheetView view="pageBreakPreview" topLeftCell="A110" zoomScale="70" zoomScaleNormal="85" zoomScaleSheetLayoutView="70" workbookViewId="0">
      <selection activeCell="B149" sqref="B149"/>
    </sheetView>
  </sheetViews>
  <sheetFormatPr defaultColWidth="8" defaultRowHeight="13.5"/>
  <cols>
    <col min="1" max="1" width="5" style="59" customWidth="1"/>
    <col min="2" max="2" width="50.5" style="59" customWidth="1"/>
    <col min="3" max="3" width="7" style="59" customWidth="1"/>
    <col min="4" max="4" width="16.125" style="59" customWidth="1"/>
    <col min="5" max="5" width="14.875" style="59" customWidth="1"/>
    <col min="6" max="6" width="16.625" style="59" bestFit="1" customWidth="1"/>
    <col min="7" max="7" width="16.5" style="59" customWidth="1"/>
    <col min="8" max="8" width="14.5" style="59" customWidth="1"/>
    <col min="9" max="9" width="16.25" style="59" customWidth="1"/>
    <col min="10" max="10" width="17.5" style="59" customWidth="1"/>
    <col min="11" max="11" width="18.25" style="59" customWidth="1"/>
    <col min="12" max="12" width="19.5" style="59" customWidth="1"/>
    <col min="13" max="13" width="15.25" style="59" customWidth="1"/>
    <col min="14" max="14" width="18.375" style="59" customWidth="1"/>
    <col min="15" max="15" width="18.25" style="59" bestFit="1" customWidth="1"/>
    <col min="16" max="16" width="15.125" style="59" bestFit="1" customWidth="1"/>
    <col min="17" max="17" width="12.375" style="59" bestFit="1" customWidth="1"/>
    <col min="18" max="18" width="13.375" style="59" bestFit="1" customWidth="1"/>
    <col min="19" max="16384" width="8" style="59"/>
  </cols>
  <sheetData>
    <row r="1" spans="1:17" hidden="1"/>
    <row r="2" spans="1:17" ht="28.5" customHeight="1">
      <c r="A2" s="751" t="s">
        <v>308</v>
      </c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3" spans="1:17" ht="36" customHeight="1">
      <c r="A3" s="752" t="s">
        <v>318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</row>
    <row r="4" spans="1:17" s="60" customFormat="1" ht="21.95" customHeight="1">
      <c r="A4" s="753"/>
      <c r="B4" s="753"/>
      <c r="C4" s="753"/>
      <c r="D4" s="753"/>
      <c r="E4" s="753"/>
      <c r="F4" s="753"/>
      <c r="G4" s="753"/>
      <c r="H4" s="753"/>
      <c r="I4" s="753"/>
      <c r="J4" s="753"/>
      <c r="K4" s="753"/>
      <c r="L4" s="753"/>
      <c r="M4" s="753"/>
      <c r="N4" s="753"/>
    </row>
    <row r="5" spans="1:17" s="60" customFormat="1" ht="21.95" customHeight="1">
      <c r="A5" s="125"/>
      <c r="B5" s="755" t="s">
        <v>303</v>
      </c>
      <c r="C5" s="755"/>
      <c r="D5" s="755"/>
      <c r="E5" s="750" t="s">
        <v>319</v>
      </c>
      <c r="F5" s="750"/>
      <c r="G5" s="750"/>
      <c r="H5" s="385"/>
      <c r="I5" s="385"/>
      <c r="J5" s="61" t="s">
        <v>40</v>
      </c>
      <c r="K5" s="754" t="s">
        <v>307</v>
      </c>
      <c r="L5" s="754"/>
      <c r="M5" s="754"/>
      <c r="N5" s="754"/>
    </row>
    <row r="6" spans="1:17" s="60" customFormat="1" ht="21.95" customHeight="1">
      <c r="A6" s="125"/>
      <c r="B6" s="755"/>
      <c r="C6" s="755"/>
      <c r="D6" s="755"/>
      <c r="E6" s="750"/>
      <c r="F6" s="750"/>
      <c r="G6" s="750"/>
      <c r="H6" s="385"/>
      <c r="I6" s="385"/>
      <c r="J6" s="61"/>
      <c r="K6" s="754"/>
      <c r="L6" s="754"/>
      <c r="M6" s="754"/>
      <c r="N6" s="754"/>
    </row>
    <row r="7" spans="1:17" s="60" customFormat="1" ht="21.95" customHeight="1">
      <c r="A7" s="125"/>
      <c r="B7" s="385" t="s">
        <v>304</v>
      </c>
      <c r="C7" s="385"/>
      <c r="D7" s="385"/>
      <c r="E7" s="385" t="s">
        <v>306</v>
      </c>
      <c r="F7" s="385"/>
      <c r="G7" s="385"/>
      <c r="H7" s="385"/>
      <c r="I7" s="385"/>
      <c r="J7" s="61" t="s">
        <v>32</v>
      </c>
      <c r="K7" s="386" t="s">
        <v>746</v>
      </c>
      <c r="L7" s="61"/>
      <c r="M7" s="61"/>
      <c r="N7" s="61"/>
    </row>
    <row r="8" spans="1:17" s="60" customFormat="1" ht="21.95" customHeight="1">
      <c r="A8" s="125"/>
      <c r="B8" s="385" t="s">
        <v>305</v>
      </c>
      <c r="C8" s="385"/>
      <c r="D8" s="385"/>
      <c r="E8" s="82"/>
      <c r="F8" s="82"/>
      <c r="G8" s="82"/>
      <c r="H8" s="82"/>
      <c r="I8" s="82"/>
      <c r="J8" s="61" t="s">
        <v>53</v>
      </c>
      <c r="K8" s="61"/>
      <c r="L8" s="61"/>
      <c r="M8" s="61"/>
      <c r="N8" s="61"/>
    </row>
    <row r="9" spans="1:17" s="60" customFormat="1" ht="10.5" customHeight="1">
      <c r="K9" s="74"/>
      <c r="L9" s="74"/>
      <c r="M9" s="74"/>
      <c r="N9" s="74"/>
    </row>
    <row r="10" spans="1:17" s="75" customFormat="1" ht="32.25" customHeight="1">
      <c r="A10" s="748" t="s">
        <v>10</v>
      </c>
      <c r="B10" s="748" t="s">
        <v>11</v>
      </c>
      <c r="C10" s="748" t="s">
        <v>1</v>
      </c>
      <c r="D10" s="749" t="s">
        <v>51</v>
      </c>
      <c r="E10" s="748" t="s">
        <v>12</v>
      </c>
      <c r="F10" s="748"/>
      <c r="G10" s="748" t="s">
        <v>13</v>
      </c>
      <c r="H10" s="748"/>
      <c r="I10" s="748"/>
      <c r="J10" s="748" t="s">
        <v>14</v>
      </c>
      <c r="K10" s="748"/>
      <c r="L10" s="748"/>
      <c r="M10" s="748" t="s">
        <v>15</v>
      </c>
      <c r="N10" s="748"/>
    </row>
    <row r="11" spans="1:17" s="76" customFormat="1" ht="32.25" customHeight="1">
      <c r="A11" s="748"/>
      <c r="B11" s="748"/>
      <c r="C11" s="748"/>
      <c r="D11" s="749"/>
      <c r="E11" s="217" t="s">
        <v>5</v>
      </c>
      <c r="F11" s="217" t="s">
        <v>7</v>
      </c>
      <c r="G11" s="217" t="s">
        <v>89</v>
      </c>
      <c r="H11" s="217" t="s">
        <v>16</v>
      </c>
      <c r="I11" s="217" t="s">
        <v>90</v>
      </c>
      <c r="J11" s="217" t="s">
        <v>89</v>
      </c>
      <c r="K11" s="217" t="s">
        <v>16</v>
      </c>
      <c r="L11" s="217" t="s">
        <v>90</v>
      </c>
      <c r="M11" s="217" t="s">
        <v>5</v>
      </c>
      <c r="N11" s="217" t="s">
        <v>7</v>
      </c>
    </row>
    <row r="12" spans="1:17" s="81" customFormat="1" ht="16.5">
      <c r="A12" s="252"/>
      <c r="B12" s="253" t="s">
        <v>96</v>
      </c>
      <c r="C12" s="254"/>
      <c r="D12" s="255"/>
      <c r="E12" s="252"/>
      <c r="F12" s="256"/>
      <c r="G12" s="252"/>
      <c r="H12" s="252"/>
      <c r="I12" s="252"/>
      <c r="J12" s="256">
        <f>+SUBTOTAL(9,J13:J152)</f>
        <v>1989051752</v>
      </c>
      <c r="K12" s="256">
        <f>+SUBTOTAL(9,K13:K152)</f>
        <v>1636553977</v>
      </c>
      <c r="L12" s="256">
        <f>+SUBTOTAL(9,L13:L152)</f>
        <v>3625605729</v>
      </c>
      <c r="M12" s="252"/>
      <c r="N12" s="256">
        <f>+SUBTOTAL(9,N13:N152)</f>
        <v>11089772157.462536</v>
      </c>
    </row>
    <row r="13" spans="1:17" s="258" customFormat="1" ht="33">
      <c r="A13" s="218" t="s">
        <v>158</v>
      </c>
      <c r="B13" s="219" t="s">
        <v>118</v>
      </c>
      <c r="C13" s="220"/>
      <c r="D13" s="221"/>
      <c r="E13" s="222"/>
      <c r="F13" s="221"/>
      <c r="G13" s="222"/>
      <c r="H13" s="222"/>
      <c r="I13" s="222"/>
      <c r="J13" s="389"/>
      <c r="K13" s="389"/>
      <c r="L13" s="389"/>
      <c r="M13" s="223"/>
      <c r="N13" s="224"/>
      <c r="O13" s="257"/>
      <c r="P13" s="257"/>
      <c r="Q13" s="257"/>
    </row>
    <row r="14" spans="1:17" s="61" customFormat="1" ht="16.5">
      <c r="A14" s="225" t="s">
        <v>102</v>
      </c>
      <c r="B14" s="226" t="s">
        <v>103</v>
      </c>
      <c r="C14" s="227"/>
      <c r="D14" s="228"/>
      <c r="E14" s="229"/>
      <c r="F14" s="259"/>
      <c r="G14" s="229"/>
      <c r="H14" s="229"/>
      <c r="I14" s="229"/>
      <c r="J14" s="390"/>
      <c r="K14" s="390"/>
      <c r="L14" s="390"/>
      <c r="M14" s="230"/>
      <c r="N14" s="231"/>
      <c r="O14" s="257"/>
      <c r="P14" s="257"/>
      <c r="Q14" s="257"/>
    </row>
    <row r="15" spans="1:17" s="272" customFormat="1" ht="16.5">
      <c r="A15" s="263">
        <v>1</v>
      </c>
      <c r="B15" s="264" t="s">
        <v>119</v>
      </c>
      <c r="C15" s="265" t="s">
        <v>105</v>
      </c>
      <c r="D15" s="266">
        <v>2275030</v>
      </c>
      <c r="E15" s="267">
        <v>35.03</v>
      </c>
      <c r="F15" s="268">
        <f t="shared" ref="F15:F30" si="0">+E15*D15</f>
        <v>79694300.900000006</v>
      </c>
      <c r="G15" s="267">
        <f>'03-GTHT DOT...'!E10</f>
        <v>0</v>
      </c>
      <c r="H15" s="267">
        <f>'03-GTHT DOT...'!F10</f>
        <v>0</v>
      </c>
      <c r="I15" s="267">
        <f>'03-GTHT DOT...'!G10</f>
        <v>0</v>
      </c>
      <c r="J15" s="391">
        <f>'03-GTHT DOT...'!H10</f>
        <v>0</v>
      </c>
      <c r="K15" s="391">
        <f>'03-GTHT DOT...'!I10</f>
        <v>0</v>
      </c>
      <c r="L15" s="391">
        <f>'03-GTHT DOT...'!J10</f>
        <v>0</v>
      </c>
      <c r="M15" s="269">
        <f>E15-I15</f>
        <v>35.03</v>
      </c>
      <c r="N15" s="270">
        <f>F15-L15</f>
        <v>79694300.900000006</v>
      </c>
      <c r="O15" s="271"/>
      <c r="P15" s="271"/>
      <c r="Q15" s="271"/>
    </row>
    <row r="16" spans="1:17" s="272" customFormat="1" ht="16.5">
      <c r="A16" s="263">
        <v>2</v>
      </c>
      <c r="B16" s="264" t="s">
        <v>120</v>
      </c>
      <c r="C16" s="265" t="s">
        <v>105</v>
      </c>
      <c r="D16" s="266">
        <v>2275030</v>
      </c>
      <c r="E16" s="267">
        <v>1174.45</v>
      </c>
      <c r="F16" s="268">
        <f t="shared" si="0"/>
        <v>2671908983.5</v>
      </c>
      <c r="G16" s="267">
        <f>'03-GTHT DOT...'!E11</f>
        <v>0</v>
      </c>
      <c r="H16" s="267">
        <f>'03-GTHT DOT...'!F11</f>
        <v>0</v>
      </c>
      <c r="I16" s="267">
        <f>'03-GTHT DOT...'!G11</f>
        <v>0</v>
      </c>
      <c r="J16" s="391">
        <f>'03-GTHT DOT...'!H11</f>
        <v>0</v>
      </c>
      <c r="K16" s="391">
        <f>'03-GTHT DOT...'!I11</f>
        <v>0</v>
      </c>
      <c r="L16" s="391">
        <f>'03-GTHT DOT...'!J11</f>
        <v>0</v>
      </c>
      <c r="M16" s="269">
        <f t="shared" ref="M16:M79" si="1">E16-I16</f>
        <v>1174.45</v>
      </c>
      <c r="N16" s="270">
        <f t="shared" ref="N16:N79" si="2">F16-L16</f>
        <v>2671908983.5</v>
      </c>
      <c r="O16" s="271"/>
      <c r="P16" s="271"/>
      <c r="Q16" s="271"/>
    </row>
    <row r="17" spans="1:17" s="272" customFormat="1" ht="16.5">
      <c r="A17" s="263">
        <v>3</v>
      </c>
      <c r="B17" s="264" t="s">
        <v>121</v>
      </c>
      <c r="C17" s="265" t="s">
        <v>105</v>
      </c>
      <c r="D17" s="266">
        <v>2335944</v>
      </c>
      <c r="E17" s="267">
        <v>19.559999999999999</v>
      </c>
      <c r="F17" s="268">
        <f t="shared" si="0"/>
        <v>45691064.640000001</v>
      </c>
      <c r="G17" s="267">
        <f>'03-GTHT DOT...'!E12</f>
        <v>0</v>
      </c>
      <c r="H17" s="267">
        <f>'03-GTHT DOT...'!F12</f>
        <v>0</v>
      </c>
      <c r="I17" s="267">
        <f>'03-GTHT DOT...'!G12</f>
        <v>0</v>
      </c>
      <c r="J17" s="391">
        <f>'03-GTHT DOT...'!H12</f>
        <v>0</v>
      </c>
      <c r="K17" s="391">
        <f>'03-GTHT DOT...'!I12</f>
        <v>0</v>
      </c>
      <c r="L17" s="391">
        <f>'03-GTHT DOT...'!J12</f>
        <v>0</v>
      </c>
      <c r="M17" s="269">
        <f t="shared" si="1"/>
        <v>19.559999999999999</v>
      </c>
      <c r="N17" s="270">
        <f t="shared" si="2"/>
        <v>45691064.640000001</v>
      </c>
      <c r="O17" s="271"/>
      <c r="P17" s="271"/>
      <c r="Q17" s="271"/>
    </row>
    <row r="18" spans="1:17" s="272" customFormat="1" ht="16.5">
      <c r="A18" s="263">
        <v>4</v>
      </c>
      <c r="B18" s="264" t="s">
        <v>122</v>
      </c>
      <c r="C18" s="265" t="s">
        <v>105</v>
      </c>
      <c r="D18" s="266">
        <v>2572168</v>
      </c>
      <c r="E18" s="267">
        <v>0.99</v>
      </c>
      <c r="F18" s="268">
        <f t="shared" si="0"/>
        <v>2546446.3199999998</v>
      </c>
      <c r="G18" s="267">
        <f>'03-GTHT DOT...'!E13</f>
        <v>0</v>
      </c>
      <c r="H18" s="267">
        <f>'03-GTHT DOT...'!F13</f>
        <v>0</v>
      </c>
      <c r="I18" s="267">
        <f>'03-GTHT DOT...'!G13</f>
        <v>0</v>
      </c>
      <c r="J18" s="391">
        <f>'03-GTHT DOT...'!H13</f>
        <v>0</v>
      </c>
      <c r="K18" s="391">
        <f>'03-GTHT DOT...'!I13</f>
        <v>0</v>
      </c>
      <c r="L18" s="391">
        <f>'03-GTHT DOT...'!J13</f>
        <v>0</v>
      </c>
      <c r="M18" s="269">
        <f t="shared" si="1"/>
        <v>0.99</v>
      </c>
      <c r="N18" s="270">
        <f t="shared" si="2"/>
        <v>2546446.3199999998</v>
      </c>
      <c r="O18" s="271"/>
      <c r="P18" s="271"/>
      <c r="Q18" s="271"/>
    </row>
    <row r="19" spans="1:17" s="272" customFormat="1" ht="16.5">
      <c r="A19" s="263">
        <v>5</v>
      </c>
      <c r="B19" s="264" t="s">
        <v>123</v>
      </c>
      <c r="C19" s="265" t="s">
        <v>116</v>
      </c>
      <c r="D19" s="266">
        <v>240597</v>
      </c>
      <c r="E19" s="267">
        <v>256.45</v>
      </c>
      <c r="F19" s="268">
        <f t="shared" si="0"/>
        <v>61701100.649999999</v>
      </c>
      <c r="G19" s="267">
        <f>'03-GTHT DOT...'!E14</f>
        <v>0</v>
      </c>
      <c r="H19" s="267">
        <f>'03-GTHT DOT...'!F14</f>
        <v>0</v>
      </c>
      <c r="I19" s="267">
        <f>'03-GTHT DOT...'!G14</f>
        <v>0</v>
      </c>
      <c r="J19" s="391">
        <f>'03-GTHT DOT...'!H14</f>
        <v>0</v>
      </c>
      <c r="K19" s="391">
        <f>'03-GTHT DOT...'!I14</f>
        <v>0</v>
      </c>
      <c r="L19" s="391">
        <f>'03-GTHT DOT...'!J14</f>
        <v>0</v>
      </c>
      <c r="M19" s="269">
        <f t="shared" si="1"/>
        <v>256.45</v>
      </c>
      <c r="N19" s="270">
        <f t="shared" si="2"/>
        <v>61701100.649999999</v>
      </c>
      <c r="O19" s="271"/>
      <c r="P19" s="271"/>
      <c r="Q19" s="271"/>
    </row>
    <row r="20" spans="1:17" s="272" customFormat="1" ht="16.5">
      <c r="A20" s="263">
        <v>6</v>
      </c>
      <c r="B20" s="264" t="s">
        <v>124</v>
      </c>
      <c r="C20" s="265" t="s">
        <v>107</v>
      </c>
      <c r="D20" s="266">
        <v>6030</v>
      </c>
      <c r="E20" s="267">
        <v>2029.13</v>
      </c>
      <c r="F20" s="268">
        <f t="shared" si="0"/>
        <v>12235653.9</v>
      </c>
      <c r="G20" s="267">
        <f>'03-GTHT DOT...'!E15</f>
        <v>0</v>
      </c>
      <c r="H20" s="267">
        <f>'03-GTHT DOT...'!F15</f>
        <v>0</v>
      </c>
      <c r="I20" s="267">
        <f>'03-GTHT DOT...'!G15</f>
        <v>0</v>
      </c>
      <c r="J20" s="391">
        <f>'03-GTHT DOT...'!H15</f>
        <v>0</v>
      </c>
      <c r="K20" s="391">
        <f>'03-GTHT DOT...'!I15</f>
        <v>0</v>
      </c>
      <c r="L20" s="391">
        <f>'03-GTHT DOT...'!J15</f>
        <v>0</v>
      </c>
      <c r="M20" s="269">
        <f t="shared" si="1"/>
        <v>2029.13</v>
      </c>
      <c r="N20" s="270">
        <f t="shared" si="2"/>
        <v>12235653.9</v>
      </c>
      <c r="O20" s="271"/>
      <c r="P20" s="271"/>
      <c r="Q20" s="271"/>
    </row>
    <row r="21" spans="1:17" s="272" customFormat="1" ht="16.5">
      <c r="A21" s="263">
        <v>7</v>
      </c>
      <c r="B21" s="264" t="s">
        <v>125</v>
      </c>
      <c r="C21" s="265" t="s">
        <v>105</v>
      </c>
      <c r="D21" s="266">
        <v>366825</v>
      </c>
      <c r="E21" s="267">
        <v>28.21</v>
      </c>
      <c r="F21" s="268">
        <f t="shared" si="0"/>
        <v>10348133.25</v>
      </c>
      <c r="G21" s="267">
        <f>'03-GTHT DOT...'!E16</f>
        <v>0</v>
      </c>
      <c r="H21" s="267">
        <f>'03-GTHT DOT...'!F16</f>
        <v>0</v>
      </c>
      <c r="I21" s="267">
        <f>'03-GTHT DOT...'!G16</f>
        <v>0</v>
      </c>
      <c r="J21" s="391">
        <f>'03-GTHT DOT...'!H16</f>
        <v>0</v>
      </c>
      <c r="K21" s="391">
        <f>'03-GTHT DOT...'!I16</f>
        <v>0</v>
      </c>
      <c r="L21" s="391">
        <f>'03-GTHT DOT...'!J16</f>
        <v>0</v>
      </c>
      <c r="M21" s="269">
        <f t="shared" si="1"/>
        <v>28.21</v>
      </c>
      <c r="N21" s="270">
        <f t="shared" si="2"/>
        <v>10348133.25</v>
      </c>
      <c r="O21" s="271"/>
      <c r="P21" s="271"/>
      <c r="Q21" s="271"/>
    </row>
    <row r="22" spans="1:17" s="272" customFormat="1" ht="16.5">
      <c r="A22" s="263">
        <v>8</v>
      </c>
      <c r="B22" s="264" t="s">
        <v>126</v>
      </c>
      <c r="C22" s="265" t="s">
        <v>155</v>
      </c>
      <c r="D22" s="266">
        <v>27600</v>
      </c>
      <c r="E22" s="267">
        <v>548</v>
      </c>
      <c r="F22" s="268">
        <f t="shared" si="0"/>
        <v>15124800</v>
      </c>
      <c r="G22" s="267">
        <f>'03-GTHT DOT...'!E17</f>
        <v>0</v>
      </c>
      <c r="H22" s="267">
        <f>'03-GTHT DOT...'!F17</f>
        <v>0</v>
      </c>
      <c r="I22" s="267">
        <f>'03-GTHT DOT...'!G17</f>
        <v>0</v>
      </c>
      <c r="J22" s="391">
        <f>'03-GTHT DOT...'!H17</f>
        <v>0</v>
      </c>
      <c r="K22" s="391">
        <f>'03-GTHT DOT...'!I17</f>
        <v>0</v>
      </c>
      <c r="L22" s="391">
        <f>'03-GTHT DOT...'!J17</f>
        <v>0</v>
      </c>
      <c r="M22" s="269">
        <f t="shared" si="1"/>
        <v>548</v>
      </c>
      <c r="N22" s="270">
        <f t="shared" si="2"/>
        <v>15124800</v>
      </c>
      <c r="O22" s="271"/>
      <c r="P22" s="271"/>
      <c r="Q22" s="271"/>
    </row>
    <row r="23" spans="1:17" s="272" customFormat="1" ht="16.5">
      <c r="A23" s="263">
        <v>9</v>
      </c>
      <c r="B23" s="264" t="s">
        <v>127</v>
      </c>
      <c r="C23" s="265" t="s">
        <v>116</v>
      </c>
      <c r="D23" s="266">
        <v>240597</v>
      </c>
      <c r="E23" s="267">
        <v>162.76</v>
      </c>
      <c r="F23" s="268">
        <f t="shared" si="0"/>
        <v>39159567.719999999</v>
      </c>
      <c r="G23" s="267">
        <f>'03-GTHT DOT...'!E18</f>
        <v>0</v>
      </c>
      <c r="H23" s="267">
        <f>'03-GTHT DOT...'!F18</f>
        <v>0</v>
      </c>
      <c r="I23" s="267">
        <f>'03-GTHT DOT...'!G18</f>
        <v>0</v>
      </c>
      <c r="J23" s="391">
        <f>'03-GTHT DOT...'!H18</f>
        <v>0</v>
      </c>
      <c r="K23" s="391">
        <f>'03-GTHT DOT...'!I18</f>
        <v>0</v>
      </c>
      <c r="L23" s="391">
        <f>'03-GTHT DOT...'!J18</f>
        <v>0</v>
      </c>
      <c r="M23" s="269">
        <f t="shared" si="1"/>
        <v>162.76</v>
      </c>
      <c r="N23" s="270">
        <f t="shared" si="2"/>
        <v>39159567.719999999</v>
      </c>
      <c r="O23" s="271"/>
      <c r="P23" s="271"/>
      <c r="Q23" s="271"/>
    </row>
    <row r="24" spans="1:17" s="272" customFormat="1" ht="16.5">
      <c r="A24" s="263">
        <v>10</v>
      </c>
      <c r="B24" s="264" t="s">
        <v>128</v>
      </c>
      <c r="C24" s="265" t="s">
        <v>107</v>
      </c>
      <c r="D24" s="266">
        <v>6030</v>
      </c>
      <c r="E24" s="267">
        <v>1268.44</v>
      </c>
      <c r="F24" s="268">
        <f t="shared" si="0"/>
        <v>7648693.2000000002</v>
      </c>
      <c r="G24" s="267">
        <f>'03-GTHT DOT...'!E19</f>
        <v>0</v>
      </c>
      <c r="H24" s="267">
        <f>'03-GTHT DOT...'!F19</f>
        <v>0</v>
      </c>
      <c r="I24" s="267">
        <f>'03-GTHT DOT...'!G19</f>
        <v>0</v>
      </c>
      <c r="J24" s="391">
        <f>'03-GTHT DOT...'!H19</f>
        <v>0</v>
      </c>
      <c r="K24" s="391">
        <f>'03-GTHT DOT...'!I19</f>
        <v>0</v>
      </c>
      <c r="L24" s="391">
        <f>'03-GTHT DOT...'!J19</f>
        <v>0</v>
      </c>
      <c r="M24" s="269">
        <f t="shared" si="1"/>
        <v>1268.44</v>
      </c>
      <c r="N24" s="270">
        <f t="shared" si="2"/>
        <v>7648693.2000000002</v>
      </c>
      <c r="O24" s="271"/>
      <c r="P24" s="271"/>
      <c r="Q24" s="271"/>
    </row>
    <row r="25" spans="1:17" s="272" customFormat="1" ht="16.5">
      <c r="A25" s="263">
        <v>11</v>
      </c>
      <c r="B25" s="264" t="s">
        <v>129</v>
      </c>
      <c r="C25" s="265" t="s">
        <v>105</v>
      </c>
      <c r="D25" s="266">
        <v>366825</v>
      </c>
      <c r="E25" s="267">
        <v>8.9499999999999993</v>
      </c>
      <c r="F25" s="268">
        <f t="shared" si="0"/>
        <v>3283083.7499999995</v>
      </c>
      <c r="G25" s="267">
        <f>'03-GTHT DOT...'!E20</f>
        <v>0</v>
      </c>
      <c r="H25" s="267">
        <f>'03-GTHT DOT...'!F20</f>
        <v>0</v>
      </c>
      <c r="I25" s="267">
        <f>'03-GTHT DOT...'!G20</f>
        <v>0</v>
      </c>
      <c r="J25" s="391">
        <f>'03-GTHT DOT...'!H20</f>
        <v>0</v>
      </c>
      <c r="K25" s="391">
        <f>'03-GTHT DOT...'!I20</f>
        <v>0</v>
      </c>
      <c r="L25" s="391">
        <f>'03-GTHT DOT...'!J20</f>
        <v>0</v>
      </c>
      <c r="M25" s="269">
        <f t="shared" si="1"/>
        <v>8.9499999999999993</v>
      </c>
      <c r="N25" s="270">
        <f t="shared" si="2"/>
        <v>3283083.7499999995</v>
      </c>
      <c r="O25" s="271"/>
      <c r="P25" s="271"/>
      <c r="Q25" s="271"/>
    </row>
    <row r="26" spans="1:17" s="272" customFormat="1" ht="16.5">
      <c r="A26" s="263">
        <v>12</v>
      </c>
      <c r="B26" s="264" t="s">
        <v>130</v>
      </c>
      <c r="C26" s="265" t="s">
        <v>116</v>
      </c>
      <c r="D26" s="266">
        <v>240597</v>
      </c>
      <c r="E26" s="267">
        <v>60.88</v>
      </c>
      <c r="F26" s="268">
        <f t="shared" si="0"/>
        <v>14647545.360000001</v>
      </c>
      <c r="G26" s="267">
        <f>'03-GTHT DOT...'!E21</f>
        <v>0</v>
      </c>
      <c r="H26" s="267">
        <f>'03-GTHT DOT...'!F21</f>
        <v>0</v>
      </c>
      <c r="I26" s="267">
        <f>'03-GTHT DOT...'!G21</f>
        <v>0</v>
      </c>
      <c r="J26" s="391">
        <f>'03-GTHT DOT...'!H21</f>
        <v>0</v>
      </c>
      <c r="K26" s="391">
        <f>'03-GTHT DOT...'!I21</f>
        <v>0</v>
      </c>
      <c r="L26" s="391">
        <f>'03-GTHT DOT...'!J21</f>
        <v>0</v>
      </c>
      <c r="M26" s="269">
        <f t="shared" si="1"/>
        <v>60.88</v>
      </c>
      <c r="N26" s="270">
        <f t="shared" si="2"/>
        <v>14647545.360000001</v>
      </c>
      <c r="O26" s="271"/>
      <c r="P26" s="271"/>
      <c r="Q26" s="271"/>
    </row>
    <row r="27" spans="1:17" s="272" customFormat="1" ht="16.5">
      <c r="A27" s="263">
        <v>13</v>
      </c>
      <c r="B27" s="264" t="s">
        <v>131</v>
      </c>
      <c r="C27" s="265" t="s">
        <v>107</v>
      </c>
      <c r="D27" s="266">
        <v>6030</v>
      </c>
      <c r="E27" s="267">
        <v>757.2</v>
      </c>
      <c r="F27" s="268">
        <f t="shared" si="0"/>
        <v>4565916</v>
      </c>
      <c r="G27" s="267">
        <f>'03-GTHT DOT...'!E22</f>
        <v>0</v>
      </c>
      <c r="H27" s="267">
        <f>'03-GTHT DOT...'!F22</f>
        <v>0</v>
      </c>
      <c r="I27" s="267">
        <f>'03-GTHT DOT...'!G22</f>
        <v>0</v>
      </c>
      <c r="J27" s="391">
        <f>'03-GTHT DOT...'!H22</f>
        <v>0</v>
      </c>
      <c r="K27" s="391">
        <f>'03-GTHT DOT...'!I22</f>
        <v>0</v>
      </c>
      <c r="L27" s="391">
        <f>'03-GTHT DOT...'!J22</f>
        <v>0</v>
      </c>
      <c r="M27" s="269">
        <f t="shared" si="1"/>
        <v>757.2</v>
      </c>
      <c r="N27" s="270">
        <f t="shared" si="2"/>
        <v>4565916</v>
      </c>
      <c r="O27" s="271"/>
      <c r="P27" s="271"/>
      <c r="Q27" s="271"/>
    </row>
    <row r="28" spans="1:17" s="272" customFormat="1" ht="16.5">
      <c r="A28" s="263">
        <v>14</v>
      </c>
      <c r="B28" s="264" t="s">
        <v>132</v>
      </c>
      <c r="C28" s="265" t="s">
        <v>105</v>
      </c>
      <c r="D28" s="266">
        <v>366825</v>
      </c>
      <c r="E28" s="267">
        <v>6.31</v>
      </c>
      <c r="F28" s="268">
        <f t="shared" si="0"/>
        <v>2314665.75</v>
      </c>
      <c r="G28" s="267">
        <f>'03-GTHT DOT...'!E23</f>
        <v>0</v>
      </c>
      <c r="H28" s="267">
        <f>'03-GTHT DOT...'!F23</f>
        <v>0</v>
      </c>
      <c r="I28" s="267">
        <f>'03-GTHT DOT...'!G23</f>
        <v>0</v>
      </c>
      <c r="J28" s="391">
        <f>'03-GTHT DOT...'!H23</f>
        <v>0</v>
      </c>
      <c r="K28" s="391">
        <f>'03-GTHT DOT...'!I23</f>
        <v>0</v>
      </c>
      <c r="L28" s="391">
        <f>'03-GTHT DOT...'!J23</f>
        <v>0</v>
      </c>
      <c r="M28" s="269">
        <f t="shared" si="1"/>
        <v>6.31</v>
      </c>
      <c r="N28" s="270">
        <f t="shared" si="2"/>
        <v>2314665.75</v>
      </c>
      <c r="O28" s="271"/>
      <c r="P28" s="271"/>
      <c r="Q28" s="271"/>
    </row>
    <row r="29" spans="1:17" s="272" customFormat="1" ht="16.5">
      <c r="A29" s="263">
        <v>15</v>
      </c>
      <c r="B29" s="264" t="s">
        <v>133</v>
      </c>
      <c r="C29" s="265" t="s">
        <v>156</v>
      </c>
      <c r="D29" s="266">
        <v>130000</v>
      </c>
      <c r="E29" s="267">
        <v>17</v>
      </c>
      <c r="F29" s="268">
        <f t="shared" si="0"/>
        <v>2210000</v>
      </c>
      <c r="G29" s="267">
        <f>'03-GTHT DOT...'!E24</f>
        <v>0</v>
      </c>
      <c r="H29" s="267">
        <f>'03-GTHT DOT...'!F24</f>
        <v>0</v>
      </c>
      <c r="I29" s="267">
        <f>'03-GTHT DOT...'!G24</f>
        <v>0</v>
      </c>
      <c r="J29" s="391">
        <f>'03-GTHT DOT...'!H24</f>
        <v>0</v>
      </c>
      <c r="K29" s="391">
        <f>'03-GTHT DOT...'!I24</f>
        <v>0</v>
      </c>
      <c r="L29" s="391">
        <f>'03-GTHT DOT...'!J24</f>
        <v>0</v>
      </c>
      <c r="M29" s="269">
        <f t="shared" si="1"/>
        <v>17</v>
      </c>
      <c r="N29" s="270">
        <f t="shared" si="2"/>
        <v>2210000</v>
      </c>
      <c r="O29" s="271"/>
      <c r="P29" s="271"/>
      <c r="Q29" s="271"/>
    </row>
    <row r="30" spans="1:17" s="272" customFormat="1" ht="49.5">
      <c r="A30" s="263">
        <v>16</v>
      </c>
      <c r="B30" s="264" t="s">
        <v>134</v>
      </c>
      <c r="C30" s="265" t="s">
        <v>116</v>
      </c>
      <c r="D30" s="266">
        <v>60000</v>
      </c>
      <c r="E30" s="267">
        <v>1</v>
      </c>
      <c r="F30" s="268">
        <f t="shared" si="0"/>
        <v>60000</v>
      </c>
      <c r="G30" s="267">
        <f>'03-GTHT DOT...'!E25</f>
        <v>0</v>
      </c>
      <c r="H30" s="267">
        <f>'03-GTHT DOT...'!F25</f>
        <v>0</v>
      </c>
      <c r="I30" s="267">
        <f>'03-GTHT DOT...'!G25</f>
        <v>0</v>
      </c>
      <c r="J30" s="391">
        <f>'03-GTHT DOT...'!H25</f>
        <v>0</v>
      </c>
      <c r="K30" s="391">
        <f>'03-GTHT DOT...'!I25</f>
        <v>0</v>
      </c>
      <c r="L30" s="391">
        <f>'03-GTHT DOT...'!J25</f>
        <v>0</v>
      </c>
      <c r="M30" s="269">
        <f t="shared" si="1"/>
        <v>1</v>
      </c>
      <c r="N30" s="270">
        <f t="shared" si="2"/>
        <v>60000</v>
      </c>
      <c r="O30" s="271"/>
      <c r="P30" s="271"/>
      <c r="Q30" s="271"/>
    </row>
    <row r="31" spans="1:17" s="61" customFormat="1" ht="16.5">
      <c r="A31" s="232" t="s">
        <v>98</v>
      </c>
      <c r="B31" s="233" t="s">
        <v>99</v>
      </c>
      <c r="C31" s="234"/>
      <c r="D31" s="235"/>
      <c r="E31" s="236"/>
      <c r="F31" s="260"/>
      <c r="G31" s="267">
        <f>'03-GTHT DOT...'!E26</f>
        <v>0</v>
      </c>
      <c r="H31" s="267">
        <f>'03-GTHT DOT...'!F26</f>
        <v>0</v>
      </c>
      <c r="I31" s="267">
        <f>'03-GTHT DOT...'!G26</f>
        <v>0</v>
      </c>
      <c r="J31" s="391">
        <f>'03-GTHT DOT...'!H26</f>
        <v>0</v>
      </c>
      <c r="K31" s="391">
        <f>'03-GTHT DOT...'!I26</f>
        <v>0</v>
      </c>
      <c r="L31" s="391">
        <f>'03-GTHT DOT...'!J26</f>
        <v>0</v>
      </c>
      <c r="M31" s="269">
        <f t="shared" si="1"/>
        <v>0</v>
      </c>
      <c r="N31" s="270"/>
      <c r="O31" s="257"/>
      <c r="P31" s="257"/>
      <c r="Q31" s="257"/>
    </row>
    <row r="32" spans="1:17" s="272" customFormat="1" ht="49.5">
      <c r="A32" s="263">
        <v>16</v>
      </c>
      <c r="B32" s="264" t="s">
        <v>135</v>
      </c>
      <c r="C32" s="265" t="s">
        <v>105</v>
      </c>
      <c r="D32" s="266">
        <v>366825</v>
      </c>
      <c r="E32" s="267">
        <v>94.409249999999957</v>
      </c>
      <c r="F32" s="268">
        <f>+E32*D32</f>
        <v>34631673.131249987</v>
      </c>
      <c r="G32" s="267">
        <f>'03-GTHT DOT...'!E27</f>
        <v>18.4544</v>
      </c>
      <c r="H32" s="267">
        <f>'03-GTHT DOT...'!F27</f>
        <v>18.172097999999991</v>
      </c>
      <c r="I32" s="267">
        <f>'03-GTHT DOT...'!G27</f>
        <v>36.626497999999991</v>
      </c>
      <c r="J32" s="391">
        <f>'03-GTHT DOT...'!H27</f>
        <v>6769535</v>
      </c>
      <c r="K32" s="391">
        <f>'03-GTHT DOT...'!I27</f>
        <v>6665980</v>
      </c>
      <c r="L32" s="391">
        <f>'03-GTHT DOT...'!J27</f>
        <v>13435515</v>
      </c>
      <c r="M32" s="269">
        <f t="shared" si="1"/>
        <v>57.782751999999967</v>
      </c>
      <c r="N32" s="270">
        <f>F32-L32</f>
        <v>21196158.131249987</v>
      </c>
      <c r="O32" s="271"/>
      <c r="P32" s="271"/>
      <c r="Q32" s="271"/>
    </row>
    <row r="33" spans="1:17" s="272" customFormat="1" ht="49.5">
      <c r="A33" s="263">
        <v>17</v>
      </c>
      <c r="B33" s="264" t="s">
        <v>136</v>
      </c>
      <c r="C33" s="265" t="s">
        <v>105</v>
      </c>
      <c r="D33" s="266">
        <v>366825</v>
      </c>
      <c r="E33" s="267">
        <v>93.243790000000004</v>
      </c>
      <c r="F33" s="268">
        <f>+E33*D33</f>
        <v>34204153.26675</v>
      </c>
      <c r="G33" s="267">
        <f>'03-GTHT DOT...'!E28</f>
        <v>0</v>
      </c>
      <c r="H33" s="267">
        <f>'03-GTHT DOT...'!F28</f>
        <v>13.021151</v>
      </c>
      <c r="I33" s="267">
        <f>'03-GTHT DOT...'!G28</f>
        <v>13.021151</v>
      </c>
      <c r="J33" s="391">
        <f>'03-GTHT DOT...'!H28</f>
        <v>0</v>
      </c>
      <c r="K33" s="391">
        <f>'03-GTHT DOT...'!I28</f>
        <v>4776484</v>
      </c>
      <c r="L33" s="391">
        <f>'03-GTHT DOT...'!J28</f>
        <v>4776484</v>
      </c>
      <c r="M33" s="269">
        <f t="shared" si="1"/>
        <v>80.222639000000001</v>
      </c>
      <c r="N33" s="270">
        <f t="shared" si="2"/>
        <v>29427669.26675</v>
      </c>
      <c r="O33" s="271"/>
      <c r="P33" s="271"/>
      <c r="Q33" s="271"/>
    </row>
    <row r="34" spans="1:17" s="272" customFormat="1" ht="49.5">
      <c r="A34" s="263">
        <v>18</v>
      </c>
      <c r="B34" s="264" t="s">
        <v>137</v>
      </c>
      <c r="C34" s="265" t="s">
        <v>105</v>
      </c>
      <c r="D34" s="266">
        <v>387025</v>
      </c>
      <c r="E34" s="267">
        <v>439.50780499999996</v>
      </c>
      <c r="F34" s="268">
        <f>+E34*D34</f>
        <v>170100508.23012498</v>
      </c>
      <c r="G34" s="267">
        <f>'03-GTHT DOT...'!E29</f>
        <v>200.37653413376876</v>
      </c>
      <c r="H34" s="267">
        <f>'03-GTHT DOT...'!F29</f>
        <v>299.20420299999995</v>
      </c>
      <c r="I34" s="267">
        <f>'03-GTHT DOT...'!G29</f>
        <v>499.58073713376871</v>
      </c>
      <c r="J34" s="391">
        <f>'03-GTHT DOT...'!H29</f>
        <v>77550728</v>
      </c>
      <c r="K34" s="391">
        <f>'03-GTHT DOT...'!I29</f>
        <v>115799507</v>
      </c>
      <c r="L34" s="391">
        <f>'03-GTHT DOT...'!J29</f>
        <v>193350235</v>
      </c>
      <c r="M34" s="269">
        <f t="shared" si="1"/>
        <v>-60.072932133768745</v>
      </c>
      <c r="N34" s="270">
        <f t="shared" si="2"/>
        <v>-23249726.76987502</v>
      </c>
      <c r="O34" s="271"/>
      <c r="P34" s="271"/>
      <c r="Q34" s="271"/>
    </row>
    <row r="35" spans="1:17" s="272" customFormat="1" ht="49.5">
      <c r="A35" s="263">
        <v>19</v>
      </c>
      <c r="B35" s="264" t="s">
        <v>138</v>
      </c>
      <c r="C35" s="265" t="s">
        <v>105</v>
      </c>
      <c r="D35" s="266">
        <v>385007</v>
      </c>
      <c r="E35" s="267">
        <v>1380.6914999999999</v>
      </c>
      <c r="F35" s="268">
        <f>+E35*D35</f>
        <v>531575892.34049994</v>
      </c>
      <c r="G35" s="267">
        <f>'03-GTHT DOT...'!E30</f>
        <v>560.80934718875517</v>
      </c>
      <c r="H35" s="267">
        <f>'03-GTHT DOT...'!F30</f>
        <v>312.15609061990119</v>
      </c>
      <c r="I35" s="267">
        <f>'03-GTHT DOT...'!G30</f>
        <v>872.96543780865636</v>
      </c>
      <c r="J35" s="391">
        <f>'03-GTHT DOT...'!H30</f>
        <v>215915524</v>
      </c>
      <c r="K35" s="391">
        <f>'03-GTHT DOT...'!I30</f>
        <v>120182280</v>
      </c>
      <c r="L35" s="391">
        <f>'03-GTHT DOT...'!J30</f>
        <v>336097804</v>
      </c>
      <c r="M35" s="269">
        <f t="shared" si="1"/>
        <v>507.72606219134354</v>
      </c>
      <c r="N35" s="270">
        <f t="shared" si="2"/>
        <v>195478088.34049994</v>
      </c>
      <c r="O35" s="271"/>
      <c r="P35" s="271"/>
      <c r="Q35" s="271"/>
    </row>
    <row r="36" spans="1:17" s="272" customFormat="1" ht="16.5">
      <c r="A36" s="263">
        <v>20</v>
      </c>
      <c r="B36" s="264" t="s">
        <v>139</v>
      </c>
      <c r="C36" s="265" t="s">
        <v>105</v>
      </c>
      <c r="D36" s="266">
        <v>366825</v>
      </c>
      <c r="E36" s="267">
        <v>56.261250000000004</v>
      </c>
      <c r="F36" s="268">
        <f>+E36*D36</f>
        <v>20638033.03125</v>
      </c>
      <c r="G36" s="267">
        <f>'03-GTHT DOT...'!E31</f>
        <v>0</v>
      </c>
      <c r="H36" s="267">
        <f>'03-GTHT DOT...'!F31</f>
        <v>0</v>
      </c>
      <c r="I36" s="267">
        <f>'03-GTHT DOT...'!G31</f>
        <v>0</v>
      </c>
      <c r="J36" s="391">
        <f>'03-GTHT DOT...'!H31</f>
        <v>0</v>
      </c>
      <c r="K36" s="391">
        <f>'03-GTHT DOT...'!I31</f>
        <v>0</v>
      </c>
      <c r="L36" s="391">
        <f>'03-GTHT DOT...'!J31</f>
        <v>0</v>
      </c>
      <c r="M36" s="269">
        <f t="shared" si="1"/>
        <v>56.261250000000004</v>
      </c>
      <c r="N36" s="270">
        <f t="shared" si="2"/>
        <v>20638033.03125</v>
      </c>
      <c r="O36" s="271"/>
      <c r="P36" s="271"/>
      <c r="Q36" s="271"/>
    </row>
    <row r="37" spans="1:17" s="61" customFormat="1" ht="16.5">
      <c r="A37" s="232" t="s">
        <v>100</v>
      </c>
      <c r="B37" s="233" t="s">
        <v>101</v>
      </c>
      <c r="C37" s="234"/>
      <c r="D37" s="235"/>
      <c r="E37" s="236"/>
      <c r="F37" s="260"/>
      <c r="G37" s="267">
        <f>'03-GTHT DOT...'!E32</f>
        <v>0</v>
      </c>
      <c r="H37" s="267">
        <f>'03-GTHT DOT...'!F32</f>
        <v>0</v>
      </c>
      <c r="I37" s="267">
        <f>'03-GTHT DOT...'!G32</f>
        <v>0</v>
      </c>
      <c r="J37" s="391">
        <f>'03-GTHT DOT...'!H32</f>
        <v>0</v>
      </c>
      <c r="K37" s="391">
        <f>'03-GTHT DOT...'!I32</f>
        <v>0</v>
      </c>
      <c r="L37" s="391">
        <f>'03-GTHT DOT...'!J32</f>
        <v>0</v>
      </c>
      <c r="M37" s="269">
        <f t="shared" si="1"/>
        <v>0</v>
      </c>
      <c r="N37" s="270"/>
      <c r="O37" s="257"/>
      <c r="P37" s="257"/>
      <c r="Q37" s="257"/>
    </row>
    <row r="38" spans="1:17" s="272" customFormat="1" ht="16.5">
      <c r="A38" s="263">
        <v>21</v>
      </c>
      <c r="B38" s="264" t="s">
        <v>140</v>
      </c>
      <c r="C38" s="265" t="s">
        <v>116</v>
      </c>
      <c r="D38" s="266">
        <v>240597</v>
      </c>
      <c r="E38" s="267">
        <v>629.39499999999975</v>
      </c>
      <c r="F38" s="268">
        <f t="shared" ref="F38:F44" si="3">+E38*D38</f>
        <v>151430548.81499994</v>
      </c>
      <c r="G38" s="267">
        <f>'03-GTHT DOT...'!E33</f>
        <v>12.302847099999999</v>
      </c>
      <c r="H38" s="267">
        <f>'03-GTHT DOT...'!F33</f>
        <v>145.93260000000001</v>
      </c>
      <c r="I38" s="267">
        <f>'03-GTHT DOT...'!G33</f>
        <v>158.23544710000002</v>
      </c>
      <c r="J38" s="391">
        <f>'03-GTHT DOT...'!H33</f>
        <v>2960028</v>
      </c>
      <c r="K38" s="391">
        <f>'03-GTHT DOT...'!I33</f>
        <v>35110946</v>
      </c>
      <c r="L38" s="391">
        <f>'03-GTHT DOT...'!J33</f>
        <v>38070974</v>
      </c>
      <c r="M38" s="269">
        <f t="shared" si="1"/>
        <v>471.15955289999977</v>
      </c>
      <c r="N38" s="270">
        <f t="shared" si="2"/>
        <v>113359574.81499994</v>
      </c>
      <c r="O38" s="271"/>
      <c r="P38" s="271"/>
      <c r="Q38" s="271"/>
    </row>
    <row r="39" spans="1:17" s="272" customFormat="1" ht="16.5">
      <c r="A39" s="263">
        <v>22</v>
      </c>
      <c r="B39" s="264" t="s">
        <v>141</v>
      </c>
      <c r="C39" s="265" t="s">
        <v>116</v>
      </c>
      <c r="D39" s="266">
        <v>240597</v>
      </c>
      <c r="E39" s="267">
        <v>1062.1025999999997</v>
      </c>
      <c r="F39" s="268">
        <f t="shared" si="3"/>
        <v>255538699.25219992</v>
      </c>
      <c r="G39" s="267">
        <f>'03-GTHT DOT...'!E34</f>
        <v>0</v>
      </c>
      <c r="H39" s="267">
        <f>'03-GTHT DOT...'!F34</f>
        <v>118.37409999999998</v>
      </c>
      <c r="I39" s="267">
        <f>'03-GTHT DOT...'!G34</f>
        <v>118.37409999999998</v>
      </c>
      <c r="J39" s="391">
        <f>'03-GTHT DOT...'!H34</f>
        <v>0</v>
      </c>
      <c r="K39" s="391">
        <f>'03-GTHT DOT...'!I34</f>
        <v>28480453</v>
      </c>
      <c r="L39" s="391">
        <f>'03-GTHT DOT...'!J34</f>
        <v>28480453</v>
      </c>
      <c r="M39" s="269">
        <f t="shared" si="1"/>
        <v>943.72849999999971</v>
      </c>
      <c r="N39" s="270">
        <f t="shared" si="2"/>
        <v>227058246.25219992</v>
      </c>
      <c r="O39" s="271"/>
      <c r="P39" s="271"/>
      <c r="Q39" s="271"/>
    </row>
    <row r="40" spans="1:17" s="272" customFormat="1" ht="16.5">
      <c r="A40" s="263">
        <v>23</v>
      </c>
      <c r="B40" s="264" t="s">
        <v>142</v>
      </c>
      <c r="C40" s="265" t="s">
        <v>116</v>
      </c>
      <c r="D40" s="266">
        <v>240597</v>
      </c>
      <c r="E40" s="267">
        <v>609.13740000000007</v>
      </c>
      <c r="F40" s="268">
        <f t="shared" si="3"/>
        <v>146556631.02780002</v>
      </c>
      <c r="G40" s="267">
        <f>'03-GTHT DOT...'!E35</f>
        <v>0</v>
      </c>
      <c r="H40" s="267">
        <f>'03-GTHT DOT...'!F35</f>
        <v>1401.1119799999999</v>
      </c>
      <c r="I40" s="267">
        <f>'03-GTHT DOT...'!G35</f>
        <v>1401.1119799999999</v>
      </c>
      <c r="J40" s="391">
        <f>'03-GTHT DOT...'!H35</f>
        <v>0</v>
      </c>
      <c r="K40" s="391">
        <f>'03-GTHT DOT...'!I35</f>
        <v>337103339</v>
      </c>
      <c r="L40" s="391">
        <f>'03-GTHT DOT...'!J35</f>
        <v>337103339</v>
      </c>
      <c r="M40" s="269">
        <f t="shared" si="1"/>
        <v>-791.97457999999983</v>
      </c>
      <c r="N40" s="270">
        <f t="shared" si="2"/>
        <v>-190546707.97219998</v>
      </c>
      <c r="O40" s="271"/>
      <c r="P40" s="271"/>
      <c r="Q40" s="271"/>
    </row>
    <row r="41" spans="1:17" s="272" customFormat="1" ht="16.5">
      <c r="A41" s="263">
        <v>24</v>
      </c>
      <c r="B41" s="264" t="s">
        <v>143</v>
      </c>
      <c r="C41" s="265" t="s">
        <v>116</v>
      </c>
      <c r="D41" s="266">
        <v>276777</v>
      </c>
      <c r="E41" s="267">
        <v>2657.9397499999995</v>
      </c>
      <c r="F41" s="268">
        <f t="shared" si="3"/>
        <v>735656590.18574989</v>
      </c>
      <c r="G41" s="267">
        <f>'03-GTHT DOT...'!E36</f>
        <v>1494.7809334780002</v>
      </c>
      <c r="H41" s="267">
        <f>'03-GTHT DOT...'!F36</f>
        <v>1133.9823999999999</v>
      </c>
      <c r="I41" s="267">
        <f>'03-GTHT DOT...'!G36</f>
        <v>2628.7633334780003</v>
      </c>
      <c r="J41" s="391">
        <f>'03-GTHT DOT...'!H36</f>
        <v>413720982</v>
      </c>
      <c r="K41" s="391">
        <f>'03-GTHT DOT...'!I36</f>
        <v>313860247</v>
      </c>
      <c r="L41" s="391">
        <f>'03-GTHT DOT...'!J36</f>
        <v>727581229</v>
      </c>
      <c r="M41" s="269">
        <f t="shared" si="1"/>
        <v>29.176416521999272</v>
      </c>
      <c r="N41" s="270">
        <f t="shared" si="2"/>
        <v>8075361.1857498884</v>
      </c>
      <c r="O41" s="271"/>
      <c r="P41" s="271"/>
      <c r="Q41" s="271"/>
    </row>
    <row r="42" spans="1:17" s="272" customFormat="1" ht="16.5">
      <c r="A42" s="263">
        <v>25</v>
      </c>
      <c r="B42" s="264" t="s">
        <v>144</v>
      </c>
      <c r="C42" s="265" t="s">
        <v>116</v>
      </c>
      <c r="D42" s="266">
        <v>240597</v>
      </c>
      <c r="E42" s="267">
        <v>8103.3648999999969</v>
      </c>
      <c r="F42" s="268">
        <f t="shared" si="3"/>
        <v>1949645284.8452992</v>
      </c>
      <c r="G42" s="267">
        <f>'03-GTHT DOT...'!E37</f>
        <v>2723.6890864262</v>
      </c>
      <c r="H42" s="267">
        <f>'03-GTHT DOT...'!F37</f>
        <v>936.25130061990092</v>
      </c>
      <c r="I42" s="267">
        <f>'03-GTHT DOT...'!G37</f>
        <v>3659.940387046101</v>
      </c>
      <c r="J42" s="391">
        <f>'03-GTHT DOT...'!H37</f>
        <v>655311423</v>
      </c>
      <c r="K42" s="391">
        <f>'03-GTHT DOT...'!I37</f>
        <v>225259254</v>
      </c>
      <c r="L42" s="391">
        <f>'03-GTHT DOT...'!J37</f>
        <v>880570677</v>
      </c>
      <c r="M42" s="269">
        <f t="shared" si="1"/>
        <v>4443.4245129538958</v>
      </c>
      <c r="N42" s="270">
        <f t="shared" si="2"/>
        <v>1069074607.8452992</v>
      </c>
      <c r="O42" s="271"/>
      <c r="P42" s="271"/>
      <c r="Q42" s="271"/>
    </row>
    <row r="43" spans="1:17" s="272" customFormat="1" ht="16.5">
      <c r="A43" s="263">
        <v>26</v>
      </c>
      <c r="B43" s="264" t="s">
        <v>145</v>
      </c>
      <c r="C43" s="265" t="s">
        <v>116</v>
      </c>
      <c r="D43" s="266">
        <v>240597</v>
      </c>
      <c r="E43" s="267">
        <v>520.9375</v>
      </c>
      <c r="F43" s="268">
        <f t="shared" si="3"/>
        <v>125335999.6875</v>
      </c>
      <c r="G43" s="267">
        <f>'03-GTHT DOT...'!E38</f>
        <v>0</v>
      </c>
      <c r="H43" s="267">
        <f>'03-GTHT DOT...'!F38</f>
        <v>0</v>
      </c>
      <c r="I43" s="267">
        <f>'03-GTHT DOT...'!G38</f>
        <v>0</v>
      </c>
      <c r="J43" s="391">
        <f>'03-GTHT DOT...'!H38</f>
        <v>0</v>
      </c>
      <c r="K43" s="391">
        <f>'03-GTHT DOT...'!I38</f>
        <v>0</v>
      </c>
      <c r="L43" s="391">
        <f>'03-GTHT DOT...'!J38</f>
        <v>0</v>
      </c>
      <c r="M43" s="269">
        <f t="shared" si="1"/>
        <v>520.9375</v>
      </c>
      <c r="N43" s="270">
        <f t="shared" si="2"/>
        <v>125335999.6875</v>
      </c>
      <c r="O43" s="271"/>
      <c r="P43" s="271"/>
      <c r="Q43" s="271"/>
    </row>
    <row r="44" spans="1:17" s="272" customFormat="1" ht="49.5">
      <c r="A44" s="263">
        <v>27</v>
      </c>
      <c r="B44" s="264" t="s">
        <v>146</v>
      </c>
      <c r="C44" s="265" t="s">
        <v>116</v>
      </c>
      <c r="D44" s="266">
        <v>60000</v>
      </c>
      <c r="E44" s="267">
        <v>1</v>
      </c>
      <c r="F44" s="268">
        <f t="shared" si="3"/>
        <v>60000</v>
      </c>
      <c r="G44" s="267">
        <f>'03-GTHT DOT...'!E39</f>
        <v>0</v>
      </c>
      <c r="H44" s="267">
        <f>'03-GTHT DOT...'!F39</f>
        <v>928.05930061990091</v>
      </c>
      <c r="I44" s="267">
        <f>'03-GTHT DOT...'!G39</f>
        <v>928.05930061990091</v>
      </c>
      <c r="J44" s="391">
        <f>'03-GTHT DOT...'!H39</f>
        <v>0</v>
      </c>
      <c r="K44" s="391">
        <f>'03-GTHT DOT...'!I39</f>
        <v>55683558</v>
      </c>
      <c r="L44" s="391">
        <f>'03-GTHT DOT...'!J39</f>
        <v>55683558</v>
      </c>
      <c r="M44" s="269">
        <f t="shared" si="1"/>
        <v>-927.05930061990091</v>
      </c>
      <c r="N44" s="270">
        <f t="shared" si="2"/>
        <v>-55623558</v>
      </c>
      <c r="O44" s="271"/>
      <c r="P44" s="271"/>
      <c r="Q44" s="271"/>
    </row>
    <row r="45" spans="1:17" s="61" customFormat="1" ht="16.5">
      <c r="A45" s="232" t="s">
        <v>104</v>
      </c>
      <c r="B45" s="233" t="s">
        <v>147</v>
      </c>
      <c r="C45" s="234"/>
      <c r="D45" s="235"/>
      <c r="E45" s="236"/>
      <c r="F45" s="260"/>
      <c r="G45" s="267">
        <f>'03-GTHT DOT...'!E40</f>
        <v>0</v>
      </c>
      <c r="H45" s="267">
        <f>'03-GTHT DOT...'!F40</f>
        <v>0</v>
      </c>
      <c r="I45" s="267">
        <f>'03-GTHT DOT...'!G40</f>
        <v>0</v>
      </c>
      <c r="J45" s="391">
        <f>'03-GTHT DOT...'!H40</f>
        <v>0</v>
      </c>
      <c r="K45" s="391">
        <f>'03-GTHT DOT...'!I40</f>
        <v>0</v>
      </c>
      <c r="L45" s="391">
        <f>'03-GTHT DOT...'!J40</f>
        <v>0</v>
      </c>
      <c r="M45" s="269">
        <f t="shared" si="1"/>
        <v>0</v>
      </c>
      <c r="N45" s="270"/>
      <c r="O45" s="257"/>
      <c r="P45" s="257"/>
      <c r="Q45" s="257"/>
    </row>
    <row r="46" spans="1:17" s="272" customFormat="1" ht="16.5">
      <c r="A46" s="263">
        <v>26</v>
      </c>
      <c r="B46" s="264" t="s">
        <v>148</v>
      </c>
      <c r="C46" s="265" t="s">
        <v>107</v>
      </c>
      <c r="D46" s="266">
        <v>6030</v>
      </c>
      <c r="E46" s="267">
        <v>12273.202499999999</v>
      </c>
      <c r="F46" s="268">
        <f t="shared" ref="F46:F52" si="4">+E46*D46</f>
        <v>74007411.075000003</v>
      </c>
      <c r="G46" s="267">
        <f>'03-GTHT DOT...'!E41</f>
        <v>7418.0994220000066</v>
      </c>
      <c r="H46" s="267">
        <f>'03-GTHT DOT...'!F41</f>
        <v>3724.2575199999997</v>
      </c>
      <c r="I46" s="267">
        <f>'03-GTHT DOT...'!G41</f>
        <v>11142.356942000006</v>
      </c>
      <c r="J46" s="391">
        <f>'03-GTHT DOT...'!H41</f>
        <v>44731140</v>
      </c>
      <c r="K46" s="391">
        <f>'03-GTHT DOT...'!I41</f>
        <v>22457273</v>
      </c>
      <c r="L46" s="391">
        <f>'03-GTHT DOT...'!J41</f>
        <v>67188413</v>
      </c>
      <c r="M46" s="269">
        <f t="shared" si="1"/>
        <v>1130.8455579999936</v>
      </c>
      <c r="N46" s="270">
        <f t="shared" si="2"/>
        <v>6818998.075000003</v>
      </c>
      <c r="O46" s="271"/>
      <c r="P46" s="271">
        <v>300</v>
      </c>
      <c r="Q46" s="271">
        <f>P46*D46</f>
        <v>1809000</v>
      </c>
    </row>
    <row r="47" spans="1:17" s="272" customFormat="1" ht="16.5">
      <c r="A47" s="263">
        <v>28</v>
      </c>
      <c r="B47" s="264" t="s">
        <v>149</v>
      </c>
      <c r="C47" s="265" t="s">
        <v>107</v>
      </c>
      <c r="D47" s="266">
        <v>6030</v>
      </c>
      <c r="E47" s="267">
        <v>7832.4783599999992</v>
      </c>
      <c r="F47" s="268">
        <f t="shared" si="4"/>
        <v>47229844.510799997</v>
      </c>
      <c r="G47" s="267">
        <f>'03-GTHT DOT...'!E42</f>
        <v>0</v>
      </c>
      <c r="H47" s="267">
        <f>'03-GTHT DOT...'!F42</f>
        <v>800.76072000000011</v>
      </c>
      <c r="I47" s="267">
        <f>'03-GTHT DOT...'!G42</f>
        <v>800.76072000000011</v>
      </c>
      <c r="J47" s="391">
        <f>'03-GTHT DOT...'!H42</f>
        <v>0</v>
      </c>
      <c r="K47" s="391">
        <f>'03-GTHT DOT...'!I42</f>
        <v>4828587</v>
      </c>
      <c r="L47" s="391">
        <f>'03-GTHT DOT...'!J42</f>
        <v>4828587</v>
      </c>
      <c r="M47" s="269">
        <f t="shared" si="1"/>
        <v>7031.7176399999989</v>
      </c>
      <c r="N47" s="270">
        <f t="shared" si="2"/>
        <v>42401257.510799997</v>
      </c>
      <c r="O47" s="271"/>
      <c r="P47" s="271"/>
      <c r="Q47" s="271"/>
    </row>
    <row r="48" spans="1:17" s="272" customFormat="1" ht="16.5">
      <c r="A48" s="263">
        <v>29</v>
      </c>
      <c r="B48" s="264" t="s">
        <v>150</v>
      </c>
      <c r="C48" s="265" t="s">
        <v>107</v>
      </c>
      <c r="D48" s="266">
        <v>6030</v>
      </c>
      <c r="E48" s="267">
        <v>30765.546349999993</v>
      </c>
      <c r="F48" s="268">
        <f t="shared" si="4"/>
        <v>185516244.49049997</v>
      </c>
      <c r="G48" s="267">
        <f>'03-GTHT DOT...'!E43</f>
        <v>21402.251879999996</v>
      </c>
      <c r="H48" s="267">
        <f>'03-GTHT DOT...'!F43</f>
        <v>22007.774751999998</v>
      </c>
      <c r="I48" s="267">
        <f>'03-GTHT DOT...'!G43</f>
        <v>43410.026631999994</v>
      </c>
      <c r="J48" s="391">
        <f>'03-GTHT DOT...'!H43</f>
        <v>129055579</v>
      </c>
      <c r="K48" s="391">
        <f>'03-GTHT DOT...'!I43</f>
        <v>132706882</v>
      </c>
      <c r="L48" s="391">
        <f>'03-GTHT DOT...'!J43</f>
        <v>261762461</v>
      </c>
      <c r="M48" s="269">
        <f t="shared" si="1"/>
        <v>-12644.480282</v>
      </c>
      <c r="N48" s="270">
        <f t="shared" si="2"/>
        <v>-76246216.509500027</v>
      </c>
      <c r="O48" s="271"/>
      <c r="P48" s="271"/>
      <c r="Q48" s="271"/>
    </row>
    <row r="49" spans="1:17" s="272" customFormat="1" ht="16.5">
      <c r="A49" s="263">
        <v>30</v>
      </c>
      <c r="B49" s="264" t="s">
        <v>151</v>
      </c>
      <c r="C49" s="265" t="s">
        <v>107</v>
      </c>
      <c r="D49" s="266">
        <v>6030</v>
      </c>
      <c r="E49" s="267">
        <v>165682.98000000001</v>
      </c>
      <c r="F49" s="268">
        <f t="shared" si="4"/>
        <v>999068369.4000001</v>
      </c>
      <c r="G49" s="267">
        <f>'03-GTHT DOT...'!E44</f>
        <v>71287.937059999997</v>
      </c>
      <c r="H49" s="267">
        <f>'03-GTHT DOT...'!F44</f>
        <v>34821.641174000011</v>
      </c>
      <c r="I49" s="267">
        <f>'03-GTHT DOT...'!G44</f>
        <v>106109.57823400002</v>
      </c>
      <c r="J49" s="391">
        <f>'03-GTHT DOT...'!H44</f>
        <v>429866260</v>
      </c>
      <c r="K49" s="391">
        <f>'03-GTHT DOT...'!I44</f>
        <v>209974496</v>
      </c>
      <c r="L49" s="391">
        <f>'03-GTHT DOT...'!J44</f>
        <v>639840756</v>
      </c>
      <c r="M49" s="269">
        <f t="shared" si="1"/>
        <v>59573.401765999995</v>
      </c>
      <c r="N49" s="270">
        <f t="shared" si="2"/>
        <v>359227613.4000001</v>
      </c>
      <c r="O49" s="271"/>
      <c r="P49" s="271"/>
      <c r="Q49" s="271"/>
    </row>
    <row r="50" spans="1:17" s="272" customFormat="1" ht="16.5">
      <c r="A50" s="263">
        <v>31</v>
      </c>
      <c r="B50" s="264" t="s">
        <v>152</v>
      </c>
      <c r="C50" s="265" t="s">
        <v>107</v>
      </c>
      <c r="D50" s="266">
        <v>6030</v>
      </c>
      <c r="E50" s="267">
        <v>3938.2875000000004</v>
      </c>
      <c r="F50" s="268">
        <f t="shared" si="4"/>
        <v>23747873.625000004</v>
      </c>
      <c r="G50" s="267">
        <f>'03-GTHT DOT...'!E45</f>
        <v>0</v>
      </c>
      <c r="H50" s="267">
        <f>'03-GTHT DOT...'!F45</f>
        <v>0</v>
      </c>
      <c r="I50" s="267">
        <f>'03-GTHT DOT...'!G45</f>
        <v>0</v>
      </c>
      <c r="J50" s="391">
        <f>'03-GTHT DOT...'!H45</f>
        <v>0</v>
      </c>
      <c r="K50" s="391">
        <f>'03-GTHT DOT...'!I45</f>
        <v>0</v>
      </c>
      <c r="L50" s="391">
        <f>'03-GTHT DOT...'!J45</f>
        <v>0</v>
      </c>
      <c r="M50" s="269">
        <f t="shared" si="1"/>
        <v>3938.2875000000004</v>
      </c>
      <c r="N50" s="270">
        <f t="shared" si="2"/>
        <v>23747873.625000004</v>
      </c>
      <c r="O50" s="271"/>
      <c r="P50" s="271"/>
      <c r="Q50" s="271"/>
    </row>
    <row r="51" spans="1:17" s="272" customFormat="1" ht="33">
      <c r="A51" s="263">
        <v>32</v>
      </c>
      <c r="B51" s="264" t="s">
        <v>153</v>
      </c>
      <c r="C51" s="265" t="s">
        <v>155</v>
      </c>
      <c r="D51" s="266">
        <v>22500</v>
      </c>
      <c r="E51" s="267">
        <v>3780</v>
      </c>
      <c r="F51" s="268">
        <f t="shared" si="4"/>
        <v>85050000</v>
      </c>
      <c r="G51" s="267">
        <f>'03-GTHT DOT...'!E46</f>
        <v>0</v>
      </c>
      <c r="H51" s="267">
        <f>'03-GTHT DOT...'!F46</f>
        <v>980</v>
      </c>
      <c r="I51" s="267">
        <f>'03-GTHT DOT...'!G46</f>
        <v>980</v>
      </c>
      <c r="J51" s="391">
        <f>'03-GTHT DOT...'!H46</f>
        <v>0</v>
      </c>
      <c r="K51" s="391">
        <f>'03-GTHT DOT...'!I46</f>
        <v>22050000</v>
      </c>
      <c r="L51" s="391">
        <f>'03-GTHT DOT...'!J46</f>
        <v>22050000</v>
      </c>
      <c r="M51" s="269">
        <f t="shared" si="1"/>
        <v>2800</v>
      </c>
      <c r="N51" s="270">
        <f t="shared" si="2"/>
        <v>63000000</v>
      </c>
      <c r="O51" s="271"/>
      <c r="P51" s="271"/>
      <c r="Q51" s="271"/>
    </row>
    <row r="52" spans="1:17" s="272" customFormat="1" ht="16.5">
      <c r="A52" s="263">
        <v>33</v>
      </c>
      <c r="B52" s="264" t="s">
        <v>154</v>
      </c>
      <c r="C52" s="265" t="s">
        <v>107</v>
      </c>
      <c r="D52" s="266">
        <v>6030</v>
      </c>
      <c r="E52" s="267">
        <v>6237.7205000000004</v>
      </c>
      <c r="F52" s="268">
        <f t="shared" si="4"/>
        <v>37613454.615000002</v>
      </c>
      <c r="G52" s="267">
        <f>'03-GTHT DOT...'!E47</f>
        <v>2184.1713000000009</v>
      </c>
      <c r="H52" s="267">
        <f>'03-GTHT DOT...'!F47</f>
        <v>267.77625</v>
      </c>
      <c r="I52" s="267">
        <f>'03-GTHT DOT...'!G47</f>
        <v>2451.9475500000008</v>
      </c>
      <c r="J52" s="391">
        <f>'03-GTHT DOT...'!H47</f>
        <v>13170553</v>
      </c>
      <c r="K52" s="391">
        <f>'03-GTHT DOT...'!I47</f>
        <v>1614691</v>
      </c>
      <c r="L52" s="391">
        <f>'03-GTHT DOT...'!J47</f>
        <v>14785244</v>
      </c>
      <c r="M52" s="269">
        <f t="shared" si="1"/>
        <v>3785.7729499999996</v>
      </c>
      <c r="N52" s="270">
        <f t="shared" si="2"/>
        <v>22828210.615000002</v>
      </c>
      <c r="O52" s="271"/>
      <c r="P52" s="271"/>
      <c r="Q52" s="271"/>
    </row>
    <row r="53" spans="1:17" s="61" customFormat="1" ht="33">
      <c r="A53" s="232" t="s">
        <v>159</v>
      </c>
      <c r="B53" s="233" t="s">
        <v>160</v>
      </c>
      <c r="C53" s="234"/>
      <c r="D53" s="235"/>
      <c r="E53" s="236"/>
      <c r="F53" s="237"/>
      <c r="G53" s="267">
        <f>'03-GTHT DOT...'!E48</f>
        <v>0</v>
      </c>
      <c r="H53" s="267">
        <f>'03-GTHT DOT...'!F48</f>
        <v>0</v>
      </c>
      <c r="I53" s="267">
        <f>'03-GTHT DOT...'!G48</f>
        <v>0</v>
      </c>
      <c r="J53" s="391">
        <f>'03-GTHT DOT...'!H48</f>
        <v>0</v>
      </c>
      <c r="K53" s="391">
        <f>'03-GTHT DOT...'!I48</f>
        <v>0</v>
      </c>
      <c r="L53" s="391">
        <f>'03-GTHT DOT...'!J48</f>
        <v>0</v>
      </c>
      <c r="M53" s="269">
        <f t="shared" si="1"/>
        <v>0</v>
      </c>
      <c r="N53" s="270">
        <f t="shared" si="2"/>
        <v>0</v>
      </c>
      <c r="O53" s="257"/>
      <c r="P53" s="257"/>
      <c r="Q53" s="257"/>
    </row>
    <row r="54" spans="1:17" s="61" customFormat="1" ht="16.5">
      <c r="A54" s="232" t="s">
        <v>38</v>
      </c>
      <c r="B54" s="233" t="s">
        <v>161</v>
      </c>
      <c r="C54" s="234"/>
      <c r="D54" s="238"/>
      <c r="E54" s="236"/>
      <c r="F54" s="239"/>
      <c r="G54" s="267">
        <f>'03-GTHT DOT...'!E49</f>
        <v>0</v>
      </c>
      <c r="H54" s="267">
        <f>'03-GTHT DOT...'!F49</f>
        <v>0</v>
      </c>
      <c r="I54" s="267">
        <f>'03-GTHT DOT...'!G49</f>
        <v>0</v>
      </c>
      <c r="J54" s="391">
        <f>'03-GTHT DOT...'!H49</f>
        <v>0</v>
      </c>
      <c r="K54" s="391">
        <f>'03-GTHT DOT...'!I49</f>
        <v>0</v>
      </c>
      <c r="L54" s="391">
        <f>'03-GTHT DOT...'!J49</f>
        <v>0</v>
      </c>
      <c r="M54" s="269">
        <f t="shared" si="1"/>
        <v>0</v>
      </c>
      <c r="N54" s="270">
        <f t="shared" si="2"/>
        <v>0</v>
      </c>
      <c r="O54" s="257"/>
      <c r="P54" s="257"/>
      <c r="Q54" s="257"/>
    </row>
    <row r="55" spans="1:17" s="61" customFormat="1" ht="16.5">
      <c r="A55" s="232" t="s">
        <v>102</v>
      </c>
      <c r="B55" s="233" t="s">
        <v>162</v>
      </c>
      <c r="C55" s="234"/>
      <c r="D55" s="238"/>
      <c r="E55" s="240"/>
      <c r="F55" s="261"/>
      <c r="G55" s="267">
        <f>'03-GTHT DOT...'!E50</f>
        <v>0</v>
      </c>
      <c r="H55" s="267">
        <f>'03-GTHT DOT...'!F50</f>
        <v>0</v>
      </c>
      <c r="I55" s="267">
        <f>'03-GTHT DOT...'!G50</f>
        <v>0</v>
      </c>
      <c r="J55" s="391">
        <f>'03-GTHT DOT...'!H50</f>
        <v>0</v>
      </c>
      <c r="K55" s="391">
        <f>'03-GTHT DOT...'!I50</f>
        <v>0</v>
      </c>
      <c r="L55" s="391">
        <f>'03-GTHT DOT...'!J50</f>
        <v>0</v>
      </c>
      <c r="M55" s="269">
        <f t="shared" si="1"/>
        <v>0</v>
      </c>
      <c r="N55" s="270">
        <f t="shared" si="2"/>
        <v>0</v>
      </c>
      <c r="O55" s="257"/>
      <c r="P55" s="257"/>
      <c r="Q55" s="257"/>
    </row>
    <row r="56" spans="1:17" s="272" customFormat="1" ht="16.5">
      <c r="A56" s="263">
        <v>1</v>
      </c>
      <c r="B56" s="264" t="s">
        <v>163</v>
      </c>
      <c r="C56" s="265" t="s">
        <v>116</v>
      </c>
      <c r="D56" s="273">
        <v>420000</v>
      </c>
      <c r="E56" s="274">
        <v>945.34649999999999</v>
      </c>
      <c r="F56" s="275">
        <f>+E56*D56</f>
        <v>397045530</v>
      </c>
      <c r="G56" s="267">
        <f>'03-GTHT DOT...'!E51</f>
        <v>0</v>
      </c>
      <c r="H56" s="267">
        <f>'03-GTHT DOT...'!F51</f>
        <v>0</v>
      </c>
      <c r="I56" s="267">
        <f>'03-GTHT DOT...'!G51</f>
        <v>0</v>
      </c>
      <c r="J56" s="391">
        <f>'03-GTHT DOT...'!H51</f>
        <v>0</v>
      </c>
      <c r="K56" s="391">
        <f>'03-GTHT DOT...'!I51</f>
        <v>0</v>
      </c>
      <c r="L56" s="391">
        <f>'03-GTHT DOT...'!J51</f>
        <v>0</v>
      </c>
      <c r="M56" s="269">
        <f t="shared" si="1"/>
        <v>945.34649999999999</v>
      </c>
      <c r="N56" s="270">
        <f t="shared" si="2"/>
        <v>397045530</v>
      </c>
      <c r="O56" s="271"/>
      <c r="P56" s="271"/>
      <c r="Q56" s="271"/>
    </row>
    <row r="57" spans="1:17" s="272" customFormat="1" ht="16.5">
      <c r="A57" s="263">
        <v>2</v>
      </c>
      <c r="B57" s="264" t="s">
        <v>164</v>
      </c>
      <c r="C57" s="265" t="s">
        <v>116</v>
      </c>
      <c r="D57" s="273">
        <v>82715</v>
      </c>
      <c r="E57" s="274">
        <v>662.98</v>
      </c>
      <c r="F57" s="275">
        <f>+E57*D57</f>
        <v>54838390.700000003</v>
      </c>
      <c r="G57" s="267">
        <f>'03-GTHT DOT...'!E52</f>
        <v>0</v>
      </c>
      <c r="H57" s="267">
        <f>'03-GTHT DOT...'!F52</f>
        <v>0</v>
      </c>
      <c r="I57" s="267">
        <f>'03-GTHT DOT...'!G52</f>
        <v>0</v>
      </c>
      <c r="J57" s="391">
        <f>'03-GTHT DOT...'!H52</f>
        <v>0</v>
      </c>
      <c r="K57" s="391">
        <f>'03-GTHT DOT...'!I52</f>
        <v>0</v>
      </c>
      <c r="L57" s="391">
        <f>'03-GTHT DOT...'!J52</f>
        <v>0</v>
      </c>
      <c r="M57" s="269">
        <f t="shared" si="1"/>
        <v>662.98</v>
      </c>
      <c r="N57" s="270">
        <f t="shared" si="2"/>
        <v>54838390.700000003</v>
      </c>
      <c r="O57" s="271"/>
      <c r="P57" s="271"/>
      <c r="Q57" s="271"/>
    </row>
    <row r="58" spans="1:17" s="272" customFormat="1" ht="16.5">
      <c r="A58" s="263">
        <v>3</v>
      </c>
      <c r="B58" s="264" t="s">
        <v>165</v>
      </c>
      <c r="C58" s="265" t="s">
        <v>116</v>
      </c>
      <c r="D58" s="273">
        <v>104715</v>
      </c>
      <c r="E58" s="274">
        <v>282.36649999999997</v>
      </c>
      <c r="F58" s="275">
        <f>+E58*D58</f>
        <v>29568008.047499996</v>
      </c>
      <c r="G58" s="267">
        <f>'03-GTHT DOT...'!E53</f>
        <v>0</v>
      </c>
      <c r="H58" s="267">
        <f>'03-GTHT DOT...'!F53</f>
        <v>0</v>
      </c>
      <c r="I58" s="267">
        <f>'03-GTHT DOT...'!G53</f>
        <v>0</v>
      </c>
      <c r="J58" s="391">
        <f>'03-GTHT DOT...'!H53</f>
        <v>0</v>
      </c>
      <c r="K58" s="391">
        <f>'03-GTHT DOT...'!I53</f>
        <v>0</v>
      </c>
      <c r="L58" s="391">
        <f>'03-GTHT DOT...'!J53</f>
        <v>0</v>
      </c>
      <c r="M58" s="269">
        <f t="shared" si="1"/>
        <v>282.36649999999997</v>
      </c>
      <c r="N58" s="270">
        <f t="shared" si="2"/>
        <v>29568008.047499996</v>
      </c>
      <c r="O58" s="271"/>
      <c r="P58" s="271"/>
      <c r="Q58" s="271"/>
    </row>
    <row r="59" spans="1:17" s="272" customFormat="1" ht="33">
      <c r="A59" s="263"/>
      <c r="B59" s="264" t="s">
        <v>166</v>
      </c>
      <c r="C59" s="265" t="s">
        <v>116</v>
      </c>
      <c r="D59" s="273" t="s">
        <v>267</v>
      </c>
      <c r="E59" s="274">
        <v>884.54277887715773</v>
      </c>
      <c r="F59" s="275"/>
      <c r="G59" s="267">
        <f>'03-GTHT DOT...'!E54</f>
        <v>0</v>
      </c>
      <c r="H59" s="267">
        <f>'03-GTHT DOT...'!F54</f>
        <v>0</v>
      </c>
      <c r="I59" s="267">
        <f>'03-GTHT DOT...'!G54</f>
        <v>0</v>
      </c>
      <c r="J59" s="391">
        <f>'03-GTHT DOT...'!H54</f>
        <v>0</v>
      </c>
      <c r="K59" s="391">
        <f>'03-GTHT DOT...'!I54</f>
        <v>0</v>
      </c>
      <c r="L59" s="391">
        <f>'03-GTHT DOT...'!J54</f>
        <v>0</v>
      </c>
      <c r="M59" s="269">
        <f t="shared" si="1"/>
        <v>884.54277887715773</v>
      </c>
      <c r="N59" s="270">
        <f t="shared" si="2"/>
        <v>0</v>
      </c>
      <c r="O59" s="271"/>
      <c r="P59" s="271"/>
      <c r="Q59" s="271"/>
    </row>
    <row r="60" spans="1:17" s="272" customFormat="1" ht="33">
      <c r="A60" s="263"/>
      <c r="B60" s="264" t="s">
        <v>167</v>
      </c>
      <c r="C60" s="265" t="s">
        <v>116</v>
      </c>
      <c r="D60" s="273" t="s">
        <v>267</v>
      </c>
      <c r="E60" s="274">
        <v>72.867199999999997</v>
      </c>
      <c r="F60" s="275"/>
      <c r="G60" s="267">
        <f>'03-GTHT DOT...'!E55</f>
        <v>0</v>
      </c>
      <c r="H60" s="267">
        <f>'03-GTHT DOT...'!F55</f>
        <v>0</v>
      </c>
      <c r="I60" s="267">
        <f>'03-GTHT DOT...'!G55</f>
        <v>0</v>
      </c>
      <c r="J60" s="391">
        <f>'03-GTHT DOT...'!H55</f>
        <v>0</v>
      </c>
      <c r="K60" s="391">
        <f>'03-GTHT DOT...'!I55</f>
        <v>0</v>
      </c>
      <c r="L60" s="391">
        <f>'03-GTHT DOT...'!J55</f>
        <v>0</v>
      </c>
      <c r="M60" s="269">
        <f t="shared" si="1"/>
        <v>72.867199999999997</v>
      </c>
      <c r="N60" s="270">
        <f t="shared" si="2"/>
        <v>0</v>
      </c>
      <c r="O60" s="271"/>
      <c r="P60" s="271"/>
      <c r="Q60" s="271"/>
    </row>
    <row r="61" spans="1:17" s="272" customFormat="1" ht="16.5">
      <c r="A61" s="263">
        <v>4</v>
      </c>
      <c r="B61" s="264" t="s">
        <v>168</v>
      </c>
      <c r="C61" s="265" t="s">
        <v>116</v>
      </c>
      <c r="D61" s="273">
        <v>104715</v>
      </c>
      <c r="E61" s="274">
        <v>72.867199999999997</v>
      </c>
      <c r="F61" s="275">
        <f>+E61*D61</f>
        <v>7630288.8479999993</v>
      </c>
      <c r="G61" s="267">
        <f>'03-GTHT DOT...'!E56</f>
        <v>0</v>
      </c>
      <c r="H61" s="267">
        <f>'03-GTHT DOT...'!F56</f>
        <v>0</v>
      </c>
      <c r="I61" s="267">
        <f>'03-GTHT DOT...'!G56</f>
        <v>0</v>
      </c>
      <c r="J61" s="391">
        <f>'03-GTHT DOT...'!H56</f>
        <v>0</v>
      </c>
      <c r="K61" s="391">
        <f>'03-GTHT DOT...'!I56</f>
        <v>0</v>
      </c>
      <c r="L61" s="391">
        <f>'03-GTHT DOT...'!J56</f>
        <v>0</v>
      </c>
      <c r="M61" s="269">
        <f t="shared" si="1"/>
        <v>72.867199999999997</v>
      </c>
      <c r="N61" s="270">
        <f t="shared" si="2"/>
        <v>7630288.8479999993</v>
      </c>
      <c r="O61" s="271"/>
      <c r="P61" s="271"/>
      <c r="Q61" s="271"/>
    </row>
    <row r="62" spans="1:17" s="272" customFormat="1" ht="33">
      <c r="A62" s="263">
        <v>5</v>
      </c>
      <c r="B62" s="264" t="s">
        <v>169</v>
      </c>
      <c r="C62" s="265" t="s">
        <v>105</v>
      </c>
      <c r="D62" s="273"/>
      <c r="E62" s="274">
        <v>0</v>
      </c>
      <c r="F62" s="276" t="s">
        <v>269</v>
      </c>
      <c r="G62" s="267">
        <f>'03-GTHT DOT...'!E57</f>
        <v>0</v>
      </c>
      <c r="H62" s="267">
        <f>'03-GTHT DOT...'!F57</f>
        <v>0</v>
      </c>
      <c r="I62" s="267">
        <f>'03-GTHT DOT...'!G57</f>
        <v>0</v>
      </c>
      <c r="J62" s="391">
        <f>'03-GTHT DOT...'!H57</f>
        <v>0</v>
      </c>
      <c r="K62" s="391">
        <f>'03-GTHT DOT...'!I57</f>
        <v>0</v>
      </c>
      <c r="L62" s="391">
        <f>'03-GTHT DOT...'!J57</f>
        <v>0</v>
      </c>
      <c r="M62" s="269">
        <f t="shared" si="1"/>
        <v>0</v>
      </c>
      <c r="N62" s="270"/>
      <c r="O62" s="271"/>
      <c r="P62" s="271"/>
      <c r="Q62" s="271"/>
    </row>
    <row r="63" spans="1:17" s="272" customFormat="1" ht="16.5">
      <c r="A63" s="263"/>
      <c r="B63" s="264" t="s">
        <v>170</v>
      </c>
      <c r="C63" s="265" t="s">
        <v>262</v>
      </c>
      <c r="D63" s="273">
        <v>240597</v>
      </c>
      <c r="E63" s="274">
        <v>17</v>
      </c>
      <c r="F63" s="275"/>
      <c r="G63" s="267">
        <f>'03-GTHT DOT...'!E58</f>
        <v>0</v>
      </c>
      <c r="H63" s="267">
        <f>'03-GTHT DOT...'!F58</f>
        <v>0</v>
      </c>
      <c r="I63" s="267">
        <f>'03-GTHT DOT...'!G58</f>
        <v>0</v>
      </c>
      <c r="J63" s="391">
        <f>'03-GTHT DOT...'!H58</f>
        <v>0</v>
      </c>
      <c r="K63" s="391">
        <f>'03-GTHT DOT...'!I58</f>
        <v>0</v>
      </c>
      <c r="L63" s="391">
        <f>'03-GTHT DOT...'!J58</f>
        <v>0</v>
      </c>
      <c r="M63" s="269">
        <f t="shared" si="1"/>
        <v>17</v>
      </c>
      <c r="N63" s="270">
        <f t="shared" si="2"/>
        <v>0</v>
      </c>
      <c r="O63" s="271"/>
      <c r="P63" s="271"/>
      <c r="Q63" s="271"/>
    </row>
    <row r="64" spans="1:17" s="272" customFormat="1" ht="33">
      <c r="A64" s="263"/>
      <c r="B64" s="264" t="s">
        <v>171</v>
      </c>
      <c r="C64" s="265" t="s">
        <v>116</v>
      </c>
      <c r="D64" s="273" t="s">
        <v>267</v>
      </c>
      <c r="E64" s="274">
        <v>9.2073797491409675</v>
      </c>
      <c r="F64" s="275"/>
      <c r="G64" s="267">
        <f>'03-GTHT DOT...'!E59</f>
        <v>0</v>
      </c>
      <c r="H64" s="267">
        <f>'03-GTHT DOT...'!F59</f>
        <v>0</v>
      </c>
      <c r="I64" s="267">
        <f>'03-GTHT DOT...'!G59</f>
        <v>0</v>
      </c>
      <c r="J64" s="391">
        <f>'03-GTHT DOT...'!H59</f>
        <v>0</v>
      </c>
      <c r="K64" s="391">
        <f>'03-GTHT DOT...'!I59</f>
        <v>0</v>
      </c>
      <c r="L64" s="391">
        <f>'03-GTHT DOT...'!J59</f>
        <v>0</v>
      </c>
      <c r="M64" s="269">
        <f t="shared" si="1"/>
        <v>9.2073797491409675</v>
      </c>
      <c r="N64" s="270">
        <f t="shared" si="2"/>
        <v>0</v>
      </c>
      <c r="O64" s="271"/>
      <c r="P64" s="271"/>
      <c r="Q64" s="271"/>
    </row>
    <row r="65" spans="1:17" s="272" customFormat="1" ht="16.5">
      <c r="A65" s="263">
        <v>6</v>
      </c>
      <c r="B65" s="264" t="s">
        <v>168</v>
      </c>
      <c r="C65" s="265" t="s">
        <v>116</v>
      </c>
      <c r="D65" s="273">
        <v>104715</v>
      </c>
      <c r="E65" s="274">
        <v>9.2073797491409675</v>
      </c>
      <c r="F65" s="275">
        <f>+E65*D65</f>
        <v>964150.77043129643</v>
      </c>
      <c r="G65" s="267">
        <f>'03-GTHT DOT...'!E60</f>
        <v>0</v>
      </c>
      <c r="H65" s="267">
        <f>'03-GTHT DOT...'!F60</f>
        <v>0</v>
      </c>
      <c r="I65" s="267">
        <f>'03-GTHT DOT...'!G60</f>
        <v>0</v>
      </c>
      <c r="J65" s="391">
        <f>'03-GTHT DOT...'!H60</f>
        <v>0</v>
      </c>
      <c r="K65" s="391">
        <f>'03-GTHT DOT...'!I60</f>
        <v>0</v>
      </c>
      <c r="L65" s="391">
        <f>'03-GTHT DOT...'!J60</f>
        <v>0</v>
      </c>
      <c r="M65" s="269">
        <f t="shared" si="1"/>
        <v>9.2073797491409675</v>
      </c>
      <c r="N65" s="270">
        <f t="shared" si="2"/>
        <v>964150.77043129643</v>
      </c>
      <c r="O65" s="271"/>
      <c r="P65" s="271"/>
      <c r="Q65" s="271"/>
    </row>
    <row r="66" spans="1:17" s="272" customFormat="1" ht="33">
      <c r="A66" s="263"/>
      <c r="B66" s="264" t="s">
        <v>172</v>
      </c>
      <c r="C66" s="265" t="s">
        <v>263</v>
      </c>
      <c r="D66" s="273" t="s">
        <v>267</v>
      </c>
      <c r="E66" s="274">
        <v>1</v>
      </c>
      <c r="F66" s="275"/>
      <c r="G66" s="267">
        <f>'03-GTHT DOT...'!E61</f>
        <v>0</v>
      </c>
      <c r="H66" s="267">
        <f>'03-GTHT DOT...'!F61</f>
        <v>0</v>
      </c>
      <c r="I66" s="267">
        <f>'03-GTHT DOT...'!G61</f>
        <v>0</v>
      </c>
      <c r="J66" s="391">
        <f>'03-GTHT DOT...'!H61</f>
        <v>0</v>
      </c>
      <c r="K66" s="391">
        <f>'03-GTHT DOT...'!I61</f>
        <v>0</v>
      </c>
      <c r="L66" s="391">
        <f>'03-GTHT DOT...'!J61</f>
        <v>0</v>
      </c>
      <c r="M66" s="269">
        <f t="shared" si="1"/>
        <v>1</v>
      </c>
      <c r="N66" s="270">
        <f t="shared" si="2"/>
        <v>0</v>
      </c>
      <c r="O66" s="271"/>
      <c r="P66" s="271"/>
      <c r="Q66" s="271"/>
    </row>
    <row r="67" spans="1:17" s="61" customFormat="1" ht="16.5">
      <c r="A67" s="232" t="s">
        <v>98</v>
      </c>
      <c r="B67" s="233" t="s">
        <v>173</v>
      </c>
      <c r="C67" s="234"/>
      <c r="D67" s="238"/>
      <c r="E67" s="240"/>
      <c r="F67" s="262"/>
      <c r="G67" s="267">
        <f>'03-GTHT DOT...'!E62</f>
        <v>0</v>
      </c>
      <c r="H67" s="267">
        <f>'03-GTHT DOT...'!F62</f>
        <v>0</v>
      </c>
      <c r="I67" s="267">
        <f>'03-GTHT DOT...'!G62</f>
        <v>0</v>
      </c>
      <c r="J67" s="391">
        <f>'03-GTHT DOT...'!H62</f>
        <v>0</v>
      </c>
      <c r="K67" s="391">
        <f>'03-GTHT DOT...'!I62</f>
        <v>0</v>
      </c>
      <c r="L67" s="391">
        <f>'03-GTHT DOT...'!J62</f>
        <v>0</v>
      </c>
      <c r="M67" s="269">
        <f t="shared" si="1"/>
        <v>0</v>
      </c>
      <c r="N67" s="270">
        <f t="shared" si="2"/>
        <v>0</v>
      </c>
      <c r="O67" s="257"/>
      <c r="P67" s="257"/>
      <c r="Q67" s="257"/>
    </row>
    <row r="68" spans="1:17" s="272" customFormat="1" ht="16.5">
      <c r="A68" s="263">
        <v>7</v>
      </c>
      <c r="B68" s="264" t="s">
        <v>174</v>
      </c>
      <c r="C68" s="265" t="s">
        <v>116</v>
      </c>
      <c r="D68" s="273">
        <v>420000</v>
      </c>
      <c r="E68" s="274">
        <v>324.2604</v>
      </c>
      <c r="F68" s="275">
        <f>+E68*D68</f>
        <v>136189368</v>
      </c>
      <c r="G68" s="267">
        <f>'03-GTHT DOT...'!E63</f>
        <v>0</v>
      </c>
      <c r="H68" s="267">
        <f>'03-GTHT DOT...'!F63</f>
        <v>0</v>
      </c>
      <c r="I68" s="267">
        <f>'03-GTHT DOT...'!G63</f>
        <v>0</v>
      </c>
      <c r="J68" s="391">
        <f>'03-GTHT DOT...'!H63</f>
        <v>0</v>
      </c>
      <c r="K68" s="391">
        <f>'03-GTHT DOT...'!I63</f>
        <v>0</v>
      </c>
      <c r="L68" s="391">
        <f>'03-GTHT DOT...'!J63</f>
        <v>0</v>
      </c>
      <c r="M68" s="269">
        <f t="shared" si="1"/>
        <v>324.2604</v>
      </c>
      <c r="N68" s="270">
        <f t="shared" si="2"/>
        <v>136189368</v>
      </c>
      <c r="O68" s="271"/>
      <c r="P68" s="271"/>
      <c r="Q68" s="271"/>
    </row>
    <row r="69" spans="1:17" s="272" customFormat="1" ht="16.5">
      <c r="A69" s="263">
        <v>8</v>
      </c>
      <c r="B69" s="264" t="s">
        <v>175</v>
      </c>
      <c r="C69" s="265" t="s">
        <v>116</v>
      </c>
      <c r="D69" s="273">
        <v>82715</v>
      </c>
      <c r="E69" s="274">
        <v>86.7</v>
      </c>
      <c r="F69" s="275">
        <f>+E69*D69</f>
        <v>7171390.5</v>
      </c>
      <c r="G69" s="267">
        <f>'03-GTHT DOT...'!E64</f>
        <v>0</v>
      </c>
      <c r="H69" s="267">
        <f>'03-GTHT DOT...'!F64</f>
        <v>0</v>
      </c>
      <c r="I69" s="267">
        <f>'03-GTHT DOT...'!G64</f>
        <v>0</v>
      </c>
      <c r="J69" s="391">
        <f>'03-GTHT DOT...'!H64</f>
        <v>0</v>
      </c>
      <c r="K69" s="391">
        <f>'03-GTHT DOT...'!I64</f>
        <v>0</v>
      </c>
      <c r="L69" s="391">
        <f>'03-GTHT DOT...'!J64</f>
        <v>0</v>
      </c>
      <c r="M69" s="269">
        <f t="shared" si="1"/>
        <v>86.7</v>
      </c>
      <c r="N69" s="270">
        <f t="shared" si="2"/>
        <v>7171390.5</v>
      </c>
      <c r="O69" s="271"/>
      <c r="P69" s="271"/>
      <c r="Q69" s="271"/>
    </row>
    <row r="70" spans="1:17" s="272" customFormat="1" ht="16.5">
      <c r="A70" s="263">
        <v>9</v>
      </c>
      <c r="B70" s="264" t="s">
        <v>176</v>
      </c>
      <c r="C70" s="265" t="s">
        <v>116</v>
      </c>
      <c r="D70" s="273">
        <v>104715</v>
      </c>
      <c r="E70" s="274">
        <v>237.56040000000002</v>
      </c>
      <c r="F70" s="275">
        <f>+E70*D70</f>
        <v>24876137.286000002</v>
      </c>
      <c r="G70" s="267">
        <f>'03-GTHT DOT...'!E65</f>
        <v>0</v>
      </c>
      <c r="H70" s="267">
        <f>'03-GTHT DOT...'!F65</f>
        <v>0</v>
      </c>
      <c r="I70" s="267">
        <f>'03-GTHT DOT...'!G65</f>
        <v>0</v>
      </c>
      <c r="J70" s="391">
        <f>'03-GTHT DOT...'!H65</f>
        <v>0</v>
      </c>
      <c r="K70" s="391">
        <f>'03-GTHT DOT...'!I65</f>
        <v>0</v>
      </c>
      <c r="L70" s="391">
        <f>'03-GTHT DOT...'!J65</f>
        <v>0</v>
      </c>
      <c r="M70" s="269">
        <f t="shared" si="1"/>
        <v>237.56040000000002</v>
      </c>
      <c r="N70" s="270">
        <f t="shared" si="2"/>
        <v>24876137.286000002</v>
      </c>
      <c r="O70" s="271"/>
      <c r="P70" s="271"/>
      <c r="Q70" s="271"/>
    </row>
    <row r="71" spans="1:17" s="272" customFormat="1" ht="33">
      <c r="A71" s="263"/>
      <c r="B71" s="264" t="s">
        <v>177</v>
      </c>
      <c r="C71" s="265" t="s">
        <v>116</v>
      </c>
      <c r="D71" s="273" t="s">
        <v>267</v>
      </c>
      <c r="E71" s="274">
        <v>322.39860000000004</v>
      </c>
      <c r="F71" s="275"/>
      <c r="G71" s="267">
        <f>'03-GTHT DOT...'!E66</f>
        <v>0</v>
      </c>
      <c r="H71" s="267">
        <f>'03-GTHT DOT...'!F66</f>
        <v>0</v>
      </c>
      <c r="I71" s="267">
        <f>'03-GTHT DOT...'!G66</f>
        <v>0</v>
      </c>
      <c r="J71" s="391">
        <f>'03-GTHT DOT...'!H66</f>
        <v>0</v>
      </c>
      <c r="K71" s="391">
        <f>'03-GTHT DOT...'!I66</f>
        <v>0</v>
      </c>
      <c r="L71" s="391">
        <f>'03-GTHT DOT...'!J66</f>
        <v>0</v>
      </c>
      <c r="M71" s="269">
        <f t="shared" si="1"/>
        <v>322.39860000000004</v>
      </c>
      <c r="N71" s="270">
        <f t="shared" si="2"/>
        <v>0</v>
      </c>
      <c r="O71" s="271"/>
      <c r="P71" s="271"/>
      <c r="Q71" s="271"/>
    </row>
    <row r="72" spans="1:17" s="272" customFormat="1" ht="33">
      <c r="A72" s="263"/>
      <c r="B72" s="264" t="s">
        <v>178</v>
      </c>
      <c r="C72" s="265" t="s">
        <v>105</v>
      </c>
      <c r="D72" s="273" t="s">
        <v>267</v>
      </c>
      <c r="E72" s="274">
        <v>1.0629</v>
      </c>
      <c r="F72" s="275"/>
      <c r="G72" s="267">
        <f>'03-GTHT DOT...'!E67</f>
        <v>0</v>
      </c>
      <c r="H72" s="267">
        <f>'03-GTHT DOT...'!F67</f>
        <v>0</v>
      </c>
      <c r="I72" s="267">
        <f>'03-GTHT DOT...'!G67</f>
        <v>0</v>
      </c>
      <c r="J72" s="391">
        <f>'03-GTHT DOT...'!H67</f>
        <v>0</v>
      </c>
      <c r="K72" s="391">
        <f>'03-GTHT DOT...'!I67</f>
        <v>0</v>
      </c>
      <c r="L72" s="391">
        <f>'03-GTHT DOT...'!J67</f>
        <v>0</v>
      </c>
      <c r="M72" s="269">
        <f t="shared" si="1"/>
        <v>1.0629</v>
      </c>
      <c r="N72" s="270">
        <f t="shared" si="2"/>
        <v>0</v>
      </c>
      <c r="O72" s="271"/>
      <c r="P72" s="271"/>
      <c r="Q72" s="271"/>
    </row>
    <row r="73" spans="1:17" s="272" customFormat="1" ht="33">
      <c r="A73" s="263"/>
      <c r="B73" s="264" t="s">
        <v>179</v>
      </c>
      <c r="C73" s="265" t="s">
        <v>264</v>
      </c>
      <c r="D73" s="273" t="s">
        <v>267</v>
      </c>
      <c r="E73" s="274">
        <v>80.37</v>
      </c>
      <c r="F73" s="275"/>
      <c r="G73" s="267">
        <f>'03-GTHT DOT...'!E68</f>
        <v>0</v>
      </c>
      <c r="H73" s="267">
        <f>'03-GTHT DOT...'!F68</f>
        <v>0</v>
      </c>
      <c r="I73" s="267">
        <f>'03-GTHT DOT...'!G68</f>
        <v>0</v>
      </c>
      <c r="J73" s="391">
        <f>'03-GTHT DOT...'!H68</f>
        <v>0</v>
      </c>
      <c r="K73" s="391">
        <f>'03-GTHT DOT...'!I68</f>
        <v>0</v>
      </c>
      <c r="L73" s="391">
        <f>'03-GTHT DOT...'!J68</f>
        <v>0</v>
      </c>
      <c r="M73" s="269">
        <f t="shared" si="1"/>
        <v>80.37</v>
      </c>
      <c r="N73" s="270">
        <f t="shared" si="2"/>
        <v>0</v>
      </c>
      <c r="O73" s="271"/>
      <c r="P73" s="271"/>
      <c r="Q73" s="271"/>
    </row>
    <row r="74" spans="1:17" s="272" customFormat="1" ht="33">
      <c r="A74" s="263"/>
      <c r="B74" s="264" t="s">
        <v>180</v>
      </c>
      <c r="C74" s="265" t="s">
        <v>264</v>
      </c>
      <c r="D74" s="273" t="s">
        <v>267</v>
      </c>
      <c r="E74" s="274">
        <v>160.74</v>
      </c>
      <c r="F74" s="275"/>
      <c r="G74" s="267">
        <f>'03-GTHT DOT...'!E69</f>
        <v>0</v>
      </c>
      <c r="H74" s="267">
        <f>'03-GTHT DOT...'!F69</f>
        <v>0</v>
      </c>
      <c r="I74" s="267">
        <f>'03-GTHT DOT...'!G69</f>
        <v>0</v>
      </c>
      <c r="J74" s="391">
        <f>'03-GTHT DOT...'!H69</f>
        <v>0</v>
      </c>
      <c r="K74" s="391">
        <f>'03-GTHT DOT...'!I69</f>
        <v>0</v>
      </c>
      <c r="L74" s="391">
        <f>'03-GTHT DOT...'!J69</f>
        <v>0</v>
      </c>
      <c r="M74" s="269">
        <f t="shared" si="1"/>
        <v>160.74</v>
      </c>
      <c r="N74" s="270">
        <f t="shared" si="2"/>
        <v>0</v>
      </c>
      <c r="O74" s="271"/>
      <c r="P74" s="271"/>
      <c r="Q74" s="271"/>
    </row>
    <row r="75" spans="1:17" s="272" customFormat="1" ht="16.5">
      <c r="A75" s="263">
        <v>10</v>
      </c>
      <c r="B75" s="264" t="s">
        <v>181</v>
      </c>
      <c r="C75" s="265" t="s">
        <v>264</v>
      </c>
      <c r="D75" s="273">
        <v>129525.00000000003</v>
      </c>
      <c r="E75" s="274">
        <v>80.37</v>
      </c>
      <c r="F75" s="275">
        <f>+E75*D75</f>
        <v>10409924.250000004</v>
      </c>
      <c r="G75" s="267">
        <f>'03-GTHT DOT...'!E70</f>
        <v>0</v>
      </c>
      <c r="H75" s="267">
        <f>'03-GTHT DOT...'!F70</f>
        <v>0</v>
      </c>
      <c r="I75" s="267">
        <f>'03-GTHT DOT...'!G70</f>
        <v>0</v>
      </c>
      <c r="J75" s="391">
        <f>'03-GTHT DOT...'!H70</f>
        <v>0</v>
      </c>
      <c r="K75" s="391">
        <f>'03-GTHT DOT...'!I70</f>
        <v>0</v>
      </c>
      <c r="L75" s="391">
        <f>'03-GTHT DOT...'!J70</f>
        <v>0</v>
      </c>
      <c r="M75" s="269">
        <f t="shared" si="1"/>
        <v>80.37</v>
      </c>
      <c r="N75" s="270">
        <f t="shared" si="2"/>
        <v>10409924.250000004</v>
      </c>
      <c r="O75" s="271"/>
      <c r="P75" s="271"/>
      <c r="Q75" s="271"/>
    </row>
    <row r="76" spans="1:17" s="61" customFormat="1" ht="16.5">
      <c r="A76" s="232" t="s">
        <v>100</v>
      </c>
      <c r="B76" s="233" t="s">
        <v>182</v>
      </c>
      <c r="C76" s="234"/>
      <c r="D76" s="238"/>
      <c r="E76" s="240"/>
      <c r="F76" s="262"/>
      <c r="G76" s="267">
        <f>'03-GTHT DOT...'!E71</f>
        <v>0</v>
      </c>
      <c r="H76" s="267">
        <f>'03-GTHT DOT...'!F71</f>
        <v>0</v>
      </c>
      <c r="I76" s="267">
        <f>'03-GTHT DOT...'!G71</f>
        <v>0</v>
      </c>
      <c r="J76" s="391">
        <f>'03-GTHT DOT...'!H71</f>
        <v>0</v>
      </c>
      <c r="K76" s="391">
        <f>'03-GTHT DOT...'!I71</f>
        <v>0</v>
      </c>
      <c r="L76" s="391">
        <f>'03-GTHT DOT...'!J71</f>
        <v>0</v>
      </c>
      <c r="M76" s="269">
        <f t="shared" si="1"/>
        <v>0</v>
      </c>
      <c r="N76" s="270">
        <f t="shared" si="2"/>
        <v>0</v>
      </c>
      <c r="O76" s="257"/>
      <c r="P76" s="257"/>
      <c r="Q76" s="257"/>
    </row>
    <row r="77" spans="1:17" s="272" customFormat="1" ht="33">
      <c r="A77" s="263">
        <v>11</v>
      </c>
      <c r="B77" s="264" t="s">
        <v>183</v>
      </c>
      <c r="C77" s="265" t="s">
        <v>105</v>
      </c>
      <c r="D77" s="273"/>
      <c r="E77" s="274">
        <v>0</v>
      </c>
      <c r="F77" s="276" t="s">
        <v>269</v>
      </c>
      <c r="G77" s="267">
        <f>'03-GTHT DOT...'!E72</f>
        <v>0</v>
      </c>
      <c r="H77" s="267">
        <f>'03-GTHT DOT...'!F72</f>
        <v>0</v>
      </c>
      <c r="I77" s="267">
        <f>'03-GTHT DOT...'!G72</f>
        <v>0</v>
      </c>
      <c r="J77" s="391">
        <f>'03-GTHT DOT...'!H72</f>
        <v>0</v>
      </c>
      <c r="K77" s="391">
        <f>'03-GTHT DOT...'!I72</f>
        <v>0</v>
      </c>
      <c r="L77" s="391">
        <f>'03-GTHT DOT...'!J72</f>
        <v>0</v>
      </c>
      <c r="M77" s="269">
        <f t="shared" si="1"/>
        <v>0</v>
      </c>
      <c r="N77" s="270"/>
      <c r="O77" s="271"/>
      <c r="P77" s="271"/>
      <c r="Q77" s="271"/>
    </row>
    <row r="78" spans="1:17" s="272" customFormat="1" ht="16.5">
      <c r="A78" s="263">
        <v>12</v>
      </c>
      <c r="B78" s="264" t="s">
        <v>174</v>
      </c>
      <c r="C78" s="265" t="s">
        <v>116</v>
      </c>
      <c r="D78" s="273">
        <v>250000</v>
      </c>
      <c r="E78" s="274">
        <v>65.854900000000001</v>
      </c>
      <c r="F78" s="275">
        <f>+E78*D78</f>
        <v>16463725</v>
      </c>
      <c r="G78" s="267">
        <f>'03-GTHT DOT...'!E73</f>
        <v>0</v>
      </c>
      <c r="H78" s="267">
        <f>'03-GTHT DOT...'!F73</f>
        <v>0</v>
      </c>
      <c r="I78" s="267">
        <f>'03-GTHT DOT...'!G73</f>
        <v>0</v>
      </c>
      <c r="J78" s="391">
        <f>'03-GTHT DOT...'!H73</f>
        <v>0</v>
      </c>
      <c r="K78" s="391">
        <f>'03-GTHT DOT...'!I73</f>
        <v>0</v>
      </c>
      <c r="L78" s="391">
        <f>'03-GTHT DOT...'!J73</f>
        <v>0</v>
      </c>
      <c r="M78" s="269">
        <f t="shared" si="1"/>
        <v>65.854900000000001</v>
      </c>
      <c r="N78" s="270">
        <f t="shared" si="2"/>
        <v>16463725</v>
      </c>
      <c r="O78" s="271"/>
      <c r="P78" s="271"/>
      <c r="Q78" s="271"/>
    </row>
    <row r="79" spans="1:17" s="272" customFormat="1" ht="16.5">
      <c r="A79" s="263">
        <v>13</v>
      </c>
      <c r="B79" s="264" t="s">
        <v>184</v>
      </c>
      <c r="C79" s="265" t="s">
        <v>116</v>
      </c>
      <c r="D79" s="273">
        <v>82715</v>
      </c>
      <c r="E79" s="274">
        <v>44.47</v>
      </c>
      <c r="F79" s="275">
        <f>+E79*D79</f>
        <v>3678336.05</v>
      </c>
      <c r="G79" s="267">
        <f>'03-GTHT DOT...'!E74</f>
        <v>0</v>
      </c>
      <c r="H79" s="267">
        <f>'03-GTHT DOT...'!F74</f>
        <v>0</v>
      </c>
      <c r="I79" s="267">
        <f>'03-GTHT DOT...'!G74</f>
        <v>0</v>
      </c>
      <c r="J79" s="391">
        <f>'03-GTHT DOT...'!H74</f>
        <v>0</v>
      </c>
      <c r="K79" s="391">
        <f>'03-GTHT DOT...'!I74</f>
        <v>0</v>
      </c>
      <c r="L79" s="391">
        <f>'03-GTHT DOT...'!J74</f>
        <v>0</v>
      </c>
      <c r="M79" s="269">
        <f t="shared" si="1"/>
        <v>44.47</v>
      </c>
      <c r="N79" s="270">
        <f t="shared" si="2"/>
        <v>3678336.05</v>
      </c>
      <c r="O79" s="271"/>
      <c r="P79" s="271"/>
      <c r="Q79" s="271"/>
    </row>
    <row r="80" spans="1:17" s="272" customFormat="1" ht="16.5">
      <c r="A80" s="263">
        <v>14</v>
      </c>
      <c r="B80" s="264" t="s">
        <v>185</v>
      </c>
      <c r="C80" s="265" t="s">
        <v>116</v>
      </c>
      <c r="D80" s="273">
        <v>104715</v>
      </c>
      <c r="E80" s="274">
        <v>21.384899999999995</v>
      </c>
      <c r="F80" s="275">
        <f>+E80*D80</f>
        <v>2239319.8034999995</v>
      </c>
      <c r="G80" s="267">
        <f>'03-GTHT DOT...'!E75</f>
        <v>0</v>
      </c>
      <c r="H80" s="267">
        <f>'03-GTHT DOT...'!F75</f>
        <v>0</v>
      </c>
      <c r="I80" s="267">
        <f>'03-GTHT DOT...'!G75</f>
        <v>0</v>
      </c>
      <c r="J80" s="391">
        <f>'03-GTHT DOT...'!H75</f>
        <v>0</v>
      </c>
      <c r="K80" s="391">
        <f>'03-GTHT DOT...'!I75</f>
        <v>0</v>
      </c>
      <c r="L80" s="391">
        <f>'03-GTHT DOT...'!J75</f>
        <v>0</v>
      </c>
      <c r="M80" s="269">
        <f t="shared" ref="M80:M143" si="5">E80-I80</f>
        <v>21.384899999999995</v>
      </c>
      <c r="N80" s="270">
        <f t="shared" ref="N80:N143" si="6">F80-L80</f>
        <v>2239319.8034999995</v>
      </c>
      <c r="O80" s="271"/>
      <c r="P80" s="271"/>
      <c r="Q80" s="271"/>
    </row>
    <row r="81" spans="1:17" s="272" customFormat="1" ht="33">
      <c r="A81" s="263"/>
      <c r="B81" s="264" t="s">
        <v>186</v>
      </c>
      <c r="C81" s="265" t="s">
        <v>116</v>
      </c>
      <c r="D81" s="273" t="s">
        <v>267</v>
      </c>
      <c r="E81" s="274">
        <v>60.817199999999993</v>
      </c>
      <c r="F81" s="275"/>
      <c r="G81" s="267">
        <f>'03-GTHT DOT...'!E76</f>
        <v>0</v>
      </c>
      <c r="H81" s="267">
        <f>'03-GTHT DOT...'!F76</f>
        <v>0</v>
      </c>
      <c r="I81" s="267">
        <f>'03-GTHT DOT...'!G76</f>
        <v>0</v>
      </c>
      <c r="J81" s="391">
        <f>'03-GTHT DOT...'!H76</f>
        <v>0</v>
      </c>
      <c r="K81" s="391">
        <f>'03-GTHT DOT...'!I76</f>
        <v>0</v>
      </c>
      <c r="L81" s="391">
        <f>'03-GTHT DOT...'!J76</f>
        <v>0</v>
      </c>
      <c r="M81" s="269">
        <f t="shared" si="5"/>
        <v>60.817199999999993</v>
      </c>
      <c r="N81" s="270">
        <f t="shared" si="6"/>
        <v>0</v>
      </c>
      <c r="O81" s="271"/>
      <c r="P81" s="271"/>
      <c r="Q81" s="271"/>
    </row>
    <row r="82" spans="1:17" s="272" customFormat="1" ht="33">
      <c r="A82" s="263"/>
      <c r="B82" s="264" t="s">
        <v>187</v>
      </c>
      <c r="C82" s="265" t="s">
        <v>116</v>
      </c>
      <c r="D82" s="273" t="s">
        <v>267</v>
      </c>
      <c r="E82" s="274">
        <v>5.3</v>
      </c>
      <c r="F82" s="275"/>
      <c r="G82" s="267">
        <f>'03-GTHT DOT...'!E77</f>
        <v>0</v>
      </c>
      <c r="H82" s="267">
        <f>'03-GTHT DOT...'!F77</f>
        <v>0</v>
      </c>
      <c r="I82" s="267">
        <f>'03-GTHT DOT...'!G77</f>
        <v>0</v>
      </c>
      <c r="J82" s="391">
        <f>'03-GTHT DOT...'!H77</f>
        <v>0</v>
      </c>
      <c r="K82" s="391">
        <f>'03-GTHT DOT...'!I77</f>
        <v>0</v>
      </c>
      <c r="L82" s="391">
        <f>'03-GTHT DOT...'!J77</f>
        <v>0</v>
      </c>
      <c r="M82" s="269">
        <f t="shared" si="5"/>
        <v>5.3</v>
      </c>
      <c r="N82" s="270">
        <f t="shared" si="6"/>
        <v>0</v>
      </c>
      <c r="O82" s="271"/>
      <c r="P82" s="271"/>
      <c r="Q82" s="271"/>
    </row>
    <row r="83" spans="1:17" s="272" customFormat="1" ht="33">
      <c r="A83" s="263"/>
      <c r="B83" s="264" t="s">
        <v>188</v>
      </c>
      <c r="C83" s="265" t="s">
        <v>116</v>
      </c>
      <c r="D83" s="273" t="s">
        <v>267</v>
      </c>
      <c r="E83" s="274">
        <v>5.65</v>
      </c>
      <c r="F83" s="275"/>
      <c r="G83" s="267">
        <f>'03-GTHT DOT...'!E78</f>
        <v>0</v>
      </c>
      <c r="H83" s="267">
        <f>'03-GTHT DOT...'!F78</f>
        <v>0</v>
      </c>
      <c r="I83" s="267">
        <f>'03-GTHT DOT...'!G78</f>
        <v>0</v>
      </c>
      <c r="J83" s="391">
        <f>'03-GTHT DOT...'!H78</f>
        <v>0</v>
      </c>
      <c r="K83" s="391">
        <f>'03-GTHT DOT...'!I78</f>
        <v>0</v>
      </c>
      <c r="L83" s="391">
        <f>'03-GTHT DOT...'!J78</f>
        <v>0</v>
      </c>
      <c r="M83" s="269">
        <f t="shared" si="5"/>
        <v>5.65</v>
      </c>
      <c r="N83" s="270">
        <f t="shared" si="6"/>
        <v>0</v>
      </c>
      <c r="O83" s="271"/>
      <c r="P83" s="271"/>
      <c r="Q83" s="271"/>
    </row>
    <row r="84" spans="1:17" s="272" customFormat="1" ht="16.5">
      <c r="A84" s="263">
        <v>15</v>
      </c>
      <c r="B84" s="264" t="s">
        <v>189</v>
      </c>
      <c r="C84" s="265" t="s">
        <v>116</v>
      </c>
      <c r="D84" s="273">
        <v>104715</v>
      </c>
      <c r="E84" s="274">
        <v>5.65</v>
      </c>
      <c r="F84" s="275">
        <f>+E84*D84</f>
        <v>591639.75</v>
      </c>
      <c r="G84" s="267">
        <f>'03-GTHT DOT...'!E79</f>
        <v>0</v>
      </c>
      <c r="H84" s="267">
        <f>'03-GTHT DOT...'!F79</f>
        <v>0</v>
      </c>
      <c r="I84" s="267">
        <f>'03-GTHT DOT...'!G79</f>
        <v>0</v>
      </c>
      <c r="J84" s="391">
        <f>'03-GTHT DOT...'!H79</f>
        <v>0</v>
      </c>
      <c r="K84" s="391">
        <f>'03-GTHT DOT...'!I79</f>
        <v>0</v>
      </c>
      <c r="L84" s="391">
        <f>'03-GTHT DOT...'!J79</f>
        <v>0</v>
      </c>
      <c r="M84" s="269">
        <f t="shared" si="5"/>
        <v>5.65</v>
      </c>
      <c r="N84" s="270">
        <f t="shared" si="6"/>
        <v>591639.75</v>
      </c>
      <c r="O84" s="271"/>
      <c r="P84" s="271"/>
      <c r="Q84" s="271"/>
    </row>
    <row r="85" spans="1:17" s="272" customFormat="1" ht="33">
      <c r="A85" s="263"/>
      <c r="B85" s="264" t="s">
        <v>190</v>
      </c>
      <c r="C85" s="265" t="s">
        <v>107</v>
      </c>
      <c r="D85" s="273" t="s">
        <v>267</v>
      </c>
      <c r="E85" s="274">
        <v>112.24118399999999</v>
      </c>
      <c r="F85" s="275"/>
      <c r="G85" s="267">
        <f>'03-GTHT DOT...'!E80</f>
        <v>0</v>
      </c>
      <c r="H85" s="267">
        <f>'03-GTHT DOT...'!F80</f>
        <v>0</v>
      </c>
      <c r="I85" s="267">
        <f>'03-GTHT DOT...'!G80</f>
        <v>0</v>
      </c>
      <c r="J85" s="391">
        <f>'03-GTHT DOT...'!H80</f>
        <v>0</v>
      </c>
      <c r="K85" s="391">
        <f>'03-GTHT DOT...'!I80</f>
        <v>0</v>
      </c>
      <c r="L85" s="391">
        <f>'03-GTHT DOT...'!J80</f>
        <v>0</v>
      </c>
      <c r="M85" s="269">
        <f t="shared" si="5"/>
        <v>112.24118399999999</v>
      </c>
      <c r="N85" s="270">
        <f t="shared" si="6"/>
        <v>0</v>
      </c>
      <c r="O85" s="271"/>
      <c r="P85" s="271"/>
      <c r="Q85" s="271"/>
    </row>
    <row r="86" spans="1:17" s="272" customFormat="1" ht="33">
      <c r="A86" s="263"/>
      <c r="B86" s="264" t="s">
        <v>191</v>
      </c>
      <c r="C86" s="265" t="s">
        <v>116</v>
      </c>
      <c r="D86" s="273" t="s">
        <v>267</v>
      </c>
      <c r="E86" s="274">
        <v>105.81700000000001</v>
      </c>
      <c r="F86" s="275"/>
      <c r="G86" s="267">
        <f>'03-GTHT DOT...'!E81</f>
        <v>0</v>
      </c>
      <c r="H86" s="267">
        <f>'03-GTHT DOT...'!F81</f>
        <v>0</v>
      </c>
      <c r="I86" s="267">
        <f>'03-GTHT DOT...'!G81</f>
        <v>0</v>
      </c>
      <c r="J86" s="391">
        <f>'03-GTHT DOT...'!H81</f>
        <v>0</v>
      </c>
      <c r="K86" s="391">
        <f>'03-GTHT DOT...'!I81</f>
        <v>0</v>
      </c>
      <c r="L86" s="391">
        <f>'03-GTHT DOT...'!J81</f>
        <v>0</v>
      </c>
      <c r="M86" s="269">
        <f t="shared" si="5"/>
        <v>105.81700000000001</v>
      </c>
      <c r="N86" s="270">
        <f t="shared" si="6"/>
        <v>0</v>
      </c>
      <c r="O86" s="271"/>
      <c r="P86" s="271"/>
      <c r="Q86" s="271"/>
    </row>
    <row r="87" spans="1:17" s="61" customFormat="1" ht="16.5">
      <c r="A87" s="232" t="s">
        <v>104</v>
      </c>
      <c r="B87" s="233" t="s">
        <v>192</v>
      </c>
      <c r="C87" s="234"/>
      <c r="D87" s="238"/>
      <c r="E87" s="240"/>
      <c r="F87" s="262">
        <f>+E87*D87</f>
        <v>0</v>
      </c>
      <c r="G87" s="267">
        <f>'03-GTHT DOT...'!E82</f>
        <v>0</v>
      </c>
      <c r="H87" s="267">
        <f>'03-GTHT DOT...'!F82</f>
        <v>0</v>
      </c>
      <c r="I87" s="267">
        <f>'03-GTHT DOT...'!G82</f>
        <v>0</v>
      </c>
      <c r="J87" s="391">
        <f>'03-GTHT DOT...'!H82</f>
        <v>0</v>
      </c>
      <c r="K87" s="391">
        <f>'03-GTHT DOT...'!I82</f>
        <v>0</v>
      </c>
      <c r="L87" s="391">
        <f>'03-GTHT DOT...'!J82</f>
        <v>0</v>
      </c>
      <c r="M87" s="269">
        <f t="shared" si="5"/>
        <v>0</v>
      </c>
      <c r="N87" s="270">
        <f t="shared" si="6"/>
        <v>0</v>
      </c>
      <c r="O87" s="257"/>
      <c r="P87" s="257"/>
      <c r="Q87" s="257"/>
    </row>
    <row r="88" spans="1:17" s="272" customFormat="1" ht="16.5">
      <c r="A88" s="263">
        <v>16</v>
      </c>
      <c r="B88" s="264" t="s">
        <v>193</v>
      </c>
      <c r="C88" s="265" t="s">
        <v>105</v>
      </c>
      <c r="D88" s="273">
        <v>900000</v>
      </c>
      <c r="E88" s="274">
        <v>122.29572999999999</v>
      </c>
      <c r="F88" s="275">
        <f>+E88*D88</f>
        <v>110066157</v>
      </c>
      <c r="G88" s="267">
        <f>'03-GTHT DOT...'!E83</f>
        <v>0</v>
      </c>
      <c r="H88" s="267">
        <f>'03-GTHT DOT...'!F83</f>
        <v>0</v>
      </c>
      <c r="I88" s="267">
        <f>'03-GTHT DOT...'!G83</f>
        <v>0</v>
      </c>
      <c r="J88" s="391">
        <f>'03-GTHT DOT...'!H83</f>
        <v>0</v>
      </c>
      <c r="K88" s="391">
        <f>'03-GTHT DOT...'!I83</f>
        <v>0</v>
      </c>
      <c r="L88" s="391">
        <f>'03-GTHT DOT...'!J83</f>
        <v>0</v>
      </c>
      <c r="M88" s="269">
        <f t="shared" si="5"/>
        <v>122.29572999999999</v>
      </c>
      <c r="N88" s="270">
        <f t="shared" si="6"/>
        <v>110066157</v>
      </c>
      <c r="O88" s="271"/>
      <c r="P88" s="271"/>
      <c r="Q88" s="271"/>
    </row>
    <row r="89" spans="1:17" s="272" customFormat="1" ht="33">
      <c r="A89" s="263"/>
      <c r="B89" s="264" t="s">
        <v>194</v>
      </c>
      <c r="C89" s="265" t="s">
        <v>116</v>
      </c>
      <c r="D89" s="273" t="s">
        <v>267</v>
      </c>
      <c r="E89" s="274">
        <v>3154.1460999999999</v>
      </c>
      <c r="F89" s="275"/>
      <c r="G89" s="267">
        <f>'03-GTHT DOT...'!E84</f>
        <v>0</v>
      </c>
      <c r="H89" s="267">
        <f>'03-GTHT DOT...'!F84</f>
        <v>0</v>
      </c>
      <c r="I89" s="267">
        <f>'03-GTHT DOT...'!G84</f>
        <v>0</v>
      </c>
      <c r="J89" s="391">
        <f>'03-GTHT DOT...'!H84</f>
        <v>0</v>
      </c>
      <c r="K89" s="391">
        <f>'03-GTHT DOT...'!I84</f>
        <v>0</v>
      </c>
      <c r="L89" s="391">
        <f>'03-GTHT DOT...'!J84</f>
        <v>0</v>
      </c>
      <c r="M89" s="269">
        <f t="shared" si="5"/>
        <v>3154.1460999999999</v>
      </c>
      <c r="N89" s="270">
        <f t="shared" si="6"/>
        <v>0</v>
      </c>
      <c r="O89" s="271"/>
      <c r="P89" s="271"/>
      <c r="Q89" s="271"/>
    </row>
    <row r="90" spans="1:17" s="272" customFormat="1" ht="16.5">
      <c r="A90" s="263">
        <v>17</v>
      </c>
      <c r="B90" s="264" t="s">
        <v>174</v>
      </c>
      <c r="C90" s="265" t="s">
        <v>116</v>
      </c>
      <c r="D90" s="273">
        <v>420000</v>
      </c>
      <c r="E90" s="274">
        <v>3144.8370999999997</v>
      </c>
      <c r="F90" s="275">
        <f>+E90*D90</f>
        <v>1320831582</v>
      </c>
      <c r="G90" s="267">
        <f>'03-GTHT DOT...'!E85</f>
        <v>0</v>
      </c>
      <c r="H90" s="267">
        <f>'03-GTHT DOT...'!F85</f>
        <v>0</v>
      </c>
      <c r="I90" s="267">
        <f>'03-GTHT DOT...'!G85</f>
        <v>0</v>
      </c>
      <c r="J90" s="391">
        <f>'03-GTHT DOT...'!H85</f>
        <v>0</v>
      </c>
      <c r="K90" s="391">
        <f>'03-GTHT DOT...'!I85</f>
        <v>0</v>
      </c>
      <c r="L90" s="391">
        <f>'03-GTHT DOT...'!J85</f>
        <v>0</v>
      </c>
      <c r="M90" s="269">
        <f t="shared" si="5"/>
        <v>3144.8370999999997</v>
      </c>
      <c r="N90" s="270">
        <f t="shared" si="6"/>
        <v>1320831582</v>
      </c>
      <c r="O90" s="271"/>
      <c r="P90" s="271"/>
      <c r="Q90" s="271"/>
    </row>
    <row r="91" spans="1:17" s="272" customFormat="1" ht="33">
      <c r="A91" s="263"/>
      <c r="B91" s="264" t="s">
        <v>195</v>
      </c>
      <c r="C91" s="265" t="s">
        <v>116</v>
      </c>
      <c r="D91" s="273" t="s">
        <v>267</v>
      </c>
      <c r="E91" s="274">
        <v>3154.1460999999999</v>
      </c>
      <c r="F91" s="275"/>
      <c r="G91" s="267">
        <f>'03-GTHT DOT...'!E86</f>
        <v>0</v>
      </c>
      <c r="H91" s="267">
        <f>'03-GTHT DOT...'!F86</f>
        <v>0</v>
      </c>
      <c r="I91" s="267">
        <f>'03-GTHT DOT...'!G86</f>
        <v>0</v>
      </c>
      <c r="J91" s="391">
        <f>'03-GTHT DOT...'!H86</f>
        <v>0</v>
      </c>
      <c r="K91" s="391">
        <f>'03-GTHT DOT...'!I86</f>
        <v>0</v>
      </c>
      <c r="L91" s="391">
        <f>'03-GTHT DOT...'!J86</f>
        <v>0</v>
      </c>
      <c r="M91" s="269">
        <f t="shared" si="5"/>
        <v>3154.1460999999999</v>
      </c>
      <c r="N91" s="270">
        <f t="shared" si="6"/>
        <v>0</v>
      </c>
      <c r="O91" s="271"/>
      <c r="P91" s="271"/>
      <c r="Q91" s="271"/>
    </row>
    <row r="92" spans="1:17" s="61" customFormat="1" ht="16.5">
      <c r="A92" s="232" t="s">
        <v>108</v>
      </c>
      <c r="B92" s="233" t="s">
        <v>196</v>
      </c>
      <c r="C92" s="234"/>
      <c r="D92" s="238"/>
      <c r="E92" s="240"/>
      <c r="F92" s="262">
        <f>+E92*D92</f>
        <v>0</v>
      </c>
      <c r="G92" s="267">
        <f>'03-GTHT DOT...'!E87</f>
        <v>0</v>
      </c>
      <c r="H92" s="267">
        <f>'03-GTHT DOT...'!F87</f>
        <v>0</v>
      </c>
      <c r="I92" s="267">
        <f>'03-GTHT DOT...'!G87</f>
        <v>0</v>
      </c>
      <c r="J92" s="391">
        <f>'03-GTHT DOT...'!H87</f>
        <v>0</v>
      </c>
      <c r="K92" s="391">
        <f>'03-GTHT DOT...'!I87</f>
        <v>0</v>
      </c>
      <c r="L92" s="391">
        <f>'03-GTHT DOT...'!J87</f>
        <v>0</v>
      </c>
      <c r="M92" s="269">
        <f t="shared" si="5"/>
        <v>0</v>
      </c>
      <c r="N92" s="270">
        <f t="shared" si="6"/>
        <v>0</v>
      </c>
      <c r="O92" s="257"/>
      <c r="P92" s="257"/>
      <c r="Q92" s="257"/>
    </row>
    <row r="93" spans="1:17" s="272" customFormat="1" ht="16.5">
      <c r="A93" s="263">
        <v>18</v>
      </c>
      <c r="B93" s="264" t="s">
        <v>197</v>
      </c>
      <c r="C93" s="265" t="s">
        <v>116</v>
      </c>
      <c r="D93" s="273">
        <v>250000</v>
      </c>
      <c r="E93" s="274">
        <v>219.13</v>
      </c>
      <c r="F93" s="275">
        <f>+E93*D93</f>
        <v>54782500</v>
      </c>
      <c r="G93" s="267">
        <f>'03-GTHT DOT...'!E88</f>
        <v>0</v>
      </c>
      <c r="H93" s="267">
        <f>'03-GTHT DOT...'!F88</f>
        <v>0</v>
      </c>
      <c r="I93" s="267">
        <f>'03-GTHT DOT...'!G88</f>
        <v>0</v>
      </c>
      <c r="J93" s="391">
        <f>'03-GTHT DOT...'!H88</f>
        <v>0</v>
      </c>
      <c r="K93" s="391">
        <f>'03-GTHT DOT...'!I88</f>
        <v>0</v>
      </c>
      <c r="L93" s="391">
        <f>'03-GTHT DOT...'!J88</f>
        <v>0</v>
      </c>
      <c r="M93" s="269">
        <f t="shared" si="5"/>
        <v>219.13</v>
      </c>
      <c r="N93" s="270">
        <f t="shared" si="6"/>
        <v>54782500</v>
      </c>
      <c r="O93" s="271"/>
      <c r="P93" s="271"/>
      <c r="Q93" s="271"/>
    </row>
    <row r="94" spans="1:17" s="272" customFormat="1" ht="33">
      <c r="A94" s="263">
        <v>19</v>
      </c>
      <c r="B94" s="264" t="s">
        <v>198</v>
      </c>
      <c r="C94" s="265" t="s">
        <v>116</v>
      </c>
      <c r="D94" s="273">
        <v>82715</v>
      </c>
      <c r="E94" s="274">
        <v>19.05</v>
      </c>
      <c r="F94" s="275">
        <f>+E94*D94</f>
        <v>1575720.75</v>
      </c>
      <c r="G94" s="267">
        <f>'03-GTHT DOT...'!E89</f>
        <v>0</v>
      </c>
      <c r="H94" s="267">
        <f>'03-GTHT DOT...'!F89</f>
        <v>0</v>
      </c>
      <c r="I94" s="267">
        <f>'03-GTHT DOT...'!G89</f>
        <v>0</v>
      </c>
      <c r="J94" s="391">
        <f>'03-GTHT DOT...'!H89</f>
        <v>0</v>
      </c>
      <c r="K94" s="391">
        <f>'03-GTHT DOT...'!I89</f>
        <v>0</v>
      </c>
      <c r="L94" s="391">
        <f>'03-GTHT DOT...'!J89</f>
        <v>0</v>
      </c>
      <c r="M94" s="269">
        <f t="shared" si="5"/>
        <v>19.05</v>
      </c>
      <c r="N94" s="270">
        <f t="shared" si="6"/>
        <v>1575720.75</v>
      </c>
      <c r="O94" s="271"/>
      <c r="P94" s="271"/>
      <c r="Q94" s="271"/>
    </row>
    <row r="95" spans="1:17" s="272" customFormat="1" ht="16.5">
      <c r="A95" s="263">
        <v>20</v>
      </c>
      <c r="B95" s="264" t="s">
        <v>199</v>
      </c>
      <c r="C95" s="265" t="s">
        <v>116</v>
      </c>
      <c r="D95" s="273">
        <v>104715</v>
      </c>
      <c r="E95" s="274">
        <v>219.13076365321649</v>
      </c>
      <c r="F95" s="275">
        <f>+E95*D95</f>
        <v>22946277.915946566</v>
      </c>
      <c r="G95" s="267">
        <f>'03-GTHT DOT...'!E90</f>
        <v>0</v>
      </c>
      <c r="H95" s="267">
        <f>'03-GTHT DOT...'!F90</f>
        <v>0</v>
      </c>
      <c r="I95" s="267">
        <f>'03-GTHT DOT...'!G90</f>
        <v>0</v>
      </c>
      <c r="J95" s="391">
        <f>'03-GTHT DOT...'!H90</f>
        <v>0</v>
      </c>
      <c r="K95" s="391">
        <f>'03-GTHT DOT...'!I90</f>
        <v>0</v>
      </c>
      <c r="L95" s="391">
        <f>'03-GTHT DOT...'!J90</f>
        <v>0</v>
      </c>
      <c r="M95" s="269">
        <f t="shared" si="5"/>
        <v>219.13076365321649</v>
      </c>
      <c r="N95" s="270">
        <f t="shared" si="6"/>
        <v>22946277.915946566</v>
      </c>
      <c r="O95" s="271"/>
      <c r="P95" s="271"/>
      <c r="Q95" s="271"/>
    </row>
    <row r="96" spans="1:17" s="272" customFormat="1" ht="33">
      <c r="A96" s="263"/>
      <c r="B96" s="264" t="s">
        <v>200</v>
      </c>
      <c r="C96" s="265" t="s">
        <v>116</v>
      </c>
      <c r="D96" s="273" t="s">
        <v>267</v>
      </c>
      <c r="E96" s="274">
        <v>297.76503717320134</v>
      </c>
      <c r="F96" s="275"/>
      <c r="G96" s="267">
        <f>'03-GTHT DOT...'!E91</f>
        <v>0</v>
      </c>
      <c r="H96" s="267">
        <f>'03-GTHT DOT...'!F91</f>
        <v>0</v>
      </c>
      <c r="I96" s="267">
        <f>'03-GTHT DOT...'!G91</f>
        <v>0</v>
      </c>
      <c r="J96" s="391">
        <f>'03-GTHT DOT...'!H91</f>
        <v>0</v>
      </c>
      <c r="K96" s="391">
        <f>'03-GTHT DOT...'!I91</f>
        <v>0</v>
      </c>
      <c r="L96" s="391">
        <f>'03-GTHT DOT...'!J91</f>
        <v>0</v>
      </c>
      <c r="M96" s="269">
        <f t="shared" si="5"/>
        <v>297.76503717320134</v>
      </c>
      <c r="N96" s="270">
        <f t="shared" si="6"/>
        <v>0</v>
      </c>
      <c r="O96" s="271"/>
      <c r="P96" s="271"/>
      <c r="Q96" s="271"/>
    </row>
    <row r="97" spans="1:17" s="272" customFormat="1" ht="33">
      <c r="A97" s="263"/>
      <c r="B97" s="264" t="s">
        <v>201</v>
      </c>
      <c r="C97" s="265" t="s">
        <v>116</v>
      </c>
      <c r="D97" s="273" t="s">
        <v>267</v>
      </c>
      <c r="E97" s="274">
        <v>326.34731069318599</v>
      </c>
      <c r="F97" s="275"/>
      <c r="G97" s="267">
        <f>'03-GTHT DOT...'!E92</f>
        <v>0</v>
      </c>
      <c r="H97" s="267">
        <f>'03-GTHT DOT...'!F92</f>
        <v>0</v>
      </c>
      <c r="I97" s="267">
        <f>'03-GTHT DOT...'!G92</f>
        <v>0</v>
      </c>
      <c r="J97" s="391">
        <f>'03-GTHT DOT...'!H92</f>
        <v>0</v>
      </c>
      <c r="K97" s="391">
        <f>'03-GTHT DOT...'!I92</f>
        <v>0</v>
      </c>
      <c r="L97" s="391">
        <f>'03-GTHT DOT...'!J92</f>
        <v>0</v>
      </c>
      <c r="M97" s="269">
        <f t="shared" si="5"/>
        <v>326.34731069318599</v>
      </c>
      <c r="N97" s="270">
        <f t="shared" si="6"/>
        <v>0</v>
      </c>
      <c r="O97" s="271"/>
      <c r="P97" s="271"/>
      <c r="Q97" s="271"/>
    </row>
    <row r="98" spans="1:17" s="272" customFormat="1" ht="33">
      <c r="A98" s="263"/>
      <c r="B98" s="264" t="s">
        <v>202</v>
      </c>
      <c r="C98" s="265" t="s">
        <v>105</v>
      </c>
      <c r="D98" s="273" t="s">
        <v>267</v>
      </c>
      <c r="E98" s="274">
        <v>5.3608273519984779</v>
      </c>
      <c r="F98" s="275"/>
      <c r="G98" s="267">
        <f>'03-GTHT DOT...'!E93</f>
        <v>0</v>
      </c>
      <c r="H98" s="267">
        <f>'03-GTHT DOT...'!F93</f>
        <v>0</v>
      </c>
      <c r="I98" s="267">
        <f>'03-GTHT DOT...'!G93</f>
        <v>0</v>
      </c>
      <c r="J98" s="391">
        <f>'03-GTHT DOT...'!H93</f>
        <v>0</v>
      </c>
      <c r="K98" s="391">
        <f>'03-GTHT DOT...'!I93</f>
        <v>0</v>
      </c>
      <c r="L98" s="391">
        <f>'03-GTHT DOT...'!J93</f>
        <v>0</v>
      </c>
      <c r="M98" s="269">
        <f t="shared" si="5"/>
        <v>5.3608273519984779</v>
      </c>
      <c r="N98" s="270">
        <f t="shared" si="6"/>
        <v>0</v>
      </c>
      <c r="O98" s="271"/>
      <c r="P98" s="271"/>
      <c r="Q98" s="271"/>
    </row>
    <row r="99" spans="1:17" s="272" customFormat="1" ht="33">
      <c r="A99" s="263"/>
      <c r="B99" s="264" t="s">
        <v>203</v>
      </c>
      <c r="C99" s="265" t="s">
        <v>105</v>
      </c>
      <c r="D99" s="273" t="s">
        <v>267</v>
      </c>
      <c r="E99" s="274">
        <v>107.21654703996953</v>
      </c>
      <c r="F99" s="275"/>
      <c r="G99" s="267">
        <f>'03-GTHT DOT...'!E94</f>
        <v>0</v>
      </c>
      <c r="H99" s="267">
        <f>'03-GTHT DOT...'!F94</f>
        <v>0</v>
      </c>
      <c r="I99" s="267">
        <f>'03-GTHT DOT...'!G94</f>
        <v>0</v>
      </c>
      <c r="J99" s="391">
        <f>'03-GTHT DOT...'!H94</f>
        <v>0</v>
      </c>
      <c r="K99" s="391">
        <f>'03-GTHT DOT...'!I94</f>
        <v>0</v>
      </c>
      <c r="L99" s="391">
        <f>'03-GTHT DOT...'!J94</f>
        <v>0</v>
      </c>
      <c r="M99" s="269">
        <f t="shared" si="5"/>
        <v>107.21654703996953</v>
      </c>
      <c r="N99" s="270">
        <f t="shared" si="6"/>
        <v>0</v>
      </c>
      <c r="O99" s="271"/>
      <c r="P99" s="271"/>
      <c r="Q99" s="271"/>
    </row>
    <row r="100" spans="1:17" s="272" customFormat="1" ht="33">
      <c r="A100" s="263"/>
      <c r="B100" s="264" t="s">
        <v>204</v>
      </c>
      <c r="C100" s="265" t="s">
        <v>265</v>
      </c>
      <c r="D100" s="273" t="s">
        <v>267</v>
      </c>
      <c r="E100" s="274">
        <v>12</v>
      </c>
      <c r="F100" s="275"/>
      <c r="G100" s="267">
        <f>'03-GTHT DOT...'!E95</f>
        <v>0</v>
      </c>
      <c r="H100" s="267">
        <f>'03-GTHT DOT...'!F95</f>
        <v>0</v>
      </c>
      <c r="I100" s="267">
        <f>'03-GTHT DOT...'!G95</f>
        <v>0</v>
      </c>
      <c r="J100" s="391">
        <f>'03-GTHT DOT...'!H95</f>
        <v>0</v>
      </c>
      <c r="K100" s="391">
        <f>'03-GTHT DOT...'!I95</f>
        <v>0</v>
      </c>
      <c r="L100" s="391">
        <f>'03-GTHT DOT...'!J95</f>
        <v>0</v>
      </c>
      <c r="M100" s="269">
        <f t="shared" si="5"/>
        <v>12</v>
      </c>
      <c r="N100" s="270">
        <f t="shared" si="6"/>
        <v>0</v>
      </c>
      <c r="O100" s="271"/>
      <c r="P100" s="271"/>
      <c r="Q100" s="271"/>
    </row>
    <row r="101" spans="1:17" s="272" customFormat="1" ht="33">
      <c r="A101" s="263"/>
      <c r="B101" s="264" t="s">
        <v>205</v>
      </c>
      <c r="C101" s="265" t="s">
        <v>265</v>
      </c>
      <c r="D101" s="273" t="s">
        <v>267</v>
      </c>
      <c r="E101" s="274">
        <v>11</v>
      </c>
      <c r="F101" s="275"/>
      <c r="G101" s="267">
        <f>'03-GTHT DOT...'!E96</f>
        <v>0</v>
      </c>
      <c r="H101" s="267">
        <f>'03-GTHT DOT...'!F96</f>
        <v>0</v>
      </c>
      <c r="I101" s="267">
        <f>'03-GTHT DOT...'!G96</f>
        <v>0</v>
      </c>
      <c r="J101" s="391">
        <f>'03-GTHT DOT...'!H96</f>
        <v>0</v>
      </c>
      <c r="K101" s="391">
        <f>'03-GTHT DOT...'!I96</f>
        <v>0</v>
      </c>
      <c r="L101" s="391">
        <f>'03-GTHT DOT...'!J96</f>
        <v>0</v>
      </c>
      <c r="M101" s="269">
        <f t="shared" si="5"/>
        <v>11</v>
      </c>
      <c r="N101" s="270">
        <f t="shared" si="6"/>
        <v>0</v>
      </c>
      <c r="O101" s="271"/>
      <c r="P101" s="271"/>
      <c r="Q101" s="271"/>
    </row>
    <row r="102" spans="1:17" s="272" customFormat="1" ht="33">
      <c r="A102" s="263"/>
      <c r="B102" s="264" t="s">
        <v>206</v>
      </c>
      <c r="C102" s="265" t="s">
        <v>265</v>
      </c>
      <c r="D102" s="273" t="s">
        <v>267</v>
      </c>
      <c r="E102" s="274">
        <v>15</v>
      </c>
      <c r="F102" s="275"/>
      <c r="G102" s="267">
        <f>'03-GTHT DOT...'!E97</f>
        <v>0</v>
      </c>
      <c r="H102" s="267">
        <f>'03-GTHT DOT...'!F97</f>
        <v>0</v>
      </c>
      <c r="I102" s="267">
        <f>'03-GTHT DOT...'!G97</f>
        <v>0</v>
      </c>
      <c r="J102" s="391">
        <f>'03-GTHT DOT...'!H97</f>
        <v>0</v>
      </c>
      <c r="K102" s="391">
        <f>'03-GTHT DOT...'!I97</f>
        <v>0</v>
      </c>
      <c r="L102" s="391">
        <f>'03-GTHT DOT...'!J97</f>
        <v>0</v>
      </c>
      <c r="M102" s="269">
        <f t="shared" si="5"/>
        <v>15</v>
      </c>
      <c r="N102" s="270">
        <f t="shared" si="6"/>
        <v>0</v>
      </c>
      <c r="O102" s="271"/>
      <c r="P102" s="271"/>
      <c r="Q102" s="271"/>
    </row>
    <row r="103" spans="1:17" s="61" customFormat="1" ht="33">
      <c r="A103" s="232" t="s">
        <v>157</v>
      </c>
      <c r="B103" s="233" t="s">
        <v>207</v>
      </c>
      <c r="C103" s="234"/>
      <c r="D103" s="238"/>
      <c r="E103" s="240"/>
      <c r="F103" s="262">
        <f>+E103*D103</f>
        <v>0</v>
      </c>
      <c r="G103" s="267">
        <f>'03-GTHT DOT...'!E98</f>
        <v>0</v>
      </c>
      <c r="H103" s="267">
        <f>'03-GTHT DOT...'!F98</f>
        <v>0</v>
      </c>
      <c r="I103" s="267">
        <f>'03-GTHT DOT...'!G98</f>
        <v>0</v>
      </c>
      <c r="J103" s="391">
        <f>'03-GTHT DOT...'!H98</f>
        <v>0</v>
      </c>
      <c r="K103" s="391">
        <f>'03-GTHT DOT...'!I98</f>
        <v>0</v>
      </c>
      <c r="L103" s="391">
        <f>'03-GTHT DOT...'!J98</f>
        <v>0</v>
      </c>
      <c r="M103" s="269">
        <f t="shared" si="5"/>
        <v>0</v>
      </c>
      <c r="N103" s="270">
        <f t="shared" si="6"/>
        <v>0</v>
      </c>
      <c r="O103" s="257"/>
      <c r="P103" s="257"/>
      <c r="Q103" s="257"/>
    </row>
    <row r="104" spans="1:17" s="61" customFormat="1" ht="16.5">
      <c r="A104" s="232" t="s">
        <v>102</v>
      </c>
      <c r="B104" s="233" t="s">
        <v>208</v>
      </c>
      <c r="C104" s="234"/>
      <c r="D104" s="238"/>
      <c r="E104" s="240"/>
      <c r="F104" s="262">
        <f>+E104*D104</f>
        <v>0</v>
      </c>
      <c r="G104" s="267">
        <f>'03-GTHT DOT...'!E99</f>
        <v>0</v>
      </c>
      <c r="H104" s="267">
        <f>'03-GTHT DOT...'!F99</f>
        <v>0</v>
      </c>
      <c r="I104" s="267">
        <f>'03-GTHT DOT...'!G99</f>
        <v>0</v>
      </c>
      <c r="J104" s="391">
        <f>'03-GTHT DOT...'!H99</f>
        <v>0</v>
      </c>
      <c r="K104" s="391">
        <f>'03-GTHT DOT...'!I99</f>
        <v>0</v>
      </c>
      <c r="L104" s="391">
        <f>'03-GTHT DOT...'!J99</f>
        <v>0</v>
      </c>
      <c r="M104" s="269">
        <f t="shared" si="5"/>
        <v>0</v>
      </c>
      <c r="N104" s="270">
        <f t="shared" si="6"/>
        <v>0</v>
      </c>
      <c r="O104" s="257"/>
      <c r="P104" s="257"/>
      <c r="Q104" s="257"/>
    </row>
    <row r="105" spans="1:17" s="272" customFormat="1" ht="33">
      <c r="A105" s="263">
        <v>1</v>
      </c>
      <c r="B105" s="264" t="s">
        <v>209</v>
      </c>
      <c r="C105" s="265" t="s">
        <v>116</v>
      </c>
      <c r="D105" s="273" t="s">
        <v>268</v>
      </c>
      <c r="E105" s="274">
        <v>1833.7901000000002</v>
      </c>
      <c r="F105" s="275"/>
      <c r="G105" s="267">
        <f>'03-GTHT DOT...'!E100</f>
        <v>0</v>
      </c>
      <c r="H105" s="267">
        <f>'03-GTHT DOT...'!F100</f>
        <v>0</v>
      </c>
      <c r="I105" s="267">
        <f>'03-GTHT DOT...'!G100</f>
        <v>0</v>
      </c>
      <c r="J105" s="391">
        <f>'03-GTHT DOT...'!H100</f>
        <v>0</v>
      </c>
      <c r="K105" s="391">
        <f>'03-GTHT DOT...'!I100</f>
        <v>0</v>
      </c>
      <c r="L105" s="391">
        <f>'03-GTHT DOT...'!J100</f>
        <v>0</v>
      </c>
      <c r="M105" s="269">
        <f t="shared" si="5"/>
        <v>1833.7901000000002</v>
      </c>
      <c r="N105" s="270">
        <f t="shared" si="6"/>
        <v>0</v>
      </c>
      <c r="O105" s="271"/>
      <c r="P105" s="271"/>
      <c r="Q105" s="271"/>
    </row>
    <row r="106" spans="1:17" s="272" customFormat="1" ht="33">
      <c r="A106" s="263" t="s">
        <v>210</v>
      </c>
      <c r="B106" s="264" t="s">
        <v>211</v>
      </c>
      <c r="C106" s="265" t="s">
        <v>116</v>
      </c>
      <c r="D106" s="273" t="s">
        <v>268</v>
      </c>
      <c r="E106" s="274">
        <v>1833.7901000000002</v>
      </c>
      <c r="F106" s="275"/>
      <c r="G106" s="267">
        <f>'03-GTHT DOT...'!E101</f>
        <v>0</v>
      </c>
      <c r="H106" s="267">
        <f>'03-GTHT DOT...'!F101</f>
        <v>0</v>
      </c>
      <c r="I106" s="267">
        <f>'03-GTHT DOT...'!G101</f>
        <v>0</v>
      </c>
      <c r="J106" s="391">
        <f>'03-GTHT DOT...'!H101</f>
        <v>0</v>
      </c>
      <c r="K106" s="391">
        <f>'03-GTHT DOT...'!I101</f>
        <v>0</v>
      </c>
      <c r="L106" s="391">
        <f>'03-GTHT DOT...'!J101</f>
        <v>0</v>
      </c>
      <c r="M106" s="269">
        <f t="shared" si="5"/>
        <v>1833.7901000000002</v>
      </c>
      <c r="N106" s="270">
        <f t="shared" si="6"/>
        <v>0</v>
      </c>
      <c r="O106" s="271"/>
      <c r="P106" s="271"/>
      <c r="Q106" s="271"/>
    </row>
    <row r="107" spans="1:17" s="272" customFormat="1" ht="33">
      <c r="A107" s="263" t="s">
        <v>212</v>
      </c>
      <c r="B107" s="264" t="s">
        <v>213</v>
      </c>
      <c r="C107" s="265" t="s">
        <v>116</v>
      </c>
      <c r="D107" s="273" t="s">
        <v>268</v>
      </c>
      <c r="E107" s="274">
        <v>1833.7901000000002</v>
      </c>
      <c r="F107" s="275"/>
      <c r="G107" s="267">
        <f>'03-GTHT DOT...'!E102</f>
        <v>0</v>
      </c>
      <c r="H107" s="267">
        <f>'03-GTHT DOT...'!F102</f>
        <v>0</v>
      </c>
      <c r="I107" s="267">
        <f>'03-GTHT DOT...'!G102</f>
        <v>0</v>
      </c>
      <c r="J107" s="391">
        <f>'03-GTHT DOT...'!H102</f>
        <v>0</v>
      </c>
      <c r="K107" s="391">
        <f>'03-GTHT DOT...'!I102</f>
        <v>0</v>
      </c>
      <c r="L107" s="391">
        <f>'03-GTHT DOT...'!J102</f>
        <v>0</v>
      </c>
      <c r="M107" s="269">
        <f t="shared" si="5"/>
        <v>1833.7901000000002</v>
      </c>
      <c r="N107" s="270">
        <f t="shared" si="6"/>
        <v>0</v>
      </c>
      <c r="O107" s="271"/>
      <c r="P107" s="271"/>
      <c r="Q107" s="271"/>
    </row>
    <row r="108" spans="1:17" s="272" customFormat="1" ht="16.5">
      <c r="A108" s="263" t="s">
        <v>214</v>
      </c>
      <c r="B108" s="264" t="s">
        <v>215</v>
      </c>
      <c r="C108" s="265" t="s">
        <v>116</v>
      </c>
      <c r="D108" s="273">
        <v>82715</v>
      </c>
      <c r="E108" s="274">
        <v>1833.7901000000002</v>
      </c>
      <c r="F108" s="275">
        <f>+E108*D108</f>
        <v>151681948.12150002</v>
      </c>
      <c r="G108" s="267">
        <f>'03-GTHT DOT...'!E103</f>
        <v>0</v>
      </c>
      <c r="H108" s="267">
        <f>'03-GTHT DOT...'!F103</f>
        <v>0</v>
      </c>
      <c r="I108" s="267">
        <f>'03-GTHT DOT...'!G103</f>
        <v>0</v>
      </c>
      <c r="J108" s="391">
        <f>'03-GTHT DOT...'!H103</f>
        <v>0</v>
      </c>
      <c r="K108" s="391">
        <f>'03-GTHT DOT...'!I103</f>
        <v>0</v>
      </c>
      <c r="L108" s="391">
        <f>'03-GTHT DOT...'!J103</f>
        <v>0</v>
      </c>
      <c r="M108" s="269">
        <f t="shared" si="5"/>
        <v>1833.7901000000002</v>
      </c>
      <c r="N108" s="270">
        <f t="shared" si="6"/>
        <v>151681948.12150002</v>
      </c>
      <c r="O108" s="271"/>
      <c r="P108" s="271"/>
      <c r="Q108" s="271"/>
    </row>
    <row r="109" spans="1:17" s="272" customFormat="1" ht="16.5">
      <c r="A109" s="263" t="s">
        <v>216</v>
      </c>
      <c r="B109" s="264" t="s">
        <v>163</v>
      </c>
      <c r="C109" s="265" t="s">
        <v>116</v>
      </c>
      <c r="D109" s="273">
        <v>250000</v>
      </c>
      <c r="E109" s="274">
        <v>1833.7901000000002</v>
      </c>
      <c r="F109" s="275">
        <f>+E109*D109</f>
        <v>458447525.00000006</v>
      </c>
      <c r="G109" s="267">
        <f>'03-GTHT DOT...'!E104</f>
        <v>0</v>
      </c>
      <c r="H109" s="267">
        <f>'03-GTHT DOT...'!F104</f>
        <v>0</v>
      </c>
      <c r="I109" s="267">
        <f>'03-GTHT DOT...'!G104</f>
        <v>0</v>
      </c>
      <c r="J109" s="391">
        <f>'03-GTHT DOT...'!H104</f>
        <v>0</v>
      </c>
      <c r="K109" s="391">
        <f>'03-GTHT DOT...'!I104</f>
        <v>0</v>
      </c>
      <c r="L109" s="391">
        <f>'03-GTHT DOT...'!J104</f>
        <v>0</v>
      </c>
      <c r="M109" s="269">
        <f t="shared" si="5"/>
        <v>1833.7901000000002</v>
      </c>
      <c r="N109" s="270">
        <f t="shared" si="6"/>
        <v>458447525.00000006</v>
      </c>
      <c r="O109" s="271"/>
      <c r="P109" s="271"/>
      <c r="Q109" s="271"/>
    </row>
    <row r="110" spans="1:17" s="272" customFormat="1" ht="33">
      <c r="A110" s="263">
        <v>2</v>
      </c>
      <c r="B110" s="264" t="s">
        <v>217</v>
      </c>
      <c r="C110" s="265" t="s">
        <v>116</v>
      </c>
      <c r="D110" s="273" t="s">
        <v>268</v>
      </c>
      <c r="E110" s="274">
        <v>2700.4894000000008</v>
      </c>
      <c r="F110" s="275"/>
      <c r="G110" s="267">
        <f>'03-GTHT DOT...'!E105</f>
        <v>0</v>
      </c>
      <c r="H110" s="267">
        <f>'03-GTHT DOT...'!F105</f>
        <v>0</v>
      </c>
      <c r="I110" s="267">
        <f>'03-GTHT DOT...'!G105</f>
        <v>0</v>
      </c>
      <c r="J110" s="391">
        <f>'03-GTHT DOT...'!H105</f>
        <v>0</v>
      </c>
      <c r="K110" s="391">
        <f>'03-GTHT DOT...'!I105</f>
        <v>0</v>
      </c>
      <c r="L110" s="391">
        <f>'03-GTHT DOT...'!J105</f>
        <v>0</v>
      </c>
      <c r="M110" s="269">
        <f t="shared" si="5"/>
        <v>2700.4894000000008</v>
      </c>
      <c r="N110" s="270">
        <f t="shared" si="6"/>
        <v>0</v>
      </c>
      <c r="O110" s="271"/>
      <c r="P110" s="271"/>
      <c r="Q110" s="271"/>
    </row>
    <row r="111" spans="1:17" s="272" customFormat="1" ht="33">
      <c r="A111" s="263" t="s">
        <v>106</v>
      </c>
      <c r="B111" s="264" t="s">
        <v>218</v>
      </c>
      <c r="C111" s="265" t="s">
        <v>116</v>
      </c>
      <c r="D111" s="273" t="s">
        <v>268</v>
      </c>
      <c r="E111" s="274">
        <v>2700.4894000000008</v>
      </c>
      <c r="F111" s="275"/>
      <c r="G111" s="267">
        <f>'03-GTHT DOT...'!E106</f>
        <v>0</v>
      </c>
      <c r="H111" s="267">
        <f>'03-GTHT DOT...'!F106</f>
        <v>0</v>
      </c>
      <c r="I111" s="267">
        <f>'03-GTHT DOT...'!G106</f>
        <v>0</v>
      </c>
      <c r="J111" s="391">
        <f>'03-GTHT DOT...'!H106</f>
        <v>0</v>
      </c>
      <c r="K111" s="391">
        <f>'03-GTHT DOT...'!I106</f>
        <v>0</v>
      </c>
      <c r="L111" s="391">
        <f>'03-GTHT DOT...'!J106</f>
        <v>0</v>
      </c>
      <c r="M111" s="269">
        <f t="shared" si="5"/>
        <v>2700.4894000000008</v>
      </c>
      <c r="N111" s="270">
        <f t="shared" si="6"/>
        <v>0</v>
      </c>
      <c r="O111" s="271"/>
      <c r="P111" s="271"/>
      <c r="Q111" s="271"/>
    </row>
    <row r="112" spans="1:17" s="272" customFormat="1" ht="16.5">
      <c r="A112" s="263" t="s">
        <v>219</v>
      </c>
      <c r="B112" s="264" t="s">
        <v>220</v>
      </c>
      <c r="C112" s="265" t="s">
        <v>116</v>
      </c>
      <c r="D112" s="273">
        <v>82715</v>
      </c>
      <c r="E112" s="274">
        <v>2700.4894000000008</v>
      </c>
      <c r="F112" s="275">
        <f>+E112*D112</f>
        <v>223370980.72100008</v>
      </c>
      <c r="G112" s="267">
        <f>'03-GTHT DOT...'!E107</f>
        <v>0</v>
      </c>
      <c r="H112" s="267">
        <f>'03-GTHT DOT...'!F107</f>
        <v>0</v>
      </c>
      <c r="I112" s="267">
        <f>'03-GTHT DOT...'!G107</f>
        <v>0</v>
      </c>
      <c r="J112" s="391">
        <f>'03-GTHT DOT...'!H107</f>
        <v>0</v>
      </c>
      <c r="K112" s="391">
        <f>'03-GTHT DOT...'!I107</f>
        <v>0</v>
      </c>
      <c r="L112" s="391">
        <f>'03-GTHT DOT...'!J107</f>
        <v>0</v>
      </c>
      <c r="M112" s="269">
        <f t="shared" si="5"/>
        <v>2700.4894000000008</v>
      </c>
      <c r="N112" s="270">
        <f t="shared" si="6"/>
        <v>223370980.72100008</v>
      </c>
      <c r="O112" s="271"/>
      <c r="P112" s="271"/>
      <c r="Q112" s="271"/>
    </row>
    <row r="113" spans="1:17" s="272" customFormat="1" ht="16.5">
      <c r="A113" s="263" t="s">
        <v>221</v>
      </c>
      <c r="B113" s="264" t="s">
        <v>163</v>
      </c>
      <c r="C113" s="265" t="s">
        <v>116</v>
      </c>
      <c r="D113" s="273">
        <v>250000</v>
      </c>
      <c r="E113" s="274">
        <v>2700.4894000000008</v>
      </c>
      <c r="F113" s="275">
        <f>+E113*D113</f>
        <v>675122350.00000024</v>
      </c>
      <c r="G113" s="267">
        <f>'03-GTHT DOT...'!E108</f>
        <v>0</v>
      </c>
      <c r="H113" s="267">
        <f>'03-GTHT DOT...'!F108</f>
        <v>0</v>
      </c>
      <c r="I113" s="267">
        <f>'03-GTHT DOT...'!G108</f>
        <v>0</v>
      </c>
      <c r="J113" s="391">
        <f>'03-GTHT DOT...'!H108</f>
        <v>0</v>
      </c>
      <c r="K113" s="391">
        <f>'03-GTHT DOT...'!I108</f>
        <v>0</v>
      </c>
      <c r="L113" s="391">
        <f>'03-GTHT DOT...'!J108</f>
        <v>0</v>
      </c>
      <c r="M113" s="269">
        <f t="shared" si="5"/>
        <v>2700.4894000000008</v>
      </c>
      <c r="N113" s="270">
        <f t="shared" si="6"/>
        <v>675122350.00000024</v>
      </c>
      <c r="O113" s="271"/>
      <c r="P113" s="271"/>
      <c r="Q113" s="271"/>
    </row>
    <row r="114" spans="1:17" s="272" customFormat="1" ht="33">
      <c r="A114" s="263">
        <v>3</v>
      </c>
      <c r="B114" s="264" t="s">
        <v>222</v>
      </c>
      <c r="C114" s="265" t="s">
        <v>116</v>
      </c>
      <c r="D114" s="273" t="s">
        <v>268</v>
      </c>
      <c r="E114" s="274">
        <v>90.093514999999996</v>
      </c>
      <c r="F114" s="275"/>
      <c r="G114" s="267">
        <f>'03-GTHT DOT...'!E109</f>
        <v>0</v>
      </c>
      <c r="H114" s="267">
        <f>'03-GTHT DOT...'!F109</f>
        <v>0</v>
      </c>
      <c r="I114" s="267">
        <f>'03-GTHT DOT...'!G109</f>
        <v>0</v>
      </c>
      <c r="J114" s="391">
        <f>'03-GTHT DOT...'!H109</f>
        <v>0</v>
      </c>
      <c r="K114" s="391">
        <f>'03-GTHT DOT...'!I109</f>
        <v>0</v>
      </c>
      <c r="L114" s="391">
        <f>'03-GTHT DOT...'!J109</f>
        <v>0</v>
      </c>
      <c r="M114" s="269">
        <f t="shared" si="5"/>
        <v>90.093514999999996</v>
      </c>
      <c r="N114" s="270">
        <f t="shared" si="6"/>
        <v>0</v>
      </c>
      <c r="O114" s="271"/>
      <c r="P114" s="271"/>
      <c r="Q114" s="271"/>
    </row>
    <row r="115" spans="1:17" s="272" customFormat="1" ht="33">
      <c r="A115" s="263" t="s">
        <v>223</v>
      </c>
      <c r="B115" s="264" t="s">
        <v>224</v>
      </c>
      <c r="C115" s="265" t="s">
        <v>116</v>
      </c>
      <c r="D115" s="273" t="s">
        <v>268</v>
      </c>
      <c r="E115" s="274">
        <v>90.093514999999996</v>
      </c>
      <c r="F115" s="275"/>
      <c r="G115" s="267">
        <f>'03-GTHT DOT...'!E110</f>
        <v>0</v>
      </c>
      <c r="H115" s="267">
        <f>'03-GTHT DOT...'!F110</f>
        <v>0</v>
      </c>
      <c r="I115" s="267">
        <f>'03-GTHT DOT...'!G110</f>
        <v>0</v>
      </c>
      <c r="J115" s="391">
        <f>'03-GTHT DOT...'!H110</f>
        <v>0</v>
      </c>
      <c r="K115" s="391">
        <f>'03-GTHT DOT...'!I110</f>
        <v>0</v>
      </c>
      <c r="L115" s="391">
        <f>'03-GTHT DOT...'!J110</f>
        <v>0</v>
      </c>
      <c r="M115" s="269">
        <f t="shared" si="5"/>
        <v>90.093514999999996</v>
      </c>
      <c r="N115" s="270">
        <f t="shared" si="6"/>
        <v>0</v>
      </c>
      <c r="O115" s="271"/>
      <c r="P115" s="271"/>
      <c r="Q115" s="271"/>
    </row>
    <row r="116" spans="1:17" s="272" customFormat="1" ht="33">
      <c r="A116" s="263" t="s">
        <v>225</v>
      </c>
      <c r="B116" s="264" t="s">
        <v>211</v>
      </c>
      <c r="C116" s="265" t="s">
        <v>116</v>
      </c>
      <c r="D116" s="273" t="s">
        <v>268</v>
      </c>
      <c r="E116" s="274">
        <v>90.093514999999996</v>
      </c>
      <c r="F116" s="275"/>
      <c r="G116" s="267">
        <f>'03-GTHT DOT...'!E111</f>
        <v>0</v>
      </c>
      <c r="H116" s="267">
        <f>'03-GTHT DOT...'!F111</f>
        <v>0</v>
      </c>
      <c r="I116" s="267">
        <f>'03-GTHT DOT...'!G111</f>
        <v>0</v>
      </c>
      <c r="J116" s="391">
        <f>'03-GTHT DOT...'!H111</f>
        <v>0</v>
      </c>
      <c r="K116" s="391">
        <f>'03-GTHT DOT...'!I111</f>
        <v>0</v>
      </c>
      <c r="L116" s="391">
        <f>'03-GTHT DOT...'!J111</f>
        <v>0</v>
      </c>
      <c r="M116" s="269">
        <f t="shared" si="5"/>
        <v>90.093514999999996</v>
      </c>
      <c r="N116" s="270">
        <f t="shared" si="6"/>
        <v>0</v>
      </c>
      <c r="O116" s="271"/>
      <c r="P116" s="271"/>
      <c r="Q116" s="271"/>
    </row>
    <row r="117" spans="1:17" s="272" customFormat="1" ht="33">
      <c r="A117" s="263">
        <v>4</v>
      </c>
      <c r="B117" s="264" t="s">
        <v>226</v>
      </c>
      <c r="C117" s="265" t="s">
        <v>116</v>
      </c>
      <c r="D117" s="273" t="s">
        <v>268</v>
      </c>
      <c r="E117" s="274">
        <v>62.972232449999993</v>
      </c>
      <c r="F117" s="275"/>
      <c r="G117" s="267">
        <f>'03-GTHT DOT...'!E112</f>
        <v>0</v>
      </c>
      <c r="H117" s="267">
        <f>'03-GTHT DOT...'!F112</f>
        <v>0</v>
      </c>
      <c r="I117" s="267">
        <f>'03-GTHT DOT...'!G112</f>
        <v>0</v>
      </c>
      <c r="J117" s="391">
        <f>'03-GTHT DOT...'!H112</f>
        <v>0</v>
      </c>
      <c r="K117" s="391">
        <f>'03-GTHT DOT...'!I112</f>
        <v>0</v>
      </c>
      <c r="L117" s="391">
        <f>'03-GTHT DOT...'!J112</f>
        <v>0</v>
      </c>
      <c r="M117" s="269">
        <f t="shared" si="5"/>
        <v>62.972232449999993</v>
      </c>
      <c r="N117" s="270">
        <f t="shared" si="6"/>
        <v>0</v>
      </c>
      <c r="O117" s="271"/>
      <c r="P117" s="271"/>
      <c r="Q117" s="271"/>
    </row>
    <row r="118" spans="1:17" s="272" customFormat="1" ht="16.5">
      <c r="A118" s="263" t="s">
        <v>227</v>
      </c>
      <c r="B118" s="264" t="s">
        <v>228</v>
      </c>
      <c r="C118" s="265" t="s">
        <v>116</v>
      </c>
      <c r="D118" s="273">
        <v>82715</v>
      </c>
      <c r="E118" s="274">
        <v>62.972232449999993</v>
      </c>
      <c r="F118" s="275">
        <f>+E118*D118</f>
        <v>5208748.2071017493</v>
      </c>
      <c r="G118" s="267">
        <f>'03-GTHT DOT...'!E113</f>
        <v>0</v>
      </c>
      <c r="H118" s="267">
        <f>'03-GTHT DOT...'!F113</f>
        <v>0</v>
      </c>
      <c r="I118" s="267">
        <f>'03-GTHT DOT...'!G113</f>
        <v>0</v>
      </c>
      <c r="J118" s="391">
        <f>'03-GTHT DOT...'!H113</f>
        <v>0</v>
      </c>
      <c r="K118" s="391">
        <f>'03-GTHT DOT...'!I113</f>
        <v>0</v>
      </c>
      <c r="L118" s="391">
        <f>'03-GTHT DOT...'!J113</f>
        <v>0</v>
      </c>
      <c r="M118" s="269">
        <f t="shared" si="5"/>
        <v>62.972232449999993</v>
      </c>
      <c r="N118" s="270">
        <f t="shared" si="6"/>
        <v>5208748.2071017493</v>
      </c>
      <c r="O118" s="271"/>
      <c r="P118" s="271"/>
      <c r="Q118" s="271"/>
    </row>
    <row r="119" spans="1:17" s="272" customFormat="1" ht="33">
      <c r="A119" s="263" t="s">
        <v>229</v>
      </c>
      <c r="B119" s="264" t="s">
        <v>230</v>
      </c>
      <c r="C119" s="265" t="s">
        <v>116</v>
      </c>
      <c r="D119" s="273"/>
      <c r="E119" s="274">
        <v>0</v>
      </c>
      <c r="F119" s="275">
        <f>+E119*D119</f>
        <v>0</v>
      </c>
      <c r="G119" s="267">
        <f>'03-GTHT DOT...'!E114</f>
        <v>0</v>
      </c>
      <c r="H119" s="267">
        <f>'03-GTHT DOT...'!F114</f>
        <v>0</v>
      </c>
      <c r="I119" s="267">
        <f>'03-GTHT DOT...'!G114</f>
        <v>0</v>
      </c>
      <c r="J119" s="391">
        <f>'03-GTHT DOT...'!H114</f>
        <v>0</v>
      </c>
      <c r="K119" s="391">
        <f>'03-GTHT DOT...'!I114</f>
        <v>0</v>
      </c>
      <c r="L119" s="391">
        <f>'03-GTHT DOT...'!J114</f>
        <v>0</v>
      </c>
      <c r="M119" s="269">
        <f t="shared" si="5"/>
        <v>0</v>
      </c>
      <c r="N119" s="270">
        <f t="shared" si="6"/>
        <v>0</v>
      </c>
      <c r="O119" s="271"/>
      <c r="P119" s="271"/>
      <c r="Q119" s="271"/>
    </row>
    <row r="120" spans="1:17" s="272" customFormat="1" ht="33">
      <c r="A120" s="263">
        <v>5</v>
      </c>
      <c r="B120" s="264" t="s">
        <v>231</v>
      </c>
      <c r="C120" s="265" t="s">
        <v>116</v>
      </c>
      <c r="D120" s="273" t="s">
        <v>268</v>
      </c>
      <c r="E120" s="274">
        <v>122.19798</v>
      </c>
      <c r="F120" s="275"/>
      <c r="G120" s="267">
        <f>'03-GTHT DOT...'!E115</f>
        <v>0</v>
      </c>
      <c r="H120" s="267">
        <f>'03-GTHT DOT...'!F115</f>
        <v>0</v>
      </c>
      <c r="I120" s="267">
        <f>'03-GTHT DOT...'!G115</f>
        <v>0</v>
      </c>
      <c r="J120" s="391">
        <f>'03-GTHT DOT...'!H115</f>
        <v>0</v>
      </c>
      <c r="K120" s="391">
        <f>'03-GTHT DOT...'!I115</f>
        <v>0</v>
      </c>
      <c r="L120" s="391">
        <f>'03-GTHT DOT...'!J115</f>
        <v>0</v>
      </c>
      <c r="M120" s="269">
        <f t="shared" si="5"/>
        <v>122.19798</v>
      </c>
      <c r="N120" s="270">
        <f t="shared" si="6"/>
        <v>0</v>
      </c>
      <c r="O120" s="271"/>
      <c r="P120" s="271"/>
      <c r="Q120" s="271"/>
    </row>
    <row r="121" spans="1:17" s="272" customFormat="1" ht="16.5">
      <c r="A121" s="263" t="s">
        <v>232</v>
      </c>
      <c r="B121" s="264" t="s">
        <v>228</v>
      </c>
      <c r="C121" s="265" t="s">
        <v>116</v>
      </c>
      <c r="D121" s="273">
        <v>82715</v>
      </c>
      <c r="E121" s="274">
        <v>122.19798</v>
      </c>
      <c r="F121" s="275">
        <f>+E121*D121</f>
        <v>10107605.9157</v>
      </c>
      <c r="G121" s="267">
        <f>'03-GTHT DOT...'!E116</f>
        <v>0</v>
      </c>
      <c r="H121" s="267">
        <f>'03-GTHT DOT...'!F116</f>
        <v>0</v>
      </c>
      <c r="I121" s="267">
        <f>'03-GTHT DOT...'!G116</f>
        <v>0</v>
      </c>
      <c r="J121" s="391">
        <f>'03-GTHT DOT...'!H116</f>
        <v>0</v>
      </c>
      <c r="K121" s="391">
        <f>'03-GTHT DOT...'!I116</f>
        <v>0</v>
      </c>
      <c r="L121" s="391">
        <f>'03-GTHT DOT...'!J116</f>
        <v>0</v>
      </c>
      <c r="M121" s="269">
        <f t="shared" si="5"/>
        <v>122.19798</v>
      </c>
      <c r="N121" s="270">
        <f t="shared" si="6"/>
        <v>10107605.9157</v>
      </c>
      <c r="O121" s="271"/>
      <c r="P121" s="271"/>
      <c r="Q121" s="271"/>
    </row>
    <row r="122" spans="1:17" s="272" customFormat="1" ht="16.5">
      <c r="A122" s="263" t="s">
        <v>233</v>
      </c>
      <c r="B122" s="264" t="s">
        <v>163</v>
      </c>
      <c r="C122" s="265" t="s">
        <v>116</v>
      </c>
      <c r="D122" s="273">
        <v>250000</v>
      </c>
      <c r="E122" s="274">
        <v>122.19798</v>
      </c>
      <c r="F122" s="275">
        <f>+E122*D122</f>
        <v>30549495</v>
      </c>
      <c r="G122" s="267">
        <f>'03-GTHT DOT...'!E117</f>
        <v>0</v>
      </c>
      <c r="H122" s="267">
        <f>'03-GTHT DOT...'!F117</f>
        <v>0</v>
      </c>
      <c r="I122" s="267">
        <f>'03-GTHT DOT...'!G117</f>
        <v>0</v>
      </c>
      <c r="J122" s="391">
        <f>'03-GTHT DOT...'!H117</f>
        <v>0</v>
      </c>
      <c r="K122" s="391">
        <f>'03-GTHT DOT...'!I117</f>
        <v>0</v>
      </c>
      <c r="L122" s="391">
        <f>'03-GTHT DOT...'!J117</f>
        <v>0</v>
      </c>
      <c r="M122" s="269">
        <f t="shared" si="5"/>
        <v>122.19798</v>
      </c>
      <c r="N122" s="270">
        <f t="shared" si="6"/>
        <v>30549495</v>
      </c>
      <c r="O122" s="271"/>
      <c r="P122" s="271"/>
      <c r="Q122" s="271"/>
    </row>
    <row r="123" spans="1:17" s="272" customFormat="1" ht="33">
      <c r="A123" s="263">
        <v>6</v>
      </c>
      <c r="B123" s="264" t="s">
        <v>234</v>
      </c>
      <c r="C123" s="265" t="s">
        <v>116</v>
      </c>
      <c r="D123" s="273" t="s">
        <v>268</v>
      </c>
      <c r="E123" s="274">
        <v>86.905045999999999</v>
      </c>
      <c r="F123" s="275"/>
      <c r="G123" s="267">
        <f>'03-GTHT DOT...'!E118</f>
        <v>0</v>
      </c>
      <c r="H123" s="267">
        <f>'03-GTHT DOT...'!F118</f>
        <v>0</v>
      </c>
      <c r="I123" s="267">
        <f>'03-GTHT DOT...'!G118</f>
        <v>0</v>
      </c>
      <c r="J123" s="391">
        <f>'03-GTHT DOT...'!H118</f>
        <v>0</v>
      </c>
      <c r="K123" s="391">
        <f>'03-GTHT DOT...'!I118</f>
        <v>0</v>
      </c>
      <c r="L123" s="391">
        <f>'03-GTHT DOT...'!J118</f>
        <v>0</v>
      </c>
      <c r="M123" s="269">
        <f t="shared" si="5"/>
        <v>86.905045999999999</v>
      </c>
      <c r="N123" s="270">
        <f t="shared" si="6"/>
        <v>0</v>
      </c>
      <c r="O123" s="271"/>
      <c r="P123" s="271"/>
      <c r="Q123" s="271"/>
    </row>
    <row r="124" spans="1:17" s="272" customFormat="1" ht="16.5">
      <c r="A124" s="263" t="s">
        <v>235</v>
      </c>
      <c r="B124" s="264" t="s">
        <v>228</v>
      </c>
      <c r="C124" s="265" t="s">
        <v>116</v>
      </c>
      <c r="D124" s="273">
        <v>82715</v>
      </c>
      <c r="E124" s="274">
        <v>86.905045999999999</v>
      </c>
      <c r="F124" s="275">
        <f>+E124*D124</f>
        <v>7188350.8798899995</v>
      </c>
      <c r="G124" s="267">
        <f>'03-GTHT DOT...'!E119</f>
        <v>0</v>
      </c>
      <c r="H124" s="267">
        <f>'03-GTHT DOT...'!F119</f>
        <v>0</v>
      </c>
      <c r="I124" s="267">
        <f>'03-GTHT DOT...'!G119</f>
        <v>0</v>
      </c>
      <c r="J124" s="391">
        <f>'03-GTHT DOT...'!H119</f>
        <v>0</v>
      </c>
      <c r="K124" s="391">
        <f>'03-GTHT DOT...'!I119</f>
        <v>0</v>
      </c>
      <c r="L124" s="391">
        <f>'03-GTHT DOT...'!J119</f>
        <v>0</v>
      </c>
      <c r="M124" s="269">
        <f t="shared" si="5"/>
        <v>86.905045999999999</v>
      </c>
      <c r="N124" s="270">
        <f t="shared" si="6"/>
        <v>7188350.8798899995</v>
      </c>
      <c r="O124" s="271"/>
      <c r="P124" s="271"/>
      <c r="Q124" s="271"/>
    </row>
    <row r="125" spans="1:17" s="272" customFormat="1" ht="16.5">
      <c r="A125" s="263" t="s">
        <v>236</v>
      </c>
      <c r="B125" s="264" t="s">
        <v>163</v>
      </c>
      <c r="C125" s="265" t="s">
        <v>116</v>
      </c>
      <c r="D125" s="273">
        <v>250000</v>
      </c>
      <c r="E125" s="274">
        <v>86.905045999999999</v>
      </c>
      <c r="F125" s="275">
        <f>+E125*D125</f>
        <v>21726261.5</v>
      </c>
      <c r="G125" s="267">
        <f>'03-GTHT DOT...'!E120</f>
        <v>0</v>
      </c>
      <c r="H125" s="267">
        <f>'03-GTHT DOT...'!F120</f>
        <v>0</v>
      </c>
      <c r="I125" s="267">
        <f>'03-GTHT DOT...'!G120</f>
        <v>0</v>
      </c>
      <c r="J125" s="391">
        <f>'03-GTHT DOT...'!H120</f>
        <v>0</v>
      </c>
      <c r="K125" s="391">
        <f>'03-GTHT DOT...'!I120</f>
        <v>0</v>
      </c>
      <c r="L125" s="391">
        <f>'03-GTHT DOT...'!J120</f>
        <v>0</v>
      </c>
      <c r="M125" s="269">
        <f t="shared" si="5"/>
        <v>86.905045999999999</v>
      </c>
      <c r="N125" s="270">
        <f t="shared" si="6"/>
        <v>21726261.5</v>
      </c>
      <c r="O125" s="271"/>
      <c r="P125" s="271"/>
      <c r="Q125" s="271"/>
    </row>
    <row r="126" spans="1:17" s="272" customFormat="1" ht="33">
      <c r="A126" s="263">
        <v>7</v>
      </c>
      <c r="B126" s="264" t="s">
        <v>237</v>
      </c>
      <c r="C126" s="265" t="s">
        <v>116</v>
      </c>
      <c r="D126" s="273" t="s">
        <v>268</v>
      </c>
      <c r="E126" s="274">
        <v>524.86714000000006</v>
      </c>
      <c r="F126" s="275"/>
      <c r="G126" s="267">
        <f>'03-GTHT DOT...'!E121</f>
        <v>0</v>
      </c>
      <c r="H126" s="267">
        <f>'03-GTHT DOT...'!F121</f>
        <v>0</v>
      </c>
      <c r="I126" s="267">
        <f>'03-GTHT DOT...'!G121</f>
        <v>0</v>
      </c>
      <c r="J126" s="391">
        <f>'03-GTHT DOT...'!H121</f>
        <v>0</v>
      </c>
      <c r="K126" s="391">
        <f>'03-GTHT DOT...'!I121</f>
        <v>0</v>
      </c>
      <c r="L126" s="391">
        <f>'03-GTHT DOT...'!J121</f>
        <v>0</v>
      </c>
      <c r="M126" s="269">
        <f t="shared" si="5"/>
        <v>524.86714000000006</v>
      </c>
      <c r="N126" s="270">
        <f t="shared" si="6"/>
        <v>0</v>
      </c>
      <c r="O126" s="271"/>
      <c r="P126" s="271"/>
      <c r="Q126" s="271"/>
    </row>
    <row r="127" spans="1:17" s="272" customFormat="1" ht="16.5">
      <c r="A127" s="263" t="s">
        <v>238</v>
      </c>
      <c r="B127" s="264" t="s">
        <v>228</v>
      </c>
      <c r="C127" s="265" t="s">
        <v>116</v>
      </c>
      <c r="D127" s="273">
        <v>82715</v>
      </c>
      <c r="E127" s="274">
        <v>524.86714000000006</v>
      </c>
      <c r="F127" s="275">
        <f>+E127*D127</f>
        <v>43414385.485100009</v>
      </c>
      <c r="G127" s="267">
        <f>'03-GTHT DOT...'!E122</f>
        <v>0</v>
      </c>
      <c r="H127" s="267">
        <f>'03-GTHT DOT...'!F122</f>
        <v>0</v>
      </c>
      <c r="I127" s="267">
        <f>'03-GTHT DOT...'!G122</f>
        <v>0</v>
      </c>
      <c r="J127" s="391">
        <f>'03-GTHT DOT...'!H122</f>
        <v>0</v>
      </c>
      <c r="K127" s="391">
        <f>'03-GTHT DOT...'!I122</f>
        <v>0</v>
      </c>
      <c r="L127" s="391">
        <f>'03-GTHT DOT...'!J122</f>
        <v>0</v>
      </c>
      <c r="M127" s="269">
        <f t="shared" si="5"/>
        <v>524.86714000000006</v>
      </c>
      <c r="N127" s="270">
        <f t="shared" si="6"/>
        <v>43414385.485100009</v>
      </c>
      <c r="O127" s="271"/>
      <c r="P127" s="271"/>
      <c r="Q127" s="271"/>
    </row>
    <row r="128" spans="1:17" s="272" customFormat="1" ht="16.5">
      <c r="A128" s="263" t="s">
        <v>239</v>
      </c>
      <c r="B128" s="264" t="s">
        <v>240</v>
      </c>
      <c r="C128" s="265" t="s">
        <v>116</v>
      </c>
      <c r="D128" s="273"/>
      <c r="E128" s="274">
        <v>524.86714000000006</v>
      </c>
      <c r="F128" s="275">
        <f>+E128*D128</f>
        <v>0</v>
      </c>
      <c r="G128" s="267">
        <f>'03-GTHT DOT...'!E123</f>
        <v>0</v>
      </c>
      <c r="H128" s="267">
        <f>'03-GTHT DOT...'!F123</f>
        <v>0</v>
      </c>
      <c r="I128" s="267">
        <f>'03-GTHT DOT...'!G123</f>
        <v>0</v>
      </c>
      <c r="J128" s="391">
        <f>'03-GTHT DOT...'!H123</f>
        <v>0</v>
      </c>
      <c r="K128" s="391">
        <f>'03-GTHT DOT...'!I123</f>
        <v>0</v>
      </c>
      <c r="L128" s="391">
        <f>'03-GTHT DOT...'!J123</f>
        <v>0</v>
      </c>
      <c r="M128" s="269">
        <f t="shared" si="5"/>
        <v>524.86714000000006</v>
      </c>
      <c r="N128" s="270">
        <f t="shared" si="6"/>
        <v>0</v>
      </c>
      <c r="O128" s="271"/>
      <c r="P128" s="271"/>
      <c r="Q128" s="271"/>
    </row>
    <row r="129" spans="1:17" s="272" customFormat="1" ht="33">
      <c r="A129" s="263">
        <v>8</v>
      </c>
      <c r="B129" s="264" t="s">
        <v>241</v>
      </c>
      <c r="C129" s="265" t="s">
        <v>116</v>
      </c>
      <c r="D129" s="273" t="s">
        <v>268</v>
      </c>
      <c r="E129" s="274">
        <v>592.43256899999994</v>
      </c>
      <c r="F129" s="275"/>
      <c r="G129" s="267">
        <f>'03-GTHT DOT...'!E124</f>
        <v>0</v>
      </c>
      <c r="H129" s="267">
        <f>'03-GTHT DOT...'!F124</f>
        <v>0</v>
      </c>
      <c r="I129" s="267">
        <f>'03-GTHT DOT...'!G124</f>
        <v>0</v>
      </c>
      <c r="J129" s="391">
        <f>'03-GTHT DOT...'!H124</f>
        <v>0</v>
      </c>
      <c r="K129" s="391">
        <f>'03-GTHT DOT...'!I124</f>
        <v>0</v>
      </c>
      <c r="L129" s="391">
        <f>'03-GTHT DOT...'!J124</f>
        <v>0</v>
      </c>
      <c r="M129" s="269">
        <f t="shared" si="5"/>
        <v>592.43256899999994</v>
      </c>
      <c r="N129" s="270">
        <f t="shared" si="6"/>
        <v>0</v>
      </c>
      <c r="O129" s="271"/>
      <c r="P129" s="271"/>
      <c r="Q129" s="271"/>
    </row>
    <row r="130" spans="1:17" s="272" customFormat="1" ht="33">
      <c r="A130" s="263">
        <v>9</v>
      </c>
      <c r="B130" s="264" t="s">
        <v>242</v>
      </c>
      <c r="C130" s="265" t="s">
        <v>116</v>
      </c>
      <c r="D130" s="273" t="s">
        <v>268</v>
      </c>
      <c r="E130" s="274">
        <v>363.69541429600002</v>
      </c>
      <c r="F130" s="275"/>
      <c r="G130" s="267">
        <f>'03-GTHT DOT...'!E125</f>
        <v>0</v>
      </c>
      <c r="H130" s="267">
        <f>'03-GTHT DOT...'!F125</f>
        <v>0</v>
      </c>
      <c r="I130" s="267">
        <f>'03-GTHT DOT...'!G125</f>
        <v>0</v>
      </c>
      <c r="J130" s="391">
        <f>'03-GTHT DOT...'!H125</f>
        <v>0</v>
      </c>
      <c r="K130" s="391">
        <f>'03-GTHT DOT...'!I125</f>
        <v>0</v>
      </c>
      <c r="L130" s="391">
        <f>'03-GTHT DOT...'!J125</f>
        <v>0</v>
      </c>
      <c r="M130" s="269">
        <f t="shared" si="5"/>
        <v>363.69541429600002</v>
      </c>
      <c r="N130" s="270">
        <f t="shared" si="6"/>
        <v>0</v>
      </c>
      <c r="O130" s="271"/>
      <c r="P130" s="271"/>
      <c r="Q130" s="271"/>
    </row>
    <row r="131" spans="1:17" s="272" customFormat="1" ht="33">
      <c r="A131" s="263" t="s">
        <v>243</v>
      </c>
      <c r="B131" s="264" t="s">
        <v>244</v>
      </c>
      <c r="C131" s="265" t="s">
        <v>116</v>
      </c>
      <c r="D131" s="273" t="s">
        <v>268</v>
      </c>
      <c r="E131" s="274">
        <v>363.69541429600002</v>
      </c>
      <c r="F131" s="275"/>
      <c r="G131" s="267">
        <f>'03-GTHT DOT...'!E126</f>
        <v>0</v>
      </c>
      <c r="H131" s="267">
        <f>'03-GTHT DOT...'!F126</f>
        <v>0</v>
      </c>
      <c r="I131" s="267">
        <f>'03-GTHT DOT...'!G126</f>
        <v>0</v>
      </c>
      <c r="J131" s="391">
        <f>'03-GTHT DOT...'!H126</f>
        <v>0</v>
      </c>
      <c r="K131" s="391">
        <f>'03-GTHT DOT...'!I126</f>
        <v>0</v>
      </c>
      <c r="L131" s="391">
        <f>'03-GTHT DOT...'!J126</f>
        <v>0</v>
      </c>
      <c r="M131" s="269">
        <f t="shared" si="5"/>
        <v>363.69541429600002</v>
      </c>
      <c r="N131" s="270">
        <f t="shared" si="6"/>
        <v>0</v>
      </c>
      <c r="O131" s="271"/>
      <c r="P131" s="271"/>
      <c r="Q131" s="271"/>
    </row>
    <row r="132" spans="1:17" s="272" customFormat="1" ht="16.5">
      <c r="A132" s="263" t="s">
        <v>245</v>
      </c>
      <c r="B132" s="264" t="s">
        <v>246</v>
      </c>
      <c r="C132" s="265" t="s">
        <v>116</v>
      </c>
      <c r="D132" s="273">
        <v>82715</v>
      </c>
      <c r="E132" s="274">
        <v>363.69541429600002</v>
      </c>
      <c r="F132" s="275">
        <f>+E132*D132</f>
        <v>30083066.193493642</v>
      </c>
      <c r="G132" s="267">
        <f>'03-GTHT DOT...'!E127</f>
        <v>0</v>
      </c>
      <c r="H132" s="267">
        <f>'03-GTHT DOT...'!F127</f>
        <v>0</v>
      </c>
      <c r="I132" s="267">
        <f>'03-GTHT DOT...'!G127</f>
        <v>0</v>
      </c>
      <c r="J132" s="391">
        <f>'03-GTHT DOT...'!H127</f>
        <v>0</v>
      </c>
      <c r="K132" s="391">
        <f>'03-GTHT DOT...'!I127</f>
        <v>0</v>
      </c>
      <c r="L132" s="391">
        <f>'03-GTHT DOT...'!J127</f>
        <v>0</v>
      </c>
      <c r="M132" s="269">
        <f t="shared" si="5"/>
        <v>363.69541429600002</v>
      </c>
      <c r="N132" s="270">
        <f t="shared" si="6"/>
        <v>30083066.193493642</v>
      </c>
      <c r="O132" s="271"/>
      <c r="P132" s="271"/>
      <c r="Q132" s="271"/>
    </row>
    <row r="133" spans="1:17" s="272" customFormat="1" ht="33">
      <c r="A133" s="263">
        <v>10</v>
      </c>
      <c r="B133" s="264" t="s">
        <v>247</v>
      </c>
      <c r="C133" s="265" t="s">
        <v>116</v>
      </c>
      <c r="D133" s="273" t="s">
        <v>268</v>
      </c>
      <c r="E133" s="274">
        <v>121.3783</v>
      </c>
      <c r="F133" s="275"/>
      <c r="G133" s="267">
        <f>'03-GTHT DOT...'!E128</f>
        <v>0</v>
      </c>
      <c r="H133" s="267">
        <f>'03-GTHT DOT...'!F128</f>
        <v>0</v>
      </c>
      <c r="I133" s="267">
        <f>'03-GTHT DOT...'!G128</f>
        <v>0</v>
      </c>
      <c r="J133" s="391">
        <f>'03-GTHT DOT...'!H128</f>
        <v>0</v>
      </c>
      <c r="K133" s="391">
        <f>'03-GTHT DOT...'!I128</f>
        <v>0</v>
      </c>
      <c r="L133" s="391">
        <f>'03-GTHT DOT...'!J128</f>
        <v>0</v>
      </c>
      <c r="M133" s="269">
        <f t="shared" si="5"/>
        <v>121.3783</v>
      </c>
      <c r="N133" s="270">
        <f t="shared" si="6"/>
        <v>0</v>
      </c>
      <c r="O133" s="271"/>
      <c r="P133" s="271"/>
      <c r="Q133" s="271"/>
    </row>
    <row r="134" spans="1:17" s="272" customFormat="1" ht="16.5">
      <c r="A134" s="263" t="s">
        <v>248</v>
      </c>
      <c r="B134" s="264" t="s">
        <v>163</v>
      </c>
      <c r="C134" s="265" t="s">
        <v>116</v>
      </c>
      <c r="D134" s="273"/>
      <c r="E134" s="274">
        <v>0</v>
      </c>
      <c r="F134" s="275">
        <f>+E134*D134</f>
        <v>0</v>
      </c>
      <c r="G134" s="267">
        <f>'03-GTHT DOT...'!E129</f>
        <v>0</v>
      </c>
      <c r="H134" s="267">
        <f>'03-GTHT DOT...'!F129</f>
        <v>0</v>
      </c>
      <c r="I134" s="267">
        <f>'03-GTHT DOT...'!G129</f>
        <v>0</v>
      </c>
      <c r="J134" s="391">
        <f>'03-GTHT DOT...'!H129</f>
        <v>0</v>
      </c>
      <c r="K134" s="391">
        <f>'03-GTHT DOT...'!I129</f>
        <v>0</v>
      </c>
      <c r="L134" s="391">
        <f>'03-GTHT DOT...'!J129</f>
        <v>0</v>
      </c>
      <c r="M134" s="269">
        <f t="shared" si="5"/>
        <v>0</v>
      </c>
      <c r="N134" s="270">
        <f t="shared" si="6"/>
        <v>0</v>
      </c>
      <c r="O134" s="271"/>
      <c r="P134" s="271"/>
      <c r="Q134" s="271"/>
    </row>
    <row r="135" spans="1:17" s="272" customFormat="1" ht="33">
      <c r="A135" s="263"/>
      <c r="B135" s="264" t="s">
        <v>249</v>
      </c>
      <c r="C135" s="265" t="s">
        <v>116</v>
      </c>
      <c r="D135" s="273" t="s">
        <v>268</v>
      </c>
      <c r="E135" s="274">
        <v>116.64000000000001</v>
      </c>
      <c r="F135" s="275"/>
      <c r="G135" s="267">
        <f>'03-GTHT DOT...'!E130</f>
        <v>0</v>
      </c>
      <c r="H135" s="267">
        <f>'03-GTHT DOT...'!F130</f>
        <v>0</v>
      </c>
      <c r="I135" s="267">
        <f>'03-GTHT DOT...'!G130</f>
        <v>0</v>
      </c>
      <c r="J135" s="391">
        <f>'03-GTHT DOT...'!H130</f>
        <v>0</v>
      </c>
      <c r="K135" s="391">
        <f>'03-GTHT DOT...'!I130</f>
        <v>0</v>
      </c>
      <c r="L135" s="391">
        <f>'03-GTHT DOT...'!J130</f>
        <v>0</v>
      </c>
      <c r="M135" s="269">
        <f t="shared" si="5"/>
        <v>116.64000000000001</v>
      </c>
      <c r="N135" s="270">
        <f t="shared" si="6"/>
        <v>0</v>
      </c>
      <c r="O135" s="271"/>
      <c r="P135" s="271"/>
      <c r="Q135" s="271"/>
    </row>
    <row r="136" spans="1:17" s="272" customFormat="1" ht="33">
      <c r="A136" s="263"/>
      <c r="B136" s="264" t="s">
        <v>250</v>
      </c>
      <c r="C136" s="265" t="s">
        <v>116</v>
      </c>
      <c r="D136" s="273" t="s">
        <v>268</v>
      </c>
      <c r="E136" s="274">
        <v>116.64000000000001</v>
      </c>
      <c r="F136" s="275"/>
      <c r="G136" s="267">
        <f>'03-GTHT DOT...'!E131</f>
        <v>0</v>
      </c>
      <c r="H136" s="267">
        <f>'03-GTHT DOT...'!F131</f>
        <v>0</v>
      </c>
      <c r="I136" s="267">
        <f>'03-GTHT DOT...'!G131</f>
        <v>0</v>
      </c>
      <c r="J136" s="391">
        <f>'03-GTHT DOT...'!H131</f>
        <v>0</v>
      </c>
      <c r="K136" s="391">
        <f>'03-GTHT DOT...'!I131</f>
        <v>0</v>
      </c>
      <c r="L136" s="391">
        <f>'03-GTHT DOT...'!J131</f>
        <v>0</v>
      </c>
      <c r="M136" s="269">
        <f t="shared" si="5"/>
        <v>116.64000000000001</v>
      </c>
      <c r="N136" s="270">
        <f t="shared" si="6"/>
        <v>0</v>
      </c>
      <c r="O136" s="271"/>
      <c r="P136" s="271"/>
      <c r="Q136" s="271"/>
    </row>
    <row r="137" spans="1:17" s="272" customFormat="1" ht="33">
      <c r="A137" s="263"/>
      <c r="B137" s="264" t="s">
        <v>251</v>
      </c>
      <c r="C137" s="265" t="s">
        <v>116</v>
      </c>
      <c r="D137" s="273" t="s">
        <v>268</v>
      </c>
      <c r="E137" s="274">
        <v>116.64000000000001</v>
      </c>
      <c r="F137" s="275"/>
      <c r="G137" s="267">
        <f>'03-GTHT DOT...'!E132</f>
        <v>0</v>
      </c>
      <c r="H137" s="267">
        <f>'03-GTHT DOT...'!F132</f>
        <v>0</v>
      </c>
      <c r="I137" s="267">
        <f>'03-GTHT DOT...'!G132</f>
        <v>0</v>
      </c>
      <c r="J137" s="391">
        <f>'03-GTHT DOT...'!H132</f>
        <v>0</v>
      </c>
      <c r="K137" s="391">
        <f>'03-GTHT DOT...'!I132</f>
        <v>0</v>
      </c>
      <c r="L137" s="391">
        <f>'03-GTHT DOT...'!J132</f>
        <v>0</v>
      </c>
      <c r="M137" s="269">
        <f t="shared" si="5"/>
        <v>116.64000000000001</v>
      </c>
      <c r="N137" s="270">
        <f t="shared" si="6"/>
        <v>0</v>
      </c>
      <c r="O137" s="271"/>
      <c r="P137" s="271"/>
      <c r="Q137" s="271"/>
    </row>
    <row r="138" spans="1:17" s="272" customFormat="1" ht="33">
      <c r="A138" s="263"/>
      <c r="B138" s="264" t="s">
        <v>252</v>
      </c>
      <c r="C138" s="265" t="s">
        <v>116</v>
      </c>
      <c r="D138" s="273" t="s">
        <v>268</v>
      </c>
      <c r="E138" s="274">
        <v>116.64000000000001</v>
      </c>
      <c r="F138" s="275"/>
      <c r="G138" s="267">
        <f>'03-GTHT DOT...'!E133</f>
        <v>0</v>
      </c>
      <c r="H138" s="267">
        <f>'03-GTHT DOT...'!F133</f>
        <v>0</v>
      </c>
      <c r="I138" s="267">
        <f>'03-GTHT DOT...'!G133</f>
        <v>0</v>
      </c>
      <c r="J138" s="391">
        <f>'03-GTHT DOT...'!H133</f>
        <v>0</v>
      </c>
      <c r="K138" s="391">
        <f>'03-GTHT DOT...'!I133</f>
        <v>0</v>
      </c>
      <c r="L138" s="391">
        <f>'03-GTHT DOT...'!J133</f>
        <v>0</v>
      </c>
      <c r="M138" s="269">
        <f t="shared" si="5"/>
        <v>116.64000000000001</v>
      </c>
      <c r="N138" s="270">
        <f t="shared" si="6"/>
        <v>0</v>
      </c>
      <c r="O138" s="271"/>
      <c r="P138" s="271"/>
      <c r="Q138" s="271"/>
    </row>
    <row r="139" spans="1:17" s="272" customFormat="1" ht="33">
      <c r="A139" s="263"/>
      <c r="B139" s="264" t="s">
        <v>253</v>
      </c>
      <c r="C139" s="265" t="s">
        <v>116</v>
      </c>
      <c r="D139" s="273" t="s">
        <v>268</v>
      </c>
      <c r="E139" s="274">
        <v>116.64000000000001</v>
      </c>
      <c r="F139" s="275"/>
      <c r="G139" s="267">
        <f>'03-GTHT DOT...'!E134</f>
        <v>0</v>
      </c>
      <c r="H139" s="267">
        <f>'03-GTHT DOT...'!F134</f>
        <v>0</v>
      </c>
      <c r="I139" s="267">
        <f>'03-GTHT DOT...'!G134</f>
        <v>0</v>
      </c>
      <c r="J139" s="391">
        <f>'03-GTHT DOT...'!H134</f>
        <v>0</v>
      </c>
      <c r="K139" s="391">
        <f>'03-GTHT DOT...'!I134</f>
        <v>0</v>
      </c>
      <c r="L139" s="391">
        <f>'03-GTHT DOT...'!J134</f>
        <v>0</v>
      </c>
      <c r="M139" s="269">
        <f t="shared" si="5"/>
        <v>116.64000000000001</v>
      </c>
      <c r="N139" s="270">
        <f t="shared" si="6"/>
        <v>0</v>
      </c>
      <c r="O139" s="271"/>
      <c r="P139" s="271"/>
      <c r="Q139" s="271"/>
    </row>
    <row r="140" spans="1:17" s="272" customFormat="1" ht="33">
      <c r="A140" s="263"/>
      <c r="B140" s="264" t="s">
        <v>254</v>
      </c>
      <c r="C140" s="265" t="s">
        <v>264</v>
      </c>
      <c r="D140" s="273" t="s">
        <v>268</v>
      </c>
      <c r="E140" s="274">
        <v>44</v>
      </c>
      <c r="F140" s="275"/>
      <c r="G140" s="267">
        <f>'03-GTHT DOT...'!E135</f>
        <v>0</v>
      </c>
      <c r="H140" s="267">
        <f>'03-GTHT DOT...'!F135</f>
        <v>0</v>
      </c>
      <c r="I140" s="267">
        <f>'03-GTHT DOT...'!G135</f>
        <v>0</v>
      </c>
      <c r="J140" s="391">
        <f>'03-GTHT DOT...'!H135</f>
        <v>0</v>
      </c>
      <c r="K140" s="391">
        <f>'03-GTHT DOT...'!I135</f>
        <v>0</v>
      </c>
      <c r="L140" s="391">
        <f>'03-GTHT DOT...'!J135</f>
        <v>0</v>
      </c>
      <c r="M140" s="269">
        <f t="shared" si="5"/>
        <v>44</v>
      </c>
      <c r="N140" s="270">
        <f t="shared" si="6"/>
        <v>0</v>
      </c>
      <c r="O140" s="271"/>
      <c r="P140" s="271"/>
      <c r="Q140" s="271"/>
    </row>
    <row r="141" spans="1:17" s="272" customFormat="1" ht="33">
      <c r="A141" s="263"/>
      <c r="B141" s="264" t="s">
        <v>255</v>
      </c>
      <c r="C141" s="265" t="s">
        <v>266</v>
      </c>
      <c r="D141" s="273" t="s">
        <v>268</v>
      </c>
      <c r="E141" s="274">
        <v>1</v>
      </c>
      <c r="F141" s="275"/>
      <c r="G141" s="267">
        <f>'03-GTHT DOT...'!E136</f>
        <v>0</v>
      </c>
      <c r="H141" s="267">
        <f>'03-GTHT DOT...'!F136</f>
        <v>0</v>
      </c>
      <c r="I141" s="267">
        <f>'03-GTHT DOT...'!G136</f>
        <v>0</v>
      </c>
      <c r="J141" s="391">
        <f>'03-GTHT DOT...'!H136</f>
        <v>0</v>
      </c>
      <c r="K141" s="391">
        <f>'03-GTHT DOT...'!I136</f>
        <v>0</v>
      </c>
      <c r="L141" s="391">
        <f>'03-GTHT DOT...'!J136</f>
        <v>0</v>
      </c>
      <c r="M141" s="269">
        <f t="shared" si="5"/>
        <v>1</v>
      </c>
      <c r="N141" s="270">
        <f t="shared" si="6"/>
        <v>0</v>
      </c>
      <c r="O141" s="271"/>
      <c r="P141" s="271"/>
      <c r="Q141" s="271"/>
    </row>
    <row r="142" spans="1:17" s="61" customFormat="1" ht="16.5">
      <c r="A142" s="232" t="s">
        <v>98</v>
      </c>
      <c r="B142" s="233" t="s">
        <v>256</v>
      </c>
      <c r="C142" s="234"/>
      <c r="D142" s="238"/>
      <c r="E142" s="240"/>
      <c r="F142" s="262">
        <f>+E142*D142</f>
        <v>0</v>
      </c>
      <c r="G142" s="267">
        <f>'03-GTHT DOT...'!E137</f>
        <v>0</v>
      </c>
      <c r="H142" s="267">
        <f>'03-GTHT DOT...'!F137</f>
        <v>0</v>
      </c>
      <c r="I142" s="267">
        <f>'03-GTHT DOT...'!G137</f>
        <v>0</v>
      </c>
      <c r="J142" s="391">
        <f>'03-GTHT DOT...'!H137</f>
        <v>0</v>
      </c>
      <c r="K142" s="391">
        <f>'03-GTHT DOT...'!I137</f>
        <v>0</v>
      </c>
      <c r="L142" s="391">
        <f>'03-GTHT DOT...'!J137</f>
        <v>0</v>
      </c>
      <c r="M142" s="269">
        <f t="shared" si="5"/>
        <v>0</v>
      </c>
      <c r="N142" s="270">
        <f t="shared" si="6"/>
        <v>0</v>
      </c>
      <c r="O142" s="257"/>
      <c r="P142" s="257"/>
      <c r="Q142" s="257"/>
    </row>
    <row r="143" spans="1:17" s="272" customFormat="1" ht="16.5">
      <c r="A143" s="263">
        <v>11</v>
      </c>
      <c r="B143" s="264" t="s">
        <v>257</v>
      </c>
      <c r="C143" s="265" t="s">
        <v>116</v>
      </c>
      <c r="D143" s="273">
        <v>130000</v>
      </c>
      <c r="E143" s="274">
        <v>5651.7682186749998</v>
      </c>
      <c r="F143" s="275">
        <f>+E143*D143</f>
        <v>734729868.42774999</v>
      </c>
      <c r="G143" s="267">
        <f>'03-GTHT DOT...'!E138</f>
        <v>0</v>
      </c>
      <c r="H143" s="267">
        <f>'03-GTHT DOT...'!F138</f>
        <v>0</v>
      </c>
      <c r="I143" s="267">
        <f>'03-GTHT DOT...'!G138</f>
        <v>0</v>
      </c>
      <c r="J143" s="391">
        <f>'03-GTHT DOT...'!H138</f>
        <v>0</v>
      </c>
      <c r="K143" s="391">
        <f>'03-GTHT DOT...'!I138</f>
        <v>0</v>
      </c>
      <c r="L143" s="391">
        <f>'03-GTHT DOT...'!J138</f>
        <v>0</v>
      </c>
      <c r="M143" s="269">
        <f t="shared" si="5"/>
        <v>5651.7682186749998</v>
      </c>
      <c r="N143" s="270">
        <f t="shared" si="6"/>
        <v>734729868.42774999</v>
      </c>
      <c r="O143" s="271"/>
      <c r="P143" s="271"/>
      <c r="Q143" s="271"/>
    </row>
    <row r="144" spans="1:17" s="272" customFormat="1" ht="33">
      <c r="A144" s="263"/>
      <c r="B144" s="264" t="s">
        <v>258</v>
      </c>
      <c r="C144" s="265" t="s">
        <v>116</v>
      </c>
      <c r="D144" s="273" t="s">
        <v>268</v>
      </c>
      <c r="E144" s="274">
        <v>2745.229859999999</v>
      </c>
      <c r="F144" s="275"/>
      <c r="G144" s="267">
        <f>'03-GTHT DOT...'!E139</f>
        <v>0</v>
      </c>
      <c r="H144" s="267">
        <f>'03-GTHT DOT...'!F139</f>
        <v>0</v>
      </c>
      <c r="I144" s="267">
        <f>'03-GTHT DOT...'!G139</f>
        <v>0</v>
      </c>
      <c r="J144" s="391">
        <f>'03-GTHT DOT...'!H139</f>
        <v>0</v>
      </c>
      <c r="K144" s="391">
        <f>'03-GTHT DOT...'!I139</f>
        <v>0</v>
      </c>
      <c r="L144" s="391">
        <f>'03-GTHT DOT...'!J139</f>
        <v>0</v>
      </c>
      <c r="M144" s="269">
        <f t="shared" ref="M144:M152" si="7">E144-I144</f>
        <v>2745.229859999999</v>
      </c>
      <c r="N144" s="270">
        <f t="shared" ref="N144:N152" si="8">F144-L144</f>
        <v>0</v>
      </c>
      <c r="O144" s="271"/>
      <c r="P144" s="271"/>
      <c r="Q144" s="271"/>
    </row>
    <row r="145" spans="1:17" s="272" customFormat="1" ht="33">
      <c r="A145" s="263"/>
      <c r="B145" s="264" t="s">
        <v>211</v>
      </c>
      <c r="C145" s="265" t="s">
        <v>116</v>
      </c>
      <c r="D145" s="273" t="s">
        <v>268</v>
      </c>
      <c r="E145" s="274">
        <v>2745.229859999999</v>
      </c>
      <c r="F145" s="275"/>
      <c r="G145" s="267">
        <f>'03-GTHT DOT...'!E140</f>
        <v>0</v>
      </c>
      <c r="H145" s="267">
        <f>'03-GTHT DOT...'!F140</f>
        <v>0</v>
      </c>
      <c r="I145" s="267">
        <f>'03-GTHT DOT...'!G140</f>
        <v>0</v>
      </c>
      <c r="J145" s="391">
        <f>'03-GTHT DOT...'!H140</f>
        <v>0</v>
      </c>
      <c r="K145" s="391">
        <f>'03-GTHT DOT...'!I140</f>
        <v>0</v>
      </c>
      <c r="L145" s="391">
        <f>'03-GTHT DOT...'!J140</f>
        <v>0</v>
      </c>
      <c r="M145" s="269">
        <f t="shared" si="7"/>
        <v>2745.229859999999</v>
      </c>
      <c r="N145" s="270">
        <f t="shared" si="8"/>
        <v>0</v>
      </c>
      <c r="O145" s="271"/>
      <c r="P145" s="271"/>
      <c r="Q145" s="271"/>
    </row>
    <row r="146" spans="1:17" s="272" customFormat="1" ht="33">
      <c r="A146" s="263"/>
      <c r="B146" s="264" t="s">
        <v>213</v>
      </c>
      <c r="C146" s="265" t="s">
        <v>116</v>
      </c>
      <c r="D146" s="273" t="s">
        <v>268</v>
      </c>
      <c r="E146" s="274">
        <v>2745.229859999999</v>
      </c>
      <c r="F146" s="275"/>
      <c r="G146" s="267">
        <f>'03-GTHT DOT...'!E141</f>
        <v>0</v>
      </c>
      <c r="H146" s="267">
        <f>'03-GTHT DOT...'!F141</f>
        <v>0</v>
      </c>
      <c r="I146" s="267">
        <f>'03-GTHT DOT...'!G141</f>
        <v>0</v>
      </c>
      <c r="J146" s="391">
        <f>'03-GTHT DOT...'!H141</f>
        <v>0</v>
      </c>
      <c r="K146" s="391">
        <f>'03-GTHT DOT...'!I141</f>
        <v>0</v>
      </c>
      <c r="L146" s="391">
        <f>'03-GTHT DOT...'!J141</f>
        <v>0</v>
      </c>
      <c r="M146" s="269">
        <f t="shared" si="7"/>
        <v>2745.229859999999</v>
      </c>
      <c r="N146" s="270">
        <f t="shared" si="8"/>
        <v>0</v>
      </c>
      <c r="O146" s="271"/>
      <c r="P146" s="271"/>
      <c r="Q146" s="271"/>
    </row>
    <row r="147" spans="1:17" s="272" customFormat="1" ht="16.5">
      <c r="A147" s="263">
        <v>12</v>
      </c>
      <c r="B147" s="264" t="s">
        <v>259</v>
      </c>
      <c r="C147" s="265" t="s">
        <v>116</v>
      </c>
      <c r="D147" s="273">
        <v>82715</v>
      </c>
      <c r="E147" s="274">
        <v>2745.229859999999</v>
      </c>
      <c r="F147" s="275">
        <f>+E147*D147</f>
        <v>227071687.86989993</v>
      </c>
      <c r="G147" s="267">
        <f>'03-GTHT DOT...'!E142</f>
        <v>0</v>
      </c>
      <c r="H147" s="267">
        <f>'03-GTHT DOT...'!F142</f>
        <v>0</v>
      </c>
      <c r="I147" s="267">
        <f>'03-GTHT DOT...'!G142</f>
        <v>0</v>
      </c>
      <c r="J147" s="391">
        <f>'03-GTHT DOT...'!H142</f>
        <v>0</v>
      </c>
      <c r="K147" s="391">
        <f>'03-GTHT DOT...'!I142</f>
        <v>0</v>
      </c>
      <c r="L147" s="391">
        <f>'03-GTHT DOT...'!J142</f>
        <v>0</v>
      </c>
      <c r="M147" s="269">
        <f t="shared" si="7"/>
        <v>2745.229859999999</v>
      </c>
      <c r="N147" s="270">
        <f t="shared" si="8"/>
        <v>227071687.86989993</v>
      </c>
      <c r="O147" s="271"/>
      <c r="P147" s="271"/>
      <c r="Q147" s="271"/>
    </row>
    <row r="148" spans="1:17" s="272" customFormat="1" ht="16.5">
      <c r="A148" s="263">
        <v>13</v>
      </c>
      <c r="B148" s="264" t="s">
        <v>163</v>
      </c>
      <c r="C148" s="265" t="s">
        <v>116</v>
      </c>
      <c r="D148" s="273">
        <v>250000</v>
      </c>
      <c r="E148" s="274">
        <v>35.35</v>
      </c>
      <c r="F148" s="275">
        <f>+E148*D148</f>
        <v>8837500</v>
      </c>
      <c r="G148" s="267">
        <f>'03-GTHT DOT...'!E143</f>
        <v>0</v>
      </c>
      <c r="H148" s="267">
        <f>'03-GTHT DOT...'!F143</f>
        <v>0</v>
      </c>
      <c r="I148" s="267">
        <f>'03-GTHT DOT...'!G143</f>
        <v>0</v>
      </c>
      <c r="J148" s="391">
        <f>'03-GTHT DOT...'!H143</f>
        <v>0</v>
      </c>
      <c r="K148" s="391">
        <f>'03-GTHT DOT...'!I143</f>
        <v>0</v>
      </c>
      <c r="L148" s="391">
        <f>'03-GTHT DOT...'!J143</f>
        <v>0</v>
      </c>
      <c r="M148" s="269">
        <f t="shared" si="7"/>
        <v>35.35</v>
      </c>
      <c r="N148" s="270">
        <f t="shared" si="8"/>
        <v>8837500</v>
      </c>
      <c r="O148" s="271"/>
      <c r="P148" s="271"/>
      <c r="Q148" s="271"/>
    </row>
    <row r="149" spans="1:17" s="272" customFormat="1" ht="33">
      <c r="A149" s="263">
        <v>14</v>
      </c>
      <c r="B149" s="264" t="s">
        <v>260</v>
      </c>
      <c r="C149" s="265" t="s">
        <v>116</v>
      </c>
      <c r="D149" s="273" t="s">
        <v>268</v>
      </c>
      <c r="E149" s="274">
        <v>4887.0996739849979</v>
      </c>
      <c r="F149" s="275"/>
      <c r="G149" s="267">
        <f>'03-GTHT DOT...'!E144</f>
        <v>0</v>
      </c>
      <c r="H149" s="267">
        <f>'03-GTHT DOT...'!F144</f>
        <v>0</v>
      </c>
      <c r="I149" s="267">
        <f>'03-GTHT DOT...'!G144</f>
        <v>0</v>
      </c>
      <c r="J149" s="391">
        <f>'03-GTHT DOT...'!H144</f>
        <v>0</v>
      </c>
      <c r="K149" s="391">
        <f>'03-GTHT DOT...'!I144</f>
        <v>0</v>
      </c>
      <c r="L149" s="391">
        <f>'03-GTHT DOT...'!J144</f>
        <v>0</v>
      </c>
      <c r="M149" s="269">
        <f t="shared" si="7"/>
        <v>4887.0996739849979</v>
      </c>
      <c r="N149" s="270">
        <f t="shared" si="8"/>
        <v>0</v>
      </c>
      <c r="O149" s="271"/>
      <c r="P149" s="271"/>
      <c r="Q149" s="271"/>
    </row>
    <row r="150" spans="1:17" s="272" customFormat="1" ht="33">
      <c r="A150" s="263">
        <v>15</v>
      </c>
      <c r="B150" s="264" t="s">
        <v>213</v>
      </c>
      <c r="C150" s="265" t="s">
        <v>116</v>
      </c>
      <c r="D150" s="273" t="s">
        <v>268</v>
      </c>
      <c r="E150" s="274">
        <v>4887.0996739849979</v>
      </c>
      <c r="F150" s="275"/>
      <c r="G150" s="267">
        <f>'03-GTHT DOT...'!E145</f>
        <v>0</v>
      </c>
      <c r="H150" s="267">
        <f>'03-GTHT DOT...'!F145</f>
        <v>0</v>
      </c>
      <c r="I150" s="267">
        <f>'03-GTHT DOT...'!G145</f>
        <v>0</v>
      </c>
      <c r="J150" s="391">
        <f>'03-GTHT DOT...'!H145</f>
        <v>0</v>
      </c>
      <c r="K150" s="391">
        <f>'03-GTHT DOT...'!I145</f>
        <v>0</v>
      </c>
      <c r="L150" s="391">
        <f>'03-GTHT DOT...'!J145</f>
        <v>0</v>
      </c>
      <c r="M150" s="269">
        <f t="shared" si="7"/>
        <v>4887.0996739849979</v>
      </c>
      <c r="N150" s="270">
        <f t="shared" si="8"/>
        <v>0</v>
      </c>
      <c r="O150" s="271"/>
      <c r="P150" s="271"/>
      <c r="Q150" s="271"/>
    </row>
    <row r="151" spans="1:17" s="272" customFormat="1" ht="16.5">
      <c r="A151" s="263">
        <v>16</v>
      </c>
      <c r="B151" s="264" t="s">
        <v>261</v>
      </c>
      <c r="C151" s="265" t="s">
        <v>116</v>
      </c>
      <c r="D151" s="273">
        <v>82715</v>
      </c>
      <c r="E151" s="274">
        <v>0</v>
      </c>
      <c r="F151" s="275">
        <f>+E151*D151</f>
        <v>0</v>
      </c>
      <c r="G151" s="267">
        <f>'03-GTHT DOT...'!E146</f>
        <v>0</v>
      </c>
      <c r="H151" s="267">
        <f>'03-GTHT DOT...'!F146</f>
        <v>0</v>
      </c>
      <c r="I151" s="267">
        <f>'03-GTHT DOT...'!G146</f>
        <v>0</v>
      </c>
      <c r="J151" s="391">
        <f>'03-GTHT DOT...'!H146</f>
        <v>0</v>
      </c>
      <c r="K151" s="391">
        <f>'03-GTHT DOT...'!I146</f>
        <v>0</v>
      </c>
      <c r="L151" s="391">
        <f>'03-GTHT DOT...'!J146</f>
        <v>0</v>
      </c>
      <c r="M151" s="269">
        <f t="shared" si="7"/>
        <v>0</v>
      </c>
      <c r="N151" s="270">
        <f t="shared" si="8"/>
        <v>0</v>
      </c>
      <c r="O151" s="271"/>
      <c r="P151" s="271"/>
      <c r="Q151" s="271"/>
    </row>
    <row r="152" spans="1:17" s="272" customFormat="1" ht="16.5">
      <c r="A152" s="263">
        <v>17</v>
      </c>
      <c r="B152" s="264" t="s">
        <v>163</v>
      </c>
      <c r="C152" s="265" t="s">
        <v>116</v>
      </c>
      <c r="D152" s="273">
        <v>250000</v>
      </c>
      <c r="E152" s="274">
        <v>5220.8900000000003</v>
      </c>
      <c r="F152" s="277">
        <f>+E152*D152</f>
        <v>1305222500</v>
      </c>
      <c r="G152" s="267">
        <f>'03-GTHT DOT...'!E147</f>
        <v>0</v>
      </c>
      <c r="H152" s="267">
        <f>'03-GTHT DOT...'!F147</f>
        <v>0</v>
      </c>
      <c r="I152" s="267">
        <f>'03-GTHT DOT...'!G147</f>
        <v>0</v>
      </c>
      <c r="J152" s="391">
        <f>'03-GTHT DOT...'!H147</f>
        <v>0</v>
      </c>
      <c r="K152" s="391">
        <f>'03-GTHT DOT...'!I147</f>
        <v>0</v>
      </c>
      <c r="L152" s="391">
        <f>'03-GTHT DOT...'!J147</f>
        <v>0</v>
      </c>
      <c r="M152" s="269">
        <f t="shared" si="7"/>
        <v>5220.8900000000003</v>
      </c>
      <c r="N152" s="270">
        <f t="shared" si="8"/>
        <v>1305222500</v>
      </c>
      <c r="O152" s="271"/>
      <c r="P152" s="271"/>
      <c r="Q152" s="271"/>
    </row>
    <row r="153" spans="1:17" s="60" customFormat="1" ht="24" customHeight="1">
      <c r="A153" s="217"/>
      <c r="B153" s="218" t="s">
        <v>55</v>
      </c>
      <c r="C153" s="241"/>
      <c r="D153" s="241"/>
      <c r="E153" s="242"/>
      <c r="F153" s="243">
        <f>+SUBTOTAL(9,F13:F152)</f>
        <v>14715377886.462536</v>
      </c>
      <c r="G153" s="242"/>
      <c r="H153" s="242"/>
      <c r="I153" s="244"/>
      <c r="J153" s="242">
        <f>+SUBTOTAL(9,J13:J152)</f>
        <v>1989051752</v>
      </c>
      <c r="K153" s="242">
        <f>+SUBTOTAL(9,K13:K152)</f>
        <v>1636553977</v>
      </c>
      <c r="L153" s="242">
        <f>+SUBTOTAL(9,L13:L152)</f>
        <v>3625605729</v>
      </c>
      <c r="M153" s="245"/>
      <c r="N153" s="242">
        <f>+SUBTOTAL(9,N13:N152)</f>
        <v>11089772157.462536</v>
      </c>
      <c r="O153" s="77"/>
      <c r="P153" s="77"/>
      <c r="Q153" s="77"/>
    </row>
    <row r="154" spans="1:17" s="79" customFormat="1" ht="24" customHeight="1">
      <c r="A154" s="246"/>
      <c r="B154" s="218" t="s">
        <v>52</v>
      </c>
      <c r="C154" s="246"/>
      <c r="D154" s="247"/>
      <c r="E154" s="248"/>
      <c r="F154" s="221">
        <f>F153*8%</f>
        <v>1177230230.9170029</v>
      </c>
      <c r="G154" s="249"/>
      <c r="H154" s="249"/>
      <c r="I154" s="244"/>
      <c r="J154" s="221">
        <f>+J153*0.08</f>
        <v>159124140.16</v>
      </c>
      <c r="K154" s="221">
        <f>+ROUND(K153*0.08,0)</f>
        <v>130924318</v>
      </c>
      <c r="L154" s="221">
        <f>+ROUND(L153*0.08,0)</f>
        <v>290048458</v>
      </c>
      <c r="M154" s="245"/>
      <c r="N154" s="221">
        <f>+ROUND(N153*0.08,0)</f>
        <v>887181773</v>
      </c>
      <c r="O154" s="77"/>
      <c r="P154" s="77"/>
      <c r="Q154" s="77"/>
    </row>
    <row r="155" spans="1:17" s="79" customFormat="1" ht="24" customHeight="1">
      <c r="A155" s="246"/>
      <c r="B155" s="218" t="s">
        <v>43</v>
      </c>
      <c r="C155" s="246"/>
      <c r="D155" s="250"/>
      <c r="E155" s="251"/>
      <c r="F155" s="221">
        <f>F153+F154</f>
        <v>15892608117.379539</v>
      </c>
      <c r="G155" s="249"/>
      <c r="H155" s="249"/>
      <c r="I155" s="249"/>
      <c r="J155" s="221">
        <f>SUM(J153:J154)</f>
        <v>2148175892.1599998</v>
      </c>
      <c r="K155" s="221">
        <f>SUM(K153:K154)</f>
        <v>1767478295</v>
      </c>
      <c r="L155" s="221">
        <f>+K155+J155</f>
        <v>3915654187.1599998</v>
      </c>
      <c r="M155" s="245"/>
      <c r="N155" s="221">
        <f>SUM(N153:N154)</f>
        <v>11976953930.462536</v>
      </c>
      <c r="O155" s="77"/>
      <c r="P155" s="77"/>
      <c r="Q155" s="77"/>
    </row>
    <row r="158" spans="1:17">
      <c r="F158" s="65"/>
    </row>
  </sheetData>
  <mergeCells count="14">
    <mergeCell ref="E5:G6"/>
    <mergeCell ref="A2:N2"/>
    <mergeCell ref="A3:N3"/>
    <mergeCell ref="A4:N4"/>
    <mergeCell ref="K5:N6"/>
    <mergeCell ref="B5:D6"/>
    <mergeCell ref="A10:A11"/>
    <mergeCell ref="E10:F10"/>
    <mergeCell ref="C10:C11"/>
    <mergeCell ref="M10:N10"/>
    <mergeCell ref="D10:D11"/>
    <mergeCell ref="J10:L10"/>
    <mergeCell ref="G10:I10"/>
    <mergeCell ref="B10:B11"/>
  </mergeCells>
  <phoneticPr fontId="180" type="noConversion"/>
  <printOptions horizontalCentered="1"/>
  <pageMargins left="0.59055118110236227" right="7.874015748031496E-2" top="0.39370078740157483" bottom="0.39370078740157483" header="7.874015748031496E-2" footer="7.874015748031496E-2"/>
  <pageSetup paperSize="9" scale="53" fitToHeight="0" orientation="landscape" blackAndWhite="1" r:id="rId1"/>
  <headerFooter>
    <oddFooter>&amp;C&amp;11Page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3C45-EE5F-46CB-A62C-BA81E58C7E74}">
  <sheetPr codeName="Sheet4"/>
  <dimension ref="A2:R42"/>
  <sheetViews>
    <sheetView view="pageBreakPreview" topLeftCell="A7" zoomScale="70" zoomScaleNormal="85" zoomScaleSheetLayoutView="70" workbookViewId="0">
      <selection activeCell="B33" sqref="B33"/>
    </sheetView>
  </sheetViews>
  <sheetFormatPr defaultColWidth="8" defaultRowHeight="13.5"/>
  <cols>
    <col min="1" max="1" width="5" style="59" customWidth="1"/>
    <col min="2" max="2" width="46.5" style="59" customWidth="1"/>
    <col min="3" max="3" width="7" style="59" customWidth="1"/>
    <col min="4" max="4" width="16.125" style="59" customWidth="1"/>
    <col min="5" max="5" width="14.875" style="59" customWidth="1"/>
    <col min="6" max="6" width="15.625" style="59" customWidth="1"/>
    <col min="7" max="7" width="16.5" style="59" customWidth="1"/>
    <col min="8" max="8" width="14.5" style="59" customWidth="1"/>
    <col min="9" max="9" width="16.25" style="59" customWidth="1"/>
    <col min="10" max="10" width="17.5" style="59" customWidth="1"/>
    <col min="11" max="11" width="17" style="59" customWidth="1"/>
    <col min="12" max="12" width="19.5" style="59" customWidth="1"/>
    <col min="13" max="13" width="15.25" style="59" customWidth="1"/>
    <col min="14" max="14" width="18.375" style="59" customWidth="1"/>
    <col min="15" max="15" width="18.25" style="59" bestFit="1" customWidth="1"/>
    <col min="16" max="16" width="15.125" style="59" bestFit="1" customWidth="1"/>
    <col min="17" max="17" width="12.375" style="59" bestFit="1" customWidth="1"/>
    <col min="18" max="18" width="13.375" style="59" bestFit="1" customWidth="1"/>
    <col min="19" max="16384" width="8" style="59"/>
  </cols>
  <sheetData>
    <row r="2" spans="1:17" ht="22.5" customHeight="1">
      <c r="A2" s="775" t="str">
        <f>'02.1-ĐNTT'!A2:N2</f>
        <v>Dự án: Dự án đầu tư xây dựng nhà ở cao tầng kết hợp thương mại dịch vụ và nhà ở thấp tầng Sunshine Crystal River</v>
      </c>
      <c r="B2" s="775"/>
      <c r="C2" s="775"/>
      <c r="D2" s="775"/>
      <c r="E2" s="775"/>
      <c r="F2" s="775"/>
      <c r="G2" s="775"/>
      <c r="H2" s="775"/>
      <c r="I2" s="775"/>
      <c r="J2" s="775"/>
      <c r="K2" s="775"/>
      <c r="L2" s="775"/>
      <c r="M2" s="775"/>
      <c r="N2" s="64"/>
      <c r="O2" s="77"/>
      <c r="P2" s="77"/>
      <c r="Q2" s="77"/>
    </row>
    <row r="3" spans="1:17" ht="21.95" customHeight="1">
      <c r="A3" s="773" t="s">
        <v>8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3"/>
      <c r="N3" s="773"/>
      <c r="O3" s="77"/>
      <c r="P3" s="77"/>
      <c r="Q3" s="77"/>
    </row>
    <row r="4" spans="1:17" ht="21.95" customHeight="1">
      <c r="A4" s="774"/>
      <c r="B4" s="774"/>
      <c r="C4" s="774"/>
      <c r="D4" s="774"/>
      <c r="E4" s="774"/>
      <c r="F4" s="774"/>
      <c r="G4" s="774"/>
      <c r="H4" s="774"/>
      <c r="I4" s="774"/>
      <c r="J4" s="774"/>
      <c r="K4" s="774"/>
      <c r="L4" s="774"/>
      <c r="M4" s="774"/>
      <c r="N4" s="774"/>
      <c r="O4" s="77"/>
      <c r="P4" s="77"/>
      <c r="Q4" s="77"/>
    </row>
    <row r="5" spans="1:17" ht="54" customHeight="1">
      <c r="A5" s="60"/>
      <c r="B5" s="61" t="str">
        <f>'02.1-ĐNTT'!B5:D6</f>
        <v>Thầu phụ: Công ty Cổ phần Đầu tư Xây dựng Hoàng Long Group</v>
      </c>
      <c r="C5" s="61"/>
      <c r="D5" s="61"/>
      <c r="E5" s="61"/>
      <c r="F5" s="61" t="str">
        <f>'02.1-ĐNTT'!E5</f>
        <v>Hợp đồng số: 21/2025/CT01/SM-HL</v>
      </c>
      <c r="G5" s="61"/>
      <c r="H5" s="61"/>
      <c r="I5" s="61"/>
      <c r="J5" s="80" t="s">
        <v>40</v>
      </c>
      <c r="K5" s="776" t="str">
        <f>'02.1-ĐNTT'!K5:N6</f>
        <v>Ô đất CT01-CT và CT01-TT (được điều chỉnh từ ô đất CT01) thuộc Khu đô thị Nam Thăng Long, giai đoạn III, Phường Phú Thượng, Quận Tây Hồ, Hà Nội</v>
      </c>
      <c r="L5" s="776"/>
      <c r="M5" s="776"/>
      <c r="N5" s="80"/>
    </row>
    <row r="6" spans="1:17" ht="21.95" customHeight="1">
      <c r="A6" s="60"/>
      <c r="B6" s="61" t="str">
        <f>'02.1-ĐNTT'!B7</f>
        <v>Chủ thẻ: Công ty Cổ phần Đầu tư Xây dựng Hoàng Long Group</v>
      </c>
      <c r="C6" s="61"/>
      <c r="D6" s="61"/>
      <c r="E6" s="61"/>
      <c r="F6" s="61" t="str">
        <f>'02.1-ĐNTT'!E7</f>
        <v>Ngân hàng: TMCP Tiên Phong - Chi nhánh Đống Đa</v>
      </c>
      <c r="G6" s="61"/>
      <c r="H6" s="61"/>
      <c r="I6" s="61"/>
      <c r="J6" s="61" t="s">
        <v>32</v>
      </c>
      <c r="K6" s="387" t="str">
        <f>'02.1-ĐNTT'!K7</f>
        <v>02</v>
      </c>
      <c r="L6" s="82"/>
      <c r="M6" s="61"/>
      <c r="N6" s="61"/>
    </row>
    <row r="7" spans="1:17" ht="21.95" customHeight="1">
      <c r="A7" s="60"/>
      <c r="B7" s="61" t="str">
        <f>'02.1-ĐNTT'!B8</f>
        <v>Số tài khoản: 00083589003</v>
      </c>
      <c r="C7" s="61"/>
      <c r="D7" s="61"/>
      <c r="E7" s="61"/>
      <c r="F7" s="61"/>
      <c r="G7" s="61"/>
      <c r="H7" s="61"/>
      <c r="I7" s="61"/>
      <c r="J7" s="61" t="s">
        <v>9</v>
      </c>
      <c r="K7" s="61"/>
      <c r="L7" s="61"/>
      <c r="M7" s="61"/>
      <c r="N7" s="61"/>
    </row>
    <row r="8" spans="1:17" ht="21.95" customHeight="1">
      <c r="A8" s="62"/>
      <c r="B8" s="83"/>
      <c r="C8" s="62"/>
      <c r="D8" s="62"/>
      <c r="E8" s="62"/>
      <c r="F8" s="62"/>
      <c r="G8" s="62"/>
      <c r="H8" s="62"/>
      <c r="I8" s="62"/>
      <c r="J8" s="62"/>
      <c r="K8" s="777" t="s">
        <v>72</v>
      </c>
      <c r="L8" s="777"/>
      <c r="M8" s="777"/>
      <c r="N8" s="62"/>
    </row>
    <row r="9" spans="1:17" ht="24.95" customHeight="1">
      <c r="A9" s="84" t="s">
        <v>76</v>
      </c>
      <c r="B9" s="42"/>
      <c r="C9" s="42"/>
      <c r="D9" s="42"/>
      <c r="E9" s="778">
        <f>E10+E11</f>
        <v>15892608117.379539</v>
      </c>
      <c r="F9" s="778"/>
      <c r="G9" s="46"/>
      <c r="H9" s="42"/>
      <c r="I9" s="42"/>
      <c r="J9" s="42"/>
      <c r="K9" s="779"/>
      <c r="L9" s="779"/>
      <c r="M9" s="779"/>
      <c r="N9" s="42"/>
      <c r="O9" s="77"/>
      <c r="P9" s="77"/>
    </row>
    <row r="10" spans="1:17" ht="24.95" customHeight="1">
      <c r="A10" s="769" t="s">
        <v>74</v>
      </c>
      <c r="B10" s="769"/>
      <c r="C10" s="42"/>
      <c r="D10" s="131"/>
      <c r="E10" s="780">
        <f>'02.1-ĐNTT'!F155</f>
        <v>15892608117.379539</v>
      </c>
      <c r="F10" s="780"/>
      <c r="G10" s="46"/>
      <c r="H10" s="42"/>
      <c r="I10" s="42"/>
      <c r="J10" s="42"/>
      <c r="K10" s="781"/>
      <c r="L10" s="781"/>
      <c r="M10" s="781"/>
      <c r="N10" s="42"/>
      <c r="P10" s="77"/>
    </row>
    <row r="11" spans="1:17" ht="24.95" customHeight="1">
      <c r="A11" s="769" t="s">
        <v>75</v>
      </c>
      <c r="B11" s="769"/>
      <c r="C11" s="42"/>
      <c r="D11" s="131"/>
      <c r="E11" s="780">
        <f>0</f>
        <v>0</v>
      </c>
      <c r="F11" s="780"/>
      <c r="G11" s="46"/>
      <c r="H11" s="42"/>
      <c r="I11" s="42"/>
      <c r="J11" s="42"/>
      <c r="K11" s="781"/>
      <c r="L11" s="781"/>
      <c r="M11" s="781"/>
      <c r="N11" s="42"/>
      <c r="P11" s="77"/>
    </row>
    <row r="12" spans="1:17" ht="24.95" customHeight="1">
      <c r="A12" s="84" t="s">
        <v>78</v>
      </c>
      <c r="B12" s="42"/>
      <c r="C12" s="42"/>
      <c r="D12" s="131"/>
      <c r="E12" s="766">
        <f>E13+E14</f>
        <v>3178521623</v>
      </c>
      <c r="F12" s="766"/>
      <c r="G12" s="42"/>
      <c r="H12" s="42"/>
      <c r="I12" s="42"/>
      <c r="J12" s="42"/>
      <c r="N12" s="42"/>
    </row>
    <row r="13" spans="1:17" ht="24.95" customHeight="1">
      <c r="A13" s="769" t="s">
        <v>79</v>
      </c>
      <c r="B13" s="769"/>
      <c r="C13" s="42"/>
      <c r="D13" s="131"/>
      <c r="E13" s="766">
        <f>ROUND(E10*20%,0)</f>
        <v>3178521623</v>
      </c>
      <c r="F13" s="766"/>
      <c r="G13" s="42"/>
      <c r="H13" s="42"/>
      <c r="I13" s="42"/>
      <c r="J13" s="42"/>
      <c r="K13" s="123"/>
      <c r="L13" s="123"/>
      <c r="M13" s="123"/>
      <c r="N13" s="42"/>
    </row>
    <row r="14" spans="1:17" ht="24.95" customHeight="1">
      <c r="A14" s="769" t="s">
        <v>77</v>
      </c>
      <c r="B14" s="769"/>
      <c r="C14" s="42"/>
      <c r="D14" s="131"/>
      <c r="E14" s="766">
        <v>0</v>
      </c>
      <c r="F14" s="766"/>
      <c r="G14" s="42"/>
      <c r="H14" s="42"/>
      <c r="I14" s="42"/>
      <c r="J14" s="42"/>
      <c r="K14" s="123"/>
      <c r="L14" s="123"/>
      <c r="M14" s="123"/>
      <c r="N14" s="42"/>
    </row>
    <row r="15" spans="1:17" ht="24.95" customHeight="1">
      <c r="A15" s="84" t="s">
        <v>56</v>
      </c>
      <c r="B15" s="42"/>
      <c r="C15" s="42"/>
      <c r="D15" s="131"/>
      <c r="E15" s="770">
        <v>0</v>
      </c>
      <c r="F15" s="770"/>
      <c r="G15" s="85"/>
      <c r="H15" s="42"/>
      <c r="I15" s="42"/>
      <c r="J15" s="42"/>
      <c r="K15" s="42"/>
      <c r="L15" s="42"/>
      <c r="M15" s="42"/>
      <c r="N15" s="42"/>
    </row>
    <row r="16" spans="1:17" ht="24.95" customHeight="1">
      <c r="A16" s="84" t="s">
        <v>57</v>
      </c>
      <c r="B16" s="42"/>
      <c r="C16" s="42"/>
      <c r="D16" s="131"/>
      <c r="E16" s="771">
        <f>'02.1-ĐNTT'!L155</f>
        <v>3915654187.1599998</v>
      </c>
      <c r="F16" s="771"/>
      <c r="G16" s="47"/>
      <c r="H16" s="42"/>
      <c r="I16" s="42"/>
      <c r="J16" s="42"/>
      <c r="K16" s="42"/>
      <c r="L16" s="42"/>
      <c r="M16" s="42"/>
      <c r="N16" s="42"/>
    </row>
    <row r="17" spans="1:18" ht="24.95" customHeight="1">
      <c r="A17" s="84" t="s">
        <v>58</v>
      </c>
      <c r="B17" s="42"/>
      <c r="C17" s="42"/>
      <c r="D17" s="131"/>
      <c r="E17" s="766">
        <f>'02.1-ĐNTT'!K155</f>
        <v>1767478295</v>
      </c>
      <c r="F17" s="766"/>
      <c r="G17" s="86"/>
      <c r="H17" s="42"/>
      <c r="I17" s="42"/>
      <c r="J17" s="42"/>
      <c r="K17" s="42"/>
      <c r="L17" s="42"/>
      <c r="M17" s="42"/>
      <c r="N17" s="42"/>
      <c r="P17" s="65"/>
    </row>
    <row r="18" spans="1:18" ht="24.95" customHeight="1">
      <c r="A18" s="767" t="s">
        <v>70</v>
      </c>
      <c r="B18" s="767"/>
      <c r="C18" s="42"/>
      <c r="D18" s="131"/>
      <c r="E18" s="763">
        <f>'02.1-ĐNTT'!K155</f>
        <v>1767478295</v>
      </c>
      <c r="F18" s="763"/>
      <c r="G18" s="86"/>
      <c r="H18" s="42"/>
      <c r="I18" s="42"/>
      <c r="J18" s="42"/>
      <c r="K18" s="42"/>
      <c r="L18" s="42"/>
      <c r="M18" s="42"/>
      <c r="N18" s="42"/>
      <c r="P18" s="65"/>
    </row>
    <row r="19" spans="1:18" ht="24.95" customHeight="1">
      <c r="A19" s="767" t="s">
        <v>71</v>
      </c>
      <c r="B19" s="767"/>
      <c r="C19" s="42"/>
      <c r="D19" s="131"/>
      <c r="E19" s="763">
        <v>0</v>
      </c>
      <c r="F19" s="763"/>
      <c r="G19" s="86"/>
      <c r="H19" s="42"/>
      <c r="I19" s="42"/>
      <c r="J19" s="42"/>
      <c r="K19" s="42"/>
      <c r="L19" s="42"/>
      <c r="M19" s="42"/>
      <c r="N19" s="42"/>
      <c r="P19" s="65"/>
    </row>
    <row r="20" spans="1:18" ht="24.95" customHeight="1">
      <c r="A20" s="84" t="s">
        <v>80</v>
      </c>
      <c r="B20" s="42"/>
      <c r="C20" s="42"/>
      <c r="D20" s="131"/>
      <c r="E20" s="766">
        <f>E21+E22+E23+E24+E25</f>
        <v>1307099570</v>
      </c>
      <c r="F20" s="766"/>
      <c r="G20" s="86"/>
      <c r="H20" s="42"/>
      <c r="I20" s="42"/>
      <c r="J20" s="85"/>
      <c r="K20" s="42"/>
      <c r="L20" s="67"/>
      <c r="M20" s="42"/>
      <c r="N20" s="42"/>
      <c r="P20" s="65"/>
    </row>
    <row r="21" spans="1:18" ht="24.95" customHeight="1">
      <c r="A21" s="42"/>
      <c r="B21" s="87" t="s">
        <v>59</v>
      </c>
      <c r="C21" s="42"/>
      <c r="D21" s="131"/>
      <c r="E21" s="763">
        <v>1307099570</v>
      </c>
      <c r="F21" s="763"/>
      <c r="G21" s="86"/>
      <c r="H21" s="42"/>
      <c r="I21" s="42"/>
      <c r="J21" s="42"/>
      <c r="K21" s="67"/>
      <c r="L21" s="42"/>
      <c r="M21" s="42"/>
      <c r="N21" s="42"/>
      <c r="P21" s="88"/>
    </row>
    <row r="22" spans="1:18" ht="24.95" customHeight="1">
      <c r="A22" s="42"/>
      <c r="B22" s="87" t="s">
        <v>60</v>
      </c>
      <c r="C22" s="42"/>
      <c r="D22" s="131"/>
      <c r="E22" s="768">
        <v>0</v>
      </c>
      <c r="F22" s="768"/>
      <c r="G22" s="89"/>
      <c r="H22" s="42"/>
      <c r="I22" s="90"/>
      <c r="J22" s="48"/>
      <c r="K22" s="68"/>
      <c r="L22" s="42"/>
      <c r="M22" s="42"/>
      <c r="N22" s="42"/>
      <c r="P22" s="88"/>
    </row>
    <row r="23" spans="1:18" ht="24.95" customHeight="1">
      <c r="A23" s="42"/>
      <c r="B23" s="87" t="s">
        <v>61</v>
      </c>
      <c r="C23" s="42"/>
      <c r="D23" s="131"/>
      <c r="E23" s="763">
        <v>0</v>
      </c>
      <c r="F23" s="763"/>
      <c r="M23" s="42"/>
      <c r="N23" s="42"/>
      <c r="O23" s="96"/>
      <c r="P23" s="88"/>
    </row>
    <row r="24" spans="1:18" ht="24.95" customHeight="1">
      <c r="A24" s="42"/>
      <c r="B24" s="87" t="s">
        <v>62</v>
      </c>
      <c r="C24" s="42"/>
      <c r="D24" s="131"/>
      <c r="E24" s="763">
        <v>0</v>
      </c>
      <c r="F24" s="763"/>
      <c r="G24" s="89" t="s">
        <v>81</v>
      </c>
      <c r="H24" s="42"/>
      <c r="I24" s="90"/>
      <c r="J24" s="765"/>
      <c r="K24" s="765"/>
      <c r="L24" s="42"/>
      <c r="M24" s="42"/>
      <c r="N24" s="42"/>
      <c r="P24" s="88"/>
    </row>
    <row r="25" spans="1:18" ht="24.95" customHeight="1">
      <c r="A25" s="42"/>
      <c r="B25" s="87" t="s">
        <v>63</v>
      </c>
      <c r="C25" s="42"/>
      <c r="D25" s="131"/>
      <c r="E25" s="763">
        <v>0</v>
      </c>
      <c r="F25" s="763"/>
      <c r="G25" s="89" t="s">
        <v>17</v>
      </c>
      <c r="H25" s="42"/>
      <c r="I25" s="42"/>
      <c r="J25" s="124"/>
      <c r="K25" s="124"/>
      <c r="L25" s="87"/>
      <c r="M25" s="42"/>
      <c r="N25" s="42"/>
    </row>
    <row r="26" spans="1:18" ht="24.95" customHeight="1">
      <c r="A26" s="84" t="s">
        <v>309</v>
      </c>
      <c r="B26" s="42"/>
      <c r="C26" s="42"/>
      <c r="D26" s="131"/>
      <c r="E26" s="764">
        <f>ROUND(E16*10%,0)</f>
        <v>391565419</v>
      </c>
      <c r="F26" s="764"/>
      <c r="G26" s="91" t="s">
        <v>64</v>
      </c>
      <c r="H26" s="42"/>
      <c r="I26" s="42"/>
      <c r="J26" s="124"/>
      <c r="K26" s="124">
        <v>0</v>
      </c>
      <c r="L26" s="87"/>
      <c r="M26" s="42"/>
      <c r="N26" s="42"/>
    </row>
    <row r="27" spans="1:18" ht="24.95" customHeight="1">
      <c r="A27" s="84" t="s">
        <v>310</v>
      </c>
      <c r="B27" s="84"/>
      <c r="C27" s="84"/>
      <c r="D27" s="132"/>
      <c r="E27" s="764">
        <f>ROUND(E16*E12/(E9*0.8),0)</f>
        <v>978913547</v>
      </c>
      <c r="F27" s="764"/>
      <c r="G27" s="91" t="s">
        <v>65</v>
      </c>
      <c r="H27" s="42"/>
      <c r="I27" s="42"/>
      <c r="J27" s="124"/>
      <c r="K27" s="124">
        <v>0</v>
      </c>
      <c r="L27" s="87"/>
      <c r="M27" s="42"/>
      <c r="N27" s="42"/>
      <c r="O27" s="94"/>
    </row>
    <row r="28" spans="1:18" ht="24.95" customHeight="1">
      <c r="A28" s="84" t="s">
        <v>67</v>
      </c>
      <c r="B28" s="42"/>
      <c r="C28" s="42"/>
      <c r="D28" s="131"/>
      <c r="E28" s="764">
        <v>0</v>
      </c>
      <c r="F28" s="764"/>
      <c r="G28" s="91" t="s">
        <v>66</v>
      </c>
      <c r="H28" s="42"/>
      <c r="I28" s="92"/>
      <c r="J28" s="760">
        <f>+'đối trừ đợt 2'!J26</f>
        <v>19363984</v>
      </c>
      <c r="K28" s="760"/>
      <c r="L28" s="93"/>
      <c r="M28" s="42"/>
      <c r="N28" s="42"/>
      <c r="O28" s="94"/>
    </row>
    <row r="29" spans="1:18" ht="24.95" customHeight="1">
      <c r="A29" s="84" t="s">
        <v>93</v>
      </c>
      <c r="B29" s="42"/>
      <c r="C29" s="42"/>
      <c r="D29" s="131"/>
      <c r="E29" s="758">
        <f>E20+E26+E27+E28</f>
        <v>2677578536</v>
      </c>
      <c r="F29" s="759"/>
      <c r="G29" s="91" t="s">
        <v>68</v>
      </c>
      <c r="H29" s="42"/>
      <c r="I29" s="42"/>
      <c r="J29" s="760">
        <v>0</v>
      </c>
      <c r="K29" s="760"/>
      <c r="L29" s="95"/>
      <c r="M29" s="42"/>
      <c r="N29" s="42"/>
      <c r="O29" s="45"/>
      <c r="P29" s="772">
        <v>1338599570.1697693</v>
      </c>
      <c r="Q29" s="772"/>
    </row>
    <row r="30" spans="1:18" ht="24.95" customHeight="1">
      <c r="A30" s="84" t="s">
        <v>69</v>
      </c>
      <c r="B30" s="42"/>
      <c r="C30" s="42"/>
      <c r="D30" s="131"/>
      <c r="E30" s="761">
        <f>E16-E29</f>
        <v>1238075651.1599998</v>
      </c>
      <c r="F30" s="761"/>
      <c r="G30" s="762" t="s">
        <v>92</v>
      </c>
      <c r="H30" s="762"/>
      <c r="I30" s="762"/>
      <c r="J30" s="760">
        <f>E30-J24</f>
        <v>1238075651.1599998</v>
      </c>
      <c r="K30" s="760"/>
      <c r="L30" s="84" t="s">
        <v>18</v>
      </c>
      <c r="M30" s="42"/>
      <c r="N30" s="42"/>
      <c r="O30" s="96">
        <v>1382840607</v>
      </c>
      <c r="P30" s="96"/>
      <c r="Q30" s="760">
        <v>1247322969.9902301</v>
      </c>
      <c r="R30" s="760"/>
    </row>
    <row r="31" spans="1:18" ht="10.5" customHeight="1">
      <c r="D31" s="136"/>
      <c r="E31" s="756"/>
      <c r="F31" s="756"/>
      <c r="G31" s="42"/>
      <c r="H31" s="42"/>
      <c r="I31" s="42"/>
      <c r="J31" s="42"/>
      <c r="K31" s="42"/>
      <c r="L31" s="42"/>
      <c r="M31" s="42"/>
      <c r="N31" s="42"/>
      <c r="O31" s="96"/>
    </row>
    <row r="32" spans="1:18" s="60" customFormat="1" ht="24.75" customHeight="1">
      <c r="A32" s="97"/>
      <c r="B32" s="388" t="s">
        <v>313</v>
      </c>
      <c r="C32" s="42"/>
      <c r="D32" s="98"/>
      <c r="E32" s="63"/>
      <c r="F32" s="42"/>
      <c r="G32" s="42"/>
      <c r="H32" s="42"/>
      <c r="I32" s="42"/>
      <c r="J32" s="42"/>
      <c r="K32" s="42"/>
      <c r="L32" s="42"/>
      <c r="M32" s="42"/>
      <c r="N32" s="42"/>
      <c r="O32" s="96"/>
    </row>
    <row r="33" spans="1:15" s="60" customFormat="1" ht="26.1" customHeight="1">
      <c r="A33" s="133"/>
      <c r="B33" s="201" t="s">
        <v>82</v>
      </c>
      <c r="D33" s="134"/>
      <c r="E33" s="134"/>
      <c r="G33" s="199" t="s">
        <v>94</v>
      </c>
      <c r="H33" s="99"/>
      <c r="I33" s="99"/>
      <c r="J33" s="99"/>
      <c r="K33" s="757" t="s">
        <v>84</v>
      </c>
      <c r="L33" s="757"/>
      <c r="M33" s="135"/>
      <c r="N33" s="135"/>
      <c r="O33" s="392">
        <f>E16*0.65</f>
        <v>2545175221.6539998</v>
      </c>
    </row>
    <row r="34" spans="1:15" ht="26.1" customHeight="1">
      <c r="A34" s="64"/>
      <c r="B34" s="133"/>
      <c r="C34" s="64"/>
      <c r="D34" s="64"/>
      <c r="E34" s="200"/>
      <c r="G34" s="199"/>
      <c r="H34" s="199"/>
      <c r="I34" s="99"/>
      <c r="J34" s="99"/>
      <c r="K34" s="135"/>
      <c r="L34" s="135"/>
      <c r="M34" s="135"/>
      <c r="N34" s="100"/>
      <c r="O34" s="77"/>
    </row>
    <row r="35" spans="1:15" ht="19.5" customHeight="1">
      <c r="F35" s="45"/>
    </row>
    <row r="38" spans="1:15">
      <c r="F38" s="45"/>
    </row>
    <row r="39" spans="1:15">
      <c r="F39" s="45"/>
    </row>
    <row r="42" spans="1:15">
      <c r="F42" s="65"/>
    </row>
  </sheetData>
  <mergeCells count="45">
    <mergeCell ref="Q30:R30"/>
    <mergeCell ref="P29:Q29"/>
    <mergeCell ref="A3:N3"/>
    <mergeCell ref="A4:N4"/>
    <mergeCell ref="A2:M2"/>
    <mergeCell ref="K5:M5"/>
    <mergeCell ref="K8:M8"/>
    <mergeCell ref="E9:F9"/>
    <mergeCell ref="K9:M9"/>
    <mergeCell ref="A11:B11"/>
    <mergeCell ref="E11:F11"/>
    <mergeCell ref="K11:M11"/>
    <mergeCell ref="A10:B10"/>
    <mergeCell ref="E10:F10"/>
    <mergeCell ref="K10:M10"/>
    <mergeCell ref="E12:F12"/>
    <mergeCell ref="A14:B14"/>
    <mergeCell ref="E14:F14"/>
    <mergeCell ref="E15:F15"/>
    <mergeCell ref="E16:F16"/>
    <mergeCell ref="A13:B13"/>
    <mergeCell ref="E13:F13"/>
    <mergeCell ref="J24:K24"/>
    <mergeCell ref="E17:F17"/>
    <mergeCell ref="A18:B18"/>
    <mergeCell ref="E18:F18"/>
    <mergeCell ref="A19:B19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J28:K28"/>
    <mergeCell ref="E31:F31"/>
    <mergeCell ref="K33:L33"/>
    <mergeCell ref="E29:F29"/>
    <mergeCell ref="J29:K29"/>
    <mergeCell ref="E30:F30"/>
    <mergeCell ref="G30:I30"/>
    <mergeCell ref="J30:K30"/>
  </mergeCells>
  <printOptions horizontalCentered="1"/>
  <pageMargins left="0.55118110236220474" right="7.874015748031496E-2" top="0.39370078740157483" bottom="0.39370078740157483" header="7.874015748031496E-2" footer="7.874015748031496E-2"/>
  <pageSetup paperSize="9" scale="58" fitToWidth="0" fitToHeight="0" orientation="landscape" blackAndWhite="1" r:id="rId1"/>
  <headerFooter>
    <oddHeader>&amp;L&amp;G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509-12E7-46CC-9A0E-F0FCAD87426E}">
  <sheetPr codeName="Sheet5">
    <pageSetUpPr fitToPage="1"/>
  </sheetPr>
  <dimension ref="A1:M154"/>
  <sheetViews>
    <sheetView view="pageBreakPreview" topLeftCell="A79" zoomScale="70" zoomScaleNormal="85" zoomScaleSheetLayoutView="70" workbookViewId="0">
      <selection activeCell="I148" sqref="I148"/>
    </sheetView>
  </sheetViews>
  <sheetFormatPr defaultColWidth="9" defaultRowHeight="15.75" outlineLevelCol="1"/>
  <cols>
    <col min="1" max="1" width="5.375" style="1" customWidth="1"/>
    <col min="2" max="2" width="48.25" style="1" customWidth="1"/>
    <col min="3" max="3" width="7" style="1" customWidth="1"/>
    <col min="4" max="5" width="16.25" style="1" customWidth="1"/>
    <col min="6" max="6" width="14.875" style="101" customWidth="1"/>
    <col min="7" max="7" width="14.875" style="101" customWidth="1" outlineLevel="1"/>
    <col min="8" max="10" width="17.5" style="1" customWidth="1" outlineLevel="1"/>
    <col min="11" max="11" width="18.75" style="1" customWidth="1" outlineLevel="1"/>
    <col min="12" max="12" width="15.75" style="1" customWidth="1"/>
    <col min="13" max="16384" width="9" style="1"/>
  </cols>
  <sheetData>
    <row r="1" spans="1:11" ht="36" customHeight="1"/>
    <row r="2" spans="1:11" ht="22.5" customHeight="1">
      <c r="A2" s="782" t="s">
        <v>97</v>
      </c>
      <c r="B2" s="782"/>
      <c r="C2" s="782"/>
      <c r="D2" s="782"/>
      <c r="E2" s="782"/>
      <c r="F2" s="782"/>
      <c r="G2" s="782"/>
      <c r="H2" s="782"/>
      <c r="I2" s="782"/>
      <c r="J2" s="782"/>
      <c r="K2" s="782"/>
    </row>
    <row r="3" spans="1:11" ht="24.75" customHeight="1">
      <c r="A3" s="784" t="s">
        <v>95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</row>
    <row r="4" spans="1:11" ht="22.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</row>
    <row r="5" spans="1:11" ht="24.75" customHeight="1">
      <c r="A5" s="786" t="s">
        <v>10</v>
      </c>
      <c r="B5" s="788" t="s">
        <v>6</v>
      </c>
      <c r="C5" s="786" t="s">
        <v>19</v>
      </c>
      <c r="D5" s="788" t="s">
        <v>50</v>
      </c>
      <c r="E5" s="790" t="s">
        <v>13</v>
      </c>
      <c r="F5" s="791"/>
      <c r="G5" s="792"/>
      <c r="H5" s="793" t="s">
        <v>14</v>
      </c>
      <c r="I5" s="793"/>
      <c r="J5" s="793"/>
      <c r="K5" s="786" t="s">
        <v>2</v>
      </c>
    </row>
    <row r="6" spans="1:11" ht="22.5" customHeight="1">
      <c r="A6" s="787"/>
      <c r="B6" s="789"/>
      <c r="C6" s="787"/>
      <c r="D6" s="789"/>
      <c r="E6" s="49" t="s">
        <v>89</v>
      </c>
      <c r="F6" s="102" t="s">
        <v>16</v>
      </c>
      <c r="G6" s="102" t="s">
        <v>88</v>
      </c>
      <c r="H6" s="49" t="s">
        <v>89</v>
      </c>
      <c r="I6" s="49" t="s">
        <v>16</v>
      </c>
      <c r="J6" s="102" t="s">
        <v>88</v>
      </c>
      <c r="K6" s="787"/>
    </row>
    <row r="7" spans="1:11" s="76" customFormat="1" ht="14.25">
      <c r="A7" s="278"/>
      <c r="B7" s="279" t="str">
        <f>'02.1-ĐNTT'!B12</f>
        <v>HĐ số 21/2025/CT01/SM-HL</v>
      </c>
      <c r="C7" s="73"/>
      <c r="D7" s="103"/>
      <c r="E7" s="73"/>
      <c r="F7" s="104"/>
      <c r="G7" s="104"/>
      <c r="H7" s="105"/>
      <c r="I7" s="105"/>
      <c r="J7" s="105"/>
      <c r="K7" s="105"/>
    </row>
    <row r="8" spans="1:11" ht="28.5">
      <c r="A8" s="39" t="str">
        <f>'02.1-ĐNTT'!A13</f>
        <v>*</v>
      </c>
      <c r="B8" s="279" t="str">
        <f>'02.1-ĐNTT'!B13</f>
        <v>HẠNG MỤC: THI CÔNG KẾT CẤU CẢNH QUAN NGOÀI NHÀ KHU VỰC CAO TẦNG</v>
      </c>
      <c r="C8" s="39"/>
      <c r="D8" s="44"/>
      <c r="E8" s="106"/>
      <c r="F8" s="107"/>
      <c r="G8" s="107"/>
      <c r="H8" s="108"/>
      <c r="I8" s="108"/>
      <c r="J8" s="108"/>
      <c r="K8" s="109"/>
    </row>
    <row r="9" spans="1:11">
      <c r="A9" s="110" t="str">
        <f>'02.1-ĐNTT'!A14</f>
        <v>I</v>
      </c>
      <c r="B9" s="137" t="str">
        <f>'02.1-ĐNTT'!B14</f>
        <v>CÔNG TÁC XÂY</v>
      </c>
      <c r="C9" s="138"/>
      <c r="D9" s="139"/>
      <c r="E9" s="129"/>
      <c r="F9" s="140"/>
      <c r="G9" s="140"/>
      <c r="H9" s="130"/>
      <c r="I9" s="130"/>
      <c r="J9" s="130"/>
      <c r="K9" s="141"/>
    </row>
    <row r="10" spans="1:11" s="288" customFormat="1">
      <c r="A10" s="281">
        <f>'02.1-ĐNTT'!A15</f>
        <v>1</v>
      </c>
      <c r="B10" s="282" t="str">
        <f>'02.1-ĐNTT'!B15</f>
        <v>Xây tường gạch đặc, chiều dày &gt;330mm, VXM mác 75</v>
      </c>
      <c r="C10" s="281" t="str">
        <f>'02.1-ĐNTT'!C15</f>
        <v>m3</v>
      </c>
      <c r="D10" s="283">
        <f>'02.1-ĐNTT'!D15</f>
        <v>2275030</v>
      </c>
      <c r="E10" s="284">
        <v>0</v>
      </c>
      <c r="F10" s="285">
        <f>'04-THKL DOT...'!F15</f>
        <v>0</v>
      </c>
      <c r="G10" s="285">
        <f>E10+F10</f>
        <v>0</v>
      </c>
      <c r="H10" s="286">
        <f>ROUND($D10*E10,0)</f>
        <v>0</v>
      </c>
      <c r="I10" s="286">
        <f>ROUND($D10*F10,0)</f>
        <v>0</v>
      </c>
      <c r="J10" s="286">
        <f>H10+I10</f>
        <v>0</v>
      </c>
      <c r="K10" s="287"/>
    </row>
    <row r="11" spans="1:11" s="288" customFormat="1">
      <c r="A11" s="281">
        <f>'02.1-ĐNTT'!A16</f>
        <v>2</v>
      </c>
      <c r="B11" s="282" t="str">
        <f>'02.1-ĐNTT'!B16</f>
        <v>Xây tường gạch đặc, chiều dày &lt;=330mm, VXM mác 75</v>
      </c>
      <c r="C11" s="281" t="str">
        <f>'02.1-ĐNTT'!C16</f>
        <v>m3</v>
      </c>
      <c r="D11" s="283">
        <f>'02.1-ĐNTT'!D16</f>
        <v>2275030</v>
      </c>
      <c r="E11" s="284">
        <v>0</v>
      </c>
      <c r="F11" s="285">
        <f>'04-THKL DOT...'!F16</f>
        <v>0</v>
      </c>
      <c r="G11" s="285">
        <f t="shared" ref="G11:G74" si="0">E11+F11</f>
        <v>0</v>
      </c>
      <c r="H11" s="286">
        <f t="shared" ref="H11:H74" si="1">ROUND($D11*E11,0)</f>
        <v>0</v>
      </c>
      <c r="I11" s="286">
        <f t="shared" ref="I11:I74" si="2">ROUND($D11*F11,0)</f>
        <v>0</v>
      </c>
      <c r="J11" s="286">
        <f t="shared" ref="J11:J74" si="3">H11+I11</f>
        <v>0</v>
      </c>
      <c r="K11" s="287"/>
    </row>
    <row r="12" spans="1:11" s="288" customFormat="1">
      <c r="A12" s="281">
        <f>'02.1-ĐNTT'!A17</f>
        <v>3</v>
      </c>
      <c r="B12" s="282" t="str">
        <f>'02.1-ĐNTT'!B17</f>
        <v>Xây tường gạch đặc, chiều dày &lt;=110mm, VXM mác 75</v>
      </c>
      <c r="C12" s="281" t="str">
        <f>'02.1-ĐNTT'!C17</f>
        <v>m3</v>
      </c>
      <c r="D12" s="283">
        <f>'02.1-ĐNTT'!D17</f>
        <v>2335944</v>
      </c>
      <c r="E12" s="284">
        <v>0</v>
      </c>
      <c r="F12" s="285">
        <f>'04-THKL DOT...'!F17</f>
        <v>0</v>
      </c>
      <c r="G12" s="285">
        <f t="shared" si="0"/>
        <v>0</v>
      </c>
      <c r="H12" s="286">
        <f t="shared" si="1"/>
        <v>0</v>
      </c>
      <c r="I12" s="286">
        <f t="shared" si="2"/>
        <v>0</v>
      </c>
      <c r="J12" s="286">
        <f t="shared" si="3"/>
        <v>0</v>
      </c>
      <c r="K12" s="287"/>
    </row>
    <row r="13" spans="1:11" s="288" customFormat="1">
      <c r="A13" s="281">
        <f>'02.1-ĐNTT'!A18</f>
        <v>4</v>
      </c>
      <c r="B13" s="282" t="str">
        <f>'02.1-ĐNTT'!B18</f>
        <v>Xây cột, trụ, gạch đặc, VXM mác 75</v>
      </c>
      <c r="C13" s="281" t="str">
        <f>'02.1-ĐNTT'!C18</f>
        <v>m3</v>
      </c>
      <c r="D13" s="283">
        <f>'02.1-ĐNTT'!D18</f>
        <v>2572168</v>
      </c>
      <c r="E13" s="284">
        <v>0</v>
      </c>
      <c r="F13" s="285">
        <f>'04-THKL DOT...'!F18</f>
        <v>0</v>
      </c>
      <c r="G13" s="285">
        <f t="shared" si="0"/>
        <v>0</v>
      </c>
      <c r="H13" s="286">
        <f t="shared" si="1"/>
        <v>0</v>
      </c>
      <c r="I13" s="286">
        <f t="shared" si="2"/>
        <v>0</v>
      </c>
      <c r="J13" s="286">
        <f t="shared" si="3"/>
        <v>0</v>
      </c>
      <c r="K13" s="287"/>
    </row>
    <row r="14" spans="1:11" s="288" customFormat="1">
      <c r="A14" s="281">
        <f>'02.1-ĐNTT'!A19</f>
        <v>5</v>
      </c>
      <c r="B14" s="282" t="str">
        <f>'02.1-ĐNTT'!B19</f>
        <v>Ván khuôn giằng tường</v>
      </c>
      <c r="C14" s="281" t="str">
        <f>'02.1-ĐNTT'!C19</f>
        <v>m2</v>
      </c>
      <c r="D14" s="283">
        <f>'02.1-ĐNTT'!D19</f>
        <v>240597</v>
      </c>
      <c r="E14" s="284">
        <v>0</v>
      </c>
      <c r="F14" s="285">
        <f>'04-THKL DOT...'!F19</f>
        <v>0</v>
      </c>
      <c r="G14" s="285">
        <f t="shared" si="0"/>
        <v>0</v>
      </c>
      <c r="H14" s="286">
        <f t="shared" si="1"/>
        <v>0</v>
      </c>
      <c r="I14" s="286">
        <f t="shared" si="2"/>
        <v>0</v>
      </c>
      <c r="J14" s="286">
        <f t="shared" si="3"/>
        <v>0</v>
      </c>
      <c r="K14" s="287"/>
    </row>
    <row r="15" spans="1:11" s="288" customFormat="1">
      <c r="A15" s="281">
        <f>'02.1-ĐNTT'!A20</f>
        <v>6</v>
      </c>
      <c r="B15" s="282" t="str">
        <f>'02.1-ĐNTT'!B20</f>
        <v>Cốt thép giằng tường</v>
      </c>
      <c r="C15" s="281" t="str">
        <f>'02.1-ĐNTT'!C20</f>
        <v>kg</v>
      </c>
      <c r="D15" s="283">
        <f>'02.1-ĐNTT'!D20</f>
        <v>6030</v>
      </c>
      <c r="E15" s="284">
        <v>0</v>
      </c>
      <c r="F15" s="285">
        <f>'04-THKL DOT...'!F20</f>
        <v>0</v>
      </c>
      <c r="G15" s="285">
        <f t="shared" si="0"/>
        <v>0</v>
      </c>
      <c r="H15" s="286">
        <f t="shared" si="1"/>
        <v>0</v>
      </c>
      <c r="I15" s="286">
        <f t="shared" si="2"/>
        <v>0</v>
      </c>
      <c r="J15" s="286">
        <f t="shared" si="3"/>
        <v>0</v>
      </c>
      <c r="K15" s="287"/>
    </row>
    <row r="16" spans="1:11" s="288" customFormat="1">
      <c r="A16" s="281">
        <f>'02.1-ĐNTT'!A21</f>
        <v>7</v>
      </c>
      <c r="B16" s="282" t="str">
        <f>'02.1-ĐNTT'!B21</f>
        <v>Bê tông giằng tường mác 200#</v>
      </c>
      <c r="C16" s="281" t="str">
        <f>'02.1-ĐNTT'!C21</f>
        <v>m3</v>
      </c>
      <c r="D16" s="283">
        <f>'02.1-ĐNTT'!D21</f>
        <v>366825</v>
      </c>
      <c r="E16" s="284">
        <v>0</v>
      </c>
      <c r="F16" s="285">
        <f>'04-THKL DOT...'!F21</f>
        <v>0</v>
      </c>
      <c r="G16" s="285">
        <f t="shared" si="0"/>
        <v>0</v>
      </c>
      <c r="H16" s="286">
        <f t="shared" si="1"/>
        <v>0</v>
      </c>
      <c r="I16" s="286">
        <f t="shared" si="2"/>
        <v>0</v>
      </c>
      <c r="J16" s="286">
        <f t="shared" si="3"/>
        <v>0</v>
      </c>
      <c r="K16" s="287"/>
    </row>
    <row r="17" spans="1:11" s="288" customFormat="1">
      <c r="A17" s="281">
        <f>'02.1-ĐNTT'!A22</f>
        <v>8</v>
      </c>
      <c r="B17" s="282" t="str">
        <f>'02.1-ĐNTT'!B22</f>
        <v>Khoan cấy cốt thép, đường kính thép D14</v>
      </c>
      <c r="C17" s="281" t="str">
        <f>'02.1-ĐNTT'!C22</f>
        <v>vị trí</v>
      </c>
      <c r="D17" s="283">
        <f>'02.1-ĐNTT'!D22</f>
        <v>27600</v>
      </c>
      <c r="E17" s="284">
        <v>0</v>
      </c>
      <c r="F17" s="285">
        <f>'04-THKL DOT...'!F22</f>
        <v>0</v>
      </c>
      <c r="G17" s="285">
        <f t="shared" si="0"/>
        <v>0</v>
      </c>
      <c r="H17" s="286">
        <f t="shared" si="1"/>
        <v>0</v>
      </c>
      <c r="I17" s="286">
        <f t="shared" si="2"/>
        <v>0</v>
      </c>
      <c r="J17" s="286">
        <f t="shared" si="3"/>
        <v>0</v>
      </c>
      <c r="K17" s="287"/>
    </row>
    <row r="18" spans="1:11" s="288" customFormat="1">
      <c r="A18" s="281">
        <f>'02.1-ĐNTT'!A23</f>
        <v>9</v>
      </c>
      <c r="B18" s="282" t="str">
        <f>'02.1-ĐNTT'!B23</f>
        <v>Ván khuôn trụ tường</v>
      </c>
      <c r="C18" s="281" t="str">
        <f>'02.1-ĐNTT'!C23</f>
        <v>m2</v>
      </c>
      <c r="D18" s="283">
        <f>'02.1-ĐNTT'!D23</f>
        <v>240597</v>
      </c>
      <c r="E18" s="284">
        <v>0</v>
      </c>
      <c r="F18" s="285">
        <f>'04-THKL DOT...'!F23</f>
        <v>0</v>
      </c>
      <c r="G18" s="285">
        <f t="shared" si="0"/>
        <v>0</v>
      </c>
      <c r="H18" s="286">
        <f t="shared" si="1"/>
        <v>0</v>
      </c>
      <c r="I18" s="286">
        <f t="shared" si="2"/>
        <v>0</v>
      </c>
      <c r="J18" s="286">
        <f t="shared" si="3"/>
        <v>0</v>
      </c>
      <c r="K18" s="287"/>
    </row>
    <row r="19" spans="1:11" s="288" customFormat="1">
      <c r="A19" s="281">
        <f>'02.1-ĐNTT'!A24</f>
        <v>10</v>
      </c>
      <c r="B19" s="282" t="str">
        <f>'02.1-ĐNTT'!B24</f>
        <v>Cốt thép trụ tường</v>
      </c>
      <c r="C19" s="281" t="str">
        <f>'02.1-ĐNTT'!C24</f>
        <v>kg</v>
      </c>
      <c r="D19" s="283">
        <f>'02.1-ĐNTT'!D24</f>
        <v>6030</v>
      </c>
      <c r="E19" s="284">
        <v>0</v>
      </c>
      <c r="F19" s="285">
        <f>'04-THKL DOT...'!F24</f>
        <v>0</v>
      </c>
      <c r="G19" s="285">
        <f t="shared" si="0"/>
        <v>0</v>
      </c>
      <c r="H19" s="286">
        <f t="shared" si="1"/>
        <v>0</v>
      </c>
      <c r="I19" s="286">
        <f t="shared" si="2"/>
        <v>0</v>
      </c>
      <c r="J19" s="286">
        <f t="shared" si="3"/>
        <v>0</v>
      </c>
      <c r="K19" s="287"/>
    </row>
    <row r="20" spans="1:11" s="288" customFormat="1">
      <c r="A20" s="281">
        <f>'02.1-ĐNTT'!A25</f>
        <v>11</v>
      </c>
      <c r="B20" s="282" t="str">
        <f>'02.1-ĐNTT'!B25</f>
        <v>Bê tông trụ tường mác 200#</v>
      </c>
      <c r="C20" s="281" t="str">
        <f>'02.1-ĐNTT'!C25</f>
        <v>m3</v>
      </c>
      <c r="D20" s="283">
        <f>'02.1-ĐNTT'!D25</f>
        <v>366825</v>
      </c>
      <c r="E20" s="284">
        <v>0</v>
      </c>
      <c r="F20" s="285">
        <f>'04-THKL DOT...'!F25</f>
        <v>0</v>
      </c>
      <c r="G20" s="285">
        <f t="shared" si="0"/>
        <v>0</v>
      </c>
      <c r="H20" s="286">
        <f t="shared" si="1"/>
        <v>0</v>
      </c>
      <c r="I20" s="286">
        <f t="shared" si="2"/>
        <v>0</v>
      </c>
      <c r="J20" s="286">
        <f t="shared" si="3"/>
        <v>0</v>
      </c>
      <c r="K20" s="287"/>
    </row>
    <row r="21" spans="1:11" s="288" customFormat="1">
      <c r="A21" s="281">
        <f>'02.1-ĐNTT'!A26</f>
        <v>12</v>
      </c>
      <c r="B21" s="282" t="str">
        <f>'02.1-ĐNTT'!B26</f>
        <v>Ván khuôn tấm đan, bậc cấp</v>
      </c>
      <c r="C21" s="281" t="str">
        <f>'02.1-ĐNTT'!C26</f>
        <v>m2</v>
      </c>
      <c r="D21" s="283">
        <f>'02.1-ĐNTT'!D26</f>
        <v>240597</v>
      </c>
      <c r="E21" s="284">
        <v>0</v>
      </c>
      <c r="F21" s="285">
        <f>'04-THKL DOT...'!F26</f>
        <v>0</v>
      </c>
      <c r="G21" s="285">
        <f t="shared" si="0"/>
        <v>0</v>
      </c>
      <c r="H21" s="286">
        <f t="shared" si="1"/>
        <v>0</v>
      </c>
      <c r="I21" s="286">
        <f t="shared" si="2"/>
        <v>0</v>
      </c>
      <c r="J21" s="286">
        <f t="shared" si="3"/>
        <v>0</v>
      </c>
      <c r="K21" s="287"/>
    </row>
    <row r="22" spans="1:11" s="288" customFormat="1">
      <c r="A22" s="281">
        <f>'02.1-ĐNTT'!A27</f>
        <v>13</v>
      </c>
      <c r="B22" s="282" t="str">
        <f>'02.1-ĐNTT'!B27</f>
        <v>Cốt thép tấm đan, bậc cấp</v>
      </c>
      <c r="C22" s="281" t="str">
        <f>'02.1-ĐNTT'!C27</f>
        <v>kg</v>
      </c>
      <c r="D22" s="283">
        <f>'02.1-ĐNTT'!D27</f>
        <v>6030</v>
      </c>
      <c r="E22" s="284">
        <v>0</v>
      </c>
      <c r="F22" s="285">
        <f>'04-THKL DOT...'!F27</f>
        <v>0</v>
      </c>
      <c r="G22" s="285">
        <f t="shared" si="0"/>
        <v>0</v>
      </c>
      <c r="H22" s="286">
        <f t="shared" si="1"/>
        <v>0</v>
      </c>
      <c r="I22" s="286">
        <f t="shared" si="2"/>
        <v>0</v>
      </c>
      <c r="J22" s="286">
        <f t="shared" si="3"/>
        <v>0</v>
      </c>
      <c r="K22" s="287"/>
    </row>
    <row r="23" spans="1:11" s="288" customFormat="1">
      <c r="A23" s="281">
        <f>'02.1-ĐNTT'!A28</f>
        <v>14</v>
      </c>
      <c r="B23" s="282" t="str">
        <f>'02.1-ĐNTT'!B28</f>
        <v>Bê tông tấm đan, bậc cấp mác 200#</v>
      </c>
      <c r="C23" s="281" t="str">
        <f>'02.1-ĐNTT'!C28</f>
        <v>m3</v>
      </c>
      <c r="D23" s="283">
        <f>'02.1-ĐNTT'!D28</f>
        <v>366825</v>
      </c>
      <c r="E23" s="284">
        <v>0</v>
      </c>
      <c r="F23" s="285">
        <f>'04-THKL DOT...'!F28</f>
        <v>0</v>
      </c>
      <c r="G23" s="285">
        <f t="shared" si="0"/>
        <v>0</v>
      </c>
      <c r="H23" s="286">
        <f t="shared" si="1"/>
        <v>0</v>
      </c>
      <c r="I23" s="286">
        <f t="shared" si="2"/>
        <v>0</v>
      </c>
      <c r="J23" s="286">
        <f t="shared" si="3"/>
        <v>0</v>
      </c>
      <c r="K23" s="287"/>
    </row>
    <row r="24" spans="1:11" s="288" customFormat="1">
      <c r="A24" s="281">
        <f>'02.1-ĐNTT'!A29</f>
        <v>15</v>
      </c>
      <c r="B24" s="282" t="str">
        <f>'02.1-ĐNTT'!B29</f>
        <v>Lắp đặt tấm đan D430 khu vực Poolbar</v>
      </c>
      <c r="C24" s="281" t="str">
        <f>'02.1-ĐNTT'!C29</f>
        <v>cái</v>
      </c>
      <c r="D24" s="283">
        <f>'02.1-ĐNTT'!D29</f>
        <v>130000</v>
      </c>
      <c r="E24" s="284">
        <v>0</v>
      </c>
      <c r="F24" s="285">
        <f>'04-THKL DOT...'!F29</f>
        <v>0</v>
      </c>
      <c r="G24" s="285">
        <f t="shared" si="0"/>
        <v>0</v>
      </c>
      <c r="H24" s="286">
        <f t="shared" si="1"/>
        <v>0</v>
      </c>
      <c r="I24" s="286">
        <f t="shared" si="2"/>
        <v>0</v>
      </c>
      <c r="J24" s="286">
        <f t="shared" si="3"/>
        <v>0</v>
      </c>
      <c r="K24" s="287"/>
    </row>
    <row r="25" spans="1:11" s="288" customFormat="1" ht="45">
      <c r="A25" s="281">
        <f>'02.1-ĐNTT'!A30</f>
        <v>16</v>
      </c>
      <c r="B25" s="282" t="str">
        <f>'02.1-ĐNTT'!B30</f>
        <v>Chi phí cộng thêm đối với đầu việc ván khuôn bậc tam cấp - tại vị trí ván khuôn thí (ván khuôn chết không luân chuyển được)</v>
      </c>
      <c r="C25" s="281" t="str">
        <f>'02.1-ĐNTT'!C30</f>
        <v>m2</v>
      </c>
      <c r="D25" s="283">
        <f>'02.1-ĐNTT'!D30</f>
        <v>60000</v>
      </c>
      <c r="E25" s="284">
        <v>0</v>
      </c>
      <c r="F25" s="285">
        <f>'04-THKL DOT...'!F30</f>
        <v>0</v>
      </c>
      <c r="G25" s="285">
        <f t="shared" si="0"/>
        <v>0</v>
      </c>
      <c r="H25" s="286">
        <f t="shared" si="1"/>
        <v>0</v>
      </c>
      <c r="I25" s="286">
        <f t="shared" si="2"/>
        <v>0</v>
      </c>
      <c r="J25" s="286">
        <f t="shared" si="3"/>
        <v>0</v>
      </c>
      <c r="K25" s="287"/>
    </row>
    <row r="26" spans="1:11">
      <c r="A26" s="142" t="str">
        <f>'02.1-ĐNTT'!A31</f>
        <v>II</v>
      </c>
      <c r="B26" s="143" t="str">
        <f>'02.1-ĐNTT'!B31</f>
        <v>CÔNG TÁC BÊ TÔNG</v>
      </c>
      <c r="C26" s="126"/>
      <c r="D26" s="280">
        <f>'02.1-ĐNTT'!D31</f>
        <v>0</v>
      </c>
      <c r="E26" s="284">
        <v>0</v>
      </c>
      <c r="F26" s="285">
        <f>'04-THKL DOT...'!F31</f>
        <v>0</v>
      </c>
      <c r="G26" s="285">
        <f t="shared" si="0"/>
        <v>0</v>
      </c>
      <c r="H26" s="286">
        <f t="shared" si="1"/>
        <v>0</v>
      </c>
      <c r="I26" s="286">
        <f t="shared" si="2"/>
        <v>0</v>
      </c>
      <c r="J26" s="286">
        <f t="shared" si="3"/>
        <v>0</v>
      </c>
      <c r="K26" s="127"/>
    </row>
    <row r="27" spans="1:11" s="288" customFormat="1" ht="45">
      <c r="A27" s="281">
        <f>'02.1-ĐNTT'!A32</f>
        <v>16</v>
      </c>
      <c r="B27" s="282" t="str">
        <f>'02.1-ĐNTT'!B32</f>
        <v>Bê tông sản xuất qua dây chuyền trạm trộn tại hiện trường hoặc thương phẩm, đổ bằng bơm bê tông, bê tông dầm mác M400#</v>
      </c>
      <c r="C27" s="281" t="str">
        <f>'02.1-ĐNTT'!C32</f>
        <v>m3</v>
      </c>
      <c r="D27" s="283">
        <f>'02.1-ĐNTT'!D32</f>
        <v>366825</v>
      </c>
      <c r="E27" s="284">
        <v>18.4544</v>
      </c>
      <c r="F27" s="285">
        <f>'04-THKL DOT...'!F32</f>
        <v>18.172097999999991</v>
      </c>
      <c r="G27" s="285">
        <f t="shared" si="0"/>
        <v>36.626497999999991</v>
      </c>
      <c r="H27" s="286">
        <f t="shared" si="1"/>
        <v>6769535</v>
      </c>
      <c r="I27" s="286">
        <f t="shared" si="2"/>
        <v>6665980</v>
      </c>
      <c r="J27" s="286">
        <f t="shared" si="3"/>
        <v>13435515</v>
      </c>
      <c r="K27" s="287"/>
    </row>
    <row r="28" spans="1:11" s="288" customFormat="1" ht="45">
      <c r="A28" s="281">
        <f>'02.1-ĐNTT'!A33</f>
        <v>17</v>
      </c>
      <c r="B28" s="282" t="str">
        <f>'02.1-ĐNTT'!B33</f>
        <v>Bê tông sản xuất qua dây chuyền trạm trộn tại hiện trường hoặc thương phẩm, đổ bằng bơm bê tông, bê tông giếng gió mác M400#</v>
      </c>
      <c r="C28" s="281" t="str">
        <f>'02.1-ĐNTT'!C33</f>
        <v>m3</v>
      </c>
      <c r="D28" s="283">
        <f>'02.1-ĐNTT'!D33</f>
        <v>366825</v>
      </c>
      <c r="E28" s="284">
        <v>0</v>
      </c>
      <c r="F28" s="285">
        <f>'04-THKL DOT...'!F33</f>
        <v>13.021151</v>
      </c>
      <c r="G28" s="285">
        <f t="shared" si="0"/>
        <v>13.021151</v>
      </c>
      <c r="H28" s="286">
        <f t="shared" si="1"/>
        <v>0</v>
      </c>
      <c r="I28" s="286">
        <f t="shared" si="2"/>
        <v>4776484</v>
      </c>
      <c r="J28" s="286">
        <f t="shared" si="3"/>
        <v>4776484</v>
      </c>
      <c r="K28" s="287"/>
    </row>
    <row r="29" spans="1:11" s="288" customFormat="1" ht="45">
      <c r="A29" s="281">
        <f>'02.1-ĐNTT'!A34</f>
        <v>18</v>
      </c>
      <c r="B29" s="282" t="str">
        <f>'02.1-ĐNTT'!B34</f>
        <v>Bê tông sản xuất qua dây chuyền trạm trộn tại hiện trường hoặc thương phẩm, đổ bằng bơm bê tông, bê tông vách bể mác M400#</v>
      </c>
      <c r="C29" s="281" t="str">
        <f>'02.1-ĐNTT'!C34</f>
        <v>m3</v>
      </c>
      <c r="D29" s="283">
        <f>'02.1-ĐNTT'!D34</f>
        <v>387025</v>
      </c>
      <c r="E29" s="284">
        <v>200.37653413376876</v>
      </c>
      <c r="F29" s="285">
        <f>'04-THKL DOT...'!F34</f>
        <v>299.20420299999995</v>
      </c>
      <c r="G29" s="285">
        <f t="shared" si="0"/>
        <v>499.58073713376871</v>
      </c>
      <c r="H29" s="286">
        <f t="shared" si="1"/>
        <v>77550728</v>
      </c>
      <c r="I29" s="286">
        <f t="shared" si="2"/>
        <v>115799507</v>
      </c>
      <c r="J29" s="286">
        <f t="shared" si="3"/>
        <v>193350235</v>
      </c>
      <c r="K29" s="287"/>
    </row>
    <row r="30" spans="1:11" s="288" customFormat="1" ht="45">
      <c r="A30" s="281">
        <f>'02.1-ĐNTT'!A35</f>
        <v>19</v>
      </c>
      <c r="B30" s="282" t="str">
        <f>'02.1-ĐNTT'!B35</f>
        <v>Bê tông sản xuất qua dây chuyền trạm trộn tại hiện trường hoặc thương phẩm, đổ bằng bơm bê tông, bê tông sàn đáy bể mác M400#</v>
      </c>
      <c r="C30" s="281" t="str">
        <f>'02.1-ĐNTT'!C35</f>
        <v>m3</v>
      </c>
      <c r="D30" s="283">
        <f>'02.1-ĐNTT'!D35</f>
        <v>385007</v>
      </c>
      <c r="E30" s="284">
        <v>560.80934718875517</v>
      </c>
      <c r="F30" s="285">
        <f>'04-THKL DOT...'!F35</f>
        <v>312.15609061990119</v>
      </c>
      <c r="G30" s="285">
        <f t="shared" si="0"/>
        <v>872.96543780865636</v>
      </c>
      <c r="H30" s="286">
        <f t="shared" si="1"/>
        <v>215915524</v>
      </c>
      <c r="I30" s="286">
        <f t="shared" si="2"/>
        <v>120182280</v>
      </c>
      <c r="J30" s="286">
        <f t="shared" si="3"/>
        <v>336097804</v>
      </c>
      <c r="K30" s="287"/>
    </row>
    <row r="31" spans="1:11" s="288" customFormat="1">
      <c r="A31" s="281">
        <f>'02.1-ĐNTT'!A36</f>
        <v>20</v>
      </c>
      <c r="B31" s="282" t="str">
        <f>'02.1-ĐNTT'!B36</f>
        <v>Bê tông rãnh thoát nước B200 mác M400#</v>
      </c>
      <c r="C31" s="281" t="str">
        <f>'02.1-ĐNTT'!C36</f>
        <v>m3</v>
      </c>
      <c r="D31" s="283">
        <f>'02.1-ĐNTT'!D36</f>
        <v>366825</v>
      </c>
      <c r="E31" s="284">
        <v>0</v>
      </c>
      <c r="F31" s="285">
        <f>'04-THKL DOT...'!F36</f>
        <v>0</v>
      </c>
      <c r="G31" s="285">
        <f t="shared" si="0"/>
        <v>0</v>
      </c>
      <c r="H31" s="286">
        <f t="shared" si="1"/>
        <v>0</v>
      </c>
      <c r="I31" s="286">
        <f t="shared" si="2"/>
        <v>0</v>
      </c>
      <c r="J31" s="286">
        <f t="shared" si="3"/>
        <v>0</v>
      </c>
      <c r="K31" s="287"/>
    </row>
    <row r="32" spans="1:11">
      <c r="A32" s="142" t="str">
        <f>'02.1-ĐNTT'!A37</f>
        <v>III</v>
      </c>
      <c r="B32" s="143" t="str">
        <f>'02.1-ĐNTT'!B37</f>
        <v>CÔNG TÁC VÁN KHUÔN</v>
      </c>
      <c r="C32" s="126">
        <f>'02.1-ĐNTT'!C37</f>
        <v>0</v>
      </c>
      <c r="D32" s="280">
        <f>'02.1-ĐNTT'!D37</f>
        <v>0</v>
      </c>
      <c r="E32" s="284">
        <v>0</v>
      </c>
      <c r="F32" s="285">
        <f>'04-THKL DOT...'!F37</f>
        <v>0</v>
      </c>
      <c r="G32" s="285">
        <f t="shared" si="0"/>
        <v>0</v>
      </c>
      <c r="H32" s="286">
        <f t="shared" si="1"/>
        <v>0</v>
      </c>
      <c r="I32" s="286">
        <f t="shared" si="2"/>
        <v>0</v>
      </c>
      <c r="J32" s="286">
        <f t="shared" si="3"/>
        <v>0</v>
      </c>
      <c r="K32" s="127"/>
    </row>
    <row r="33" spans="1:11" s="288" customFormat="1">
      <c r="A33" s="281">
        <f>'02.1-ĐNTT'!A38</f>
        <v>21</v>
      </c>
      <c r="B33" s="282" t="str">
        <f>'02.1-ĐNTT'!B38</f>
        <v>Ván khuôn dầm bể</v>
      </c>
      <c r="C33" s="281" t="str">
        <f>'02.1-ĐNTT'!C38</f>
        <v>m2</v>
      </c>
      <c r="D33" s="283">
        <f>'02.1-ĐNTT'!D38</f>
        <v>240597</v>
      </c>
      <c r="E33" s="284">
        <v>12.302847099999999</v>
      </c>
      <c r="F33" s="285">
        <f>'04-THKL DOT...'!F38</f>
        <v>145.93260000000001</v>
      </c>
      <c r="G33" s="285">
        <f t="shared" si="0"/>
        <v>158.23544710000002</v>
      </c>
      <c r="H33" s="286">
        <f t="shared" si="1"/>
        <v>2960028</v>
      </c>
      <c r="I33" s="286">
        <f t="shared" si="2"/>
        <v>35110946</v>
      </c>
      <c r="J33" s="286">
        <f t="shared" si="3"/>
        <v>38070974</v>
      </c>
      <c r="K33" s="287"/>
    </row>
    <row r="34" spans="1:11" s="288" customFormat="1">
      <c r="A34" s="281">
        <f>'02.1-ĐNTT'!A39</f>
        <v>22</v>
      </c>
      <c r="B34" s="282" t="str">
        <f>'02.1-ĐNTT'!B39</f>
        <v>Ván khuôn giếng gió</v>
      </c>
      <c r="C34" s="281" t="str">
        <f>'02.1-ĐNTT'!C39</f>
        <v>m2</v>
      </c>
      <c r="D34" s="283">
        <f>'02.1-ĐNTT'!D39</f>
        <v>240597</v>
      </c>
      <c r="E34" s="284">
        <v>0</v>
      </c>
      <c r="F34" s="285">
        <f>'04-THKL DOT...'!F39</f>
        <v>118.37409999999998</v>
      </c>
      <c r="G34" s="285">
        <f t="shared" si="0"/>
        <v>118.37409999999998</v>
      </c>
      <c r="H34" s="286">
        <f t="shared" si="1"/>
        <v>0</v>
      </c>
      <c r="I34" s="286">
        <f t="shared" si="2"/>
        <v>28480453</v>
      </c>
      <c r="J34" s="286">
        <f t="shared" si="3"/>
        <v>28480453</v>
      </c>
      <c r="K34" s="287"/>
    </row>
    <row r="35" spans="1:11" s="288" customFormat="1">
      <c r="A35" s="281">
        <f>'02.1-ĐNTT'!A40</f>
        <v>23</v>
      </c>
      <c r="B35" s="282" t="str">
        <f>'02.1-ĐNTT'!B40</f>
        <v>Ván khuôn vách bể</v>
      </c>
      <c r="C35" s="281" t="str">
        <f>'02.1-ĐNTT'!C40</f>
        <v>m2</v>
      </c>
      <c r="D35" s="283">
        <f>'02.1-ĐNTT'!D40</f>
        <v>240597</v>
      </c>
      <c r="E35" s="284">
        <v>0</v>
      </c>
      <c r="F35" s="285">
        <f>'04-THKL DOT...'!F40</f>
        <v>1401.1119799999999</v>
      </c>
      <c r="G35" s="285">
        <f t="shared" si="0"/>
        <v>1401.1119799999999</v>
      </c>
      <c r="H35" s="286">
        <f t="shared" si="1"/>
        <v>0</v>
      </c>
      <c r="I35" s="286">
        <f t="shared" si="2"/>
        <v>337103339</v>
      </c>
      <c r="J35" s="286">
        <f t="shared" si="3"/>
        <v>337103339</v>
      </c>
      <c r="K35" s="287"/>
    </row>
    <row r="36" spans="1:11" s="288" customFormat="1">
      <c r="A36" s="281">
        <f>'02.1-ĐNTT'!A41</f>
        <v>24</v>
      </c>
      <c r="B36" s="282" t="str">
        <f>'02.1-ĐNTT'!B41</f>
        <v>Ván khuôn cong vách bể</v>
      </c>
      <c r="C36" s="281" t="str">
        <f>'02.1-ĐNTT'!C41</f>
        <v>m2</v>
      </c>
      <c r="D36" s="283">
        <f>'02.1-ĐNTT'!D41</f>
        <v>276777</v>
      </c>
      <c r="E36" s="284">
        <v>1494.7809334780002</v>
      </c>
      <c r="F36" s="285">
        <f>'04-THKL DOT...'!F41</f>
        <v>1133.9823999999999</v>
      </c>
      <c r="G36" s="285">
        <f t="shared" si="0"/>
        <v>2628.7633334780003</v>
      </c>
      <c r="H36" s="286">
        <f t="shared" si="1"/>
        <v>413720982</v>
      </c>
      <c r="I36" s="286">
        <f t="shared" si="2"/>
        <v>313860247</v>
      </c>
      <c r="J36" s="286">
        <f t="shared" si="3"/>
        <v>727581229</v>
      </c>
      <c r="K36" s="287"/>
    </row>
    <row r="37" spans="1:11" s="288" customFormat="1">
      <c r="A37" s="281">
        <f>'02.1-ĐNTT'!A42</f>
        <v>25</v>
      </c>
      <c r="B37" s="282" t="str">
        <f>'02.1-ĐNTT'!B42</f>
        <v>Ván khuôn sàn đáy bể</v>
      </c>
      <c r="C37" s="281" t="str">
        <f>'02.1-ĐNTT'!C42</f>
        <v>m2</v>
      </c>
      <c r="D37" s="283">
        <f>'02.1-ĐNTT'!D42</f>
        <v>240597</v>
      </c>
      <c r="E37" s="284">
        <v>2723.6890864262</v>
      </c>
      <c r="F37" s="285">
        <f>'04-THKL DOT...'!F42</f>
        <v>936.25130061990092</v>
      </c>
      <c r="G37" s="285">
        <f t="shared" si="0"/>
        <v>3659.940387046101</v>
      </c>
      <c r="H37" s="286">
        <f t="shared" si="1"/>
        <v>655311423</v>
      </c>
      <c r="I37" s="286">
        <f t="shared" si="2"/>
        <v>225259254</v>
      </c>
      <c r="J37" s="286">
        <f t="shared" si="3"/>
        <v>880570677</v>
      </c>
      <c r="K37" s="287"/>
    </row>
    <row r="38" spans="1:11" s="288" customFormat="1">
      <c r="A38" s="281">
        <f>'02.1-ĐNTT'!A43</f>
        <v>26</v>
      </c>
      <c r="B38" s="282" t="str">
        <f>'02.1-ĐNTT'!B43</f>
        <v>Ván khuôn rãnh thoát nước B200</v>
      </c>
      <c r="C38" s="281" t="str">
        <f>'02.1-ĐNTT'!C43</f>
        <v>m2</v>
      </c>
      <c r="D38" s="283">
        <f>'02.1-ĐNTT'!D43</f>
        <v>240597</v>
      </c>
      <c r="E38" s="284">
        <v>0</v>
      </c>
      <c r="F38" s="285">
        <f>'04-THKL DOT...'!F43</f>
        <v>0</v>
      </c>
      <c r="G38" s="285">
        <f t="shared" si="0"/>
        <v>0</v>
      </c>
      <c r="H38" s="286">
        <f t="shared" si="1"/>
        <v>0</v>
      </c>
      <c r="I38" s="286">
        <f t="shared" si="2"/>
        <v>0</v>
      </c>
      <c r="J38" s="286">
        <f t="shared" si="3"/>
        <v>0</v>
      </c>
      <c r="K38" s="287"/>
    </row>
    <row r="39" spans="1:11" s="288" customFormat="1" ht="45">
      <c r="A39" s="281">
        <f>'02.1-ĐNTT'!A44</f>
        <v>27</v>
      </c>
      <c r="B39" s="282" t="str">
        <f>'02.1-ĐNTT'!B44</f>
        <v>Chi phí cộng thêm đối với đầu việc ván khuôn bậc sàn đáy bể tại vị trí ván khuôn thí (ván khuôn chết không luân chuyển được)</v>
      </c>
      <c r="C39" s="281" t="str">
        <f>'02.1-ĐNTT'!C44</f>
        <v>m2</v>
      </c>
      <c r="D39" s="283">
        <f>'02.1-ĐNTT'!D44</f>
        <v>60000</v>
      </c>
      <c r="E39" s="284">
        <v>0</v>
      </c>
      <c r="F39" s="285">
        <f>'04-THKL DOT...'!F44</f>
        <v>928.05930061990091</v>
      </c>
      <c r="G39" s="285">
        <f t="shared" si="0"/>
        <v>928.05930061990091</v>
      </c>
      <c r="H39" s="286">
        <f t="shared" si="1"/>
        <v>0</v>
      </c>
      <c r="I39" s="286">
        <f t="shared" si="2"/>
        <v>55683558</v>
      </c>
      <c r="J39" s="286">
        <f t="shared" si="3"/>
        <v>55683558</v>
      </c>
      <c r="K39" s="287"/>
    </row>
    <row r="40" spans="1:11">
      <c r="A40" s="142" t="str">
        <f>'02.1-ĐNTT'!A45</f>
        <v>IV</v>
      </c>
      <c r="B40" s="143" t="str">
        <f>'02.1-ĐNTT'!B45</f>
        <v>CÔNG TÁC CỐT THÉP</v>
      </c>
      <c r="C40" s="126"/>
      <c r="D40" s="280">
        <f>'02.1-ĐNTT'!D45</f>
        <v>0</v>
      </c>
      <c r="E40" s="284">
        <v>0</v>
      </c>
      <c r="F40" s="285">
        <f>'04-THKL DOT...'!F45</f>
        <v>0</v>
      </c>
      <c r="G40" s="285">
        <f t="shared" si="0"/>
        <v>0</v>
      </c>
      <c r="H40" s="286">
        <f t="shared" si="1"/>
        <v>0</v>
      </c>
      <c r="I40" s="286">
        <f t="shared" si="2"/>
        <v>0</v>
      </c>
      <c r="J40" s="286">
        <f t="shared" si="3"/>
        <v>0</v>
      </c>
      <c r="K40" s="127"/>
    </row>
    <row r="41" spans="1:11" s="288" customFormat="1">
      <c r="A41" s="281">
        <f>'02.1-ĐNTT'!A46</f>
        <v>26</v>
      </c>
      <c r="B41" s="282" t="str">
        <f>'02.1-ĐNTT'!B46</f>
        <v>Cốt thép dầm bể</v>
      </c>
      <c r="C41" s="281" t="str">
        <f>'02.1-ĐNTT'!C46</f>
        <v>kg</v>
      </c>
      <c r="D41" s="283">
        <f>'02.1-ĐNTT'!D46</f>
        <v>6030</v>
      </c>
      <c r="E41" s="284">
        <v>7418.0994220000066</v>
      </c>
      <c r="F41" s="285">
        <f>'04-THKL DOT...'!F46</f>
        <v>3724.2575199999997</v>
      </c>
      <c r="G41" s="285">
        <f t="shared" si="0"/>
        <v>11142.356942000006</v>
      </c>
      <c r="H41" s="286">
        <f t="shared" si="1"/>
        <v>44731140</v>
      </c>
      <c r="I41" s="286">
        <f t="shared" si="2"/>
        <v>22457273</v>
      </c>
      <c r="J41" s="286">
        <f t="shared" si="3"/>
        <v>67188413</v>
      </c>
      <c r="K41" s="287"/>
    </row>
    <row r="42" spans="1:11" s="288" customFormat="1">
      <c r="A42" s="281">
        <f>'02.1-ĐNTT'!A47</f>
        <v>28</v>
      </c>
      <c r="B42" s="282" t="str">
        <f>'02.1-ĐNTT'!B47</f>
        <v>Cốt thép giếng gió</v>
      </c>
      <c r="C42" s="281" t="str">
        <f>'02.1-ĐNTT'!C47</f>
        <v>kg</v>
      </c>
      <c r="D42" s="283">
        <f>'02.1-ĐNTT'!D47</f>
        <v>6030</v>
      </c>
      <c r="E42" s="284">
        <v>0</v>
      </c>
      <c r="F42" s="285">
        <f>'04-THKL DOT...'!F47</f>
        <v>800.76072000000011</v>
      </c>
      <c r="G42" s="285">
        <f t="shared" si="0"/>
        <v>800.76072000000011</v>
      </c>
      <c r="H42" s="286">
        <f t="shared" si="1"/>
        <v>0</v>
      </c>
      <c r="I42" s="286">
        <f t="shared" si="2"/>
        <v>4828587</v>
      </c>
      <c r="J42" s="286">
        <f t="shared" si="3"/>
        <v>4828587</v>
      </c>
      <c r="K42" s="287"/>
    </row>
    <row r="43" spans="1:11" s="288" customFormat="1">
      <c r="A43" s="281">
        <f>'02.1-ĐNTT'!A48</f>
        <v>29</v>
      </c>
      <c r="B43" s="282" t="str">
        <f>'02.1-ĐNTT'!B48</f>
        <v>Cốt thép vách bể</v>
      </c>
      <c r="C43" s="281" t="str">
        <f>'02.1-ĐNTT'!C48</f>
        <v>kg</v>
      </c>
      <c r="D43" s="283">
        <f>'02.1-ĐNTT'!D48</f>
        <v>6030</v>
      </c>
      <c r="E43" s="284">
        <v>21402.251879999996</v>
      </c>
      <c r="F43" s="285">
        <f>'04-THKL DOT...'!F48</f>
        <v>22007.774751999998</v>
      </c>
      <c r="G43" s="285">
        <f t="shared" si="0"/>
        <v>43410.026631999994</v>
      </c>
      <c r="H43" s="286">
        <f t="shared" si="1"/>
        <v>129055579</v>
      </c>
      <c r="I43" s="286">
        <f t="shared" si="2"/>
        <v>132706882</v>
      </c>
      <c r="J43" s="286">
        <f t="shared" si="3"/>
        <v>261762461</v>
      </c>
      <c r="K43" s="287"/>
    </row>
    <row r="44" spans="1:11" s="288" customFormat="1">
      <c r="A44" s="281">
        <f>'02.1-ĐNTT'!A49</f>
        <v>30</v>
      </c>
      <c r="B44" s="282" t="str">
        <f>'02.1-ĐNTT'!B49</f>
        <v>Cốt thép sàn đáy bể</v>
      </c>
      <c r="C44" s="281" t="str">
        <f>'02.1-ĐNTT'!C49</f>
        <v>kg</v>
      </c>
      <c r="D44" s="283">
        <f>'02.1-ĐNTT'!D49</f>
        <v>6030</v>
      </c>
      <c r="E44" s="284">
        <v>71287.937059999997</v>
      </c>
      <c r="F44" s="285">
        <f>'04-THKL DOT...'!F49</f>
        <v>34821.641174000011</v>
      </c>
      <c r="G44" s="285">
        <f t="shared" si="0"/>
        <v>106109.57823400002</v>
      </c>
      <c r="H44" s="286">
        <f t="shared" si="1"/>
        <v>429866260</v>
      </c>
      <c r="I44" s="286">
        <f t="shared" si="2"/>
        <v>209974496</v>
      </c>
      <c r="J44" s="286">
        <f t="shared" si="3"/>
        <v>639840756</v>
      </c>
      <c r="K44" s="287"/>
    </row>
    <row r="45" spans="1:11" s="288" customFormat="1">
      <c r="A45" s="281">
        <f>'02.1-ĐNTT'!A50</f>
        <v>31</v>
      </c>
      <c r="B45" s="282" t="str">
        <f>'02.1-ĐNTT'!B50</f>
        <v>Cốt thép rãnh thoát nước</v>
      </c>
      <c r="C45" s="281" t="str">
        <f>'02.1-ĐNTT'!C50</f>
        <v>kg</v>
      </c>
      <c r="D45" s="283">
        <f>'02.1-ĐNTT'!D50</f>
        <v>6030</v>
      </c>
      <c r="E45" s="284">
        <v>0</v>
      </c>
      <c r="F45" s="285">
        <f>'04-THKL DOT...'!F50</f>
        <v>0</v>
      </c>
      <c r="G45" s="285">
        <f t="shared" si="0"/>
        <v>0</v>
      </c>
      <c r="H45" s="286">
        <f t="shared" si="1"/>
        <v>0</v>
      </c>
      <c r="I45" s="286">
        <f t="shared" si="2"/>
        <v>0</v>
      </c>
      <c r="J45" s="286">
        <f t="shared" si="3"/>
        <v>0</v>
      </c>
      <c r="K45" s="287"/>
    </row>
    <row r="46" spans="1:11" s="288" customFormat="1" ht="30">
      <c r="A46" s="281">
        <f>'02.1-ĐNTT'!A51</f>
        <v>32</v>
      </c>
      <c r="B46" s="282" t="str">
        <f>'02.1-ĐNTT'!B51</f>
        <v>Khoan cấy cốt thép, đường kính thép D12, Keo ramset, hilti hoặc tương đương</v>
      </c>
      <c r="C46" s="281" t="str">
        <f>'02.1-ĐNTT'!C51</f>
        <v>vị trí</v>
      </c>
      <c r="D46" s="283">
        <f>'02.1-ĐNTT'!D51</f>
        <v>22500</v>
      </c>
      <c r="E46" s="284">
        <v>0</v>
      </c>
      <c r="F46" s="285">
        <f>'04-THKL DOT...'!F51</f>
        <v>980</v>
      </c>
      <c r="G46" s="285">
        <f t="shared" si="0"/>
        <v>980</v>
      </c>
      <c r="H46" s="286">
        <f t="shared" si="1"/>
        <v>0</v>
      </c>
      <c r="I46" s="286">
        <f t="shared" si="2"/>
        <v>22050000</v>
      </c>
      <c r="J46" s="286">
        <f t="shared" si="3"/>
        <v>22050000</v>
      </c>
      <c r="K46" s="287"/>
    </row>
    <row r="47" spans="1:11" s="288" customFormat="1">
      <c r="A47" s="281">
        <f>'02.1-ĐNTT'!A52</f>
        <v>33</v>
      </c>
      <c r="B47" s="282" t="str">
        <f>'02.1-ĐNTT'!B52</f>
        <v>Thép khoan cấy</v>
      </c>
      <c r="C47" s="281" t="str">
        <f>'02.1-ĐNTT'!C52</f>
        <v>kg</v>
      </c>
      <c r="D47" s="283">
        <f>'02.1-ĐNTT'!D52</f>
        <v>6030</v>
      </c>
      <c r="E47" s="284">
        <v>2184.1713000000009</v>
      </c>
      <c r="F47" s="285">
        <f>'04-THKL DOT...'!F52</f>
        <v>267.77625</v>
      </c>
      <c r="G47" s="285">
        <f t="shared" si="0"/>
        <v>2451.9475500000008</v>
      </c>
      <c r="H47" s="286">
        <f t="shared" si="1"/>
        <v>13170553</v>
      </c>
      <c r="I47" s="286">
        <f t="shared" si="2"/>
        <v>1614691</v>
      </c>
      <c r="J47" s="286">
        <f t="shared" si="3"/>
        <v>14785244</v>
      </c>
      <c r="K47" s="287"/>
    </row>
    <row r="48" spans="1:11" ht="28.5">
      <c r="A48" s="142" t="str">
        <f>'02.1-ĐNTT'!A53</f>
        <v>**</v>
      </c>
      <c r="B48" s="143" t="str">
        <f>'02.1-ĐNTT'!B53</f>
        <v xml:space="preserve">HẠNG MỤC: TRÁT, LÁNG, CHỐNG THẤM CẢNH QUAN NGOÀI NHÀ </v>
      </c>
      <c r="C48" s="126"/>
      <c r="D48" s="280">
        <f>'02.1-ĐNTT'!D53</f>
        <v>0</v>
      </c>
      <c r="E48" s="284">
        <v>0</v>
      </c>
      <c r="F48" s="285">
        <f>'04-THKL DOT...'!F53</f>
        <v>0</v>
      </c>
      <c r="G48" s="285">
        <f t="shared" si="0"/>
        <v>0</v>
      </c>
      <c r="H48" s="286">
        <f t="shared" si="1"/>
        <v>0</v>
      </c>
      <c r="I48" s="286">
        <f t="shared" si="2"/>
        <v>0</v>
      </c>
      <c r="J48" s="286">
        <f t="shared" si="3"/>
        <v>0</v>
      </c>
      <c r="K48" s="127"/>
    </row>
    <row r="49" spans="1:11">
      <c r="A49" s="142" t="str">
        <f>'02.1-ĐNTT'!A54</f>
        <v>A</v>
      </c>
      <c r="B49" s="143" t="str">
        <f>'02.1-ĐNTT'!B54</f>
        <v>HẠNG MỤC BỂ + ĐẢO + BỒN HOA QUANH BỂ</v>
      </c>
      <c r="C49" s="126"/>
      <c r="D49" s="280">
        <f>'02.1-ĐNTT'!D54</f>
        <v>0</v>
      </c>
      <c r="E49" s="284">
        <v>0</v>
      </c>
      <c r="F49" s="285">
        <f>'04-THKL DOT...'!F54</f>
        <v>0</v>
      </c>
      <c r="G49" s="285">
        <f t="shared" si="0"/>
        <v>0</v>
      </c>
      <c r="H49" s="286">
        <f t="shared" si="1"/>
        <v>0</v>
      </c>
      <c r="I49" s="286">
        <f t="shared" si="2"/>
        <v>0</v>
      </c>
      <c r="J49" s="286">
        <f t="shared" si="3"/>
        <v>0</v>
      </c>
      <c r="K49" s="127"/>
    </row>
    <row r="50" spans="1:11">
      <c r="A50" s="142" t="str">
        <f>'02.1-ĐNTT'!A55</f>
        <v>I</v>
      </c>
      <c r="B50" s="143" t="str">
        <f>'02.1-ĐNTT'!B55</f>
        <v>Bể bơi</v>
      </c>
      <c r="C50" s="126"/>
      <c r="D50" s="280">
        <f>'02.1-ĐNTT'!D55</f>
        <v>0</v>
      </c>
      <c r="E50" s="284">
        <v>0</v>
      </c>
      <c r="F50" s="285">
        <f>'04-THKL DOT...'!F55</f>
        <v>0</v>
      </c>
      <c r="G50" s="285">
        <f t="shared" si="0"/>
        <v>0</v>
      </c>
      <c r="H50" s="286">
        <f t="shared" si="1"/>
        <v>0</v>
      </c>
      <c r="I50" s="286">
        <f t="shared" si="2"/>
        <v>0</v>
      </c>
      <c r="J50" s="286">
        <f t="shared" si="3"/>
        <v>0</v>
      </c>
      <c r="K50" s="127"/>
    </row>
    <row r="51" spans="1:11" s="288" customFormat="1">
      <c r="A51" s="281">
        <f>'02.1-ĐNTT'!A56</f>
        <v>1</v>
      </c>
      <c r="B51" s="282" t="str">
        <f>'02.1-ĐNTT'!B56</f>
        <v>Quét lớp chống thấm</v>
      </c>
      <c r="C51" s="281" t="str">
        <f>'02.1-ĐNTT'!C56</f>
        <v>m2</v>
      </c>
      <c r="D51" s="283">
        <f>'02.1-ĐNTT'!D56</f>
        <v>420000</v>
      </c>
      <c r="E51" s="284">
        <v>0</v>
      </c>
      <c r="F51" s="285">
        <f>'04-THKL DOT...'!F56</f>
        <v>0</v>
      </c>
      <c r="G51" s="285">
        <f t="shared" si="0"/>
        <v>0</v>
      </c>
      <c r="H51" s="286">
        <f t="shared" si="1"/>
        <v>0</v>
      </c>
      <c r="I51" s="286">
        <f t="shared" si="2"/>
        <v>0</v>
      </c>
      <c r="J51" s="286">
        <f t="shared" si="3"/>
        <v>0</v>
      </c>
      <c r="K51" s="287"/>
    </row>
    <row r="52" spans="1:11" s="288" customFormat="1">
      <c r="A52" s="281">
        <f>'02.1-ĐNTT'!A57</f>
        <v>2</v>
      </c>
      <c r="B52" s="282" t="str">
        <f>'02.1-ĐNTT'!B57</f>
        <v>Vữa xi măng M75 dày 30-50mm, phần nền</v>
      </c>
      <c r="C52" s="281" t="str">
        <f>'02.1-ĐNTT'!C57</f>
        <v>m2</v>
      </c>
      <c r="D52" s="283">
        <f>'02.1-ĐNTT'!D57</f>
        <v>82715</v>
      </c>
      <c r="E52" s="284">
        <v>0</v>
      </c>
      <c r="F52" s="285">
        <f>'04-THKL DOT...'!F57</f>
        <v>0</v>
      </c>
      <c r="G52" s="285">
        <f t="shared" si="0"/>
        <v>0</v>
      </c>
      <c r="H52" s="286">
        <f t="shared" si="1"/>
        <v>0</v>
      </c>
      <c r="I52" s="286">
        <f t="shared" si="2"/>
        <v>0</v>
      </c>
      <c r="J52" s="286">
        <f t="shared" si="3"/>
        <v>0</v>
      </c>
      <c r="K52" s="287"/>
    </row>
    <row r="53" spans="1:11" s="288" customFormat="1">
      <c r="A53" s="281">
        <f>'02.1-ĐNTT'!A58</f>
        <v>3</v>
      </c>
      <c r="B53" s="282" t="str">
        <f>'02.1-ĐNTT'!B58</f>
        <v xml:space="preserve">Vữa xi măng M75 dày 15mm, trát thành </v>
      </c>
      <c r="C53" s="281" t="str">
        <f>'02.1-ĐNTT'!C58</f>
        <v>m2</v>
      </c>
      <c r="D53" s="283">
        <f>'02.1-ĐNTT'!D58</f>
        <v>104715</v>
      </c>
      <c r="E53" s="284">
        <v>0</v>
      </c>
      <c r="F53" s="285">
        <f>'04-THKL DOT...'!F58</f>
        <v>0</v>
      </c>
      <c r="G53" s="285">
        <f t="shared" si="0"/>
        <v>0</v>
      </c>
      <c r="H53" s="286">
        <f t="shared" si="1"/>
        <v>0</v>
      </c>
      <c r="I53" s="286">
        <f t="shared" si="2"/>
        <v>0</v>
      </c>
      <c r="J53" s="286">
        <f t="shared" si="3"/>
        <v>0</v>
      </c>
      <c r="K53" s="287"/>
    </row>
    <row r="54" spans="1:11" s="288" customFormat="1" ht="30">
      <c r="A54" s="281"/>
      <c r="B54" s="282" t="str">
        <f>'02.1-ĐNTT'!B59</f>
        <v>Đá Mosaic gốm màu xanh KT300x300x4mm</v>
      </c>
      <c r="C54" s="281" t="str">
        <f>'02.1-ĐNTT'!C59</f>
        <v>m2</v>
      </c>
      <c r="D54" s="283" t="str">
        <f>'02.1-ĐNTT'!D59</f>
        <v>Chưa bao gồm, không chào giá</v>
      </c>
      <c r="E54" s="284">
        <v>0</v>
      </c>
      <c r="F54" s="285">
        <f>'04-THKL DOT...'!F59</f>
        <v>0</v>
      </c>
      <c r="G54" s="285">
        <f t="shared" si="0"/>
        <v>0</v>
      </c>
      <c r="H54" s="286"/>
      <c r="I54" s="286"/>
      <c r="J54" s="286">
        <f t="shared" si="3"/>
        <v>0</v>
      </c>
      <c r="K54" s="287"/>
    </row>
    <row r="55" spans="1:11" s="288" customFormat="1" ht="30">
      <c r="A55" s="281"/>
      <c r="B55" s="282" t="str">
        <f>'02.1-ĐNTT'!B60</f>
        <v>Đá Moca crema limestone KT theo TK</v>
      </c>
      <c r="C55" s="281" t="str">
        <f>'02.1-ĐNTT'!C60</f>
        <v>m2</v>
      </c>
      <c r="D55" s="283" t="str">
        <f>'02.1-ĐNTT'!D60</f>
        <v>Chưa bao gồm, không chào giá</v>
      </c>
      <c r="E55" s="284">
        <v>0</v>
      </c>
      <c r="F55" s="285">
        <f>'04-THKL DOT...'!F60</f>
        <v>0</v>
      </c>
      <c r="G55" s="285">
        <f t="shared" si="0"/>
        <v>0</v>
      </c>
      <c r="H55" s="286"/>
      <c r="I55" s="286"/>
      <c r="J55" s="286">
        <f t="shared" si="3"/>
        <v>0</v>
      </c>
      <c r="K55" s="287"/>
    </row>
    <row r="56" spans="1:11" s="288" customFormat="1">
      <c r="A56" s="281">
        <f>'02.1-ĐNTT'!A61</f>
        <v>4</v>
      </c>
      <c r="B56" s="282" t="str">
        <f>'02.1-ĐNTT'!B61</f>
        <v>Vữa xi măng lót trước khi ốp đá</v>
      </c>
      <c r="C56" s="281" t="str">
        <f>'02.1-ĐNTT'!C61</f>
        <v>m2</v>
      </c>
      <c r="D56" s="283">
        <f>'02.1-ĐNTT'!D61</f>
        <v>104715</v>
      </c>
      <c r="E56" s="284">
        <v>0</v>
      </c>
      <c r="F56" s="285">
        <f>'04-THKL DOT...'!F61</f>
        <v>0</v>
      </c>
      <c r="G56" s="285">
        <f t="shared" si="0"/>
        <v>0</v>
      </c>
      <c r="H56" s="286">
        <f t="shared" si="1"/>
        <v>0</v>
      </c>
      <c r="I56" s="286">
        <f t="shared" si="2"/>
        <v>0</v>
      </c>
      <c r="J56" s="286">
        <f t="shared" si="3"/>
        <v>0</v>
      </c>
      <c r="K56" s="287"/>
    </row>
    <row r="57" spans="1:11" s="288" customFormat="1">
      <c r="A57" s="281">
        <f>'02.1-ĐNTT'!A62</f>
        <v>5</v>
      </c>
      <c r="B57" s="282" t="str">
        <f>'02.1-ĐNTT'!B62</f>
        <v>Xây ghế ngôi trong bể bơi</v>
      </c>
      <c r="C57" s="281" t="str">
        <f>'02.1-ĐNTT'!C62</f>
        <v>m3</v>
      </c>
      <c r="D57" s="283">
        <f>'02.1-ĐNTT'!D62</f>
        <v>0</v>
      </c>
      <c r="E57" s="284">
        <v>0</v>
      </c>
      <c r="F57" s="285">
        <f>'04-THKL DOT...'!F62</f>
        <v>0</v>
      </c>
      <c r="G57" s="285">
        <f t="shared" si="0"/>
        <v>0</v>
      </c>
      <c r="H57" s="286">
        <f t="shared" si="1"/>
        <v>0</v>
      </c>
      <c r="I57" s="286">
        <f t="shared" si="2"/>
        <v>0</v>
      </c>
      <c r="J57" s="286">
        <f t="shared" si="3"/>
        <v>0</v>
      </c>
      <c r="K57" s="287"/>
    </row>
    <row r="58" spans="1:11" s="288" customFormat="1">
      <c r="A58" s="281"/>
      <c r="B58" s="282" t="str">
        <f>'02.1-ĐNTT'!B63</f>
        <v>Mặt ghế ngồi</v>
      </c>
      <c r="C58" s="281" t="str">
        <f>'02.1-ĐNTT'!C63</f>
        <v>Tấm</v>
      </c>
      <c r="D58" s="283">
        <f>'02.1-ĐNTT'!D63</f>
        <v>240597</v>
      </c>
      <c r="E58" s="284">
        <v>0</v>
      </c>
      <c r="F58" s="285">
        <f>'04-THKL DOT...'!F63</f>
        <v>0</v>
      </c>
      <c r="G58" s="285">
        <f t="shared" si="0"/>
        <v>0</v>
      </c>
      <c r="H58" s="286">
        <f t="shared" si="1"/>
        <v>0</v>
      </c>
      <c r="I58" s="286">
        <f t="shared" si="2"/>
        <v>0</v>
      </c>
      <c r="J58" s="286">
        <f t="shared" si="3"/>
        <v>0</v>
      </c>
      <c r="K58" s="287"/>
    </row>
    <row r="59" spans="1:11" s="288" customFormat="1" ht="30">
      <c r="A59" s="281"/>
      <c r="B59" s="282" t="str">
        <f>'02.1-ĐNTT'!B64</f>
        <v>Hoàn thiện mặt ghế ngồi</v>
      </c>
      <c r="C59" s="281" t="str">
        <f>'02.1-ĐNTT'!C64</f>
        <v>m2</v>
      </c>
      <c r="D59" s="283" t="str">
        <f>'02.1-ĐNTT'!D64</f>
        <v>Chưa bao gồm, không chào giá</v>
      </c>
      <c r="E59" s="284">
        <v>0</v>
      </c>
      <c r="F59" s="285">
        <f>'04-THKL DOT...'!F64</f>
        <v>0</v>
      </c>
      <c r="G59" s="285">
        <f t="shared" si="0"/>
        <v>0</v>
      </c>
      <c r="H59" s="286"/>
      <c r="I59" s="286"/>
      <c r="J59" s="286">
        <f t="shared" si="3"/>
        <v>0</v>
      </c>
      <c r="K59" s="287"/>
    </row>
    <row r="60" spans="1:11" s="288" customFormat="1">
      <c r="A60" s="281">
        <f>'02.1-ĐNTT'!A65</f>
        <v>6</v>
      </c>
      <c r="B60" s="282" t="str">
        <f>'02.1-ĐNTT'!B65</f>
        <v>Vữa xi măng lót trước khi ốp đá</v>
      </c>
      <c r="C60" s="281" t="str">
        <f>'02.1-ĐNTT'!C65</f>
        <v>m2</v>
      </c>
      <c r="D60" s="283">
        <f>'02.1-ĐNTT'!D65</f>
        <v>104715</v>
      </c>
      <c r="E60" s="284">
        <v>0</v>
      </c>
      <c r="F60" s="285">
        <f>'04-THKL DOT...'!F65</f>
        <v>0</v>
      </c>
      <c r="G60" s="285">
        <f t="shared" si="0"/>
        <v>0</v>
      </c>
      <c r="H60" s="286">
        <f t="shared" si="1"/>
        <v>0</v>
      </c>
      <c r="I60" s="286">
        <f t="shared" si="2"/>
        <v>0</v>
      </c>
      <c r="J60" s="286">
        <f t="shared" si="3"/>
        <v>0</v>
      </c>
      <c r="K60" s="287"/>
    </row>
    <row r="61" spans="1:11" s="288" customFormat="1" ht="30">
      <c r="A61" s="281"/>
      <c r="B61" s="282" t="str">
        <f>'02.1-ĐNTT'!B66</f>
        <v>Chữ lòng bể bơi theo thiết kế</v>
      </c>
      <c r="C61" s="281" t="str">
        <f>'02.1-ĐNTT'!C66</f>
        <v>Bộ</v>
      </c>
      <c r="D61" s="283" t="str">
        <f>'02.1-ĐNTT'!D66</f>
        <v>Chưa bao gồm, không chào giá</v>
      </c>
      <c r="E61" s="284">
        <v>0</v>
      </c>
      <c r="F61" s="285">
        <f>'04-THKL DOT...'!F66</f>
        <v>0</v>
      </c>
      <c r="G61" s="285">
        <f t="shared" si="0"/>
        <v>0</v>
      </c>
      <c r="H61" s="286"/>
      <c r="I61" s="286"/>
      <c r="J61" s="286">
        <f t="shared" si="3"/>
        <v>0</v>
      </c>
      <c r="K61" s="287"/>
    </row>
    <row r="62" spans="1:11" s="43" customFormat="1">
      <c r="A62" s="142" t="str">
        <f>'02.1-ĐNTT'!A67</f>
        <v>II</v>
      </c>
      <c r="B62" s="143" t="str">
        <f>'02.1-ĐNTT'!B67</f>
        <v>Rãnh thác tràn</v>
      </c>
      <c r="C62" s="126"/>
      <c r="D62" s="280">
        <f>'02.1-ĐNTT'!D67</f>
        <v>0</v>
      </c>
      <c r="E62" s="284">
        <v>0</v>
      </c>
      <c r="F62" s="285">
        <f>'04-THKL DOT...'!F67</f>
        <v>0</v>
      </c>
      <c r="G62" s="285">
        <f t="shared" si="0"/>
        <v>0</v>
      </c>
      <c r="H62" s="286">
        <f t="shared" si="1"/>
        <v>0</v>
      </c>
      <c r="I62" s="286">
        <f t="shared" si="2"/>
        <v>0</v>
      </c>
      <c r="J62" s="286">
        <f t="shared" si="3"/>
        <v>0</v>
      </c>
      <c r="K62" s="127"/>
    </row>
    <row r="63" spans="1:11" s="288" customFormat="1">
      <c r="A63" s="281">
        <f>'02.1-ĐNTT'!A68</f>
        <v>7</v>
      </c>
      <c r="B63" s="282" t="str">
        <f>'02.1-ĐNTT'!B68</f>
        <v>Quét chống thấm</v>
      </c>
      <c r="C63" s="281" t="str">
        <f>'02.1-ĐNTT'!C68</f>
        <v>m2</v>
      </c>
      <c r="D63" s="283">
        <f>'02.1-ĐNTT'!D68</f>
        <v>420000</v>
      </c>
      <c r="E63" s="284">
        <v>0</v>
      </c>
      <c r="F63" s="285">
        <f>'04-THKL DOT...'!F68</f>
        <v>0</v>
      </c>
      <c r="G63" s="285">
        <f t="shared" si="0"/>
        <v>0</v>
      </c>
      <c r="H63" s="286">
        <f t="shared" si="1"/>
        <v>0</v>
      </c>
      <c r="I63" s="286">
        <f t="shared" si="2"/>
        <v>0</v>
      </c>
      <c r="J63" s="286">
        <f t="shared" si="3"/>
        <v>0</v>
      </c>
      <c r="K63" s="287"/>
    </row>
    <row r="64" spans="1:11" s="288" customFormat="1">
      <c r="A64" s="281">
        <f>'02.1-ĐNTT'!A69</f>
        <v>8</v>
      </c>
      <c r="B64" s="282" t="str">
        <f>'02.1-ĐNTT'!B69</f>
        <v>Vữa xi măng dày 15mm, đáy rãnh</v>
      </c>
      <c r="C64" s="281" t="str">
        <f>'02.1-ĐNTT'!C69</f>
        <v>m2</v>
      </c>
      <c r="D64" s="283">
        <f>'02.1-ĐNTT'!D69</f>
        <v>82715</v>
      </c>
      <c r="E64" s="284">
        <v>0</v>
      </c>
      <c r="F64" s="285">
        <f>'04-THKL DOT...'!F69</f>
        <v>0</v>
      </c>
      <c r="G64" s="285">
        <f t="shared" si="0"/>
        <v>0</v>
      </c>
      <c r="H64" s="286">
        <f t="shared" si="1"/>
        <v>0</v>
      </c>
      <c r="I64" s="286">
        <f t="shared" si="2"/>
        <v>0</v>
      </c>
      <c r="J64" s="286">
        <f t="shared" si="3"/>
        <v>0</v>
      </c>
      <c r="K64" s="287"/>
    </row>
    <row r="65" spans="1:12" s="288" customFormat="1">
      <c r="A65" s="281">
        <f>'02.1-ĐNTT'!A70</f>
        <v>9</v>
      </c>
      <c r="B65" s="282" t="str">
        <f>'02.1-ĐNTT'!B70</f>
        <v>Vữa xi măng dày 15mm, thành rãnh</v>
      </c>
      <c r="C65" s="281" t="str">
        <f>'02.1-ĐNTT'!C70</f>
        <v>m2</v>
      </c>
      <c r="D65" s="283">
        <f>'02.1-ĐNTT'!D70</f>
        <v>104715</v>
      </c>
      <c r="E65" s="284">
        <v>0</v>
      </c>
      <c r="F65" s="285">
        <f>'04-THKL DOT...'!F70</f>
        <v>0</v>
      </c>
      <c r="G65" s="285">
        <f t="shared" si="0"/>
        <v>0</v>
      </c>
      <c r="H65" s="286">
        <f t="shared" si="1"/>
        <v>0</v>
      </c>
      <c r="I65" s="286">
        <f t="shared" si="2"/>
        <v>0</v>
      </c>
      <c r="J65" s="286">
        <f t="shared" si="3"/>
        <v>0</v>
      </c>
      <c r="K65" s="287"/>
    </row>
    <row r="66" spans="1:12" s="288" customFormat="1" ht="30">
      <c r="A66" s="281"/>
      <c r="B66" s="282" t="str">
        <f>'02.1-ĐNTT'!B71</f>
        <v>Lát gạch Ceramic men trắng bề mặt bóng dày 10mm</v>
      </c>
      <c r="C66" s="281" t="str">
        <f>'02.1-ĐNTT'!C71</f>
        <v>m2</v>
      </c>
      <c r="D66" s="283" t="str">
        <f>'02.1-ĐNTT'!D71</f>
        <v>Chưa bao gồm, không chào giá</v>
      </c>
      <c r="E66" s="284">
        <v>0</v>
      </c>
      <c r="F66" s="285">
        <f>'04-THKL DOT...'!F71</f>
        <v>0</v>
      </c>
      <c r="G66" s="285">
        <f t="shared" si="0"/>
        <v>0</v>
      </c>
      <c r="H66" s="286"/>
      <c r="I66" s="286"/>
      <c r="J66" s="286">
        <f t="shared" si="3"/>
        <v>0</v>
      </c>
      <c r="K66" s="287"/>
    </row>
    <row r="67" spans="1:12" s="288" customFormat="1" ht="30">
      <c r="A67" s="281"/>
      <c r="B67" s="282" t="str">
        <f>'02.1-ĐNTT'!B72</f>
        <v>Sỏi tự nhiên 20-30mm dày 30mm</v>
      </c>
      <c r="C67" s="281" t="str">
        <f>'02.1-ĐNTT'!C72</f>
        <v>m3</v>
      </c>
      <c r="D67" s="283" t="str">
        <f>'02.1-ĐNTT'!D72</f>
        <v>Chưa bao gồm, không chào giá</v>
      </c>
      <c r="E67" s="284">
        <v>0</v>
      </c>
      <c r="F67" s="285">
        <f>'04-THKL DOT...'!F72</f>
        <v>0</v>
      </c>
      <c r="G67" s="285">
        <f t="shared" si="0"/>
        <v>0</v>
      </c>
      <c r="H67" s="286"/>
      <c r="I67" s="286"/>
      <c r="J67" s="286">
        <f t="shared" si="3"/>
        <v>0</v>
      </c>
      <c r="K67" s="287"/>
    </row>
    <row r="68" spans="1:12" s="288" customFormat="1" ht="30">
      <c r="A68" s="281"/>
      <c r="B68" s="282" t="str">
        <f>'02.1-ĐNTT'!B73</f>
        <v>Thanh nhựa đậy rãnh 180x25mm, nhựa nguyên sinh</v>
      </c>
      <c r="C68" s="281" t="str">
        <f>'02.1-ĐNTT'!C73</f>
        <v>md</v>
      </c>
      <c r="D68" s="283" t="str">
        <f>'02.1-ĐNTT'!D73</f>
        <v>Chưa bao gồm, không chào giá</v>
      </c>
      <c r="E68" s="284">
        <v>0</v>
      </c>
      <c r="F68" s="285">
        <f>'04-THKL DOT...'!F73</f>
        <v>0</v>
      </c>
      <c r="G68" s="285">
        <f t="shared" si="0"/>
        <v>0</v>
      </c>
      <c r="H68" s="286"/>
      <c r="I68" s="286"/>
      <c r="J68" s="286">
        <f t="shared" si="3"/>
        <v>0</v>
      </c>
      <c r="K68" s="287"/>
    </row>
    <row r="69" spans="1:12" s="288" customFormat="1" ht="30">
      <c r="A69" s="281"/>
      <c r="B69" s="282" t="str">
        <f>'02.1-ĐNTT'!B74</f>
        <v>Nẹp V inox KT50x40mm</v>
      </c>
      <c r="C69" s="281" t="str">
        <f>'02.1-ĐNTT'!C74</f>
        <v>md</v>
      </c>
      <c r="D69" s="283" t="str">
        <f>'02.1-ĐNTT'!D74</f>
        <v>Chưa bao gồm, không chào giá</v>
      </c>
      <c r="E69" s="284">
        <v>0</v>
      </c>
      <c r="F69" s="285">
        <f>'04-THKL DOT...'!F74</f>
        <v>0</v>
      </c>
      <c r="G69" s="285">
        <f t="shared" si="0"/>
        <v>0</v>
      </c>
      <c r="H69" s="286"/>
      <c r="I69" s="286"/>
      <c r="J69" s="286">
        <f t="shared" si="3"/>
        <v>0</v>
      </c>
      <c r="K69" s="287"/>
    </row>
    <row r="70" spans="1:12" s="288" customFormat="1">
      <c r="A70" s="281">
        <f>'02.1-ĐNTT'!A75</f>
        <v>10</v>
      </c>
      <c r="B70" s="282" t="str">
        <f>'02.1-ĐNTT'!B75</f>
        <v>Nẹp V miệng rãnh thoát tràn</v>
      </c>
      <c r="C70" s="281" t="str">
        <f>'02.1-ĐNTT'!C75</f>
        <v>md</v>
      </c>
      <c r="D70" s="283">
        <f>'02.1-ĐNTT'!D75</f>
        <v>129525.00000000003</v>
      </c>
      <c r="E70" s="284">
        <v>0</v>
      </c>
      <c r="F70" s="285">
        <f>'04-THKL DOT...'!F75</f>
        <v>0</v>
      </c>
      <c r="G70" s="285">
        <f t="shared" si="0"/>
        <v>0</v>
      </c>
      <c r="H70" s="286">
        <f t="shared" si="1"/>
        <v>0</v>
      </c>
      <c r="I70" s="286">
        <f t="shared" si="2"/>
        <v>0</v>
      </c>
      <c r="J70" s="286">
        <f t="shared" si="3"/>
        <v>0</v>
      </c>
      <c r="K70" s="287"/>
    </row>
    <row r="71" spans="1:12">
      <c r="A71" s="142" t="str">
        <f>'02.1-ĐNTT'!A76</f>
        <v>III</v>
      </c>
      <c r="B71" s="143" t="str">
        <f>'02.1-ĐNTT'!B76</f>
        <v>Poolbar</v>
      </c>
      <c r="C71" s="126"/>
      <c r="D71" s="280">
        <f>'02.1-ĐNTT'!D76</f>
        <v>0</v>
      </c>
      <c r="E71" s="284">
        <v>0</v>
      </c>
      <c r="F71" s="285">
        <f>'04-THKL DOT...'!F76</f>
        <v>0</v>
      </c>
      <c r="G71" s="285">
        <f t="shared" si="0"/>
        <v>0</v>
      </c>
      <c r="H71" s="286">
        <f t="shared" si="1"/>
        <v>0</v>
      </c>
      <c r="I71" s="286">
        <f t="shared" si="2"/>
        <v>0</v>
      </c>
      <c r="J71" s="286">
        <f t="shared" si="3"/>
        <v>0</v>
      </c>
      <c r="K71" s="127"/>
    </row>
    <row r="72" spans="1:12" s="288" customFormat="1">
      <c r="A72" s="281">
        <f>'02.1-ĐNTT'!A77</f>
        <v>11</v>
      </c>
      <c r="B72" s="282" t="str">
        <f>'02.1-ĐNTT'!B77</f>
        <v>Xây tường poolbar, &lt;=110mm</v>
      </c>
      <c r="C72" s="281" t="str">
        <f>'02.1-ĐNTT'!C77</f>
        <v>m3</v>
      </c>
      <c r="D72" s="283">
        <f>'02.1-ĐNTT'!D77</f>
        <v>0</v>
      </c>
      <c r="E72" s="284">
        <v>0</v>
      </c>
      <c r="F72" s="285">
        <f>'04-THKL DOT...'!F77</f>
        <v>0</v>
      </c>
      <c r="G72" s="285">
        <f t="shared" si="0"/>
        <v>0</v>
      </c>
      <c r="H72" s="286">
        <f t="shared" si="1"/>
        <v>0</v>
      </c>
      <c r="I72" s="286">
        <f t="shared" si="2"/>
        <v>0</v>
      </c>
      <c r="J72" s="286">
        <f t="shared" si="3"/>
        <v>0</v>
      </c>
      <c r="K72" s="287"/>
      <c r="L72" s="289"/>
    </row>
    <row r="73" spans="1:12" s="288" customFormat="1">
      <c r="A73" s="281">
        <f>'02.1-ĐNTT'!A78</f>
        <v>12</v>
      </c>
      <c r="B73" s="282" t="str">
        <f>'02.1-ĐNTT'!B78</f>
        <v>Quét chống thấm</v>
      </c>
      <c r="C73" s="281" t="str">
        <f>'02.1-ĐNTT'!C78</f>
        <v>m2</v>
      </c>
      <c r="D73" s="283">
        <f>'02.1-ĐNTT'!D78</f>
        <v>250000</v>
      </c>
      <c r="E73" s="284">
        <v>0</v>
      </c>
      <c r="F73" s="285">
        <f>'04-THKL DOT...'!F78</f>
        <v>0</v>
      </c>
      <c r="G73" s="285">
        <f t="shared" si="0"/>
        <v>0</v>
      </c>
      <c r="H73" s="286">
        <f t="shared" si="1"/>
        <v>0</v>
      </c>
      <c r="I73" s="286">
        <f t="shared" si="2"/>
        <v>0</v>
      </c>
      <c r="J73" s="286">
        <f t="shared" si="3"/>
        <v>0</v>
      </c>
      <c r="K73" s="287"/>
    </row>
    <row r="74" spans="1:12" s="288" customFormat="1">
      <c r="A74" s="281">
        <f>'02.1-ĐNTT'!A79</f>
        <v>13</v>
      </c>
      <c r="B74" s="282" t="str">
        <f>'02.1-ĐNTT'!B79</f>
        <v>Vữa xi măng mác 75 tạo dốc 1% độ dày theo thực tế</v>
      </c>
      <c r="C74" s="281" t="str">
        <f>'02.1-ĐNTT'!C79</f>
        <v>m2</v>
      </c>
      <c r="D74" s="283">
        <f>'02.1-ĐNTT'!D79</f>
        <v>82715</v>
      </c>
      <c r="E74" s="284">
        <v>0</v>
      </c>
      <c r="F74" s="285">
        <f>'04-THKL DOT...'!F79</f>
        <v>0</v>
      </c>
      <c r="G74" s="285">
        <f t="shared" si="0"/>
        <v>0</v>
      </c>
      <c r="H74" s="286">
        <f t="shared" si="1"/>
        <v>0</v>
      </c>
      <c r="I74" s="286">
        <f t="shared" si="2"/>
        <v>0</v>
      </c>
      <c r="J74" s="286">
        <f t="shared" si="3"/>
        <v>0</v>
      </c>
      <c r="K74" s="287"/>
    </row>
    <row r="75" spans="1:12" s="288" customFormat="1">
      <c r="A75" s="281">
        <f>'02.1-ĐNTT'!A80</f>
        <v>14</v>
      </c>
      <c r="B75" s="282" t="str">
        <f>'02.1-ĐNTT'!B80</f>
        <v xml:space="preserve">Vữa xi măng mác 75 trát thành </v>
      </c>
      <c r="C75" s="281" t="str">
        <f>'02.1-ĐNTT'!C80</f>
        <v>m2</v>
      </c>
      <c r="D75" s="283">
        <f>'02.1-ĐNTT'!D80</f>
        <v>104715</v>
      </c>
      <c r="E75" s="284">
        <v>0</v>
      </c>
      <c r="F75" s="285">
        <f>'04-THKL DOT...'!F80</f>
        <v>0</v>
      </c>
      <c r="G75" s="285">
        <f t="shared" ref="G75:G138" si="4">E75+F75</f>
        <v>0</v>
      </c>
      <c r="H75" s="286">
        <f t="shared" ref="H75:H138" si="5">ROUND($D75*E75,0)</f>
        <v>0</v>
      </c>
      <c r="I75" s="286">
        <f t="shared" ref="I75:I138" si="6">ROUND($D75*F75,0)</f>
        <v>0</v>
      </c>
      <c r="J75" s="286">
        <f t="shared" ref="J75:J138" si="7">H75+I75</f>
        <v>0</v>
      </c>
      <c r="K75" s="287"/>
    </row>
    <row r="76" spans="1:12" s="288" customFormat="1" ht="30">
      <c r="A76" s="281"/>
      <c r="B76" s="282" t="str">
        <f>'02.1-ĐNTT'!B81</f>
        <v>Đá Cubic Granite Bình Định vàng nhạt băm mặt KT100x100x30mm</v>
      </c>
      <c r="C76" s="281" t="str">
        <f>'02.1-ĐNTT'!C81</f>
        <v>m2</v>
      </c>
      <c r="D76" s="283" t="str">
        <f>'02.1-ĐNTT'!D81</f>
        <v>Chưa bao gồm, không chào giá</v>
      </c>
      <c r="E76" s="284">
        <v>0</v>
      </c>
      <c r="F76" s="285">
        <f>'04-THKL DOT...'!F81</f>
        <v>0</v>
      </c>
      <c r="G76" s="285">
        <f t="shared" si="4"/>
        <v>0</v>
      </c>
      <c r="H76" s="286"/>
      <c r="I76" s="286"/>
      <c r="J76" s="286">
        <f t="shared" si="7"/>
        <v>0</v>
      </c>
      <c r="K76" s="287"/>
    </row>
    <row r="77" spans="1:12" s="288" customFormat="1" ht="30">
      <c r="A77" s="281"/>
      <c r="B77" s="282" t="str">
        <f>'02.1-ĐNTT'!B82</f>
        <v>Đá Thanh Hóa xanh đen băm mặt KT200x200x30mm</v>
      </c>
      <c r="C77" s="281" t="str">
        <f>'02.1-ĐNTT'!C82</f>
        <v>m2</v>
      </c>
      <c r="D77" s="283" t="str">
        <f>'02.1-ĐNTT'!D82</f>
        <v>Chưa bao gồm, không chào giá</v>
      </c>
      <c r="E77" s="284">
        <v>0</v>
      </c>
      <c r="F77" s="285">
        <f>'04-THKL DOT...'!F82</f>
        <v>0</v>
      </c>
      <c r="G77" s="285">
        <f t="shared" si="4"/>
        <v>0</v>
      </c>
      <c r="H77" s="286"/>
      <c r="I77" s="286"/>
      <c r="J77" s="286">
        <f t="shared" si="7"/>
        <v>0</v>
      </c>
      <c r="K77" s="287"/>
    </row>
    <row r="78" spans="1:12" s="288" customFormat="1" ht="30">
      <c r="A78" s="281"/>
      <c r="B78" s="282" t="str">
        <f>'02.1-ĐNTT'!B83</f>
        <v>Đá Thanh Hóa xanh đen băm mặt KT300x300x30mm</v>
      </c>
      <c r="C78" s="281" t="str">
        <f>'02.1-ĐNTT'!C83</f>
        <v>m2</v>
      </c>
      <c r="D78" s="283" t="str">
        <f>'02.1-ĐNTT'!D83</f>
        <v>Chưa bao gồm, không chào giá</v>
      </c>
      <c r="E78" s="284">
        <v>0</v>
      </c>
      <c r="F78" s="285">
        <f>'04-THKL DOT...'!F83</f>
        <v>0</v>
      </c>
      <c r="G78" s="285">
        <f t="shared" si="4"/>
        <v>0</v>
      </c>
      <c r="H78" s="286"/>
      <c r="I78" s="286"/>
      <c r="J78" s="286">
        <f t="shared" si="7"/>
        <v>0</v>
      </c>
      <c r="K78" s="287"/>
    </row>
    <row r="79" spans="1:12" s="288" customFormat="1">
      <c r="A79" s="281">
        <f>'02.1-ĐNTT'!A84</f>
        <v>15</v>
      </c>
      <c r="B79" s="282" t="str">
        <f>'02.1-ĐNTT'!B84</f>
        <v>Vữa xi măng trước khi ốp đá</v>
      </c>
      <c r="C79" s="281" t="str">
        <f>'02.1-ĐNTT'!C84</f>
        <v>m2</v>
      </c>
      <c r="D79" s="283">
        <f>'02.1-ĐNTT'!D84</f>
        <v>104715</v>
      </c>
      <c r="E79" s="284">
        <v>0</v>
      </c>
      <c r="F79" s="285">
        <f>'04-THKL DOT...'!F84</f>
        <v>0</v>
      </c>
      <c r="G79" s="285">
        <f t="shared" si="4"/>
        <v>0</v>
      </c>
      <c r="H79" s="286">
        <f t="shared" si="5"/>
        <v>0</v>
      </c>
      <c r="I79" s="286">
        <f t="shared" si="6"/>
        <v>0</v>
      </c>
      <c r="J79" s="286">
        <f t="shared" si="7"/>
        <v>0</v>
      </c>
      <c r="K79" s="287"/>
    </row>
    <row r="80" spans="1:12" s="288" customFormat="1" ht="30">
      <c r="A80" s="281"/>
      <c r="B80" s="282" t="str">
        <f>'02.1-ĐNTT'!B85</f>
        <v>Hệ khung thép hộp mạ kẽm nhúng nóng KT20x20x1,2mm</v>
      </c>
      <c r="C80" s="281" t="str">
        <f>'02.1-ĐNTT'!C85</f>
        <v>kg</v>
      </c>
      <c r="D80" s="283" t="str">
        <f>'02.1-ĐNTT'!D85</f>
        <v>Chưa bao gồm, không chào giá</v>
      </c>
      <c r="E80" s="284">
        <v>0</v>
      </c>
      <c r="F80" s="285">
        <f>'04-THKL DOT...'!F85</f>
        <v>0</v>
      </c>
      <c r="G80" s="285">
        <f t="shared" si="4"/>
        <v>0</v>
      </c>
      <c r="H80" s="286"/>
      <c r="I80" s="286"/>
      <c r="J80" s="286">
        <f t="shared" si="7"/>
        <v>0</v>
      </c>
      <c r="K80" s="287"/>
    </row>
    <row r="81" spans="1:11" s="288" customFormat="1" ht="30">
      <c r="A81" s="281"/>
      <c r="B81" s="282" t="str">
        <f>'02.1-ĐNTT'!B86</f>
        <v>Đá Moca crema limestone KT theo KT</v>
      </c>
      <c r="C81" s="281" t="str">
        <f>'02.1-ĐNTT'!C86</f>
        <v>m2</v>
      </c>
      <c r="D81" s="283" t="str">
        <f>'02.1-ĐNTT'!D86</f>
        <v>Chưa bao gồm, không chào giá</v>
      </c>
      <c r="E81" s="284">
        <v>0</v>
      </c>
      <c r="F81" s="285">
        <f>'04-THKL DOT...'!F86</f>
        <v>0</v>
      </c>
      <c r="G81" s="285">
        <f t="shared" si="4"/>
        <v>0</v>
      </c>
      <c r="H81" s="286"/>
      <c r="I81" s="286"/>
      <c r="J81" s="286">
        <f t="shared" si="7"/>
        <v>0</v>
      </c>
      <c r="K81" s="287"/>
    </row>
    <row r="82" spans="1:11">
      <c r="A82" s="142" t="str">
        <f>'02.1-ĐNTT'!A87</f>
        <v>IV</v>
      </c>
      <c r="B82" s="143" t="str">
        <f>'02.1-ĐNTT'!B87</f>
        <v>Biển hồ</v>
      </c>
      <c r="C82" s="126"/>
      <c r="D82" s="280">
        <f>'02.1-ĐNTT'!D87</f>
        <v>0</v>
      </c>
      <c r="E82" s="284">
        <v>0</v>
      </c>
      <c r="F82" s="285">
        <f>'04-THKL DOT...'!F87</f>
        <v>0</v>
      </c>
      <c r="G82" s="285">
        <f t="shared" si="4"/>
        <v>0</v>
      </c>
      <c r="H82" s="286">
        <f t="shared" si="5"/>
        <v>0</v>
      </c>
      <c r="I82" s="286">
        <f t="shared" si="6"/>
        <v>0</v>
      </c>
      <c r="J82" s="286">
        <f t="shared" si="7"/>
        <v>0</v>
      </c>
      <c r="K82" s="127"/>
    </row>
    <row r="83" spans="1:11" s="288" customFormat="1">
      <c r="A83" s="281">
        <f>'02.1-ĐNTT'!A88</f>
        <v>16</v>
      </c>
      <c r="B83" s="282" t="str">
        <f>'02.1-ĐNTT'!B88</f>
        <v>Bê tông bọt</v>
      </c>
      <c r="C83" s="281" t="str">
        <f>'02.1-ĐNTT'!C88</f>
        <v>m3</v>
      </c>
      <c r="D83" s="283">
        <f>'02.1-ĐNTT'!D88</f>
        <v>900000</v>
      </c>
      <c r="E83" s="284">
        <v>0</v>
      </c>
      <c r="F83" s="285">
        <f>'04-THKL DOT...'!F88</f>
        <v>0</v>
      </c>
      <c r="G83" s="285">
        <f t="shared" si="4"/>
        <v>0</v>
      </c>
      <c r="H83" s="286">
        <f t="shared" si="5"/>
        <v>0</v>
      </c>
      <c r="I83" s="286">
        <f t="shared" si="6"/>
        <v>0</v>
      </c>
      <c r="J83" s="286">
        <f t="shared" si="7"/>
        <v>0</v>
      </c>
      <c r="K83" s="287"/>
    </row>
    <row r="84" spans="1:11" s="288" customFormat="1" ht="30">
      <c r="A84" s="281"/>
      <c r="B84" s="282" t="str">
        <f>'02.1-ĐNTT'!B89</f>
        <v>Lưới sợi thủy tinh</v>
      </c>
      <c r="C84" s="281" t="str">
        <f>'02.1-ĐNTT'!C89</f>
        <v>m2</v>
      </c>
      <c r="D84" s="283" t="str">
        <f>'02.1-ĐNTT'!D89</f>
        <v>Chưa bao gồm, không chào giá</v>
      </c>
      <c r="E84" s="284">
        <v>0</v>
      </c>
      <c r="F84" s="285">
        <f>'04-THKL DOT...'!F89</f>
        <v>0</v>
      </c>
      <c r="G84" s="285">
        <f t="shared" si="4"/>
        <v>0</v>
      </c>
      <c r="H84" s="286"/>
      <c r="I84" s="286"/>
      <c r="J84" s="286">
        <f t="shared" si="7"/>
        <v>0</v>
      </c>
      <c r="K84" s="287"/>
    </row>
    <row r="85" spans="1:11" s="288" customFormat="1">
      <c r="A85" s="281">
        <f>'02.1-ĐNTT'!A90</f>
        <v>17</v>
      </c>
      <c r="B85" s="282" t="str">
        <f>'02.1-ĐNTT'!B90</f>
        <v>Quét chống thấm</v>
      </c>
      <c r="C85" s="281" t="str">
        <f>'02.1-ĐNTT'!C90</f>
        <v>m2</v>
      </c>
      <c r="D85" s="283">
        <f>'02.1-ĐNTT'!D90</f>
        <v>420000</v>
      </c>
      <c r="E85" s="284">
        <v>0</v>
      </c>
      <c r="F85" s="285">
        <f>'04-THKL DOT...'!F90</f>
        <v>0</v>
      </c>
      <c r="G85" s="285">
        <f t="shared" si="4"/>
        <v>0</v>
      </c>
      <c r="H85" s="286">
        <f t="shared" si="5"/>
        <v>0</v>
      </c>
      <c r="I85" s="286">
        <f t="shared" si="6"/>
        <v>0</v>
      </c>
      <c r="J85" s="286">
        <f t="shared" si="7"/>
        <v>0</v>
      </c>
      <c r="K85" s="287"/>
    </row>
    <row r="86" spans="1:11" s="288" customFormat="1" ht="30">
      <c r="A86" s="281"/>
      <c r="B86" s="282" t="str">
        <f>'02.1-ĐNTT'!B91</f>
        <v>Cát nén phủ bề mặt tạo hình độ dày mỏng tùy vị trí</v>
      </c>
      <c r="C86" s="281" t="str">
        <f>'02.1-ĐNTT'!C91</f>
        <v>m2</v>
      </c>
      <c r="D86" s="283" t="str">
        <f>'02.1-ĐNTT'!D91</f>
        <v>Chưa bao gồm, không chào giá</v>
      </c>
      <c r="E86" s="284">
        <v>0</v>
      </c>
      <c r="F86" s="285">
        <f>'04-THKL DOT...'!F91</f>
        <v>0</v>
      </c>
      <c r="G86" s="285">
        <f t="shared" si="4"/>
        <v>0</v>
      </c>
      <c r="H86" s="286"/>
      <c r="I86" s="286"/>
      <c r="J86" s="286">
        <f t="shared" si="7"/>
        <v>0</v>
      </c>
      <c r="K86" s="287"/>
    </row>
    <row r="87" spans="1:11" s="288" customFormat="1">
      <c r="A87" s="281" t="str">
        <f>'02.1-ĐNTT'!A92</f>
        <v>V</v>
      </c>
      <c r="B87" s="282" t="str">
        <f>'02.1-ĐNTT'!B92</f>
        <v>Bồn hoa + đảo quanh biển hồ</v>
      </c>
      <c r="C87" s="281"/>
      <c r="D87" s="283">
        <f>'02.1-ĐNTT'!D92</f>
        <v>0</v>
      </c>
      <c r="E87" s="284">
        <v>0</v>
      </c>
      <c r="F87" s="285">
        <f>'04-THKL DOT...'!F92</f>
        <v>0</v>
      </c>
      <c r="G87" s="285">
        <f t="shared" si="4"/>
        <v>0</v>
      </c>
      <c r="H87" s="286">
        <f t="shared" si="5"/>
        <v>0</v>
      </c>
      <c r="I87" s="286">
        <f t="shared" si="6"/>
        <v>0</v>
      </c>
      <c r="J87" s="286">
        <f t="shared" si="7"/>
        <v>0</v>
      </c>
      <c r="K87" s="287"/>
    </row>
    <row r="88" spans="1:11" s="288" customFormat="1">
      <c r="A88" s="281">
        <f>'02.1-ĐNTT'!A93</f>
        <v>18</v>
      </c>
      <c r="B88" s="282" t="str">
        <f>'02.1-ĐNTT'!B93</f>
        <v xml:space="preserve">Quét chống thấm </v>
      </c>
      <c r="C88" s="281" t="str">
        <f>'02.1-ĐNTT'!C93</f>
        <v>m2</v>
      </c>
      <c r="D88" s="283">
        <f>'02.1-ĐNTT'!D93</f>
        <v>250000</v>
      </c>
      <c r="E88" s="284">
        <v>0</v>
      </c>
      <c r="F88" s="285">
        <f>'04-THKL DOT...'!F93</f>
        <v>0</v>
      </c>
      <c r="G88" s="285">
        <f t="shared" si="4"/>
        <v>0</v>
      </c>
      <c r="H88" s="286">
        <f t="shared" si="5"/>
        <v>0</v>
      </c>
      <c r="I88" s="286">
        <f t="shared" si="6"/>
        <v>0</v>
      </c>
      <c r="J88" s="286">
        <f t="shared" si="7"/>
        <v>0</v>
      </c>
      <c r="K88" s="287"/>
    </row>
    <row r="89" spans="1:11" s="288" customFormat="1" ht="30">
      <c r="A89" s="281">
        <f>'02.1-ĐNTT'!A94</f>
        <v>19</v>
      </c>
      <c r="B89" s="282" t="str">
        <f>'02.1-ĐNTT'!B94</f>
        <v>Lớp vữa xi măng M75 đánh dốc 0,5% về phía phễu thu độ dày theo thực tế</v>
      </c>
      <c r="C89" s="281" t="str">
        <f>'02.1-ĐNTT'!C94</f>
        <v>m2</v>
      </c>
      <c r="D89" s="283">
        <f>'02.1-ĐNTT'!D94</f>
        <v>82715</v>
      </c>
      <c r="E89" s="284">
        <v>0</v>
      </c>
      <c r="F89" s="285">
        <f>'04-THKL DOT...'!F94</f>
        <v>0</v>
      </c>
      <c r="G89" s="285">
        <f t="shared" si="4"/>
        <v>0</v>
      </c>
      <c r="H89" s="286">
        <f t="shared" si="5"/>
        <v>0</v>
      </c>
      <c r="I89" s="286">
        <f t="shared" si="6"/>
        <v>0</v>
      </c>
      <c r="J89" s="286">
        <f t="shared" si="7"/>
        <v>0</v>
      </c>
      <c r="K89" s="287"/>
    </row>
    <row r="90" spans="1:11" s="288" customFormat="1">
      <c r="A90" s="281">
        <f>'02.1-ĐNTT'!A95</f>
        <v>20</v>
      </c>
      <c r="B90" s="282" t="str">
        <f>'02.1-ĐNTT'!B95</f>
        <v>Lớp vữa xi măng M75 trát thành bồn hoa</v>
      </c>
      <c r="C90" s="281" t="str">
        <f>'02.1-ĐNTT'!C95</f>
        <v>m2</v>
      </c>
      <c r="D90" s="283">
        <f>'02.1-ĐNTT'!D95</f>
        <v>104715</v>
      </c>
      <c r="E90" s="284">
        <v>0</v>
      </c>
      <c r="F90" s="285">
        <f>'04-THKL DOT...'!F95</f>
        <v>0</v>
      </c>
      <c r="G90" s="285">
        <f t="shared" si="4"/>
        <v>0</v>
      </c>
      <c r="H90" s="286">
        <f t="shared" si="5"/>
        <v>0</v>
      </c>
      <c r="I90" s="286">
        <f t="shared" si="6"/>
        <v>0</v>
      </c>
      <c r="J90" s="286">
        <f t="shared" si="7"/>
        <v>0</v>
      </c>
      <c r="K90" s="287"/>
    </row>
    <row r="91" spans="1:11" s="288" customFormat="1" ht="30">
      <c r="A91" s="281"/>
      <c r="B91" s="282" t="str">
        <f>'02.1-ĐNTT'!B96</f>
        <v>Lớp vỉ nhựa Plastic Cell chất liệu nhựa PP màu đen KT500x500x30mm</v>
      </c>
      <c r="C91" s="281" t="str">
        <f>'02.1-ĐNTT'!C96</f>
        <v>m2</v>
      </c>
      <c r="D91" s="283" t="str">
        <f>'02.1-ĐNTT'!D96</f>
        <v>Chưa bao gồm, không chào giá</v>
      </c>
      <c r="E91" s="284">
        <v>0</v>
      </c>
      <c r="F91" s="285">
        <f>'04-THKL DOT...'!F96</f>
        <v>0</v>
      </c>
      <c r="G91" s="285">
        <f t="shared" si="4"/>
        <v>0</v>
      </c>
      <c r="H91" s="286"/>
      <c r="I91" s="286"/>
      <c r="J91" s="286">
        <f t="shared" si="7"/>
        <v>0</v>
      </c>
      <c r="K91" s="287"/>
    </row>
    <row r="92" spans="1:11" s="288" customFormat="1" ht="30">
      <c r="A92" s="281"/>
      <c r="B92" s="282" t="str">
        <f>'02.1-ĐNTT'!B97</f>
        <v>Lớp vải địa ART15 hoặc tương đương</v>
      </c>
      <c r="C92" s="281" t="str">
        <f>'02.1-ĐNTT'!C97</f>
        <v>m2</v>
      </c>
      <c r="D92" s="283" t="str">
        <f>'02.1-ĐNTT'!D97</f>
        <v>Chưa bao gồm, không chào giá</v>
      </c>
      <c r="E92" s="284">
        <v>0</v>
      </c>
      <c r="F92" s="285">
        <f>'04-THKL DOT...'!F97</f>
        <v>0</v>
      </c>
      <c r="G92" s="285">
        <f t="shared" si="4"/>
        <v>0</v>
      </c>
      <c r="H92" s="286"/>
      <c r="I92" s="286"/>
      <c r="J92" s="286">
        <f t="shared" si="7"/>
        <v>0</v>
      </c>
      <c r="K92" s="287"/>
    </row>
    <row r="93" spans="1:11" s="288" customFormat="1" ht="30">
      <c r="A93" s="281"/>
      <c r="B93" s="282" t="str">
        <f>'02.1-ĐNTT'!B98</f>
        <v>Lớp sỏi 10x20mm trộn cát vàng tỷ lệ 1:1</v>
      </c>
      <c r="C93" s="281" t="str">
        <f>'02.1-ĐNTT'!C98</f>
        <v>m3</v>
      </c>
      <c r="D93" s="283" t="str">
        <f>'02.1-ĐNTT'!D98</f>
        <v>Chưa bao gồm, không chào giá</v>
      </c>
      <c r="E93" s="284">
        <v>0</v>
      </c>
      <c r="F93" s="285">
        <f>'04-THKL DOT...'!F98</f>
        <v>0</v>
      </c>
      <c r="G93" s="285">
        <f t="shared" si="4"/>
        <v>0</v>
      </c>
      <c r="H93" s="286"/>
      <c r="I93" s="286"/>
      <c r="J93" s="286">
        <f t="shared" si="7"/>
        <v>0</v>
      </c>
      <c r="K93" s="287"/>
    </row>
    <row r="94" spans="1:11" s="288" customFormat="1" ht="30">
      <c r="A94" s="281"/>
      <c r="B94" s="282" t="str">
        <f>'02.1-ĐNTT'!B99</f>
        <v>Đất màu trồng cây</v>
      </c>
      <c r="C94" s="281" t="str">
        <f>'02.1-ĐNTT'!C99</f>
        <v>m3</v>
      </c>
      <c r="D94" s="283" t="str">
        <f>'02.1-ĐNTT'!D99</f>
        <v>Chưa bao gồm, không chào giá</v>
      </c>
      <c r="E94" s="284">
        <v>0</v>
      </c>
      <c r="F94" s="285">
        <f>'04-THKL DOT...'!F99</f>
        <v>0</v>
      </c>
      <c r="G94" s="285">
        <f t="shared" si="4"/>
        <v>0</v>
      </c>
      <c r="H94" s="286"/>
      <c r="I94" s="286"/>
      <c r="J94" s="286">
        <f t="shared" si="7"/>
        <v>0</v>
      </c>
      <c r="K94" s="287"/>
    </row>
    <row r="95" spans="1:11" s="288" customFormat="1" ht="30">
      <c r="A95" s="281"/>
      <c r="B95" s="282" t="str">
        <f>'02.1-ĐNTT'!B100</f>
        <v>Khối đá trang trí lớn</v>
      </c>
      <c r="C95" s="281" t="str">
        <f>'02.1-ĐNTT'!C100</f>
        <v>Viên</v>
      </c>
      <c r="D95" s="283" t="str">
        <f>'02.1-ĐNTT'!D100</f>
        <v>Chưa bao gồm, không chào giá</v>
      </c>
      <c r="E95" s="284">
        <v>0</v>
      </c>
      <c r="F95" s="285">
        <f>'04-THKL DOT...'!F100</f>
        <v>0</v>
      </c>
      <c r="G95" s="285">
        <f t="shared" si="4"/>
        <v>0</v>
      </c>
      <c r="H95" s="286"/>
      <c r="I95" s="286"/>
      <c r="J95" s="286">
        <f t="shared" si="7"/>
        <v>0</v>
      </c>
      <c r="K95" s="287"/>
    </row>
    <row r="96" spans="1:11" s="288" customFormat="1" ht="30">
      <c r="A96" s="281"/>
      <c r="B96" s="282" t="str">
        <f>'02.1-ĐNTT'!B101</f>
        <v>Khối đá trang trí cỡ vừa</v>
      </c>
      <c r="C96" s="281" t="str">
        <f>'02.1-ĐNTT'!C101</f>
        <v>Viên</v>
      </c>
      <c r="D96" s="283" t="str">
        <f>'02.1-ĐNTT'!D101</f>
        <v>Chưa bao gồm, không chào giá</v>
      </c>
      <c r="E96" s="284">
        <v>0</v>
      </c>
      <c r="F96" s="285">
        <f>'04-THKL DOT...'!F101</f>
        <v>0</v>
      </c>
      <c r="G96" s="285">
        <f t="shared" si="4"/>
        <v>0</v>
      </c>
      <c r="H96" s="286"/>
      <c r="I96" s="286"/>
      <c r="J96" s="286">
        <f t="shared" si="7"/>
        <v>0</v>
      </c>
      <c r="K96" s="287"/>
    </row>
    <row r="97" spans="1:11" s="288" customFormat="1" ht="30">
      <c r="A97" s="281"/>
      <c r="B97" s="282" t="str">
        <f>'02.1-ĐNTT'!B102</f>
        <v>Khối đá trang trí cỡ nhỏ</v>
      </c>
      <c r="C97" s="281" t="str">
        <f>'02.1-ĐNTT'!C102</f>
        <v>Viên</v>
      </c>
      <c r="D97" s="283" t="str">
        <f>'02.1-ĐNTT'!D102</f>
        <v>Chưa bao gồm, không chào giá</v>
      </c>
      <c r="E97" s="284">
        <v>0</v>
      </c>
      <c r="F97" s="285">
        <f>'04-THKL DOT...'!F102</f>
        <v>0</v>
      </c>
      <c r="G97" s="285">
        <f t="shared" si="4"/>
        <v>0</v>
      </c>
      <c r="H97" s="286"/>
      <c r="I97" s="286"/>
      <c r="J97" s="286">
        <f t="shared" si="7"/>
        <v>0</v>
      </c>
      <c r="K97" s="287"/>
    </row>
    <row r="98" spans="1:11" ht="28.5">
      <c r="A98" s="142" t="str">
        <f>'02.1-ĐNTT'!A103</f>
        <v>B</v>
      </c>
      <c r="B98" s="143" t="str">
        <f>'02.1-ĐNTT'!B103</f>
        <v>HẠNG MỤC NỀN CẢNH QUAN + BỒN HOA + GIẾNG GIÓ</v>
      </c>
      <c r="C98" s="126"/>
      <c r="D98" s="280">
        <f>'02.1-ĐNTT'!D103</f>
        <v>0</v>
      </c>
      <c r="E98" s="284">
        <v>0</v>
      </c>
      <c r="F98" s="285">
        <f>'04-THKL DOT...'!F103</f>
        <v>0</v>
      </c>
      <c r="G98" s="285">
        <f t="shared" si="4"/>
        <v>0</v>
      </c>
      <c r="H98" s="286">
        <f t="shared" si="5"/>
        <v>0</v>
      </c>
      <c r="I98" s="286">
        <f t="shared" si="6"/>
        <v>0</v>
      </c>
      <c r="J98" s="286">
        <f t="shared" si="7"/>
        <v>0</v>
      </c>
      <c r="K98" s="127"/>
    </row>
    <row r="99" spans="1:11">
      <c r="A99" s="142" t="str">
        <f>'02.1-ĐNTT'!A104</f>
        <v>I</v>
      </c>
      <c r="B99" s="143" t="str">
        <f>'02.1-ĐNTT'!B104</f>
        <v>Phần nền</v>
      </c>
      <c r="C99" s="126"/>
      <c r="D99" s="280">
        <f>'02.1-ĐNTT'!D104</f>
        <v>0</v>
      </c>
      <c r="E99" s="284">
        <v>0</v>
      </c>
      <c r="F99" s="285">
        <f>'04-THKL DOT...'!F104</f>
        <v>0</v>
      </c>
      <c r="G99" s="285">
        <f t="shared" si="4"/>
        <v>0</v>
      </c>
      <c r="H99" s="286">
        <f t="shared" si="5"/>
        <v>0</v>
      </c>
      <c r="I99" s="286">
        <f t="shared" si="6"/>
        <v>0</v>
      </c>
      <c r="J99" s="286">
        <f t="shared" si="7"/>
        <v>0</v>
      </c>
      <c r="K99" s="127"/>
    </row>
    <row r="100" spans="1:11" s="288" customFormat="1" ht="30">
      <c r="A100" s="281">
        <f>'02.1-ĐNTT'!A105</f>
        <v>1</v>
      </c>
      <c r="B100" s="282" t="str">
        <f>'02.1-ĐNTT'!B105</f>
        <v>Vị trí hoàn thiện Cát biển tự nhiên (F1)</v>
      </c>
      <c r="C100" s="281" t="str">
        <f>'02.1-ĐNTT'!C105</f>
        <v>m2</v>
      </c>
      <c r="D100" s="283" t="str">
        <f>'02.1-ĐNTT'!D105</f>
        <v>Chưa bao gồm, hoàn thiện sau</v>
      </c>
      <c r="E100" s="284">
        <v>0</v>
      </c>
      <c r="F100" s="285">
        <f>'04-THKL DOT...'!F105</f>
        <v>0</v>
      </c>
      <c r="G100" s="285">
        <f t="shared" si="4"/>
        <v>0</v>
      </c>
      <c r="H100" s="286"/>
      <c r="I100" s="286"/>
      <c r="J100" s="286">
        <f t="shared" si="7"/>
        <v>0</v>
      </c>
      <c r="K100" s="287"/>
    </row>
    <row r="101" spans="1:11" s="288" customFormat="1" ht="30">
      <c r="A101" s="281" t="str">
        <f>'02.1-ĐNTT'!A106</f>
        <v>1.1</v>
      </c>
      <c r="B101" s="282" t="str">
        <f>'02.1-ĐNTT'!B106</f>
        <v>Lớp vải địa ART 15 hoặc tương đương</v>
      </c>
      <c r="C101" s="281" t="str">
        <f>'02.1-ĐNTT'!C106</f>
        <v>m2</v>
      </c>
      <c r="D101" s="283" t="str">
        <f>'02.1-ĐNTT'!D106</f>
        <v>Chưa bao gồm, hoàn thiện sau</v>
      </c>
      <c r="E101" s="284">
        <v>0</v>
      </c>
      <c r="F101" s="285">
        <f>'04-THKL DOT...'!F106</f>
        <v>0</v>
      </c>
      <c r="G101" s="285">
        <f t="shared" si="4"/>
        <v>0</v>
      </c>
      <c r="H101" s="286"/>
      <c r="I101" s="286"/>
      <c r="J101" s="286">
        <f t="shared" si="7"/>
        <v>0</v>
      </c>
      <c r="K101" s="287"/>
    </row>
    <row r="102" spans="1:11" s="288" customFormat="1" ht="30">
      <c r="A102" s="281" t="str">
        <f>'02.1-ĐNTT'!A107</f>
        <v>1.2</v>
      </c>
      <c r="B102" s="282" t="str">
        <f>'02.1-ĐNTT'!B107</f>
        <v>Lớp vỉ nhựa Plastic Cell chất liệu nhựa PP màu đen, KT 500x500x30</v>
      </c>
      <c r="C102" s="281" t="str">
        <f>'02.1-ĐNTT'!C107</f>
        <v>m2</v>
      </c>
      <c r="D102" s="283" t="str">
        <f>'02.1-ĐNTT'!D107</f>
        <v>Chưa bao gồm, hoàn thiện sau</v>
      </c>
      <c r="E102" s="284">
        <v>0</v>
      </c>
      <c r="F102" s="285">
        <f>'04-THKL DOT...'!F107</f>
        <v>0</v>
      </c>
      <c r="G102" s="285">
        <f t="shared" si="4"/>
        <v>0</v>
      </c>
      <c r="H102" s="286"/>
      <c r="I102" s="286"/>
      <c r="J102" s="286">
        <f t="shared" si="7"/>
        <v>0</v>
      </c>
      <c r="K102" s="287"/>
    </row>
    <row r="103" spans="1:11" s="288" customFormat="1">
      <c r="A103" s="281" t="str">
        <f>'02.1-ĐNTT'!A108</f>
        <v>1.3</v>
      </c>
      <c r="B103" s="282" t="str">
        <f>'02.1-ĐNTT'!B108</f>
        <v xml:space="preserve">Lớp vữa M75 dày min 15mm, dốc về phía phễu thu </v>
      </c>
      <c r="C103" s="281" t="str">
        <f>'02.1-ĐNTT'!C108</f>
        <v>m2</v>
      </c>
      <c r="D103" s="283">
        <f>'02.1-ĐNTT'!D108</f>
        <v>82715</v>
      </c>
      <c r="E103" s="284">
        <v>0</v>
      </c>
      <c r="F103" s="285">
        <f>'04-THKL DOT...'!F108</f>
        <v>0</v>
      </c>
      <c r="G103" s="285">
        <f t="shared" si="4"/>
        <v>0</v>
      </c>
      <c r="H103" s="286">
        <f t="shared" si="5"/>
        <v>0</v>
      </c>
      <c r="I103" s="286">
        <f t="shared" si="6"/>
        <v>0</v>
      </c>
      <c r="J103" s="286">
        <f t="shared" si="7"/>
        <v>0</v>
      </c>
      <c r="K103" s="287"/>
    </row>
    <row r="104" spans="1:11" s="288" customFormat="1">
      <c r="A104" s="281" t="str">
        <f>'02.1-ĐNTT'!A109</f>
        <v>1.4</v>
      </c>
      <c r="B104" s="282" t="str">
        <f>'02.1-ĐNTT'!B109</f>
        <v>Quét lớp chống thấm</v>
      </c>
      <c r="C104" s="281" t="str">
        <f>'02.1-ĐNTT'!C109</f>
        <v>m2</v>
      </c>
      <c r="D104" s="283">
        <f>'02.1-ĐNTT'!D109</f>
        <v>250000</v>
      </c>
      <c r="E104" s="284">
        <v>0</v>
      </c>
      <c r="F104" s="285">
        <f>'04-THKL DOT...'!F109</f>
        <v>0</v>
      </c>
      <c r="G104" s="285">
        <f t="shared" si="4"/>
        <v>0</v>
      </c>
      <c r="H104" s="286">
        <f t="shared" si="5"/>
        <v>0</v>
      </c>
      <c r="I104" s="286">
        <f t="shared" si="6"/>
        <v>0</v>
      </c>
      <c r="J104" s="286">
        <f t="shared" si="7"/>
        <v>0</v>
      </c>
      <c r="K104" s="287"/>
    </row>
    <row r="105" spans="1:11" s="288" customFormat="1" ht="30">
      <c r="A105" s="281">
        <f>'02.1-ĐNTT'!A110</f>
        <v>2</v>
      </c>
      <c r="B105" s="282" t="str">
        <f>'02.1-ĐNTT'!B110</f>
        <v>Lát gỗ nhựa ngoài trời (F2)</v>
      </c>
      <c r="C105" s="281" t="str">
        <f>'02.1-ĐNTT'!C110</f>
        <v>m2</v>
      </c>
      <c r="D105" s="283" t="str">
        <f>'02.1-ĐNTT'!D110</f>
        <v>Chưa bao gồm, hoàn thiện sau</v>
      </c>
      <c r="E105" s="284">
        <v>0</v>
      </c>
      <c r="F105" s="285">
        <f>'04-THKL DOT...'!F110</f>
        <v>0</v>
      </c>
      <c r="G105" s="285">
        <f t="shared" si="4"/>
        <v>0</v>
      </c>
      <c r="H105" s="286"/>
      <c r="I105" s="286"/>
      <c r="J105" s="286">
        <f t="shared" si="7"/>
        <v>0</v>
      </c>
      <c r="K105" s="287"/>
    </row>
    <row r="106" spans="1:11" s="288" customFormat="1" ht="30">
      <c r="A106" s="281" t="str">
        <f>'02.1-ĐNTT'!A111</f>
        <v>2.1</v>
      </c>
      <c r="B106" s="282" t="str">
        <f>'02.1-ĐNTT'!B111</f>
        <v>Hệ khung thép hộp 25x25x1,0mm</v>
      </c>
      <c r="C106" s="281" t="str">
        <f>'02.1-ĐNTT'!C111</f>
        <v>m2</v>
      </c>
      <c r="D106" s="283" t="str">
        <f>'02.1-ĐNTT'!D111</f>
        <v>Chưa bao gồm, hoàn thiện sau</v>
      </c>
      <c r="E106" s="284">
        <v>0</v>
      </c>
      <c r="F106" s="285">
        <f>'04-THKL DOT...'!F111</f>
        <v>0</v>
      </c>
      <c r="G106" s="285">
        <f t="shared" si="4"/>
        <v>0</v>
      </c>
      <c r="H106" s="286"/>
      <c r="I106" s="286"/>
      <c r="J106" s="286">
        <f t="shared" si="7"/>
        <v>0</v>
      </c>
      <c r="K106" s="287"/>
    </row>
    <row r="107" spans="1:11" s="288" customFormat="1">
      <c r="A107" s="281" t="str">
        <f>'02.1-ĐNTT'!A112</f>
        <v>2.2</v>
      </c>
      <c r="B107" s="282" t="str">
        <f>'02.1-ĐNTT'!B112</f>
        <v>Vữa XM M75, tạo dốc 1% độ dày min 20mm</v>
      </c>
      <c r="C107" s="281" t="str">
        <f>'02.1-ĐNTT'!C112</f>
        <v>m2</v>
      </c>
      <c r="D107" s="283">
        <f>'02.1-ĐNTT'!D112</f>
        <v>82715</v>
      </c>
      <c r="E107" s="284">
        <v>0</v>
      </c>
      <c r="F107" s="285">
        <f>'04-THKL DOT...'!F112</f>
        <v>0</v>
      </c>
      <c r="G107" s="285">
        <f t="shared" si="4"/>
        <v>0</v>
      </c>
      <c r="H107" s="286">
        <f t="shared" si="5"/>
        <v>0</v>
      </c>
      <c r="I107" s="286">
        <f t="shared" si="6"/>
        <v>0</v>
      </c>
      <c r="J107" s="286">
        <f t="shared" si="7"/>
        <v>0</v>
      </c>
      <c r="K107" s="287"/>
    </row>
    <row r="108" spans="1:11" s="288" customFormat="1">
      <c r="A108" s="281" t="str">
        <f>'02.1-ĐNTT'!A113</f>
        <v>2.3</v>
      </c>
      <c r="B108" s="282" t="str">
        <f>'02.1-ĐNTT'!B113</f>
        <v>Quét lớp chống thấm</v>
      </c>
      <c r="C108" s="281" t="str">
        <f>'02.1-ĐNTT'!C113</f>
        <v>m2</v>
      </c>
      <c r="D108" s="283">
        <f>'02.1-ĐNTT'!D113</f>
        <v>250000</v>
      </c>
      <c r="E108" s="284">
        <v>0</v>
      </c>
      <c r="F108" s="285">
        <f>'04-THKL DOT...'!F113</f>
        <v>0</v>
      </c>
      <c r="G108" s="285">
        <f t="shared" si="4"/>
        <v>0</v>
      </c>
      <c r="H108" s="286">
        <f t="shared" si="5"/>
        <v>0</v>
      </c>
      <c r="I108" s="286">
        <f t="shared" si="6"/>
        <v>0</v>
      </c>
      <c r="J108" s="286">
        <f t="shared" si="7"/>
        <v>0</v>
      </c>
      <c r="K108" s="287"/>
    </row>
    <row r="109" spans="1:11" s="288" customFormat="1" ht="30">
      <c r="A109" s="281">
        <f>'02.1-ĐNTT'!A114</f>
        <v>3</v>
      </c>
      <c r="B109" s="282" t="str">
        <f>'02.1-ĐNTT'!B114</f>
        <v>Đá thanh hóa xanh đen băm mặt dày 30mm, chẻ tay hình thức theo thiết kế (F3)</v>
      </c>
      <c r="C109" s="281" t="str">
        <f>'02.1-ĐNTT'!C114</f>
        <v>m2</v>
      </c>
      <c r="D109" s="283" t="str">
        <f>'02.1-ĐNTT'!D114</f>
        <v>Chưa bao gồm, hoàn thiện sau</v>
      </c>
      <c r="E109" s="284">
        <v>0</v>
      </c>
      <c r="F109" s="285">
        <f>'04-THKL DOT...'!F114</f>
        <v>0</v>
      </c>
      <c r="G109" s="285">
        <f t="shared" si="4"/>
        <v>0</v>
      </c>
      <c r="H109" s="286"/>
      <c r="I109" s="286"/>
      <c r="J109" s="286">
        <f t="shared" si="7"/>
        <v>0</v>
      </c>
      <c r="K109" s="287"/>
    </row>
    <row r="110" spans="1:11" s="288" customFormat="1" ht="30">
      <c r="A110" s="281" t="str">
        <f>'02.1-ĐNTT'!A115</f>
        <v>3.1</v>
      </c>
      <c r="B110" s="282" t="str">
        <f>'02.1-ĐNTT'!B115</f>
        <v>Sỏi tự nhiên đầm chặt chải phẳng dày 50mm</v>
      </c>
      <c r="C110" s="281" t="str">
        <f>'02.1-ĐNTT'!C115</f>
        <v>m2</v>
      </c>
      <c r="D110" s="283" t="str">
        <f>'02.1-ĐNTT'!D115</f>
        <v>Chưa bao gồm, hoàn thiện sau</v>
      </c>
      <c r="E110" s="284">
        <v>0</v>
      </c>
      <c r="F110" s="285">
        <f>'04-THKL DOT...'!F115</f>
        <v>0</v>
      </c>
      <c r="G110" s="285">
        <f t="shared" si="4"/>
        <v>0</v>
      </c>
      <c r="H110" s="286"/>
      <c r="I110" s="286"/>
      <c r="J110" s="286">
        <f t="shared" si="7"/>
        <v>0</v>
      </c>
      <c r="K110" s="287"/>
    </row>
    <row r="111" spans="1:11" s="288" customFormat="1" ht="30">
      <c r="A111" s="281" t="str">
        <f>'02.1-ĐNTT'!A116</f>
        <v>3.2</v>
      </c>
      <c r="B111" s="282" t="str">
        <f>'02.1-ĐNTT'!B116</f>
        <v>Lớp vải địa ART 15 hoặc tương đương</v>
      </c>
      <c r="C111" s="281" t="str">
        <f>'02.1-ĐNTT'!C116</f>
        <v>m2</v>
      </c>
      <c r="D111" s="283" t="str">
        <f>'02.1-ĐNTT'!D116</f>
        <v>Chưa bao gồm, hoàn thiện sau</v>
      </c>
      <c r="E111" s="284">
        <v>0</v>
      </c>
      <c r="F111" s="285">
        <f>'04-THKL DOT...'!F116</f>
        <v>0</v>
      </c>
      <c r="G111" s="285">
        <f t="shared" si="4"/>
        <v>0</v>
      </c>
      <c r="H111" s="286"/>
      <c r="I111" s="286"/>
      <c r="J111" s="286">
        <f t="shared" si="7"/>
        <v>0</v>
      </c>
      <c r="K111" s="287"/>
    </row>
    <row r="112" spans="1:11" s="288" customFormat="1" ht="30">
      <c r="A112" s="281">
        <f>'02.1-ĐNTT'!A117</f>
        <v>4</v>
      </c>
      <c r="B112" s="282" t="str">
        <f>'02.1-ĐNTT'!B117</f>
        <v>Đá thanh hóa (F3.1)</v>
      </c>
      <c r="C112" s="281" t="str">
        <f>'02.1-ĐNTT'!C117</f>
        <v>m2</v>
      </c>
      <c r="D112" s="283" t="str">
        <f>'02.1-ĐNTT'!D117</f>
        <v>Chưa bao gồm, hoàn thiện sau</v>
      </c>
      <c r="E112" s="284">
        <v>0</v>
      </c>
      <c r="F112" s="285">
        <f>'04-THKL DOT...'!F117</f>
        <v>0</v>
      </c>
      <c r="G112" s="285">
        <f t="shared" si="4"/>
        <v>0</v>
      </c>
      <c r="H112" s="286"/>
      <c r="I112" s="286"/>
      <c r="J112" s="286">
        <f t="shared" si="7"/>
        <v>0</v>
      </c>
      <c r="K112" s="287"/>
    </row>
    <row r="113" spans="1:11" s="288" customFormat="1">
      <c r="A113" s="281" t="str">
        <f>'02.1-ĐNTT'!A118</f>
        <v>4.1</v>
      </c>
      <c r="B113" s="282" t="str">
        <f>'02.1-ĐNTT'!B118</f>
        <v>Vữa XM mác 75, tạo dốc 1% độ dày theo thực tế</v>
      </c>
      <c r="C113" s="281" t="str">
        <f>'02.1-ĐNTT'!C118</f>
        <v>m2</v>
      </c>
      <c r="D113" s="283">
        <f>'02.1-ĐNTT'!D118</f>
        <v>82715</v>
      </c>
      <c r="E113" s="284">
        <v>0</v>
      </c>
      <c r="F113" s="285">
        <f>'04-THKL DOT...'!F118</f>
        <v>0</v>
      </c>
      <c r="G113" s="285">
        <f t="shared" si="4"/>
        <v>0</v>
      </c>
      <c r="H113" s="286">
        <f t="shared" si="5"/>
        <v>0</v>
      </c>
      <c r="I113" s="286">
        <f t="shared" si="6"/>
        <v>0</v>
      </c>
      <c r="J113" s="286">
        <f t="shared" si="7"/>
        <v>0</v>
      </c>
      <c r="K113" s="287"/>
    </row>
    <row r="114" spans="1:11" s="288" customFormat="1" ht="30">
      <c r="A114" s="281" t="str">
        <f>'02.1-ĐNTT'!A119</f>
        <v>4.2</v>
      </c>
      <c r="B114" s="282" t="str">
        <f>'02.1-ĐNTT'!B119</f>
        <v>Quét 2 lớp chống thấm gốc XM 2 thành phần Sika topseal 108 dày min&gt;=1.0mm ( hoặc tương đương)</v>
      </c>
      <c r="C114" s="281" t="str">
        <f>'02.1-ĐNTT'!C119</f>
        <v>m2</v>
      </c>
      <c r="D114" s="283">
        <f>'02.1-ĐNTT'!D119</f>
        <v>0</v>
      </c>
      <c r="E114" s="284">
        <v>0</v>
      </c>
      <c r="F114" s="285">
        <f>'04-THKL DOT...'!F119</f>
        <v>0</v>
      </c>
      <c r="G114" s="285">
        <f t="shared" si="4"/>
        <v>0</v>
      </c>
      <c r="H114" s="286">
        <f t="shared" si="5"/>
        <v>0</v>
      </c>
      <c r="I114" s="286">
        <f t="shared" si="6"/>
        <v>0</v>
      </c>
      <c r="J114" s="286">
        <f t="shared" si="7"/>
        <v>0</v>
      </c>
      <c r="K114" s="287"/>
    </row>
    <row r="115" spans="1:11" s="288" customFormat="1" ht="30">
      <c r="A115" s="281">
        <f>'02.1-ĐNTT'!A120</f>
        <v>5</v>
      </c>
      <c r="B115" s="282" t="str">
        <f>'02.1-ĐNTT'!B120</f>
        <v>Đá thanh hóa xanh đen băm mặt (F3.2)</v>
      </c>
      <c r="C115" s="281" t="str">
        <f>'02.1-ĐNTT'!C120</f>
        <v>m2</v>
      </c>
      <c r="D115" s="283" t="str">
        <f>'02.1-ĐNTT'!D120</f>
        <v>Chưa bao gồm, hoàn thiện sau</v>
      </c>
      <c r="E115" s="284">
        <v>0</v>
      </c>
      <c r="F115" s="285">
        <f>'04-THKL DOT...'!F120</f>
        <v>0</v>
      </c>
      <c r="G115" s="285">
        <f t="shared" si="4"/>
        <v>0</v>
      </c>
      <c r="H115" s="286"/>
      <c r="I115" s="286"/>
      <c r="J115" s="286">
        <f t="shared" si="7"/>
        <v>0</v>
      </c>
      <c r="K115" s="287"/>
    </row>
    <row r="116" spans="1:11" s="288" customFormat="1">
      <c r="A116" s="281" t="str">
        <f>'02.1-ĐNTT'!A121</f>
        <v>5.1</v>
      </c>
      <c r="B116" s="282" t="str">
        <f>'02.1-ĐNTT'!B121</f>
        <v>Vữa XM mác 75, tạo dốc 1% độ dày theo thực tế</v>
      </c>
      <c r="C116" s="281" t="str">
        <f>'02.1-ĐNTT'!C121</f>
        <v>m2</v>
      </c>
      <c r="D116" s="283">
        <f>'02.1-ĐNTT'!D121</f>
        <v>82715</v>
      </c>
      <c r="E116" s="284">
        <v>0</v>
      </c>
      <c r="F116" s="285">
        <f>'04-THKL DOT...'!F121</f>
        <v>0</v>
      </c>
      <c r="G116" s="285">
        <f t="shared" si="4"/>
        <v>0</v>
      </c>
      <c r="H116" s="286">
        <f t="shared" si="5"/>
        <v>0</v>
      </c>
      <c r="I116" s="286">
        <f t="shared" si="6"/>
        <v>0</v>
      </c>
      <c r="J116" s="286">
        <f t="shared" si="7"/>
        <v>0</v>
      </c>
      <c r="K116" s="287"/>
    </row>
    <row r="117" spans="1:11" s="288" customFormat="1">
      <c r="A117" s="281" t="str">
        <f>'02.1-ĐNTT'!A122</f>
        <v>5.2</v>
      </c>
      <c r="B117" s="282" t="str">
        <f>'02.1-ĐNTT'!B122</f>
        <v>Quét lớp chống thấm</v>
      </c>
      <c r="C117" s="281" t="str">
        <f>'02.1-ĐNTT'!C122</f>
        <v>m2</v>
      </c>
      <c r="D117" s="283">
        <f>'02.1-ĐNTT'!D122</f>
        <v>250000</v>
      </c>
      <c r="E117" s="284">
        <v>0</v>
      </c>
      <c r="F117" s="285">
        <f>'04-THKL DOT...'!F122</f>
        <v>0</v>
      </c>
      <c r="G117" s="285">
        <f t="shared" si="4"/>
        <v>0</v>
      </c>
      <c r="H117" s="286">
        <f t="shared" si="5"/>
        <v>0</v>
      </c>
      <c r="I117" s="286">
        <f t="shared" si="6"/>
        <v>0</v>
      </c>
      <c r="J117" s="286">
        <f t="shared" si="7"/>
        <v>0</v>
      </c>
      <c r="K117" s="287"/>
    </row>
    <row r="118" spans="1:11" s="288" customFormat="1" ht="30">
      <c r="A118" s="281">
        <f>'02.1-ĐNTT'!A123</f>
        <v>6</v>
      </c>
      <c r="B118" s="282" t="str">
        <f>'02.1-ĐNTT'!B123</f>
        <v>Đá Cubic Granite Bình Định màu vàng nhạt, băm mặt (F6)</v>
      </c>
      <c r="C118" s="281" t="str">
        <f>'02.1-ĐNTT'!C123</f>
        <v>m2</v>
      </c>
      <c r="D118" s="283" t="str">
        <f>'02.1-ĐNTT'!D123</f>
        <v>Chưa bao gồm, hoàn thiện sau</v>
      </c>
      <c r="E118" s="284">
        <v>0</v>
      </c>
      <c r="F118" s="285">
        <f>'04-THKL DOT...'!F123</f>
        <v>0</v>
      </c>
      <c r="G118" s="285">
        <f t="shared" si="4"/>
        <v>0</v>
      </c>
      <c r="H118" s="286"/>
      <c r="I118" s="286"/>
      <c r="J118" s="286">
        <f t="shared" si="7"/>
        <v>0</v>
      </c>
      <c r="K118" s="287"/>
    </row>
    <row r="119" spans="1:11" s="288" customFormat="1">
      <c r="A119" s="281" t="str">
        <f>'02.1-ĐNTT'!A124</f>
        <v>6.1</v>
      </c>
      <c r="B119" s="282" t="str">
        <f>'02.1-ĐNTT'!B124</f>
        <v>Vữa XM mác 75, tạo dốc 1% độ dày theo thực tế</v>
      </c>
      <c r="C119" s="281" t="str">
        <f>'02.1-ĐNTT'!C124</f>
        <v>m2</v>
      </c>
      <c r="D119" s="283">
        <f>'02.1-ĐNTT'!D124</f>
        <v>82715</v>
      </c>
      <c r="E119" s="284">
        <v>0</v>
      </c>
      <c r="F119" s="285">
        <f>'04-THKL DOT...'!F124</f>
        <v>0</v>
      </c>
      <c r="G119" s="285">
        <f t="shared" si="4"/>
        <v>0</v>
      </c>
      <c r="H119" s="286">
        <f t="shared" si="5"/>
        <v>0</v>
      </c>
      <c r="I119" s="286">
        <f t="shared" si="6"/>
        <v>0</v>
      </c>
      <c r="J119" s="286">
        <f t="shared" si="7"/>
        <v>0</v>
      </c>
      <c r="K119" s="287"/>
    </row>
    <row r="120" spans="1:11" s="288" customFormat="1">
      <c r="A120" s="281" t="str">
        <f>'02.1-ĐNTT'!A125</f>
        <v>6.2</v>
      </c>
      <c r="B120" s="282" t="str">
        <f>'02.1-ĐNTT'!B125</f>
        <v>Quét lớp chống thấm</v>
      </c>
      <c r="C120" s="281" t="str">
        <f>'02.1-ĐNTT'!C125</f>
        <v>m2</v>
      </c>
      <c r="D120" s="283">
        <f>'02.1-ĐNTT'!D125</f>
        <v>250000</v>
      </c>
      <c r="E120" s="284">
        <v>0</v>
      </c>
      <c r="F120" s="285">
        <f>'04-THKL DOT...'!F125</f>
        <v>0</v>
      </c>
      <c r="G120" s="285">
        <f t="shared" si="4"/>
        <v>0</v>
      </c>
      <c r="H120" s="286">
        <f t="shared" si="5"/>
        <v>0</v>
      </c>
      <c r="I120" s="286">
        <f t="shared" si="6"/>
        <v>0</v>
      </c>
      <c r="J120" s="286">
        <f t="shared" si="7"/>
        <v>0</v>
      </c>
      <c r="K120" s="287"/>
    </row>
    <row r="121" spans="1:11" s="288" customFormat="1" ht="30">
      <c r="A121" s="281">
        <f>'02.1-ĐNTT'!A126</f>
        <v>7</v>
      </c>
      <c r="B121" s="282" t="str">
        <f>'02.1-ĐNTT'!B126</f>
        <v>Đá Kim Sa hạt nhỏ màu đen (F6.1)</v>
      </c>
      <c r="C121" s="281" t="str">
        <f>'02.1-ĐNTT'!C126</f>
        <v>m2</v>
      </c>
      <c r="D121" s="283" t="str">
        <f>'02.1-ĐNTT'!D126</f>
        <v>Chưa bao gồm, hoàn thiện sau</v>
      </c>
      <c r="E121" s="284">
        <v>0</v>
      </c>
      <c r="F121" s="285">
        <f>'04-THKL DOT...'!F126</f>
        <v>0</v>
      </c>
      <c r="G121" s="285">
        <f t="shared" si="4"/>
        <v>0</v>
      </c>
      <c r="H121" s="286"/>
      <c r="I121" s="286"/>
      <c r="J121" s="286">
        <f t="shared" si="7"/>
        <v>0</v>
      </c>
      <c r="K121" s="287"/>
    </row>
    <row r="122" spans="1:11" s="288" customFormat="1">
      <c r="A122" s="281" t="str">
        <f>'02.1-ĐNTT'!A127</f>
        <v>7.1</v>
      </c>
      <c r="B122" s="282" t="str">
        <f>'02.1-ĐNTT'!B127</f>
        <v>Vữa XM mác 75, tạo dốc 1% độ dày theo thực tế</v>
      </c>
      <c r="C122" s="281" t="str">
        <f>'02.1-ĐNTT'!C127</f>
        <v>m2</v>
      </c>
      <c r="D122" s="283">
        <f>'02.1-ĐNTT'!D127</f>
        <v>82715</v>
      </c>
      <c r="E122" s="284">
        <v>0</v>
      </c>
      <c r="F122" s="285">
        <f>'04-THKL DOT...'!F127</f>
        <v>0</v>
      </c>
      <c r="G122" s="285">
        <f t="shared" si="4"/>
        <v>0</v>
      </c>
      <c r="H122" s="286">
        <f t="shared" si="5"/>
        <v>0</v>
      </c>
      <c r="I122" s="286">
        <f t="shared" si="6"/>
        <v>0</v>
      </c>
      <c r="J122" s="286">
        <f t="shared" si="7"/>
        <v>0</v>
      </c>
      <c r="K122" s="287"/>
    </row>
    <row r="123" spans="1:11" s="288" customFormat="1">
      <c r="A123" s="281" t="str">
        <f>'02.1-ĐNTT'!A128</f>
        <v>7.2</v>
      </c>
      <c r="B123" s="282" t="str">
        <f>'02.1-ĐNTT'!B128</f>
        <v>Quét 2 lớp chống thấm</v>
      </c>
      <c r="C123" s="281" t="str">
        <f>'02.1-ĐNTT'!C128</f>
        <v>m2</v>
      </c>
      <c r="D123" s="283">
        <f>'02.1-ĐNTT'!D128</f>
        <v>0</v>
      </c>
      <c r="E123" s="284">
        <v>0</v>
      </c>
      <c r="F123" s="285">
        <f>'04-THKL DOT...'!F128</f>
        <v>0</v>
      </c>
      <c r="G123" s="285">
        <f t="shared" si="4"/>
        <v>0</v>
      </c>
      <c r="H123" s="286">
        <f t="shared" si="5"/>
        <v>0</v>
      </c>
      <c r="I123" s="286">
        <f t="shared" si="6"/>
        <v>0</v>
      </c>
      <c r="J123" s="286">
        <f t="shared" si="7"/>
        <v>0</v>
      </c>
      <c r="K123" s="287"/>
    </row>
    <row r="124" spans="1:11" s="288" customFormat="1" ht="30">
      <c r="A124" s="281">
        <f>'02.1-ĐNTT'!A129</f>
        <v>8</v>
      </c>
      <c r="B124" s="282" t="str">
        <f>'02.1-ĐNTT'!B129</f>
        <v>Ốp đá tổ ong xám (OB) bao gồm cả lớp vữa XM dính kết</v>
      </c>
      <c r="C124" s="281" t="str">
        <f>'02.1-ĐNTT'!C129</f>
        <v>m2</v>
      </c>
      <c r="D124" s="283" t="str">
        <f>'02.1-ĐNTT'!D129</f>
        <v>Chưa bao gồm, hoàn thiện sau</v>
      </c>
      <c r="E124" s="284">
        <v>0</v>
      </c>
      <c r="F124" s="285">
        <f>'04-THKL DOT...'!F129</f>
        <v>0</v>
      </c>
      <c r="G124" s="285">
        <f t="shared" si="4"/>
        <v>0</v>
      </c>
      <c r="H124" s="286"/>
      <c r="I124" s="286"/>
      <c r="J124" s="286">
        <f t="shared" si="7"/>
        <v>0</v>
      </c>
      <c r="K124" s="287"/>
    </row>
    <row r="125" spans="1:11" s="288" customFormat="1" ht="30">
      <c r="A125" s="281">
        <f>'02.1-ĐNTT'!A130</f>
        <v>9</v>
      </c>
      <c r="B125" s="282" t="str">
        <f>'02.1-ĐNTT'!B130</f>
        <v>Bê tông mài Granito màu trắng (F7) bao gồm cả lớp vữa XM dính kết</v>
      </c>
      <c r="C125" s="281" t="str">
        <f>'02.1-ĐNTT'!C130</f>
        <v>m2</v>
      </c>
      <c r="D125" s="283" t="str">
        <f>'02.1-ĐNTT'!D130</f>
        <v>Chưa bao gồm, hoàn thiện sau</v>
      </c>
      <c r="E125" s="284">
        <v>0</v>
      </c>
      <c r="F125" s="285">
        <f>'04-THKL DOT...'!F130</f>
        <v>0</v>
      </c>
      <c r="G125" s="285">
        <f t="shared" si="4"/>
        <v>0</v>
      </c>
      <c r="H125" s="286"/>
      <c r="I125" s="286"/>
      <c r="J125" s="286">
        <f t="shared" si="7"/>
        <v>0</v>
      </c>
      <c r="K125" s="287"/>
    </row>
    <row r="126" spans="1:11" s="288" customFormat="1" ht="30">
      <c r="A126" s="281" t="str">
        <f>'02.1-ĐNTT'!A131</f>
        <v>9.1</v>
      </c>
      <c r="B126" s="282" t="str">
        <f>'02.1-ĐNTT'!B131</f>
        <v xml:space="preserve">Khung lưới thép </v>
      </c>
      <c r="C126" s="281" t="str">
        <f>'02.1-ĐNTT'!C131</f>
        <v>m2</v>
      </c>
      <c r="D126" s="283" t="str">
        <f>'02.1-ĐNTT'!D131</f>
        <v>Chưa bao gồm, hoàn thiện sau</v>
      </c>
      <c r="E126" s="284">
        <v>0</v>
      </c>
      <c r="F126" s="285">
        <f>'04-THKL DOT...'!F131</f>
        <v>0</v>
      </c>
      <c r="G126" s="285">
        <f t="shared" si="4"/>
        <v>0</v>
      </c>
      <c r="H126" s="286"/>
      <c r="I126" s="286"/>
      <c r="J126" s="286">
        <f t="shared" si="7"/>
        <v>0</v>
      </c>
      <c r="K126" s="287"/>
    </row>
    <row r="127" spans="1:11" s="288" customFormat="1">
      <c r="A127" s="281" t="str">
        <f>'02.1-ĐNTT'!A132</f>
        <v>9.2</v>
      </c>
      <c r="B127" s="282" t="str">
        <f>'02.1-ĐNTT'!B132</f>
        <v>Vữa XM M75 tạo phẳng</v>
      </c>
      <c r="C127" s="281" t="str">
        <f>'02.1-ĐNTT'!C132</f>
        <v>m2</v>
      </c>
      <c r="D127" s="283">
        <f>'02.1-ĐNTT'!D132</f>
        <v>82715</v>
      </c>
      <c r="E127" s="284">
        <v>0</v>
      </c>
      <c r="F127" s="285">
        <f>'04-THKL DOT...'!F132</f>
        <v>0</v>
      </c>
      <c r="G127" s="285">
        <f t="shared" si="4"/>
        <v>0</v>
      </c>
      <c r="H127" s="286">
        <f t="shared" si="5"/>
        <v>0</v>
      </c>
      <c r="I127" s="286">
        <f t="shared" si="6"/>
        <v>0</v>
      </c>
      <c r="J127" s="286">
        <f t="shared" si="7"/>
        <v>0</v>
      </c>
      <c r="K127" s="287"/>
    </row>
    <row r="128" spans="1:11" s="288" customFormat="1" ht="30">
      <c r="A128" s="281">
        <f>'02.1-ĐNTT'!A133</f>
        <v>10</v>
      </c>
      <c r="B128" s="282" t="str">
        <f>'02.1-ĐNTT'!B133</f>
        <v>Đá sỏi cuội tự nhiên 20-30 (F8) bao gồm lớp vữa liên kết</v>
      </c>
      <c r="C128" s="281" t="str">
        <f>'02.1-ĐNTT'!C133</f>
        <v>m2</v>
      </c>
      <c r="D128" s="283" t="str">
        <f>'02.1-ĐNTT'!D133</f>
        <v>Chưa bao gồm, hoàn thiện sau</v>
      </c>
      <c r="E128" s="284">
        <v>0</v>
      </c>
      <c r="F128" s="285">
        <f>'04-THKL DOT...'!F133</f>
        <v>0</v>
      </c>
      <c r="G128" s="285">
        <f t="shared" si="4"/>
        <v>0</v>
      </c>
      <c r="H128" s="286"/>
      <c r="I128" s="286"/>
      <c r="J128" s="286">
        <f t="shared" si="7"/>
        <v>0</v>
      </c>
      <c r="K128" s="287"/>
    </row>
    <row r="129" spans="1:11" s="288" customFormat="1">
      <c r="A129" s="281" t="str">
        <f>'02.1-ĐNTT'!A134</f>
        <v>10.1</v>
      </c>
      <c r="B129" s="282" t="str">
        <f>'02.1-ĐNTT'!B134</f>
        <v>Quét lớp chống thấm</v>
      </c>
      <c r="C129" s="281" t="str">
        <f>'02.1-ĐNTT'!C134</f>
        <v>m2</v>
      </c>
      <c r="D129" s="283">
        <f>'02.1-ĐNTT'!D134</f>
        <v>0</v>
      </c>
      <c r="E129" s="284">
        <v>0</v>
      </c>
      <c r="F129" s="285">
        <f>'04-THKL DOT...'!F134</f>
        <v>0</v>
      </c>
      <c r="G129" s="285">
        <f t="shared" si="4"/>
        <v>0</v>
      </c>
      <c r="H129" s="286">
        <f t="shared" si="5"/>
        <v>0</v>
      </c>
      <c r="I129" s="286">
        <f t="shared" si="6"/>
        <v>0</v>
      </c>
      <c r="J129" s="286">
        <f t="shared" si="7"/>
        <v>0</v>
      </c>
      <c r="K129" s="287"/>
    </row>
    <row r="130" spans="1:11" s="288" customFormat="1" ht="30">
      <c r="A130" s="281"/>
      <c r="B130" s="282" t="str">
        <f>'02.1-ĐNTT'!B135</f>
        <v>Sơn sân bóng rổ</v>
      </c>
      <c r="C130" s="281" t="str">
        <f>'02.1-ĐNTT'!C135</f>
        <v>m2</v>
      </c>
      <c r="D130" s="283" t="str">
        <f>'02.1-ĐNTT'!D135</f>
        <v>Chưa bao gồm, hoàn thiện sau</v>
      </c>
      <c r="E130" s="284">
        <v>0</v>
      </c>
      <c r="F130" s="285">
        <f>'04-THKL DOT...'!F135</f>
        <v>0</v>
      </c>
      <c r="G130" s="285">
        <f t="shared" si="4"/>
        <v>0</v>
      </c>
      <c r="H130" s="286"/>
      <c r="I130" s="286"/>
      <c r="J130" s="286">
        <f t="shared" si="7"/>
        <v>0</v>
      </c>
      <c r="K130" s="287"/>
    </row>
    <row r="131" spans="1:11" s="288" customFormat="1" ht="30">
      <c r="A131" s="281"/>
      <c r="B131" s="282" t="str">
        <f>'02.1-ĐNTT'!B136</f>
        <v xml:space="preserve">Sơn 2 lớp sơn nhựa tạo êm </v>
      </c>
      <c r="C131" s="281" t="str">
        <f>'02.1-ĐNTT'!C136</f>
        <v>m2</v>
      </c>
      <c r="D131" s="283" t="str">
        <f>'02.1-ĐNTT'!D136</f>
        <v>Chưa bao gồm, hoàn thiện sau</v>
      </c>
      <c r="E131" s="284">
        <v>0</v>
      </c>
      <c r="F131" s="285">
        <f>'04-THKL DOT...'!F136</f>
        <v>0</v>
      </c>
      <c r="G131" s="285">
        <f t="shared" si="4"/>
        <v>0</v>
      </c>
      <c r="H131" s="286"/>
      <c r="I131" s="286"/>
      <c r="J131" s="286">
        <f t="shared" si="7"/>
        <v>0</v>
      </c>
      <c r="K131" s="287"/>
    </row>
    <row r="132" spans="1:11" s="288" customFormat="1" ht="30">
      <c r="A132" s="281"/>
      <c r="B132" s="282" t="str">
        <f>'02.1-ĐNTT'!B137</f>
        <v>Phủ 1 lớp chống thấm, co giãn</v>
      </c>
      <c r="C132" s="281" t="str">
        <f>'02.1-ĐNTT'!C137</f>
        <v>m2</v>
      </c>
      <c r="D132" s="283" t="str">
        <f>'02.1-ĐNTT'!D137</f>
        <v>Chưa bao gồm, hoàn thiện sau</v>
      </c>
      <c r="E132" s="284">
        <v>0</v>
      </c>
      <c r="F132" s="285">
        <f>'04-THKL DOT...'!F137</f>
        <v>0</v>
      </c>
      <c r="G132" s="285">
        <f t="shared" si="4"/>
        <v>0</v>
      </c>
      <c r="H132" s="286"/>
      <c r="I132" s="286"/>
      <c r="J132" s="286">
        <f t="shared" si="7"/>
        <v>0</v>
      </c>
      <c r="K132" s="287"/>
    </row>
    <row r="133" spans="1:11" s="288" customFormat="1" ht="30">
      <c r="A133" s="281"/>
      <c r="B133" s="282" t="str">
        <f>'02.1-ĐNTT'!B138</f>
        <v>1 lớp trám vá, làm phẳng bề mặt sân</v>
      </c>
      <c r="C133" s="281" t="str">
        <f>'02.1-ĐNTT'!C138</f>
        <v>m2</v>
      </c>
      <c r="D133" s="283" t="str">
        <f>'02.1-ĐNTT'!D138</f>
        <v>Chưa bao gồm, hoàn thiện sau</v>
      </c>
      <c r="E133" s="284">
        <v>0</v>
      </c>
      <c r="F133" s="285">
        <f>'04-THKL DOT...'!F138</f>
        <v>0</v>
      </c>
      <c r="G133" s="285">
        <f t="shared" si="4"/>
        <v>0</v>
      </c>
      <c r="H133" s="286"/>
      <c r="I133" s="286"/>
      <c r="J133" s="286">
        <f t="shared" si="7"/>
        <v>0</v>
      </c>
      <c r="K133" s="287"/>
    </row>
    <row r="134" spans="1:11" s="288" customFormat="1" ht="30">
      <c r="A134" s="281"/>
      <c r="B134" s="282" t="str">
        <f>'02.1-ĐNTT'!B139</f>
        <v xml:space="preserve">Lớp thảm nhựa nóng </v>
      </c>
      <c r="C134" s="281" t="str">
        <f>'02.1-ĐNTT'!C139</f>
        <v>m2</v>
      </c>
      <c r="D134" s="283" t="str">
        <f>'02.1-ĐNTT'!D139</f>
        <v>Chưa bao gồm, hoàn thiện sau</v>
      </c>
      <c r="E134" s="284">
        <v>0</v>
      </c>
      <c r="F134" s="285">
        <f>'04-THKL DOT...'!F139</f>
        <v>0</v>
      </c>
      <c r="G134" s="285">
        <f t="shared" si="4"/>
        <v>0</v>
      </c>
      <c r="H134" s="286"/>
      <c r="I134" s="286"/>
      <c r="J134" s="286">
        <f t="shared" si="7"/>
        <v>0</v>
      </c>
      <c r="K134" s="287"/>
    </row>
    <row r="135" spans="1:11" s="288" customFormat="1" ht="30">
      <c r="A135" s="281"/>
      <c r="B135" s="282" t="str">
        <f>'02.1-ĐNTT'!B140</f>
        <v>Viền ngoài sân bóng rổ</v>
      </c>
      <c r="C135" s="281" t="str">
        <f>'02.1-ĐNTT'!C140</f>
        <v>md</v>
      </c>
      <c r="D135" s="283" t="str">
        <f>'02.1-ĐNTT'!D140</f>
        <v>Chưa bao gồm, hoàn thiện sau</v>
      </c>
      <c r="E135" s="284">
        <v>0</v>
      </c>
      <c r="F135" s="285">
        <f>'04-THKL DOT...'!F140</f>
        <v>0</v>
      </c>
      <c r="G135" s="285">
        <f t="shared" si="4"/>
        <v>0</v>
      </c>
      <c r="H135" s="286"/>
      <c r="I135" s="286"/>
      <c r="J135" s="286">
        <f t="shared" si="7"/>
        <v>0</v>
      </c>
      <c r="K135" s="287"/>
    </row>
    <row r="136" spans="1:11" s="288" customFormat="1" ht="30">
      <c r="A136" s="281"/>
      <c r="B136" s="282" t="str">
        <f>'02.1-ĐNTT'!B141</f>
        <v>Trụ bóng rổ</v>
      </c>
      <c r="C136" s="281" t="str">
        <f>'02.1-ĐNTT'!C141</f>
        <v>trụ</v>
      </c>
      <c r="D136" s="283" t="str">
        <f>'02.1-ĐNTT'!D141</f>
        <v>Chưa bao gồm, hoàn thiện sau</v>
      </c>
      <c r="E136" s="284">
        <v>0</v>
      </c>
      <c r="F136" s="285">
        <f>'04-THKL DOT...'!F141</f>
        <v>0</v>
      </c>
      <c r="G136" s="285">
        <f t="shared" si="4"/>
        <v>0</v>
      </c>
      <c r="H136" s="286"/>
      <c r="I136" s="286"/>
      <c r="J136" s="286">
        <f t="shared" si="7"/>
        <v>0</v>
      </c>
      <c r="K136" s="287"/>
    </row>
    <row r="137" spans="1:11">
      <c r="A137" s="142" t="str">
        <f>'02.1-ĐNTT'!A142</f>
        <v>II</v>
      </c>
      <c r="B137" s="143" t="str">
        <f>'02.1-ĐNTT'!B142</f>
        <v>Công tác bồn hoa</v>
      </c>
      <c r="C137" s="126"/>
      <c r="D137" s="280">
        <f>'02.1-ĐNTT'!D142</f>
        <v>0</v>
      </c>
      <c r="E137" s="284">
        <v>0</v>
      </c>
      <c r="F137" s="285">
        <f>'04-THKL DOT...'!F142</f>
        <v>0</v>
      </c>
      <c r="G137" s="285">
        <f t="shared" si="4"/>
        <v>0</v>
      </c>
      <c r="H137" s="286">
        <f t="shared" si="5"/>
        <v>0</v>
      </c>
      <c r="I137" s="286">
        <f t="shared" si="6"/>
        <v>0</v>
      </c>
      <c r="J137" s="286">
        <f t="shared" si="7"/>
        <v>0</v>
      </c>
      <c r="K137" s="127"/>
    </row>
    <row r="138" spans="1:11" s="288" customFormat="1">
      <c r="A138" s="281">
        <f>'02.1-ĐNTT'!A143</f>
        <v>11</v>
      </c>
      <c r="B138" s="282" t="str">
        <f>'02.1-ĐNTT'!B143</f>
        <v>Công tác thi công trát thành bồn hoa</v>
      </c>
      <c r="C138" s="281" t="str">
        <f>'02.1-ĐNTT'!C143</f>
        <v>m2</v>
      </c>
      <c r="D138" s="283">
        <f>'02.1-ĐNTT'!D143</f>
        <v>130000</v>
      </c>
      <c r="E138" s="284">
        <v>0</v>
      </c>
      <c r="F138" s="285">
        <f>'04-THKL DOT...'!F143</f>
        <v>0</v>
      </c>
      <c r="G138" s="285">
        <f t="shared" si="4"/>
        <v>0</v>
      </c>
      <c r="H138" s="286">
        <f t="shared" si="5"/>
        <v>0</v>
      </c>
      <c r="I138" s="286">
        <f t="shared" si="6"/>
        <v>0</v>
      </c>
      <c r="J138" s="286">
        <f t="shared" si="7"/>
        <v>0</v>
      </c>
      <c r="K138" s="287"/>
    </row>
    <row r="139" spans="1:11" s="288" customFormat="1" ht="30">
      <c r="A139" s="281"/>
      <c r="B139" s="282" t="str">
        <f>'02.1-ĐNTT'!B144</f>
        <v>Lớp sỏi 10x20mm trộn cát vàng tỷ lệ  1:1 đáy bồn hoa</v>
      </c>
      <c r="C139" s="281" t="str">
        <f>'02.1-ĐNTT'!C144</f>
        <v>m2</v>
      </c>
      <c r="D139" s="283" t="str">
        <f>'02.1-ĐNTT'!D144</f>
        <v>Chưa bao gồm, hoàn thiện sau</v>
      </c>
      <c r="E139" s="284">
        <v>0</v>
      </c>
      <c r="F139" s="285">
        <f>'04-THKL DOT...'!F144</f>
        <v>0</v>
      </c>
      <c r="G139" s="285">
        <f t="shared" ref="G139:G147" si="8">E139+F139</f>
        <v>0</v>
      </c>
      <c r="H139" s="286"/>
      <c r="I139" s="286"/>
      <c r="J139" s="286">
        <f t="shared" ref="J139:J147" si="9">H139+I139</f>
        <v>0</v>
      </c>
      <c r="K139" s="287"/>
    </row>
    <row r="140" spans="1:11" s="288" customFormat="1" ht="30">
      <c r="A140" s="281"/>
      <c r="B140" s="282" t="str">
        <f>'02.1-ĐNTT'!B145</f>
        <v>Lớp vải địa ART 15 hoặc tương đương</v>
      </c>
      <c r="C140" s="281" t="str">
        <f>'02.1-ĐNTT'!C145</f>
        <v>m2</v>
      </c>
      <c r="D140" s="283" t="str">
        <f>'02.1-ĐNTT'!D145</f>
        <v>Chưa bao gồm, hoàn thiện sau</v>
      </c>
      <c r="E140" s="284">
        <v>0</v>
      </c>
      <c r="F140" s="285">
        <f>'04-THKL DOT...'!F145</f>
        <v>0</v>
      </c>
      <c r="G140" s="285">
        <f t="shared" si="8"/>
        <v>0</v>
      </c>
      <c r="H140" s="286"/>
      <c r="I140" s="286"/>
      <c r="J140" s="286">
        <f t="shared" si="9"/>
        <v>0</v>
      </c>
      <c r="K140" s="287"/>
    </row>
    <row r="141" spans="1:11" s="288" customFormat="1" ht="30">
      <c r="A141" s="281"/>
      <c r="B141" s="282" t="str">
        <f>'02.1-ĐNTT'!B146</f>
        <v>Lớp vỉ nhựa Plastic Cell chất liệu nhựa PP màu đen, KT 500x500x30</v>
      </c>
      <c r="C141" s="281" t="str">
        <f>'02.1-ĐNTT'!C146</f>
        <v>m2</v>
      </c>
      <c r="D141" s="283" t="str">
        <f>'02.1-ĐNTT'!D146</f>
        <v>Chưa bao gồm, hoàn thiện sau</v>
      </c>
      <c r="E141" s="284">
        <v>0</v>
      </c>
      <c r="F141" s="285">
        <f>'04-THKL DOT...'!F146</f>
        <v>0</v>
      </c>
      <c r="G141" s="285">
        <f t="shared" si="8"/>
        <v>0</v>
      </c>
      <c r="H141" s="286"/>
      <c r="I141" s="286"/>
      <c r="J141" s="286">
        <f t="shared" si="9"/>
        <v>0</v>
      </c>
      <c r="K141" s="287"/>
    </row>
    <row r="142" spans="1:11" s="288" customFormat="1">
      <c r="A142" s="281">
        <f>'02.1-ĐNTT'!A147</f>
        <v>12</v>
      </c>
      <c r="B142" s="282" t="str">
        <f>'02.1-ĐNTT'!B147</f>
        <v>Lớp vữa láng XM75</v>
      </c>
      <c r="C142" s="281" t="str">
        <f>'02.1-ĐNTT'!C147</f>
        <v>m2</v>
      </c>
      <c r="D142" s="283">
        <f>'02.1-ĐNTT'!D147</f>
        <v>82715</v>
      </c>
      <c r="E142" s="284">
        <v>0</v>
      </c>
      <c r="F142" s="285">
        <f>'04-THKL DOT...'!F147</f>
        <v>0</v>
      </c>
      <c r="G142" s="285">
        <f t="shared" si="8"/>
        <v>0</v>
      </c>
      <c r="H142" s="286">
        <f t="shared" ref="H142:H147" si="10">ROUND($D142*E142,0)</f>
        <v>0</v>
      </c>
      <c r="I142" s="286">
        <f t="shared" ref="I142:I147" si="11">ROUND($D142*F142,0)</f>
        <v>0</v>
      </c>
      <c r="J142" s="286">
        <f t="shared" si="9"/>
        <v>0</v>
      </c>
      <c r="K142" s="287"/>
    </row>
    <row r="143" spans="1:11" s="288" customFormat="1">
      <c r="A143" s="281">
        <f>'02.1-ĐNTT'!A148</f>
        <v>13</v>
      </c>
      <c r="B143" s="282" t="str">
        <f>'02.1-ĐNTT'!B148</f>
        <v>Quét lớp chống thấm</v>
      </c>
      <c r="C143" s="281" t="str">
        <f>'02.1-ĐNTT'!C148</f>
        <v>m2</v>
      </c>
      <c r="D143" s="283">
        <f>'02.1-ĐNTT'!D148</f>
        <v>250000</v>
      </c>
      <c r="E143" s="284">
        <v>0</v>
      </c>
      <c r="F143" s="285">
        <f>'04-THKL DOT...'!F148</f>
        <v>0</v>
      </c>
      <c r="G143" s="285">
        <f t="shared" si="8"/>
        <v>0</v>
      </c>
      <c r="H143" s="286">
        <f t="shared" si="10"/>
        <v>0</v>
      </c>
      <c r="I143" s="286">
        <f t="shared" si="11"/>
        <v>0</v>
      </c>
      <c r="J143" s="286">
        <f t="shared" si="9"/>
        <v>0</v>
      </c>
      <c r="K143" s="287"/>
    </row>
    <row r="144" spans="1:11" s="288" customFormat="1" ht="30">
      <c r="A144" s="281">
        <f>'02.1-ĐNTT'!A149</f>
        <v>14</v>
      </c>
      <c r="B144" s="282" t="str">
        <f>'02.1-ĐNTT'!B149</f>
        <v>Lớp vải địa ART 15 hoặc tương đương - Thành bồn hoa</v>
      </c>
      <c r="C144" s="281" t="str">
        <f>'02.1-ĐNTT'!C149</f>
        <v>m2</v>
      </c>
      <c r="D144" s="283" t="str">
        <f>'02.1-ĐNTT'!D149</f>
        <v>Chưa bao gồm, hoàn thiện sau</v>
      </c>
      <c r="E144" s="284">
        <v>0</v>
      </c>
      <c r="F144" s="285">
        <f>'04-THKL DOT...'!F149</f>
        <v>0</v>
      </c>
      <c r="G144" s="285">
        <f t="shared" si="8"/>
        <v>0</v>
      </c>
      <c r="H144" s="286"/>
      <c r="I144" s="286"/>
      <c r="J144" s="286">
        <f t="shared" si="9"/>
        <v>0</v>
      </c>
      <c r="K144" s="287"/>
    </row>
    <row r="145" spans="1:13" s="288" customFormat="1" ht="30">
      <c r="A145" s="281">
        <f>'02.1-ĐNTT'!A150</f>
        <v>15</v>
      </c>
      <c r="B145" s="282" t="str">
        <f>'02.1-ĐNTT'!B150</f>
        <v>Lớp vỉ nhựa Plastic Cell chất liệu nhựa PP màu đen, KT 500x500x30</v>
      </c>
      <c r="C145" s="281" t="str">
        <f>'02.1-ĐNTT'!C150</f>
        <v>m2</v>
      </c>
      <c r="D145" s="283" t="str">
        <f>'02.1-ĐNTT'!D150</f>
        <v>Chưa bao gồm, hoàn thiện sau</v>
      </c>
      <c r="E145" s="284">
        <v>0</v>
      </c>
      <c r="F145" s="285">
        <f>'04-THKL DOT...'!F150</f>
        <v>0</v>
      </c>
      <c r="G145" s="285">
        <f t="shared" si="8"/>
        <v>0</v>
      </c>
      <c r="H145" s="286"/>
      <c r="I145" s="286"/>
      <c r="J145" s="286">
        <f t="shared" si="9"/>
        <v>0</v>
      </c>
      <c r="K145" s="287"/>
    </row>
    <row r="146" spans="1:13" s="288" customFormat="1">
      <c r="A146" s="281">
        <f>'02.1-ĐNTT'!A151</f>
        <v>16</v>
      </c>
      <c r="B146" s="282" t="str">
        <f>'02.1-ĐNTT'!B151</f>
        <v>Lớp vữa trát XM75</v>
      </c>
      <c r="C146" s="281" t="str">
        <f>'02.1-ĐNTT'!C151</f>
        <v>m2</v>
      </c>
      <c r="D146" s="283">
        <f>'02.1-ĐNTT'!D151</f>
        <v>82715</v>
      </c>
      <c r="E146" s="284">
        <v>0</v>
      </c>
      <c r="F146" s="285">
        <f>'04-THKL DOT...'!F151</f>
        <v>0</v>
      </c>
      <c r="G146" s="285">
        <f t="shared" si="8"/>
        <v>0</v>
      </c>
      <c r="H146" s="286">
        <f t="shared" si="10"/>
        <v>0</v>
      </c>
      <c r="I146" s="286">
        <f t="shared" si="11"/>
        <v>0</v>
      </c>
      <c r="J146" s="286">
        <f t="shared" si="9"/>
        <v>0</v>
      </c>
      <c r="K146" s="287"/>
    </row>
    <row r="147" spans="1:13" s="288" customFormat="1">
      <c r="A147" s="281">
        <f>'02.1-ĐNTT'!A152</f>
        <v>17</v>
      </c>
      <c r="B147" s="282" t="str">
        <f>'02.1-ĐNTT'!B152</f>
        <v>Quét lớp chống thấm</v>
      </c>
      <c r="C147" s="281" t="str">
        <f>'02.1-ĐNTT'!C152</f>
        <v>m2</v>
      </c>
      <c r="D147" s="283">
        <f>'02.1-ĐNTT'!D152</f>
        <v>250000</v>
      </c>
      <c r="E147" s="284">
        <v>0</v>
      </c>
      <c r="F147" s="285">
        <f>'04-THKL DOT...'!F152</f>
        <v>0</v>
      </c>
      <c r="G147" s="285">
        <f t="shared" si="8"/>
        <v>0</v>
      </c>
      <c r="H147" s="286">
        <f t="shared" si="10"/>
        <v>0</v>
      </c>
      <c r="I147" s="286">
        <f t="shared" si="11"/>
        <v>0</v>
      </c>
      <c r="J147" s="286">
        <f t="shared" si="9"/>
        <v>0</v>
      </c>
      <c r="K147" s="287"/>
    </row>
    <row r="148" spans="1:13" s="112" customFormat="1" ht="21.95" customHeight="1">
      <c r="A148" s="113"/>
      <c r="B148" s="202" t="s">
        <v>42</v>
      </c>
      <c r="C148" s="114"/>
      <c r="D148" s="115"/>
      <c r="E148" s="115"/>
      <c r="F148" s="70"/>
      <c r="G148" s="70"/>
      <c r="H148" s="111">
        <f>+SUBTOTAL(9,H10:H147)</f>
        <v>1989051752</v>
      </c>
      <c r="I148" s="111">
        <f>+SUBTOTAL(9,I10:I147)</f>
        <v>1636553977</v>
      </c>
      <c r="J148" s="111">
        <f>+SUBTOTAL(9,J10:J147)</f>
        <v>3625605729</v>
      </c>
      <c r="K148" s="111"/>
      <c r="L148" s="122"/>
      <c r="M148" s="122"/>
    </row>
    <row r="149" spans="1:13" s="112" customFormat="1" ht="21.95" customHeight="1">
      <c r="A149" s="113"/>
      <c r="B149" s="202" t="s">
        <v>52</v>
      </c>
      <c r="C149" s="78"/>
      <c r="D149" s="115"/>
      <c r="E149" s="115"/>
      <c r="F149" s="70"/>
      <c r="G149" s="70"/>
      <c r="H149" s="111">
        <f>+H148*8%</f>
        <v>159124140.16</v>
      </c>
      <c r="I149" s="111">
        <f>+ROUND(I148*8%,0)</f>
        <v>130924318</v>
      </c>
      <c r="J149" s="111">
        <f>+ROUND(J148*8%,0)</f>
        <v>290048458</v>
      </c>
      <c r="K149" s="111"/>
      <c r="M149" s="122"/>
    </row>
    <row r="150" spans="1:13" s="112" customFormat="1" ht="21.95" customHeight="1">
      <c r="A150" s="113"/>
      <c r="B150" s="202" t="s">
        <v>43</v>
      </c>
      <c r="C150" s="78"/>
      <c r="D150" s="115"/>
      <c r="E150" s="115"/>
      <c r="F150" s="70"/>
      <c r="G150" s="70"/>
      <c r="H150" s="111">
        <f>+H148+H149</f>
        <v>2148175892.1599998</v>
      </c>
      <c r="I150" s="111">
        <f>+I148+I149</f>
        <v>1767478295</v>
      </c>
      <c r="J150" s="111">
        <f>+J148+J149</f>
        <v>3915654187</v>
      </c>
      <c r="K150" s="111"/>
      <c r="M150" s="122"/>
    </row>
    <row r="151" spans="1:13" s="112" customFormat="1">
      <c r="A151" s="116"/>
      <c r="B151" s="117"/>
      <c r="C151" s="118"/>
      <c r="D151" s="119"/>
      <c r="E151" s="119"/>
      <c r="F151" s="71"/>
      <c r="G151" s="71"/>
      <c r="H151" s="120"/>
      <c r="I151" s="120"/>
      <c r="J151" s="120"/>
      <c r="K151" s="120"/>
    </row>
    <row r="152" spans="1:13" ht="20.25" customHeight="1">
      <c r="B152" s="782" t="s">
        <v>83</v>
      </c>
      <c r="C152" s="782"/>
      <c r="D152" s="66"/>
      <c r="F152" s="121"/>
      <c r="G152" s="121"/>
      <c r="H152" s="66"/>
      <c r="I152" s="782" t="s">
        <v>82</v>
      </c>
      <c r="J152" s="782"/>
      <c r="K152" s="782"/>
    </row>
    <row r="154" spans="1:13">
      <c r="B154" s="783"/>
      <c r="C154" s="783"/>
      <c r="E154" s="783"/>
      <c r="F154" s="783"/>
      <c r="G154" s="783"/>
    </row>
  </sheetData>
  <mergeCells count="14">
    <mergeCell ref="B152:C152"/>
    <mergeCell ref="I152:K152"/>
    <mergeCell ref="B154:C154"/>
    <mergeCell ref="E154:G154"/>
    <mergeCell ref="A2:K2"/>
    <mergeCell ref="A3:K3"/>
    <mergeCell ref="A4:K4"/>
    <mergeCell ref="A5:A6"/>
    <mergeCell ref="B5:B6"/>
    <mergeCell ref="C5:C6"/>
    <mergeCell ref="D5:D6"/>
    <mergeCell ref="E5:G5"/>
    <mergeCell ref="H5:J5"/>
    <mergeCell ref="K5:K6"/>
  </mergeCells>
  <phoneticPr fontId="180" type="noConversion"/>
  <printOptions horizontalCentered="1"/>
  <pageMargins left="0.27559055118110237" right="7.874015748031496E-2" top="0.43307086614173229" bottom="0.31496062992125984" header="7.874015748031496E-2" footer="7.874015748031496E-2"/>
  <pageSetup paperSize="9" scale="69" fitToHeight="0" orientation="landscape" blackAndWhite="1" r:id="rId1"/>
  <headerFooter>
    <oddFooter>&amp;C&amp;11Page &amp;P of &amp;N</oddFooter>
  </headerFooter>
  <ignoredErrors>
    <ignoredError sqref="I148:J148 I150" emptyCellReferenc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E804-B847-4E36-A134-E57D83D0B632}">
  <sheetPr codeName="Sheet7">
    <pageSetUpPr fitToPage="1"/>
  </sheetPr>
  <dimension ref="A1:IK158"/>
  <sheetViews>
    <sheetView view="pageBreakPreview" topLeftCell="A91" zoomScaleNormal="115" zoomScaleSheetLayoutView="100" workbookViewId="0">
      <selection activeCell="D52" sqref="D52"/>
    </sheetView>
  </sheetViews>
  <sheetFormatPr defaultColWidth="9.125" defaultRowHeight="15"/>
  <cols>
    <col min="1" max="1" width="5" style="15" customWidth="1"/>
    <col min="2" max="2" width="44.625" style="15" customWidth="1"/>
    <col min="3" max="3" width="9.25" style="15" customWidth="1"/>
    <col min="4" max="4" width="21.375" style="13" customWidth="1"/>
    <col min="5" max="5" width="15.75" style="15" customWidth="1"/>
    <col min="6" max="6" width="16.75" style="13" customWidth="1"/>
    <col min="7" max="7" width="16.5" style="15" customWidth="1"/>
    <col min="8" max="8" width="27" style="15" customWidth="1"/>
    <col min="9" max="9" width="10.625" style="15" bestFit="1" customWidth="1"/>
    <col min="10" max="10" width="26.375" style="15" customWidth="1"/>
    <col min="11" max="16384" width="9.125" style="15"/>
  </cols>
  <sheetData>
    <row r="1" spans="1:245" ht="24.75" customHeight="1">
      <c r="A1" s="2"/>
      <c r="B1" s="3"/>
      <c r="C1" s="4"/>
      <c r="D1" s="797"/>
      <c r="E1" s="797"/>
      <c r="F1" s="797"/>
      <c r="G1" s="797"/>
    </row>
    <row r="2" spans="1:245" ht="18.75">
      <c r="A2" s="798" t="s">
        <v>35</v>
      </c>
      <c r="B2" s="798"/>
      <c r="C2" s="798"/>
      <c r="D2" s="798"/>
      <c r="E2" s="798"/>
      <c r="F2" s="798"/>
      <c r="G2" s="798"/>
    </row>
    <row r="3" spans="1:245" ht="20.100000000000001" customHeight="1">
      <c r="A3" s="796"/>
      <c r="B3" s="796"/>
      <c r="C3" s="796"/>
      <c r="D3" s="796"/>
      <c r="E3" s="796"/>
      <c r="F3" s="796"/>
      <c r="G3" s="796"/>
    </row>
    <row r="4" spans="1:245" ht="20.100000000000001" customHeight="1">
      <c r="A4" s="2"/>
      <c r="B4" s="6" t="s">
        <v>314</v>
      </c>
      <c r="C4" s="7" t="s">
        <v>315</v>
      </c>
      <c r="D4" s="7"/>
      <c r="E4" s="8"/>
      <c r="F4" s="16" t="s">
        <v>33</v>
      </c>
      <c r="G4" s="17"/>
    </row>
    <row r="5" spans="1:245" ht="34.5" customHeight="1">
      <c r="A5" s="2"/>
      <c r="B5" s="6" t="s">
        <v>117</v>
      </c>
      <c r="C5" s="802" t="s">
        <v>316</v>
      </c>
      <c r="D5" s="802"/>
      <c r="E5" s="802"/>
      <c r="F5" s="16" t="s">
        <v>34</v>
      </c>
      <c r="G5" s="18"/>
    </row>
    <row r="6" spans="1:245" ht="20.100000000000001" customHeight="1">
      <c r="A6" s="2"/>
      <c r="B6" s="6" t="s">
        <v>44</v>
      </c>
      <c r="C6" s="9"/>
      <c r="D6" s="9"/>
      <c r="E6" s="10"/>
      <c r="F6" s="16"/>
      <c r="G6" s="21"/>
    </row>
    <row r="7" spans="1:245" ht="20.100000000000001" customHeight="1">
      <c r="A7" s="2"/>
      <c r="B7" s="6" t="s">
        <v>45</v>
      </c>
      <c r="C7" s="9"/>
      <c r="D7" s="9"/>
      <c r="E7" s="10"/>
      <c r="F7" s="16"/>
      <c r="G7" s="22"/>
    </row>
    <row r="8" spans="1:245" ht="20.100000000000001" customHeight="1">
      <c r="A8" s="2"/>
      <c r="B8" s="6" t="s">
        <v>46</v>
      </c>
      <c r="C8" s="11" t="s">
        <v>317</v>
      </c>
      <c r="D8" s="11"/>
      <c r="E8" s="12"/>
      <c r="F8" s="23"/>
      <c r="G8" s="24"/>
    </row>
    <row r="9" spans="1:245" s="19" customFormat="1" ht="21" customHeight="1">
      <c r="A9" s="794" t="s">
        <v>10</v>
      </c>
      <c r="B9" s="799" t="s">
        <v>20</v>
      </c>
      <c r="C9" s="799" t="s">
        <v>19</v>
      </c>
      <c r="D9" s="801" t="s">
        <v>86</v>
      </c>
      <c r="E9" s="801" t="s">
        <v>87</v>
      </c>
      <c r="F9" s="801" t="s">
        <v>13</v>
      </c>
      <c r="G9" s="794" t="s">
        <v>2</v>
      </c>
    </row>
    <row r="10" spans="1:245" s="19" customFormat="1" ht="21" customHeight="1">
      <c r="A10" s="795"/>
      <c r="B10" s="800"/>
      <c r="C10" s="800"/>
      <c r="D10" s="801"/>
      <c r="E10" s="801"/>
      <c r="F10" s="801"/>
      <c r="G10" s="795"/>
    </row>
    <row r="11" spans="1:245" s="26" customFormat="1">
      <c r="A11" s="27" t="s">
        <v>3</v>
      </c>
      <c r="B11" s="28" t="s">
        <v>4</v>
      </c>
      <c r="C11" s="27" t="s">
        <v>25</v>
      </c>
      <c r="D11" s="28" t="s">
        <v>26</v>
      </c>
      <c r="E11" s="27" t="s">
        <v>27</v>
      </c>
      <c r="F11" s="28" t="s">
        <v>47</v>
      </c>
      <c r="G11" s="27" t="s">
        <v>29</v>
      </c>
    </row>
    <row r="12" spans="1:245">
      <c r="A12" s="290"/>
      <c r="B12" s="291" t="str">
        <f>'02.1-ĐNTT'!B12</f>
        <v>HĐ số 21/2025/CT01/SM-HL</v>
      </c>
      <c r="C12" s="292"/>
      <c r="D12" s="293"/>
      <c r="E12" s="293"/>
      <c r="F12" s="293"/>
      <c r="G12" s="290"/>
    </row>
    <row r="13" spans="1:245" ht="28.5">
      <c r="A13" s="290" t="str">
        <f>'02.1-ĐNTT'!A13</f>
        <v>*</v>
      </c>
      <c r="B13" s="291" t="str">
        <f>'02.1-ĐNTT'!B13</f>
        <v>HẠNG MỤC: THI CÔNG KẾT CẤU CẢNH QUAN NGOÀI NHÀ KHU VỰC CAO TẦNG</v>
      </c>
      <c r="C13" s="292"/>
      <c r="D13" s="209"/>
      <c r="E13" s="209"/>
      <c r="F13" s="209"/>
      <c r="G13" s="208"/>
    </row>
    <row r="14" spans="1:245" s="20" customFormat="1">
      <c r="A14" s="290" t="str">
        <f>'02.1-ĐNTT'!A14</f>
        <v>I</v>
      </c>
      <c r="B14" s="291" t="str">
        <f>'02.1-ĐNTT'!B14</f>
        <v>CÔNG TÁC XÂY</v>
      </c>
      <c r="C14" s="292"/>
      <c r="D14" s="210"/>
      <c r="E14" s="211"/>
      <c r="F14" s="210"/>
      <c r="G14" s="212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</row>
    <row r="15" spans="1:245" s="303" customFormat="1">
      <c r="A15" s="294">
        <f>'02.1-ĐNTT'!A15</f>
        <v>1</v>
      </c>
      <c r="B15" s="295" t="str">
        <f>'02.1-ĐNTT'!B15</f>
        <v>Xây tường gạch đặc, chiều dày &gt;330mm, VXM mác 75</v>
      </c>
      <c r="C15" s="296" t="str">
        <f>'02.1-ĐNTT'!C15</f>
        <v>m3</v>
      </c>
      <c r="D15" s="301">
        <f>'CTKL DOT...'!K12</f>
        <v>0</v>
      </c>
      <c r="E15" s="298">
        <v>0</v>
      </c>
      <c r="F15" s="302">
        <f>D15*E15</f>
        <v>0</v>
      </c>
      <c r="G15" s="299"/>
    </row>
    <row r="16" spans="1:245" s="303" customFormat="1">
      <c r="A16" s="294">
        <f>'02.1-ĐNTT'!A16</f>
        <v>2</v>
      </c>
      <c r="B16" s="295" t="str">
        <f>'02.1-ĐNTT'!B16</f>
        <v>Xây tường gạch đặc, chiều dày &lt;=330mm, VXM mác 75</v>
      </c>
      <c r="C16" s="296" t="str">
        <f>'02.1-ĐNTT'!C16</f>
        <v>m3</v>
      </c>
      <c r="D16" s="301">
        <f>'CTKL DOT...'!K13</f>
        <v>0</v>
      </c>
      <c r="E16" s="298">
        <v>0</v>
      </c>
      <c r="F16" s="302">
        <f t="shared" ref="F16:F79" si="0">D16*E16</f>
        <v>0</v>
      </c>
      <c r="G16" s="299"/>
    </row>
    <row r="17" spans="1:9" s="303" customFormat="1">
      <c r="A17" s="294">
        <f>'02.1-ĐNTT'!A17</f>
        <v>3</v>
      </c>
      <c r="B17" s="295" t="str">
        <f>'02.1-ĐNTT'!B17</f>
        <v>Xây tường gạch đặc, chiều dày &lt;=110mm, VXM mác 75</v>
      </c>
      <c r="C17" s="296" t="str">
        <f>'02.1-ĐNTT'!C17</f>
        <v>m3</v>
      </c>
      <c r="D17" s="301">
        <f>'CTKL DOT...'!K14</f>
        <v>0</v>
      </c>
      <c r="E17" s="298">
        <v>0</v>
      </c>
      <c r="F17" s="302">
        <f t="shared" si="0"/>
        <v>0</v>
      </c>
      <c r="G17" s="304"/>
    </row>
    <row r="18" spans="1:9" s="303" customFormat="1">
      <c r="A18" s="294">
        <f>'02.1-ĐNTT'!A18</f>
        <v>4</v>
      </c>
      <c r="B18" s="295" t="str">
        <f>'02.1-ĐNTT'!B18</f>
        <v>Xây cột, trụ, gạch đặc, VXM mác 75</v>
      </c>
      <c r="C18" s="296" t="str">
        <f>'02.1-ĐNTT'!C18</f>
        <v>m3</v>
      </c>
      <c r="D18" s="301">
        <f>'CTKL DOT...'!K15</f>
        <v>0</v>
      </c>
      <c r="E18" s="298">
        <v>0</v>
      </c>
      <c r="F18" s="302">
        <f t="shared" si="0"/>
        <v>0</v>
      </c>
      <c r="G18" s="304"/>
    </row>
    <row r="19" spans="1:9" s="303" customFormat="1">
      <c r="A19" s="294">
        <f>'02.1-ĐNTT'!A19</f>
        <v>5</v>
      </c>
      <c r="B19" s="295" t="str">
        <f>'02.1-ĐNTT'!B19</f>
        <v>Ván khuôn giằng tường</v>
      </c>
      <c r="C19" s="296" t="str">
        <f>'02.1-ĐNTT'!C19</f>
        <v>m2</v>
      </c>
      <c r="D19" s="301">
        <f>'CTKL DOT...'!K16</f>
        <v>0</v>
      </c>
      <c r="E19" s="298">
        <v>0</v>
      </c>
      <c r="F19" s="302">
        <f t="shared" si="0"/>
        <v>0</v>
      </c>
      <c r="G19" s="304"/>
    </row>
    <row r="20" spans="1:9" s="305" customFormat="1">
      <c r="A20" s="294">
        <f>'02.1-ĐNTT'!A20</f>
        <v>6</v>
      </c>
      <c r="B20" s="295" t="str">
        <f>'02.1-ĐNTT'!B20</f>
        <v>Cốt thép giằng tường</v>
      </c>
      <c r="C20" s="296" t="str">
        <f>'02.1-ĐNTT'!C20</f>
        <v>kg</v>
      </c>
      <c r="D20" s="301">
        <f>'CTKL DOT...'!K17</f>
        <v>0</v>
      </c>
      <c r="E20" s="298">
        <v>0</v>
      </c>
      <c r="F20" s="302">
        <f t="shared" si="0"/>
        <v>0</v>
      </c>
      <c r="G20" s="304"/>
    </row>
    <row r="21" spans="1:9" s="305" customFormat="1">
      <c r="A21" s="294">
        <f>'02.1-ĐNTT'!A21</f>
        <v>7</v>
      </c>
      <c r="B21" s="295" t="str">
        <f>'02.1-ĐNTT'!B21</f>
        <v>Bê tông giằng tường mác 200#</v>
      </c>
      <c r="C21" s="296" t="str">
        <f>'02.1-ĐNTT'!C21</f>
        <v>m3</v>
      </c>
      <c r="D21" s="301">
        <f>'CTKL DOT...'!K18</f>
        <v>0</v>
      </c>
      <c r="E21" s="298">
        <v>0</v>
      </c>
      <c r="F21" s="302">
        <f t="shared" si="0"/>
        <v>0</v>
      </c>
      <c r="G21" s="304"/>
    </row>
    <row r="22" spans="1:9" s="305" customFormat="1">
      <c r="A22" s="294">
        <f>'02.1-ĐNTT'!A22</f>
        <v>8</v>
      </c>
      <c r="B22" s="295" t="str">
        <f>'02.1-ĐNTT'!B22</f>
        <v>Khoan cấy cốt thép, đường kính thép D14</v>
      </c>
      <c r="C22" s="296" t="str">
        <f>'02.1-ĐNTT'!C22</f>
        <v>vị trí</v>
      </c>
      <c r="D22" s="301">
        <f>'CTKL DOT...'!K19</f>
        <v>0</v>
      </c>
      <c r="E22" s="298">
        <v>0</v>
      </c>
      <c r="F22" s="302">
        <f t="shared" si="0"/>
        <v>0</v>
      </c>
      <c r="G22" s="304"/>
    </row>
    <row r="23" spans="1:9" s="305" customFormat="1">
      <c r="A23" s="294">
        <f>'02.1-ĐNTT'!A23</f>
        <v>9</v>
      </c>
      <c r="B23" s="295" t="str">
        <f>'02.1-ĐNTT'!B23</f>
        <v>Ván khuôn trụ tường</v>
      </c>
      <c r="C23" s="296" t="str">
        <f>'02.1-ĐNTT'!C23</f>
        <v>m2</v>
      </c>
      <c r="D23" s="301">
        <f>'CTKL DOT...'!K20</f>
        <v>0</v>
      </c>
      <c r="E23" s="298">
        <v>0</v>
      </c>
      <c r="F23" s="302">
        <f t="shared" si="0"/>
        <v>0</v>
      </c>
      <c r="G23" s="304"/>
    </row>
    <row r="24" spans="1:9" s="305" customFormat="1">
      <c r="A24" s="294">
        <f>'02.1-ĐNTT'!A24</f>
        <v>10</v>
      </c>
      <c r="B24" s="295" t="str">
        <f>'02.1-ĐNTT'!B24</f>
        <v>Cốt thép trụ tường</v>
      </c>
      <c r="C24" s="296" t="str">
        <f>'02.1-ĐNTT'!C24</f>
        <v>kg</v>
      </c>
      <c r="D24" s="301">
        <f>'CTKL DOT...'!K21</f>
        <v>0</v>
      </c>
      <c r="E24" s="298">
        <v>0</v>
      </c>
      <c r="F24" s="302">
        <f t="shared" si="0"/>
        <v>0</v>
      </c>
      <c r="G24" s="304"/>
    </row>
    <row r="25" spans="1:9" s="305" customFormat="1">
      <c r="A25" s="294">
        <f>'02.1-ĐNTT'!A25</f>
        <v>11</v>
      </c>
      <c r="B25" s="295" t="str">
        <f>'02.1-ĐNTT'!B25</f>
        <v>Bê tông trụ tường mác 200#</v>
      </c>
      <c r="C25" s="296" t="str">
        <f>'02.1-ĐNTT'!C25</f>
        <v>m3</v>
      </c>
      <c r="D25" s="301">
        <f>'CTKL DOT...'!K22</f>
        <v>0</v>
      </c>
      <c r="E25" s="298">
        <v>0</v>
      </c>
      <c r="F25" s="302">
        <f t="shared" si="0"/>
        <v>0</v>
      </c>
      <c r="G25" s="304"/>
    </row>
    <row r="26" spans="1:9" s="305" customFormat="1">
      <c r="A26" s="294">
        <f>'02.1-ĐNTT'!A26</f>
        <v>12</v>
      </c>
      <c r="B26" s="295" t="str">
        <f>'02.1-ĐNTT'!B26</f>
        <v>Ván khuôn tấm đan, bậc cấp</v>
      </c>
      <c r="C26" s="296" t="str">
        <f>'02.1-ĐNTT'!C26</f>
        <v>m2</v>
      </c>
      <c r="D26" s="301">
        <f>'CTKL DOT...'!K23</f>
        <v>0</v>
      </c>
      <c r="E26" s="298">
        <v>0</v>
      </c>
      <c r="F26" s="302">
        <f t="shared" si="0"/>
        <v>0</v>
      </c>
      <c r="G26" s="304"/>
    </row>
    <row r="27" spans="1:9" s="305" customFormat="1">
      <c r="A27" s="294">
        <f>'02.1-ĐNTT'!A27</f>
        <v>13</v>
      </c>
      <c r="B27" s="295" t="str">
        <f>'02.1-ĐNTT'!B27</f>
        <v>Cốt thép tấm đan, bậc cấp</v>
      </c>
      <c r="C27" s="296" t="str">
        <f>'02.1-ĐNTT'!C27</f>
        <v>kg</v>
      </c>
      <c r="D27" s="301">
        <f>'CTKL DOT...'!K24</f>
        <v>0</v>
      </c>
      <c r="E27" s="298">
        <v>0</v>
      </c>
      <c r="F27" s="302">
        <f t="shared" si="0"/>
        <v>0</v>
      </c>
      <c r="G27" s="304"/>
      <c r="I27" s="306"/>
    </row>
    <row r="28" spans="1:9" s="305" customFormat="1">
      <c r="A28" s="294">
        <f>'02.1-ĐNTT'!A28</f>
        <v>14</v>
      </c>
      <c r="B28" s="295" t="str">
        <f>'02.1-ĐNTT'!B28</f>
        <v>Bê tông tấm đan, bậc cấp mác 200#</v>
      </c>
      <c r="C28" s="296" t="str">
        <f>'02.1-ĐNTT'!C28</f>
        <v>m3</v>
      </c>
      <c r="D28" s="301">
        <f>'CTKL DOT...'!K25</f>
        <v>0</v>
      </c>
      <c r="E28" s="298">
        <v>0</v>
      </c>
      <c r="F28" s="302">
        <f t="shared" si="0"/>
        <v>0</v>
      </c>
      <c r="G28" s="304"/>
    </row>
    <row r="29" spans="1:9" s="305" customFormat="1">
      <c r="A29" s="294">
        <f>'02.1-ĐNTT'!A29</f>
        <v>15</v>
      </c>
      <c r="B29" s="295" t="str">
        <f>'02.1-ĐNTT'!B29</f>
        <v>Lắp đặt tấm đan D430 khu vực Poolbar</v>
      </c>
      <c r="C29" s="296" t="str">
        <f>'02.1-ĐNTT'!C29</f>
        <v>cái</v>
      </c>
      <c r="D29" s="301">
        <f>'CTKL DOT...'!K26</f>
        <v>0</v>
      </c>
      <c r="E29" s="298">
        <v>0</v>
      </c>
      <c r="F29" s="302">
        <f t="shared" si="0"/>
        <v>0</v>
      </c>
      <c r="G29" s="304"/>
    </row>
    <row r="30" spans="1:9" s="305" customFormat="1" ht="45">
      <c r="A30" s="294">
        <f>'02.1-ĐNTT'!A30</f>
        <v>16</v>
      </c>
      <c r="B30" s="295" t="str">
        <f>'02.1-ĐNTT'!B30</f>
        <v>Chi phí cộng thêm đối với đầu việc ván khuôn bậc tam cấp - tại vị trí ván khuôn thí (ván khuôn chết không luân chuyển được)</v>
      </c>
      <c r="C30" s="296" t="str">
        <f>'02.1-ĐNTT'!C30</f>
        <v>m2</v>
      </c>
      <c r="D30" s="301">
        <f>'CTKL DOT...'!K27</f>
        <v>0</v>
      </c>
      <c r="E30" s="298">
        <v>0</v>
      </c>
      <c r="F30" s="302">
        <f t="shared" si="0"/>
        <v>0</v>
      </c>
      <c r="G30" s="304"/>
    </row>
    <row r="31" spans="1:9" s="313" customFormat="1">
      <c r="A31" s="309" t="str">
        <f>'02.1-ĐNTT'!A31</f>
        <v>II</v>
      </c>
      <c r="B31" s="310" t="str">
        <f>'02.1-ĐNTT'!B31</f>
        <v>CÔNG TÁC BÊ TÔNG</v>
      </c>
      <c r="C31" s="311"/>
      <c r="D31" s="301"/>
      <c r="E31" s="298">
        <v>0</v>
      </c>
      <c r="F31" s="302">
        <f t="shared" si="0"/>
        <v>0</v>
      </c>
      <c r="G31" s="312"/>
    </row>
    <row r="32" spans="1:9" s="305" customFormat="1" ht="45">
      <c r="A32" s="294">
        <f>'02.1-ĐNTT'!A32</f>
        <v>16</v>
      </c>
      <c r="B32" s="295" t="str">
        <f>'02.1-ĐNTT'!B32</f>
        <v>Bê tông sản xuất qua dây chuyền trạm trộn tại hiện trường hoặc thương phẩm, đổ bằng bơm bê tông, bê tông dầm mác M400#</v>
      </c>
      <c r="C32" s="296" t="str">
        <f>'02.1-ĐNTT'!C32</f>
        <v>m3</v>
      </c>
      <c r="D32" s="301">
        <f>'CTKL DOT...'!K29</f>
        <v>18.172097999999991</v>
      </c>
      <c r="E32" s="298">
        <v>1</v>
      </c>
      <c r="F32" s="302">
        <f t="shared" si="0"/>
        <v>18.172097999999991</v>
      </c>
      <c r="G32" s="304"/>
    </row>
    <row r="33" spans="1:9" s="305" customFormat="1" ht="45">
      <c r="A33" s="294">
        <f>'02.1-ĐNTT'!A33</f>
        <v>17</v>
      </c>
      <c r="B33" s="295" t="str">
        <f>'02.1-ĐNTT'!B33</f>
        <v>Bê tông sản xuất qua dây chuyền trạm trộn tại hiện trường hoặc thương phẩm, đổ bằng bơm bê tông, bê tông giếng gió mác M400#</v>
      </c>
      <c r="C33" s="296" t="str">
        <f>'02.1-ĐNTT'!C33</f>
        <v>m3</v>
      </c>
      <c r="D33" s="301">
        <f>'CTKL DOT...'!K65</f>
        <v>13.021151</v>
      </c>
      <c r="E33" s="298">
        <v>1</v>
      </c>
      <c r="F33" s="302">
        <f t="shared" si="0"/>
        <v>13.021151</v>
      </c>
      <c r="G33" s="304"/>
      <c r="I33" s="306"/>
    </row>
    <row r="34" spans="1:9" s="305" customFormat="1" ht="45">
      <c r="A34" s="294">
        <f>'02.1-ĐNTT'!A34</f>
        <v>18</v>
      </c>
      <c r="B34" s="295" t="str">
        <f>'02.1-ĐNTT'!B34</f>
        <v>Bê tông sản xuất qua dây chuyền trạm trộn tại hiện trường hoặc thương phẩm, đổ bằng bơm bê tông, bê tông vách bể mác M400#</v>
      </c>
      <c r="C34" s="296" t="str">
        <f>'02.1-ĐNTT'!C34</f>
        <v>m3</v>
      </c>
      <c r="D34" s="301">
        <f>'CTKL DOT...'!K69</f>
        <v>299.20420299999995</v>
      </c>
      <c r="E34" s="298">
        <v>1</v>
      </c>
      <c r="F34" s="302">
        <f t="shared" si="0"/>
        <v>299.20420299999995</v>
      </c>
      <c r="G34" s="304"/>
      <c r="I34" s="307"/>
    </row>
    <row r="35" spans="1:9" s="305" customFormat="1" ht="45">
      <c r="A35" s="294">
        <f>'02.1-ĐNTT'!A35</f>
        <v>19</v>
      </c>
      <c r="B35" s="295" t="str">
        <f>'02.1-ĐNTT'!B35</f>
        <v>Bê tông sản xuất qua dây chuyền trạm trộn tại hiện trường hoặc thương phẩm, đổ bằng bơm bê tông, bê tông sàn đáy bể mác M400#</v>
      </c>
      <c r="C35" s="296" t="str">
        <f>'02.1-ĐNTT'!C35</f>
        <v>m3</v>
      </c>
      <c r="D35" s="301">
        <f>'CTKL DOT...'!K131</f>
        <v>312.15609061990119</v>
      </c>
      <c r="E35" s="298">
        <v>1</v>
      </c>
      <c r="F35" s="302">
        <f t="shared" si="0"/>
        <v>312.15609061990119</v>
      </c>
      <c r="G35" s="304"/>
    </row>
    <row r="36" spans="1:9" s="305" customFormat="1">
      <c r="A36" s="294">
        <f>'02.1-ĐNTT'!A36</f>
        <v>20</v>
      </c>
      <c r="B36" s="295" t="str">
        <f>'02.1-ĐNTT'!B36</f>
        <v>Bê tông rãnh thoát nước B200 mác M400#</v>
      </c>
      <c r="C36" s="296" t="str">
        <f>'02.1-ĐNTT'!C36</f>
        <v>m3</v>
      </c>
      <c r="D36" s="297">
        <f>'CTKL DOT...'!K181</f>
        <v>0</v>
      </c>
      <c r="E36" s="298">
        <v>0</v>
      </c>
      <c r="F36" s="302">
        <f t="shared" si="0"/>
        <v>0</v>
      </c>
      <c r="G36" s="304"/>
    </row>
    <row r="37" spans="1:9" s="41" customFormat="1">
      <c r="A37" s="290" t="str">
        <f>'02.1-ĐNTT'!A37</f>
        <v>III</v>
      </c>
      <c r="B37" s="291" t="str">
        <f>'02.1-ĐNTT'!B37</f>
        <v>CÔNG TÁC VÁN KHUÔN</v>
      </c>
      <c r="C37" s="292"/>
      <c r="D37" s="214"/>
      <c r="E37" s="298">
        <v>0</v>
      </c>
      <c r="F37" s="302">
        <f t="shared" si="0"/>
        <v>0</v>
      </c>
      <c r="G37" s="216"/>
    </row>
    <row r="38" spans="1:9" s="305" customFormat="1">
      <c r="A38" s="294">
        <f>'02.1-ĐNTT'!A38</f>
        <v>21</v>
      </c>
      <c r="B38" s="295" t="str">
        <f>'02.1-ĐNTT'!B38</f>
        <v>Ván khuôn dầm bể</v>
      </c>
      <c r="C38" s="296" t="str">
        <f>'02.1-ĐNTT'!C38</f>
        <v>m2</v>
      </c>
      <c r="D38" s="297">
        <f>'CTKL DOT...'!K183</f>
        <v>145.93260000000001</v>
      </c>
      <c r="E38" s="298">
        <v>1</v>
      </c>
      <c r="F38" s="302">
        <f t="shared" si="0"/>
        <v>145.93260000000001</v>
      </c>
      <c r="G38" s="304"/>
    </row>
    <row r="39" spans="1:9" s="305" customFormat="1">
      <c r="A39" s="294">
        <f>'02.1-ĐNTT'!A39</f>
        <v>22</v>
      </c>
      <c r="B39" s="295" t="str">
        <f>'02.1-ĐNTT'!B39</f>
        <v>Ván khuôn giếng gió</v>
      </c>
      <c r="C39" s="296" t="str">
        <f>'02.1-ĐNTT'!C39</f>
        <v>m2</v>
      </c>
      <c r="D39" s="297">
        <f>'CTKL DOT...'!K219</f>
        <v>118.37409999999998</v>
      </c>
      <c r="E39" s="298">
        <v>1</v>
      </c>
      <c r="F39" s="302">
        <f t="shared" si="0"/>
        <v>118.37409999999998</v>
      </c>
      <c r="G39" s="304"/>
    </row>
    <row r="40" spans="1:9" s="305" customFormat="1">
      <c r="A40" s="294">
        <f>'02.1-ĐNTT'!A40</f>
        <v>23</v>
      </c>
      <c r="B40" s="295" t="str">
        <f>'02.1-ĐNTT'!B40</f>
        <v>Ván khuôn vách bể</v>
      </c>
      <c r="C40" s="296" t="str">
        <f>'02.1-ĐNTT'!C40</f>
        <v>m2</v>
      </c>
      <c r="D40" s="297">
        <f>'CTKL DOT...'!K223</f>
        <v>1401.1119799999999</v>
      </c>
      <c r="E40" s="298">
        <v>1</v>
      </c>
      <c r="F40" s="302">
        <f t="shared" si="0"/>
        <v>1401.1119799999999</v>
      </c>
      <c r="G40" s="304"/>
    </row>
    <row r="41" spans="1:9" s="305" customFormat="1">
      <c r="A41" s="294">
        <f>'02.1-ĐNTT'!A41</f>
        <v>24</v>
      </c>
      <c r="B41" s="295" t="str">
        <f>'02.1-ĐNTT'!B41</f>
        <v>Ván khuôn cong vách bể</v>
      </c>
      <c r="C41" s="296" t="str">
        <f>'02.1-ĐNTT'!C41</f>
        <v>m2</v>
      </c>
      <c r="D41" s="297">
        <f>'CTKL DOT...'!K271</f>
        <v>1133.9823999999999</v>
      </c>
      <c r="E41" s="298">
        <v>1</v>
      </c>
      <c r="F41" s="302">
        <f t="shared" si="0"/>
        <v>1133.9823999999999</v>
      </c>
      <c r="G41" s="304"/>
    </row>
    <row r="42" spans="1:9" s="305" customFormat="1">
      <c r="A42" s="294">
        <f>'02.1-ĐNTT'!A42</f>
        <v>25</v>
      </c>
      <c r="B42" s="295" t="str">
        <f>'02.1-ĐNTT'!B42</f>
        <v>Ván khuôn sàn đáy bể</v>
      </c>
      <c r="C42" s="296" t="str">
        <f>'02.1-ĐNTT'!C42</f>
        <v>m2</v>
      </c>
      <c r="D42" s="297">
        <f>'CTKL DOT...'!K288</f>
        <v>936.25130061990092</v>
      </c>
      <c r="E42" s="298">
        <v>1</v>
      </c>
      <c r="F42" s="302">
        <f t="shared" si="0"/>
        <v>936.25130061990092</v>
      </c>
      <c r="G42" s="304"/>
    </row>
    <row r="43" spans="1:9" s="305" customFormat="1">
      <c r="A43" s="294">
        <f>'02.1-ĐNTT'!A43</f>
        <v>26</v>
      </c>
      <c r="B43" s="295" t="str">
        <f>'02.1-ĐNTT'!B43</f>
        <v>Ván khuôn rãnh thoát nước B200</v>
      </c>
      <c r="C43" s="296" t="str">
        <f>'02.1-ĐNTT'!C43</f>
        <v>m2</v>
      </c>
      <c r="D43" s="297">
        <f>'CTKL DOT...'!K359</f>
        <v>0</v>
      </c>
      <c r="E43" s="298">
        <v>0</v>
      </c>
      <c r="F43" s="302">
        <f t="shared" si="0"/>
        <v>0</v>
      </c>
      <c r="G43" s="304"/>
    </row>
    <row r="44" spans="1:9" s="305" customFormat="1" ht="45">
      <c r="A44" s="294">
        <f>'02.1-ĐNTT'!A44</f>
        <v>27</v>
      </c>
      <c r="B44" s="295" t="str">
        <f>'02.1-ĐNTT'!B44</f>
        <v>Chi phí cộng thêm đối với đầu việc ván khuôn bậc sàn đáy bể tại vị trí ván khuôn thí (ván khuôn chết không luân chuyển được)</v>
      </c>
      <c r="C44" s="296" t="str">
        <f>'02.1-ĐNTT'!C44</f>
        <v>m2</v>
      </c>
      <c r="D44" s="297">
        <f>'CTKL DOT...'!K360</f>
        <v>928.05930061990091</v>
      </c>
      <c r="E44" s="298">
        <v>1</v>
      </c>
      <c r="F44" s="302">
        <f t="shared" si="0"/>
        <v>928.05930061990091</v>
      </c>
      <c r="G44" s="304"/>
    </row>
    <row r="45" spans="1:9" s="50" customFormat="1">
      <c r="A45" s="290" t="str">
        <f>'02.1-ĐNTT'!A45</f>
        <v>IV</v>
      </c>
      <c r="B45" s="291" t="str">
        <f>'02.1-ĐNTT'!B45</f>
        <v>CÔNG TÁC CỐT THÉP</v>
      </c>
      <c r="C45" s="292"/>
      <c r="D45" s="297">
        <f>'CTKL DOT...'!K364</f>
        <v>0</v>
      </c>
      <c r="E45" s="298">
        <v>0</v>
      </c>
      <c r="F45" s="302">
        <f t="shared" si="0"/>
        <v>0</v>
      </c>
      <c r="G45" s="212"/>
    </row>
    <row r="46" spans="1:9" s="300" customFormat="1">
      <c r="A46" s="294">
        <f>'02.1-ĐNTT'!A46</f>
        <v>26</v>
      </c>
      <c r="B46" s="295" t="str">
        <f>'02.1-ĐNTT'!B46</f>
        <v>Cốt thép dầm bể</v>
      </c>
      <c r="C46" s="296" t="str">
        <f>'02.1-ĐNTT'!C46</f>
        <v>kg</v>
      </c>
      <c r="D46" s="297">
        <f>'CTKL DOT...'!K365</f>
        <v>3724.2575199999997</v>
      </c>
      <c r="E46" s="298">
        <v>1</v>
      </c>
      <c r="F46" s="302">
        <f t="shared" si="0"/>
        <v>3724.2575199999997</v>
      </c>
      <c r="G46" s="299"/>
    </row>
    <row r="47" spans="1:9" s="300" customFormat="1">
      <c r="A47" s="294">
        <f>'02.1-ĐNTT'!A47</f>
        <v>28</v>
      </c>
      <c r="B47" s="295" t="str">
        <f>'02.1-ĐNTT'!B47</f>
        <v>Cốt thép giếng gió</v>
      </c>
      <c r="C47" s="296" t="str">
        <f>'02.1-ĐNTT'!C47</f>
        <v>kg</v>
      </c>
      <c r="D47" s="297">
        <f>'CTKL DOT...'!K368</f>
        <v>800.76072000000011</v>
      </c>
      <c r="E47" s="298">
        <v>1</v>
      </c>
      <c r="F47" s="302">
        <f t="shared" si="0"/>
        <v>800.76072000000011</v>
      </c>
      <c r="G47" s="299"/>
    </row>
    <row r="48" spans="1:9" s="305" customFormat="1">
      <c r="A48" s="294">
        <f>'02.1-ĐNTT'!A48</f>
        <v>29</v>
      </c>
      <c r="B48" s="295" t="str">
        <f>'02.1-ĐNTT'!B48</f>
        <v>Cốt thép vách bể</v>
      </c>
      <c r="C48" s="296" t="str">
        <f>'02.1-ĐNTT'!C48</f>
        <v>kg</v>
      </c>
      <c r="D48" s="297">
        <f>'CTKL DOT...'!K369</f>
        <v>22007.774751999998</v>
      </c>
      <c r="E48" s="298">
        <v>1</v>
      </c>
      <c r="F48" s="302">
        <f t="shared" si="0"/>
        <v>22007.774751999998</v>
      </c>
      <c r="G48" s="304"/>
    </row>
    <row r="49" spans="1:9" s="305" customFormat="1">
      <c r="A49" s="294">
        <f>'02.1-ĐNTT'!A49</f>
        <v>30</v>
      </c>
      <c r="B49" s="295" t="str">
        <f>'02.1-ĐNTT'!B49</f>
        <v>Cốt thép sàn đáy bể</v>
      </c>
      <c r="C49" s="296" t="str">
        <f>'02.1-ĐNTT'!C49</f>
        <v>kg</v>
      </c>
      <c r="D49" s="297">
        <f>'CTKL DOT...'!K372</f>
        <v>34821.641174000011</v>
      </c>
      <c r="E49" s="298">
        <v>1</v>
      </c>
      <c r="F49" s="302">
        <f t="shared" si="0"/>
        <v>34821.641174000011</v>
      </c>
      <c r="G49" s="304"/>
    </row>
    <row r="50" spans="1:9" s="305" customFormat="1">
      <c r="A50" s="294">
        <f>'02.1-ĐNTT'!A50</f>
        <v>31</v>
      </c>
      <c r="B50" s="295" t="str">
        <f>'02.1-ĐNTT'!B50</f>
        <v>Cốt thép rãnh thoát nước</v>
      </c>
      <c r="C50" s="296" t="str">
        <f>'02.1-ĐNTT'!C50</f>
        <v>kg</v>
      </c>
      <c r="D50" s="297">
        <f>'CTKL DOT...'!K375</f>
        <v>0</v>
      </c>
      <c r="E50" s="298">
        <v>0</v>
      </c>
      <c r="F50" s="302">
        <f t="shared" si="0"/>
        <v>0</v>
      </c>
      <c r="G50" s="304"/>
    </row>
    <row r="51" spans="1:9" s="305" customFormat="1" ht="30">
      <c r="A51" s="294">
        <f>'02.1-ĐNTT'!A51</f>
        <v>32</v>
      </c>
      <c r="B51" s="295" t="str">
        <f>'02.1-ĐNTT'!B51</f>
        <v>Khoan cấy cốt thép, đường kính thép D12, Keo ramset, hilti hoặc tương đương</v>
      </c>
      <c r="C51" s="296" t="str">
        <f>'02.1-ĐNTT'!C51</f>
        <v>vị trí</v>
      </c>
      <c r="D51" s="297">
        <f>'CTKL DOT...'!K376</f>
        <v>980</v>
      </c>
      <c r="E51" s="298">
        <v>1</v>
      </c>
      <c r="F51" s="302">
        <f t="shared" si="0"/>
        <v>980</v>
      </c>
      <c r="G51" s="304"/>
      <c r="I51" s="306"/>
    </row>
    <row r="52" spans="1:9" s="305" customFormat="1">
      <c r="A52" s="294">
        <f>'02.1-ĐNTT'!A52</f>
        <v>33</v>
      </c>
      <c r="B52" s="295" t="str">
        <f>'02.1-ĐNTT'!B52</f>
        <v>Thép khoan cấy</v>
      </c>
      <c r="C52" s="296" t="str">
        <f>'02.1-ĐNTT'!C52</f>
        <v>kg</v>
      </c>
      <c r="D52" s="297">
        <f>'CTKL DOT...'!K379</f>
        <v>267.77625</v>
      </c>
      <c r="E52" s="298">
        <v>1</v>
      </c>
      <c r="F52" s="302">
        <f t="shared" si="0"/>
        <v>267.77625</v>
      </c>
      <c r="G52" s="304"/>
      <c r="I52" s="307"/>
    </row>
    <row r="53" spans="1:9" s="41" customFormat="1" ht="28.5">
      <c r="A53" s="290" t="str">
        <f>'02.1-ĐNTT'!A53</f>
        <v>**</v>
      </c>
      <c r="B53" s="291" t="str">
        <f>'02.1-ĐNTT'!B53</f>
        <v xml:space="preserve">HẠNG MỤC: TRÁT, LÁNG, CHỐNG THẤM CẢNH QUAN NGOÀI NHÀ </v>
      </c>
      <c r="C53" s="292"/>
      <c r="D53" s="297">
        <f>'CTKL DOT...'!K383</f>
        <v>0</v>
      </c>
      <c r="E53" s="298">
        <v>0</v>
      </c>
      <c r="F53" s="302">
        <f t="shared" si="0"/>
        <v>0</v>
      </c>
      <c r="G53" s="216"/>
    </row>
    <row r="54" spans="1:9" s="38" customFormat="1">
      <c r="A54" s="290" t="str">
        <f>'02.1-ĐNTT'!A54</f>
        <v>A</v>
      </c>
      <c r="B54" s="291" t="str">
        <f>'02.1-ĐNTT'!B54</f>
        <v>HẠNG MỤC BỂ + ĐẢO + BỒN HOA QUANH BỂ</v>
      </c>
      <c r="C54" s="292"/>
      <c r="D54" s="297">
        <f>'CTKL DOT...'!K384</f>
        <v>0</v>
      </c>
      <c r="E54" s="298">
        <v>0</v>
      </c>
      <c r="F54" s="302">
        <f t="shared" si="0"/>
        <v>0</v>
      </c>
      <c r="G54" s="215"/>
    </row>
    <row r="55" spans="1:9" s="41" customFormat="1">
      <c r="A55" s="290" t="str">
        <f>'02.1-ĐNTT'!A55</f>
        <v>I</v>
      </c>
      <c r="B55" s="291" t="str">
        <f>'02.1-ĐNTT'!B55</f>
        <v>Bể bơi</v>
      </c>
      <c r="C55" s="292"/>
      <c r="D55" s="297">
        <f>'CTKL DOT...'!K385</f>
        <v>0</v>
      </c>
      <c r="E55" s="298">
        <v>0</v>
      </c>
      <c r="F55" s="302">
        <f t="shared" si="0"/>
        <v>0</v>
      </c>
      <c r="G55" s="216"/>
    </row>
    <row r="56" spans="1:9" s="305" customFormat="1">
      <c r="A56" s="294">
        <f>'02.1-ĐNTT'!A56</f>
        <v>1</v>
      </c>
      <c r="B56" s="295" t="str">
        <f>'02.1-ĐNTT'!B56</f>
        <v>Quét lớp chống thấm</v>
      </c>
      <c r="C56" s="296" t="str">
        <f>'02.1-ĐNTT'!C56</f>
        <v>m2</v>
      </c>
      <c r="D56" s="297">
        <f>'CTKL DOT...'!K386</f>
        <v>0</v>
      </c>
      <c r="E56" s="298">
        <v>0</v>
      </c>
      <c r="F56" s="302">
        <f t="shared" si="0"/>
        <v>0</v>
      </c>
      <c r="G56" s="304"/>
    </row>
    <row r="57" spans="1:9" s="305" customFormat="1">
      <c r="A57" s="294">
        <f>'02.1-ĐNTT'!A57</f>
        <v>2</v>
      </c>
      <c r="B57" s="295" t="str">
        <f>'02.1-ĐNTT'!B57</f>
        <v>Vữa xi măng M75 dày 30-50mm, phần nền</v>
      </c>
      <c r="C57" s="296" t="str">
        <f>'02.1-ĐNTT'!C57</f>
        <v>m2</v>
      </c>
      <c r="D57" s="297">
        <f>'CTKL DOT...'!K387</f>
        <v>0</v>
      </c>
      <c r="E57" s="298">
        <v>0</v>
      </c>
      <c r="F57" s="302">
        <f t="shared" si="0"/>
        <v>0</v>
      </c>
      <c r="G57" s="304"/>
    </row>
    <row r="58" spans="1:9" s="305" customFormat="1">
      <c r="A58" s="294">
        <f>'02.1-ĐNTT'!A58</f>
        <v>3</v>
      </c>
      <c r="B58" s="295" t="str">
        <f>'02.1-ĐNTT'!B58</f>
        <v xml:space="preserve">Vữa xi măng M75 dày 15mm, trát thành </v>
      </c>
      <c r="C58" s="296" t="str">
        <f>'02.1-ĐNTT'!C58</f>
        <v>m2</v>
      </c>
      <c r="D58" s="297">
        <f>'CTKL DOT...'!K388</f>
        <v>0</v>
      </c>
      <c r="E58" s="298">
        <v>0</v>
      </c>
      <c r="F58" s="302">
        <f t="shared" si="0"/>
        <v>0</v>
      </c>
      <c r="G58" s="304"/>
    </row>
    <row r="59" spans="1:9" s="305" customFormat="1">
      <c r="A59" s="294"/>
      <c r="B59" s="295" t="str">
        <f>'02.1-ĐNTT'!B59</f>
        <v>Đá Mosaic gốm màu xanh KT300x300x4mm</v>
      </c>
      <c r="C59" s="296" t="str">
        <f>'02.1-ĐNTT'!C59</f>
        <v>m2</v>
      </c>
      <c r="D59" s="297">
        <f>'CTKL DOT...'!K389</f>
        <v>0</v>
      </c>
      <c r="E59" s="298">
        <v>0</v>
      </c>
      <c r="F59" s="302">
        <f t="shared" si="0"/>
        <v>0</v>
      </c>
      <c r="G59" s="304"/>
    </row>
    <row r="60" spans="1:9" s="305" customFormat="1">
      <c r="A60" s="294"/>
      <c r="B60" s="295" t="str">
        <f>'02.1-ĐNTT'!B60</f>
        <v>Đá Moca crema limestone KT theo TK</v>
      </c>
      <c r="C60" s="296" t="str">
        <f>'02.1-ĐNTT'!C60</f>
        <v>m2</v>
      </c>
      <c r="D60" s="297">
        <f>'CTKL DOT...'!K390</f>
        <v>0</v>
      </c>
      <c r="E60" s="298">
        <v>0</v>
      </c>
      <c r="F60" s="302">
        <f t="shared" si="0"/>
        <v>0</v>
      </c>
      <c r="G60" s="304"/>
    </row>
    <row r="61" spans="1:9" s="305" customFormat="1">
      <c r="A61" s="294">
        <f>'02.1-ĐNTT'!A61</f>
        <v>4</v>
      </c>
      <c r="B61" s="295" t="str">
        <f>'02.1-ĐNTT'!B61</f>
        <v>Vữa xi măng lót trước khi ốp đá</v>
      </c>
      <c r="C61" s="296" t="str">
        <f>'02.1-ĐNTT'!C61</f>
        <v>m2</v>
      </c>
      <c r="D61" s="297">
        <f>'CTKL DOT...'!K391</f>
        <v>0</v>
      </c>
      <c r="E61" s="298">
        <v>0</v>
      </c>
      <c r="F61" s="302">
        <f t="shared" si="0"/>
        <v>0</v>
      </c>
      <c r="G61" s="304"/>
    </row>
    <row r="62" spans="1:9" s="305" customFormat="1">
      <c r="A62" s="294">
        <f>'02.1-ĐNTT'!A62</f>
        <v>5</v>
      </c>
      <c r="B62" s="295" t="str">
        <f>'02.1-ĐNTT'!B62</f>
        <v>Xây ghế ngôi trong bể bơi</v>
      </c>
      <c r="C62" s="296" t="str">
        <f>'02.1-ĐNTT'!C62</f>
        <v>m3</v>
      </c>
      <c r="D62" s="297">
        <f>'CTKL DOT...'!K392</f>
        <v>0</v>
      </c>
      <c r="E62" s="298">
        <v>0</v>
      </c>
      <c r="F62" s="302">
        <f t="shared" si="0"/>
        <v>0</v>
      </c>
      <c r="G62" s="304"/>
    </row>
    <row r="63" spans="1:9" s="308" customFormat="1">
      <c r="A63" s="294"/>
      <c r="B63" s="295" t="str">
        <f>'02.1-ĐNTT'!B63</f>
        <v>Mặt ghế ngồi</v>
      </c>
      <c r="C63" s="296" t="str">
        <f>'02.1-ĐNTT'!C63</f>
        <v>Tấm</v>
      </c>
      <c r="D63" s="297">
        <f>'CTKL DOT...'!K393</f>
        <v>0</v>
      </c>
      <c r="E63" s="298">
        <v>0</v>
      </c>
      <c r="F63" s="302">
        <f t="shared" si="0"/>
        <v>0</v>
      </c>
      <c r="G63" s="299"/>
    </row>
    <row r="64" spans="1:9" s="300" customFormat="1">
      <c r="A64" s="294"/>
      <c r="B64" s="295" t="str">
        <f>'02.1-ĐNTT'!B64</f>
        <v>Hoàn thiện mặt ghế ngồi</v>
      </c>
      <c r="C64" s="296" t="str">
        <f>'02.1-ĐNTT'!C64</f>
        <v>m2</v>
      </c>
      <c r="D64" s="297">
        <f>'CTKL DOT...'!K394</f>
        <v>0</v>
      </c>
      <c r="E64" s="298">
        <v>0</v>
      </c>
      <c r="F64" s="302">
        <f t="shared" si="0"/>
        <v>0</v>
      </c>
      <c r="G64" s="299"/>
    </row>
    <row r="65" spans="1:9" s="300" customFormat="1">
      <c r="A65" s="294">
        <f>'02.1-ĐNTT'!A65</f>
        <v>6</v>
      </c>
      <c r="B65" s="295" t="str">
        <f>'02.1-ĐNTT'!B65</f>
        <v>Vữa xi măng lót trước khi ốp đá</v>
      </c>
      <c r="C65" s="296" t="str">
        <f>'02.1-ĐNTT'!C65</f>
        <v>m2</v>
      </c>
      <c r="D65" s="297">
        <f>'CTKL DOT...'!K395</f>
        <v>0</v>
      </c>
      <c r="E65" s="298">
        <v>0</v>
      </c>
      <c r="F65" s="302">
        <f t="shared" si="0"/>
        <v>0</v>
      </c>
      <c r="G65" s="299"/>
    </row>
    <row r="66" spans="1:9" s="305" customFormat="1">
      <c r="A66" s="294"/>
      <c r="B66" s="295" t="str">
        <f>'02.1-ĐNTT'!B66</f>
        <v>Chữ lòng bể bơi theo thiết kế</v>
      </c>
      <c r="C66" s="296" t="str">
        <f>'02.1-ĐNTT'!C66</f>
        <v>Bộ</v>
      </c>
      <c r="D66" s="297">
        <f>'CTKL DOT...'!K396</f>
        <v>0</v>
      </c>
      <c r="E66" s="298">
        <v>0</v>
      </c>
      <c r="F66" s="302">
        <f t="shared" si="0"/>
        <v>0</v>
      </c>
      <c r="G66" s="304"/>
    </row>
    <row r="67" spans="1:9" s="38" customFormat="1">
      <c r="A67" s="290" t="str">
        <f>'02.1-ĐNTT'!A67</f>
        <v>II</v>
      </c>
      <c r="B67" s="291" t="str">
        <f>'02.1-ĐNTT'!B67</f>
        <v>Rãnh thác tràn</v>
      </c>
      <c r="C67" s="292"/>
      <c r="D67" s="297">
        <f>'CTKL DOT...'!K397</f>
        <v>0</v>
      </c>
      <c r="E67" s="298">
        <v>0</v>
      </c>
      <c r="F67" s="302">
        <f t="shared" si="0"/>
        <v>0</v>
      </c>
      <c r="G67" s="215"/>
    </row>
    <row r="68" spans="1:9" s="305" customFormat="1">
      <c r="A68" s="294">
        <f>'02.1-ĐNTT'!A68</f>
        <v>7</v>
      </c>
      <c r="B68" s="295" t="str">
        <f>'02.1-ĐNTT'!B68</f>
        <v>Quét chống thấm</v>
      </c>
      <c r="C68" s="296" t="str">
        <f>'02.1-ĐNTT'!C68</f>
        <v>m2</v>
      </c>
      <c r="D68" s="297">
        <f>'CTKL DOT...'!K398</f>
        <v>0</v>
      </c>
      <c r="E68" s="298">
        <v>0</v>
      </c>
      <c r="F68" s="302">
        <f t="shared" si="0"/>
        <v>0</v>
      </c>
      <c r="G68" s="304"/>
    </row>
    <row r="69" spans="1:9" s="305" customFormat="1">
      <c r="A69" s="294">
        <f>'02.1-ĐNTT'!A69</f>
        <v>8</v>
      </c>
      <c r="B69" s="295" t="str">
        <f>'02.1-ĐNTT'!B69</f>
        <v>Vữa xi măng dày 15mm, đáy rãnh</v>
      </c>
      <c r="C69" s="296" t="str">
        <f>'02.1-ĐNTT'!C69</f>
        <v>m2</v>
      </c>
      <c r="D69" s="297">
        <f>'CTKL DOT...'!K399</f>
        <v>0</v>
      </c>
      <c r="E69" s="298">
        <v>0</v>
      </c>
      <c r="F69" s="302">
        <f t="shared" si="0"/>
        <v>0</v>
      </c>
      <c r="G69" s="304"/>
      <c r="I69" s="306"/>
    </row>
    <row r="70" spans="1:9" s="305" customFormat="1">
      <c r="A70" s="294">
        <f>'02.1-ĐNTT'!A70</f>
        <v>9</v>
      </c>
      <c r="B70" s="295" t="str">
        <f>'02.1-ĐNTT'!B70</f>
        <v>Vữa xi măng dày 15mm, thành rãnh</v>
      </c>
      <c r="C70" s="296" t="str">
        <f>'02.1-ĐNTT'!C70</f>
        <v>m2</v>
      </c>
      <c r="D70" s="297">
        <f>'CTKL DOT...'!K400</f>
        <v>0</v>
      </c>
      <c r="E70" s="298">
        <v>0</v>
      </c>
      <c r="F70" s="302">
        <f t="shared" si="0"/>
        <v>0</v>
      </c>
      <c r="G70" s="304"/>
      <c r="I70" s="307"/>
    </row>
    <row r="71" spans="1:9" s="305" customFormat="1">
      <c r="A71" s="294"/>
      <c r="B71" s="295" t="str">
        <f>'02.1-ĐNTT'!B71</f>
        <v>Lát gạch Ceramic men trắng bề mặt bóng dày 10mm</v>
      </c>
      <c r="C71" s="296" t="str">
        <f>'02.1-ĐNTT'!C71</f>
        <v>m2</v>
      </c>
      <c r="D71" s="297">
        <f>'CTKL DOT...'!K401</f>
        <v>0</v>
      </c>
      <c r="E71" s="298">
        <v>0</v>
      </c>
      <c r="F71" s="302">
        <f t="shared" si="0"/>
        <v>0</v>
      </c>
      <c r="G71" s="304"/>
    </row>
    <row r="72" spans="1:9" s="305" customFormat="1">
      <c r="A72" s="294"/>
      <c r="B72" s="295" t="str">
        <f>'02.1-ĐNTT'!B72</f>
        <v>Sỏi tự nhiên 20-30mm dày 30mm</v>
      </c>
      <c r="C72" s="296" t="str">
        <f>'02.1-ĐNTT'!C72</f>
        <v>m3</v>
      </c>
      <c r="D72" s="297">
        <f>'CTKL DOT...'!K402</f>
        <v>0</v>
      </c>
      <c r="E72" s="298">
        <v>0</v>
      </c>
      <c r="F72" s="302">
        <f t="shared" si="0"/>
        <v>0</v>
      </c>
      <c r="G72" s="304"/>
    </row>
    <row r="73" spans="1:9" s="305" customFormat="1">
      <c r="A73" s="294"/>
      <c r="B73" s="295" t="str">
        <f>'02.1-ĐNTT'!B73</f>
        <v>Thanh nhựa đậy rãnh 180x25mm, nhựa nguyên sinh</v>
      </c>
      <c r="C73" s="296" t="str">
        <f>'02.1-ĐNTT'!C73</f>
        <v>md</v>
      </c>
      <c r="D73" s="297">
        <f>'CTKL DOT...'!K403</f>
        <v>0</v>
      </c>
      <c r="E73" s="298">
        <v>0</v>
      </c>
      <c r="F73" s="302">
        <f t="shared" si="0"/>
        <v>0</v>
      </c>
      <c r="G73" s="304"/>
    </row>
    <row r="74" spans="1:9" s="305" customFormat="1">
      <c r="A74" s="294"/>
      <c r="B74" s="295" t="str">
        <f>'02.1-ĐNTT'!B74</f>
        <v>Nẹp V inox KT50x40mm</v>
      </c>
      <c r="C74" s="296" t="str">
        <f>'02.1-ĐNTT'!C74</f>
        <v>md</v>
      </c>
      <c r="D74" s="297">
        <f>'CTKL DOT...'!K404</f>
        <v>0</v>
      </c>
      <c r="E74" s="298">
        <v>0</v>
      </c>
      <c r="F74" s="302">
        <f t="shared" si="0"/>
        <v>0</v>
      </c>
      <c r="G74" s="304"/>
    </row>
    <row r="75" spans="1:9" s="305" customFormat="1">
      <c r="A75" s="294">
        <f>'02.1-ĐNTT'!A75</f>
        <v>10</v>
      </c>
      <c r="B75" s="295" t="str">
        <f>'02.1-ĐNTT'!B75</f>
        <v>Nẹp V miệng rãnh thoát tràn</v>
      </c>
      <c r="C75" s="296" t="str">
        <f>'02.1-ĐNTT'!C75</f>
        <v>md</v>
      </c>
      <c r="D75" s="297">
        <f>'CTKL DOT...'!K405</f>
        <v>0</v>
      </c>
      <c r="E75" s="298">
        <v>0</v>
      </c>
      <c r="F75" s="302">
        <f t="shared" si="0"/>
        <v>0</v>
      </c>
      <c r="G75" s="304"/>
    </row>
    <row r="76" spans="1:9" s="38" customFormat="1">
      <c r="A76" s="290" t="str">
        <f>'02.1-ĐNTT'!A76</f>
        <v>III</v>
      </c>
      <c r="B76" s="291" t="str">
        <f>'02.1-ĐNTT'!B76</f>
        <v>Poolbar</v>
      </c>
      <c r="C76" s="292"/>
      <c r="D76" s="297">
        <f>'CTKL DOT...'!K406</f>
        <v>0</v>
      </c>
      <c r="E76" s="298">
        <v>0</v>
      </c>
      <c r="F76" s="302">
        <f t="shared" si="0"/>
        <v>0</v>
      </c>
      <c r="G76" s="215"/>
    </row>
    <row r="77" spans="1:9" s="305" customFormat="1">
      <c r="A77" s="294">
        <f>'02.1-ĐNTT'!A77</f>
        <v>11</v>
      </c>
      <c r="B77" s="295" t="str">
        <f>'02.1-ĐNTT'!B77</f>
        <v>Xây tường poolbar, &lt;=110mm</v>
      </c>
      <c r="C77" s="296" t="str">
        <f>'02.1-ĐNTT'!C77</f>
        <v>m3</v>
      </c>
      <c r="D77" s="297">
        <f>'CTKL DOT...'!K407</f>
        <v>0</v>
      </c>
      <c r="E77" s="298">
        <v>0</v>
      </c>
      <c r="F77" s="302">
        <f t="shared" si="0"/>
        <v>0</v>
      </c>
      <c r="G77" s="304"/>
    </row>
    <row r="78" spans="1:9" s="305" customFormat="1">
      <c r="A78" s="294">
        <f>'02.1-ĐNTT'!A78</f>
        <v>12</v>
      </c>
      <c r="B78" s="295" t="str">
        <f>'02.1-ĐNTT'!B78</f>
        <v>Quét chống thấm</v>
      </c>
      <c r="C78" s="296" t="str">
        <f>'02.1-ĐNTT'!C78</f>
        <v>m2</v>
      </c>
      <c r="D78" s="297">
        <f>'CTKL DOT...'!K408</f>
        <v>0</v>
      </c>
      <c r="E78" s="298">
        <v>0</v>
      </c>
      <c r="F78" s="302">
        <f t="shared" si="0"/>
        <v>0</v>
      </c>
      <c r="G78" s="304"/>
    </row>
    <row r="79" spans="1:9" s="305" customFormat="1">
      <c r="A79" s="294">
        <f>'02.1-ĐNTT'!A79</f>
        <v>13</v>
      </c>
      <c r="B79" s="295" t="str">
        <f>'02.1-ĐNTT'!B79</f>
        <v>Vữa xi măng mác 75 tạo dốc 1% độ dày theo thực tế</v>
      </c>
      <c r="C79" s="296" t="str">
        <f>'02.1-ĐNTT'!C79</f>
        <v>m2</v>
      </c>
      <c r="D79" s="297">
        <f>'CTKL DOT...'!K409</f>
        <v>0</v>
      </c>
      <c r="E79" s="298">
        <v>0</v>
      </c>
      <c r="F79" s="302">
        <f t="shared" si="0"/>
        <v>0</v>
      </c>
      <c r="G79" s="304"/>
    </row>
    <row r="80" spans="1:9" s="305" customFormat="1">
      <c r="A80" s="294">
        <f>'02.1-ĐNTT'!A80</f>
        <v>14</v>
      </c>
      <c r="B80" s="295" t="str">
        <f>'02.1-ĐNTT'!B80</f>
        <v xml:space="preserve">Vữa xi măng mác 75 trát thành </v>
      </c>
      <c r="C80" s="296" t="str">
        <f>'02.1-ĐNTT'!C80</f>
        <v>m2</v>
      </c>
      <c r="D80" s="297">
        <f>'CTKL DOT...'!K410</f>
        <v>0</v>
      </c>
      <c r="E80" s="298">
        <v>0</v>
      </c>
      <c r="F80" s="302">
        <f t="shared" ref="F80:F143" si="1">D80*E80</f>
        <v>0</v>
      </c>
      <c r="G80" s="304"/>
    </row>
    <row r="81" spans="1:9" s="308" customFormat="1" ht="30">
      <c r="A81" s="294"/>
      <c r="B81" s="295" t="str">
        <f>'02.1-ĐNTT'!B81</f>
        <v>Đá Cubic Granite Bình Định vàng nhạt băm mặt KT100x100x30mm</v>
      </c>
      <c r="C81" s="296" t="str">
        <f>'02.1-ĐNTT'!C81</f>
        <v>m2</v>
      </c>
      <c r="D81" s="297">
        <f>'CTKL DOT...'!K411</f>
        <v>0</v>
      </c>
      <c r="E81" s="298">
        <v>0</v>
      </c>
      <c r="F81" s="302">
        <f t="shared" si="1"/>
        <v>0</v>
      </c>
      <c r="G81" s="299"/>
    </row>
    <row r="82" spans="1:9" s="300" customFormat="1">
      <c r="A82" s="294"/>
      <c r="B82" s="295" t="str">
        <f>'02.1-ĐNTT'!B82</f>
        <v>Đá Thanh Hóa xanh đen băm mặt KT200x200x30mm</v>
      </c>
      <c r="C82" s="296" t="str">
        <f>'02.1-ĐNTT'!C82</f>
        <v>m2</v>
      </c>
      <c r="D82" s="297">
        <f>'CTKL DOT...'!K412</f>
        <v>0</v>
      </c>
      <c r="E82" s="298">
        <v>0</v>
      </c>
      <c r="F82" s="302">
        <f t="shared" si="1"/>
        <v>0</v>
      </c>
      <c r="G82" s="299"/>
    </row>
    <row r="83" spans="1:9" s="300" customFormat="1">
      <c r="A83" s="294"/>
      <c r="B83" s="295" t="str">
        <f>'02.1-ĐNTT'!B83</f>
        <v>Đá Thanh Hóa xanh đen băm mặt KT300x300x30mm</v>
      </c>
      <c r="C83" s="296" t="str">
        <f>'02.1-ĐNTT'!C83</f>
        <v>m2</v>
      </c>
      <c r="D83" s="297">
        <f>'CTKL DOT...'!K413</f>
        <v>0</v>
      </c>
      <c r="E83" s="298">
        <v>0</v>
      </c>
      <c r="F83" s="302">
        <f t="shared" si="1"/>
        <v>0</v>
      </c>
      <c r="G83" s="299"/>
    </row>
    <row r="84" spans="1:9" s="305" customFormat="1">
      <c r="A84" s="294">
        <f>'02.1-ĐNTT'!A84</f>
        <v>15</v>
      </c>
      <c r="B84" s="295" t="str">
        <f>'02.1-ĐNTT'!B84</f>
        <v>Vữa xi măng trước khi ốp đá</v>
      </c>
      <c r="C84" s="296" t="str">
        <f>'02.1-ĐNTT'!C84</f>
        <v>m2</v>
      </c>
      <c r="D84" s="297">
        <f>'CTKL DOT...'!K414</f>
        <v>0</v>
      </c>
      <c r="E84" s="298">
        <v>0</v>
      </c>
      <c r="F84" s="302">
        <f t="shared" si="1"/>
        <v>0</v>
      </c>
      <c r="G84" s="304"/>
    </row>
    <row r="85" spans="1:9" s="305" customFormat="1">
      <c r="A85" s="294"/>
      <c r="B85" s="295" t="str">
        <f>'02.1-ĐNTT'!B85</f>
        <v>Hệ khung thép hộp mạ kẽm nhúng nóng KT20x20x1,2mm</v>
      </c>
      <c r="C85" s="296" t="str">
        <f>'02.1-ĐNTT'!C85</f>
        <v>kg</v>
      </c>
      <c r="D85" s="297">
        <f>'CTKL DOT...'!K415</f>
        <v>0</v>
      </c>
      <c r="E85" s="298">
        <v>0</v>
      </c>
      <c r="F85" s="302">
        <f t="shared" si="1"/>
        <v>0</v>
      </c>
      <c r="G85" s="304"/>
    </row>
    <row r="86" spans="1:9" s="305" customFormat="1">
      <c r="A86" s="294"/>
      <c r="B86" s="295" t="str">
        <f>'02.1-ĐNTT'!B86</f>
        <v>Đá Moca crema limestone KT theo KT</v>
      </c>
      <c r="C86" s="296" t="str">
        <f>'02.1-ĐNTT'!C86</f>
        <v>m2</v>
      </c>
      <c r="D86" s="297">
        <f>'CTKL DOT...'!K416</f>
        <v>0</v>
      </c>
      <c r="E86" s="298">
        <v>0</v>
      </c>
      <c r="F86" s="302">
        <f t="shared" si="1"/>
        <v>0</v>
      </c>
      <c r="G86" s="304"/>
    </row>
    <row r="87" spans="1:9" s="38" customFormat="1">
      <c r="A87" s="290" t="str">
        <f>'02.1-ĐNTT'!A87</f>
        <v>IV</v>
      </c>
      <c r="B87" s="291" t="str">
        <f>'02.1-ĐNTT'!B87</f>
        <v>Biển hồ</v>
      </c>
      <c r="C87" s="292"/>
      <c r="D87" s="297">
        <f>'CTKL DOT...'!K417</f>
        <v>0</v>
      </c>
      <c r="E87" s="298">
        <v>0</v>
      </c>
      <c r="F87" s="302">
        <f t="shared" si="1"/>
        <v>0</v>
      </c>
      <c r="G87" s="215"/>
      <c r="I87" s="69"/>
    </row>
    <row r="88" spans="1:9" s="305" customFormat="1">
      <c r="A88" s="294">
        <f>'02.1-ĐNTT'!A88</f>
        <v>16</v>
      </c>
      <c r="B88" s="295" t="str">
        <f>'02.1-ĐNTT'!B88</f>
        <v>Bê tông bọt</v>
      </c>
      <c r="C88" s="296" t="str">
        <f>'02.1-ĐNTT'!C88</f>
        <v>m3</v>
      </c>
      <c r="D88" s="297">
        <f>'CTKL DOT...'!K418</f>
        <v>0</v>
      </c>
      <c r="E88" s="298">
        <v>0</v>
      </c>
      <c r="F88" s="302">
        <f t="shared" si="1"/>
        <v>0</v>
      </c>
      <c r="G88" s="304"/>
      <c r="I88" s="307"/>
    </row>
    <row r="89" spans="1:9" s="305" customFormat="1">
      <c r="A89" s="294"/>
      <c r="B89" s="295" t="str">
        <f>'02.1-ĐNTT'!B89</f>
        <v>Lưới sợi thủy tinh</v>
      </c>
      <c r="C89" s="296" t="str">
        <f>'02.1-ĐNTT'!C89</f>
        <v>m2</v>
      </c>
      <c r="D89" s="297">
        <f>'CTKL DOT...'!K419</f>
        <v>0</v>
      </c>
      <c r="E89" s="298">
        <v>0</v>
      </c>
      <c r="F89" s="302">
        <f t="shared" si="1"/>
        <v>0</v>
      </c>
      <c r="G89" s="304"/>
    </row>
    <row r="90" spans="1:9" s="305" customFormat="1">
      <c r="A90" s="294">
        <f>'02.1-ĐNTT'!A90</f>
        <v>17</v>
      </c>
      <c r="B90" s="295" t="str">
        <f>'02.1-ĐNTT'!B90</f>
        <v>Quét chống thấm</v>
      </c>
      <c r="C90" s="296" t="str">
        <f>'02.1-ĐNTT'!C90</f>
        <v>m2</v>
      </c>
      <c r="D90" s="297">
        <f>'CTKL DOT...'!K420</f>
        <v>0</v>
      </c>
      <c r="E90" s="298">
        <v>0</v>
      </c>
      <c r="F90" s="302">
        <f t="shared" si="1"/>
        <v>0</v>
      </c>
      <c r="G90" s="304"/>
    </row>
    <row r="91" spans="1:9" s="305" customFormat="1">
      <c r="A91" s="294"/>
      <c r="B91" s="295" t="str">
        <f>'02.1-ĐNTT'!B91</f>
        <v>Cát nén phủ bề mặt tạo hình độ dày mỏng tùy vị trí</v>
      </c>
      <c r="C91" s="296" t="str">
        <f>'02.1-ĐNTT'!C91</f>
        <v>m2</v>
      </c>
      <c r="D91" s="297">
        <f>'CTKL DOT...'!K421</f>
        <v>0</v>
      </c>
      <c r="E91" s="298">
        <v>0</v>
      </c>
      <c r="F91" s="302">
        <f t="shared" si="1"/>
        <v>0</v>
      </c>
      <c r="G91" s="304"/>
    </row>
    <row r="92" spans="1:9" s="38" customFormat="1">
      <c r="A92" s="290" t="str">
        <f>'02.1-ĐNTT'!A92</f>
        <v>V</v>
      </c>
      <c r="B92" s="291" t="str">
        <f>'02.1-ĐNTT'!B92</f>
        <v>Bồn hoa + đảo quanh biển hồ</v>
      </c>
      <c r="C92" s="292"/>
      <c r="D92" s="297">
        <f>'CTKL DOT...'!K422</f>
        <v>0</v>
      </c>
      <c r="E92" s="298">
        <v>0</v>
      </c>
      <c r="F92" s="302">
        <f t="shared" si="1"/>
        <v>0</v>
      </c>
      <c r="G92" s="215"/>
    </row>
    <row r="93" spans="1:9" s="305" customFormat="1">
      <c r="A93" s="294">
        <f>'02.1-ĐNTT'!A93</f>
        <v>18</v>
      </c>
      <c r="B93" s="295" t="str">
        <f>'02.1-ĐNTT'!B93</f>
        <v xml:space="preserve">Quét chống thấm </v>
      </c>
      <c r="C93" s="296" t="str">
        <f>'02.1-ĐNTT'!C93</f>
        <v>m2</v>
      </c>
      <c r="D93" s="297">
        <f>'CTKL DOT...'!K423</f>
        <v>0</v>
      </c>
      <c r="E93" s="298">
        <v>0</v>
      </c>
      <c r="F93" s="302">
        <f t="shared" si="1"/>
        <v>0</v>
      </c>
      <c r="G93" s="304"/>
    </row>
    <row r="94" spans="1:9" s="305" customFormat="1" ht="30">
      <c r="A94" s="294">
        <f>'02.1-ĐNTT'!A94</f>
        <v>19</v>
      </c>
      <c r="B94" s="295" t="str">
        <f>'02.1-ĐNTT'!B94</f>
        <v>Lớp vữa xi măng M75 đánh dốc 0,5% về phía phễu thu độ dày theo thực tế</v>
      </c>
      <c r="C94" s="296" t="str">
        <f>'02.1-ĐNTT'!C94</f>
        <v>m2</v>
      </c>
      <c r="D94" s="297">
        <f>'CTKL DOT...'!K424</f>
        <v>0</v>
      </c>
      <c r="E94" s="298">
        <v>0</v>
      </c>
      <c r="F94" s="302">
        <f t="shared" si="1"/>
        <v>0</v>
      </c>
      <c r="G94" s="304"/>
    </row>
    <row r="95" spans="1:9" s="305" customFormat="1">
      <c r="A95" s="294">
        <f>'02.1-ĐNTT'!A95</f>
        <v>20</v>
      </c>
      <c r="B95" s="295" t="str">
        <f>'02.1-ĐNTT'!B95</f>
        <v>Lớp vữa xi măng M75 trát thành bồn hoa</v>
      </c>
      <c r="C95" s="296" t="str">
        <f>'02.1-ĐNTT'!C95</f>
        <v>m2</v>
      </c>
      <c r="D95" s="297">
        <f>'CTKL DOT...'!K425</f>
        <v>0</v>
      </c>
      <c r="E95" s="298">
        <v>0</v>
      </c>
      <c r="F95" s="302">
        <f t="shared" si="1"/>
        <v>0</v>
      </c>
      <c r="G95" s="304"/>
    </row>
    <row r="96" spans="1:9" s="305" customFormat="1" ht="30">
      <c r="A96" s="294"/>
      <c r="B96" s="295" t="str">
        <f>'02.1-ĐNTT'!B96</f>
        <v>Lớp vỉ nhựa Plastic Cell chất liệu nhựa PP màu đen KT500x500x30mm</v>
      </c>
      <c r="C96" s="296" t="str">
        <f>'02.1-ĐNTT'!C96</f>
        <v>m2</v>
      </c>
      <c r="D96" s="297">
        <f>'CTKL DOT...'!K426</f>
        <v>0</v>
      </c>
      <c r="E96" s="298">
        <v>0</v>
      </c>
      <c r="F96" s="302">
        <f t="shared" si="1"/>
        <v>0</v>
      </c>
      <c r="G96" s="304"/>
    </row>
    <row r="97" spans="1:9" s="305" customFormat="1">
      <c r="A97" s="294"/>
      <c r="B97" s="295" t="str">
        <f>'02.1-ĐNTT'!B97</f>
        <v>Lớp vải địa ART15 hoặc tương đương</v>
      </c>
      <c r="C97" s="296" t="str">
        <f>'02.1-ĐNTT'!C97</f>
        <v>m2</v>
      </c>
      <c r="D97" s="297">
        <f>'CTKL DOT...'!K427</f>
        <v>0</v>
      </c>
      <c r="E97" s="298">
        <v>0</v>
      </c>
      <c r="F97" s="302">
        <f t="shared" si="1"/>
        <v>0</v>
      </c>
      <c r="G97" s="304"/>
    </row>
    <row r="98" spans="1:9" s="305" customFormat="1">
      <c r="A98" s="294"/>
      <c r="B98" s="295" t="str">
        <f>'02.1-ĐNTT'!B98</f>
        <v>Lớp sỏi 10x20mm trộn cát vàng tỷ lệ 1:1</v>
      </c>
      <c r="C98" s="296" t="str">
        <f>'02.1-ĐNTT'!C98</f>
        <v>m3</v>
      </c>
      <c r="D98" s="297">
        <f>'CTKL DOT...'!K428</f>
        <v>0</v>
      </c>
      <c r="E98" s="298">
        <v>0</v>
      </c>
      <c r="F98" s="302">
        <f t="shared" si="1"/>
        <v>0</v>
      </c>
      <c r="G98" s="304"/>
    </row>
    <row r="99" spans="1:9" s="308" customFormat="1">
      <c r="A99" s="294"/>
      <c r="B99" s="295" t="str">
        <f>'02.1-ĐNTT'!B99</f>
        <v>Đất màu trồng cây</v>
      </c>
      <c r="C99" s="296" t="str">
        <f>'02.1-ĐNTT'!C99</f>
        <v>m3</v>
      </c>
      <c r="D99" s="297">
        <f>'CTKL DOT...'!K429</f>
        <v>0</v>
      </c>
      <c r="E99" s="298">
        <v>0</v>
      </c>
      <c r="F99" s="302">
        <f t="shared" si="1"/>
        <v>0</v>
      </c>
      <c r="G99" s="299"/>
    </row>
    <row r="100" spans="1:9" s="300" customFormat="1">
      <c r="A100" s="294"/>
      <c r="B100" s="295" t="str">
        <f>'02.1-ĐNTT'!B100</f>
        <v>Khối đá trang trí lớn</v>
      </c>
      <c r="C100" s="296" t="str">
        <f>'02.1-ĐNTT'!C100</f>
        <v>Viên</v>
      </c>
      <c r="D100" s="297">
        <f>'CTKL DOT...'!K430</f>
        <v>0</v>
      </c>
      <c r="E100" s="298">
        <v>0</v>
      </c>
      <c r="F100" s="302">
        <f t="shared" si="1"/>
        <v>0</v>
      </c>
      <c r="G100" s="299"/>
    </row>
    <row r="101" spans="1:9" s="300" customFormat="1">
      <c r="A101" s="294"/>
      <c r="B101" s="295" t="str">
        <f>'02.1-ĐNTT'!B101</f>
        <v>Khối đá trang trí cỡ vừa</v>
      </c>
      <c r="C101" s="296" t="str">
        <f>'02.1-ĐNTT'!C101</f>
        <v>Viên</v>
      </c>
      <c r="D101" s="297">
        <f>'CTKL DOT...'!K431</f>
        <v>0</v>
      </c>
      <c r="E101" s="298">
        <v>0</v>
      </c>
      <c r="F101" s="302">
        <f t="shared" si="1"/>
        <v>0</v>
      </c>
      <c r="G101" s="299"/>
    </row>
    <row r="102" spans="1:9" s="305" customFormat="1">
      <c r="A102" s="294"/>
      <c r="B102" s="295" t="str">
        <f>'02.1-ĐNTT'!B102</f>
        <v>Khối đá trang trí cỡ nhỏ</v>
      </c>
      <c r="C102" s="296" t="str">
        <f>'02.1-ĐNTT'!C102</f>
        <v>Viên</v>
      </c>
      <c r="D102" s="297">
        <f>'CTKL DOT...'!K432</f>
        <v>0</v>
      </c>
      <c r="E102" s="298">
        <v>0</v>
      </c>
      <c r="F102" s="302">
        <f t="shared" si="1"/>
        <v>0</v>
      </c>
      <c r="G102" s="304"/>
    </row>
    <row r="103" spans="1:9" s="38" customFormat="1" ht="28.5">
      <c r="A103" s="290" t="str">
        <f>'02.1-ĐNTT'!A103</f>
        <v>B</v>
      </c>
      <c r="B103" s="291" t="str">
        <f>'02.1-ĐNTT'!B103</f>
        <v>HẠNG MỤC NỀN CẢNH QUAN + BỒN HOA + GIẾNG GIÓ</v>
      </c>
      <c r="C103" s="292"/>
      <c r="D103" s="297">
        <f>'CTKL DOT...'!K433</f>
        <v>0</v>
      </c>
      <c r="E103" s="298">
        <v>0</v>
      </c>
      <c r="F103" s="302">
        <f t="shared" si="1"/>
        <v>0</v>
      </c>
      <c r="G103" s="215"/>
    </row>
    <row r="104" spans="1:9" s="41" customFormat="1">
      <c r="A104" s="290" t="str">
        <f>'02.1-ĐNTT'!A104</f>
        <v>I</v>
      </c>
      <c r="B104" s="291" t="str">
        <f>'02.1-ĐNTT'!B104</f>
        <v>Phần nền</v>
      </c>
      <c r="C104" s="292"/>
      <c r="D104" s="297">
        <f>'CTKL DOT...'!K434</f>
        <v>0</v>
      </c>
      <c r="E104" s="298">
        <v>0</v>
      </c>
      <c r="F104" s="302">
        <f t="shared" si="1"/>
        <v>0</v>
      </c>
      <c r="G104" s="216"/>
    </row>
    <row r="105" spans="1:9" s="305" customFormat="1">
      <c r="A105" s="294">
        <f>'02.1-ĐNTT'!A105</f>
        <v>1</v>
      </c>
      <c r="B105" s="295" t="str">
        <f>'02.1-ĐNTT'!B105</f>
        <v>Vị trí hoàn thiện Cát biển tự nhiên (F1)</v>
      </c>
      <c r="C105" s="296" t="str">
        <f>'02.1-ĐNTT'!C105</f>
        <v>m2</v>
      </c>
      <c r="D105" s="297">
        <f>'CTKL DOT...'!K435</f>
        <v>0</v>
      </c>
      <c r="E105" s="298">
        <v>0</v>
      </c>
      <c r="F105" s="302">
        <f t="shared" si="1"/>
        <v>0</v>
      </c>
      <c r="G105" s="304"/>
      <c r="I105" s="306"/>
    </row>
    <row r="106" spans="1:9" s="305" customFormat="1">
      <c r="A106" s="294" t="str">
        <f>'02.1-ĐNTT'!A106</f>
        <v>1.1</v>
      </c>
      <c r="B106" s="295" t="str">
        <f>'02.1-ĐNTT'!B106</f>
        <v>Lớp vải địa ART 15 hoặc tương đương</v>
      </c>
      <c r="C106" s="296" t="str">
        <f>'02.1-ĐNTT'!C106</f>
        <v>m2</v>
      </c>
      <c r="D106" s="297">
        <f>'CTKL DOT...'!K436</f>
        <v>0</v>
      </c>
      <c r="E106" s="298">
        <v>0</v>
      </c>
      <c r="F106" s="302">
        <f t="shared" si="1"/>
        <v>0</v>
      </c>
      <c r="G106" s="304"/>
      <c r="I106" s="307"/>
    </row>
    <row r="107" spans="1:9" s="305" customFormat="1" ht="30">
      <c r="A107" s="294" t="str">
        <f>'02.1-ĐNTT'!A107</f>
        <v>1.2</v>
      </c>
      <c r="B107" s="295" t="str">
        <f>'02.1-ĐNTT'!B107</f>
        <v>Lớp vỉ nhựa Plastic Cell chất liệu nhựa PP màu đen, KT 500x500x30</v>
      </c>
      <c r="C107" s="296" t="str">
        <f>'02.1-ĐNTT'!C107</f>
        <v>m2</v>
      </c>
      <c r="D107" s="297">
        <f>'CTKL DOT...'!K437</f>
        <v>0</v>
      </c>
      <c r="E107" s="298">
        <v>0</v>
      </c>
      <c r="F107" s="302">
        <f t="shared" si="1"/>
        <v>0</v>
      </c>
      <c r="G107" s="304"/>
    </row>
    <row r="108" spans="1:9" s="305" customFormat="1">
      <c r="A108" s="294" t="str">
        <f>'02.1-ĐNTT'!A108</f>
        <v>1.3</v>
      </c>
      <c r="B108" s="295" t="str">
        <f>'02.1-ĐNTT'!B108</f>
        <v xml:space="preserve">Lớp vữa M75 dày min 15mm, dốc về phía phễu thu </v>
      </c>
      <c r="C108" s="296" t="str">
        <f>'02.1-ĐNTT'!C108</f>
        <v>m2</v>
      </c>
      <c r="D108" s="297">
        <f>'CTKL DOT...'!K438</f>
        <v>0</v>
      </c>
      <c r="E108" s="298">
        <v>0</v>
      </c>
      <c r="F108" s="302">
        <f t="shared" si="1"/>
        <v>0</v>
      </c>
      <c r="G108" s="304"/>
    </row>
    <row r="109" spans="1:9" s="305" customFormat="1">
      <c r="A109" s="294" t="str">
        <f>'02.1-ĐNTT'!A109</f>
        <v>1.4</v>
      </c>
      <c r="B109" s="295" t="str">
        <f>'02.1-ĐNTT'!B109</f>
        <v>Quét lớp chống thấm</v>
      </c>
      <c r="C109" s="296" t="str">
        <f>'02.1-ĐNTT'!C109</f>
        <v>m2</v>
      </c>
      <c r="D109" s="297">
        <f>'CTKL DOT...'!K439</f>
        <v>0</v>
      </c>
      <c r="E109" s="298">
        <v>0</v>
      </c>
      <c r="F109" s="302">
        <f t="shared" si="1"/>
        <v>0</v>
      </c>
      <c r="G109" s="304"/>
    </row>
    <row r="110" spans="1:9" s="305" customFormat="1">
      <c r="A110" s="294">
        <f>'02.1-ĐNTT'!A110</f>
        <v>2</v>
      </c>
      <c r="B110" s="295" t="str">
        <f>'02.1-ĐNTT'!B110</f>
        <v>Lát gỗ nhựa ngoài trời (F2)</v>
      </c>
      <c r="C110" s="296" t="str">
        <f>'02.1-ĐNTT'!C110</f>
        <v>m2</v>
      </c>
      <c r="D110" s="297">
        <f>'CTKL DOT...'!K440</f>
        <v>0</v>
      </c>
      <c r="E110" s="298">
        <v>0</v>
      </c>
      <c r="F110" s="302">
        <f t="shared" si="1"/>
        <v>0</v>
      </c>
      <c r="G110" s="304"/>
    </row>
    <row r="111" spans="1:9" s="305" customFormat="1">
      <c r="A111" s="294" t="str">
        <f>'02.1-ĐNTT'!A111</f>
        <v>2.1</v>
      </c>
      <c r="B111" s="295" t="str">
        <f>'02.1-ĐNTT'!B111</f>
        <v>Hệ khung thép hộp 25x25x1,0mm</v>
      </c>
      <c r="C111" s="296" t="str">
        <f>'02.1-ĐNTT'!C111</f>
        <v>m2</v>
      </c>
      <c r="D111" s="297">
        <f>'CTKL DOT...'!K441</f>
        <v>0</v>
      </c>
      <c r="E111" s="298">
        <v>0</v>
      </c>
      <c r="F111" s="302">
        <f t="shared" si="1"/>
        <v>0</v>
      </c>
      <c r="G111" s="304"/>
    </row>
    <row r="112" spans="1:9" s="305" customFormat="1">
      <c r="A112" s="294" t="str">
        <f>'02.1-ĐNTT'!A112</f>
        <v>2.2</v>
      </c>
      <c r="B112" s="295" t="str">
        <f>'02.1-ĐNTT'!B112</f>
        <v>Vữa XM M75, tạo dốc 1% độ dày min 20mm</v>
      </c>
      <c r="C112" s="296" t="str">
        <f>'02.1-ĐNTT'!C112</f>
        <v>m2</v>
      </c>
      <c r="D112" s="297">
        <f>'CTKL DOT...'!K442</f>
        <v>0</v>
      </c>
      <c r="E112" s="298">
        <v>0</v>
      </c>
      <c r="F112" s="302">
        <f t="shared" si="1"/>
        <v>0</v>
      </c>
      <c r="G112" s="304"/>
    </row>
    <row r="113" spans="1:7" s="305" customFormat="1">
      <c r="A113" s="294" t="str">
        <f>'02.1-ĐNTT'!A113</f>
        <v>2.3</v>
      </c>
      <c r="B113" s="295" t="str">
        <f>'02.1-ĐNTT'!B113</f>
        <v>Quét lớp chống thấm</v>
      </c>
      <c r="C113" s="296" t="str">
        <f>'02.1-ĐNTT'!C113</f>
        <v>m2</v>
      </c>
      <c r="D113" s="297">
        <f>'CTKL DOT...'!K443</f>
        <v>0</v>
      </c>
      <c r="E113" s="298">
        <v>0</v>
      </c>
      <c r="F113" s="302">
        <f t="shared" si="1"/>
        <v>0</v>
      </c>
      <c r="G113" s="304"/>
    </row>
    <row r="114" spans="1:7" s="305" customFormat="1" ht="30">
      <c r="A114" s="294">
        <f>'02.1-ĐNTT'!A114</f>
        <v>3</v>
      </c>
      <c r="B114" s="295" t="str">
        <f>'02.1-ĐNTT'!B114</f>
        <v>Đá thanh hóa xanh đen băm mặt dày 30mm, chẻ tay hình thức theo thiết kế (F3)</v>
      </c>
      <c r="C114" s="296" t="str">
        <f>'02.1-ĐNTT'!C114</f>
        <v>m2</v>
      </c>
      <c r="D114" s="297">
        <f>'CTKL DOT...'!K444</f>
        <v>0</v>
      </c>
      <c r="E114" s="298">
        <v>0</v>
      </c>
      <c r="F114" s="302">
        <f t="shared" si="1"/>
        <v>0</v>
      </c>
      <c r="G114" s="304"/>
    </row>
    <row r="115" spans="1:7" s="305" customFormat="1">
      <c r="A115" s="294" t="str">
        <f>'02.1-ĐNTT'!A115</f>
        <v>3.1</v>
      </c>
      <c r="B115" s="295" t="str">
        <f>'02.1-ĐNTT'!B115</f>
        <v>Sỏi tự nhiên đầm chặt chải phẳng dày 50mm</v>
      </c>
      <c r="C115" s="296" t="str">
        <f>'02.1-ĐNTT'!C115</f>
        <v>m2</v>
      </c>
      <c r="D115" s="297">
        <f>'CTKL DOT...'!K445</f>
        <v>0</v>
      </c>
      <c r="E115" s="298">
        <v>0</v>
      </c>
      <c r="F115" s="302">
        <f t="shared" si="1"/>
        <v>0</v>
      </c>
      <c r="G115" s="304"/>
    </row>
    <row r="116" spans="1:7" s="305" customFormat="1">
      <c r="A116" s="294" t="str">
        <f>'02.1-ĐNTT'!A116</f>
        <v>3.2</v>
      </c>
      <c r="B116" s="295" t="str">
        <f>'02.1-ĐNTT'!B116</f>
        <v>Lớp vải địa ART 15 hoặc tương đương</v>
      </c>
      <c r="C116" s="296" t="str">
        <f>'02.1-ĐNTT'!C116</f>
        <v>m2</v>
      </c>
      <c r="D116" s="297">
        <f>'CTKL DOT...'!K446</f>
        <v>0</v>
      </c>
      <c r="E116" s="298">
        <v>0</v>
      </c>
      <c r="F116" s="302">
        <f t="shared" si="1"/>
        <v>0</v>
      </c>
      <c r="G116" s="304"/>
    </row>
    <row r="117" spans="1:7" s="308" customFormat="1">
      <c r="A117" s="294">
        <f>'02.1-ĐNTT'!A117</f>
        <v>4</v>
      </c>
      <c r="B117" s="295" t="str">
        <f>'02.1-ĐNTT'!B117</f>
        <v>Đá thanh hóa (F3.1)</v>
      </c>
      <c r="C117" s="296" t="str">
        <f>'02.1-ĐNTT'!C117</f>
        <v>m2</v>
      </c>
      <c r="D117" s="297">
        <f>'CTKL DOT...'!K447</f>
        <v>0</v>
      </c>
      <c r="E117" s="298">
        <v>0</v>
      </c>
      <c r="F117" s="302">
        <f t="shared" si="1"/>
        <v>0</v>
      </c>
      <c r="G117" s="299"/>
    </row>
    <row r="118" spans="1:7" s="300" customFormat="1">
      <c r="A118" s="294" t="str">
        <f>'02.1-ĐNTT'!A118</f>
        <v>4.1</v>
      </c>
      <c r="B118" s="295" t="str">
        <f>'02.1-ĐNTT'!B118</f>
        <v>Vữa XM mác 75, tạo dốc 1% độ dày theo thực tế</v>
      </c>
      <c r="C118" s="296" t="str">
        <f>'02.1-ĐNTT'!C118</f>
        <v>m2</v>
      </c>
      <c r="D118" s="297">
        <f>'CTKL DOT...'!K448</f>
        <v>0</v>
      </c>
      <c r="E118" s="298">
        <v>0</v>
      </c>
      <c r="F118" s="302">
        <f t="shared" si="1"/>
        <v>0</v>
      </c>
      <c r="G118" s="299"/>
    </row>
    <row r="119" spans="1:7" s="300" customFormat="1" ht="30">
      <c r="A119" s="294" t="str">
        <f>'02.1-ĐNTT'!A119</f>
        <v>4.2</v>
      </c>
      <c r="B119" s="295" t="str">
        <f>'02.1-ĐNTT'!B119</f>
        <v>Quét 2 lớp chống thấm gốc XM 2 thành phần Sika topseal 108 dày min&gt;=1.0mm ( hoặc tương đương)</v>
      </c>
      <c r="C119" s="296" t="str">
        <f>'02.1-ĐNTT'!C119</f>
        <v>m2</v>
      </c>
      <c r="D119" s="297">
        <f>'CTKL DOT...'!K449</f>
        <v>0</v>
      </c>
      <c r="E119" s="298">
        <v>0</v>
      </c>
      <c r="F119" s="302">
        <f t="shared" si="1"/>
        <v>0</v>
      </c>
      <c r="G119" s="299"/>
    </row>
    <row r="120" spans="1:7" s="300" customFormat="1">
      <c r="A120" s="294">
        <f>'02.1-ĐNTT'!A120</f>
        <v>5</v>
      </c>
      <c r="B120" s="295" t="str">
        <f>'02.1-ĐNTT'!B120</f>
        <v>Đá thanh hóa xanh đen băm mặt (F3.2)</v>
      </c>
      <c r="C120" s="296" t="str">
        <f>'02.1-ĐNTT'!C120</f>
        <v>m2</v>
      </c>
      <c r="D120" s="297">
        <f>'CTKL DOT...'!K450</f>
        <v>0</v>
      </c>
      <c r="E120" s="298">
        <v>0</v>
      </c>
      <c r="F120" s="302">
        <f t="shared" si="1"/>
        <v>0</v>
      </c>
      <c r="G120" s="299"/>
    </row>
    <row r="121" spans="1:7" s="300" customFormat="1">
      <c r="A121" s="294" t="str">
        <f>'02.1-ĐNTT'!A121</f>
        <v>5.1</v>
      </c>
      <c r="B121" s="295" t="str">
        <f>'02.1-ĐNTT'!B121</f>
        <v>Vữa XM mác 75, tạo dốc 1% độ dày theo thực tế</v>
      </c>
      <c r="C121" s="296" t="str">
        <f>'02.1-ĐNTT'!C121</f>
        <v>m2</v>
      </c>
      <c r="D121" s="297">
        <f>'CTKL DOT...'!K451</f>
        <v>0</v>
      </c>
      <c r="E121" s="298">
        <v>0</v>
      </c>
      <c r="F121" s="302">
        <f t="shared" si="1"/>
        <v>0</v>
      </c>
      <c r="G121" s="299"/>
    </row>
    <row r="122" spans="1:7" s="300" customFormat="1">
      <c r="A122" s="294" t="str">
        <f>'02.1-ĐNTT'!A122</f>
        <v>5.2</v>
      </c>
      <c r="B122" s="295" t="str">
        <f>'02.1-ĐNTT'!B122</f>
        <v>Quét lớp chống thấm</v>
      </c>
      <c r="C122" s="296" t="str">
        <f>'02.1-ĐNTT'!C122</f>
        <v>m2</v>
      </c>
      <c r="D122" s="297">
        <f>'CTKL DOT...'!K452</f>
        <v>0</v>
      </c>
      <c r="E122" s="298">
        <v>0</v>
      </c>
      <c r="F122" s="302">
        <f t="shared" si="1"/>
        <v>0</v>
      </c>
      <c r="G122" s="299"/>
    </row>
    <row r="123" spans="1:7" s="300" customFormat="1" ht="30">
      <c r="A123" s="294">
        <f>'02.1-ĐNTT'!A123</f>
        <v>6</v>
      </c>
      <c r="B123" s="295" t="str">
        <f>'02.1-ĐNTT'!B123</f>
        <v>Đá Cubic Granite Bình Định màu vàng nhạt, băm mặt (F6)</v>
      </c>
      <c r="C123" s="296" t="str">
        <f>'02.1-ĐNTT'!C123</f>
        <v>m2</v>
      </c>
      <c r="D123" s="297">
        <f>'CTKL DOT...'!K453</f>
        <v>0</v>
      </c>
      <c r="E123" s="298">
        <v>0</v>
      </c>
      <c r="F123" s="302">
        <f t="shared" si="1"/>
        <v>0</v>
      </c>
      <c r="G123" s="299"/>
    </row>
    <row r="124" spans="1:7" s="300" customFormat="1">
      <c r="A124" s="294" t="str">
        <f>'02.1-ĐNTT'!A124</f>
        <v>6.1</v>
      </c>
      <c r="B124" s="295" t="str">
        <f>'02.1-ĐNTT'!B124</f>
        <v>Vữa XM mác 75, tạo dốc 1% độ dày theo thực tế</v>
      </c>
      <c r="C124" s="296" t="str">
        <f>'02.1-ĐNTT'!C124</f>
        <v>m2</v>
      </c>
      <c r="D124" s="297">
        <f>'CTKL DOT...'!K454</f>
        <v>0</v>
      </c>
      <c r="E124" s="298">
        <v>0</v>
      </c>
      <c r="F124" s="302">
        <f t="shared" si="1"/>
        <v>0</v>
      </c>
      <c r="G124" s="299"/>
    </row>
    <row r="125" spans="1:7" s="300" customFormat="1">
      <c r="A125" s="294" t="str">
        <f>'02.1-ĐNTT'!A125</f>
        <v>6.2</v>
      </c>
      <c r="B125" s="295" t="str">
        <f>'02.1-ĐNTT'!B125</f>
        <v>Quét lớp chống thấm</v>
      </c>
      <c r="C125" s="296" t="str">
        <f>'02.1-ĐNTT'!C125</f>
        <v>m2</v>
      </c>
      <c r="D125" s="297">
        <f>'CTKL DOT...'!K455</f>
        <v>0</v>
      </c>
      <c r="E125" s="298">
        <v>0</v>
      </c>
      <c r="F125" s="302">
        <f t="shared" si="1"/>
        <v>0</v>
      </c>
      <c r="G125" s="299"/>
    </row>
    <row r="126" spans="1:7" s="300" customFormat="1">
      <c r="A126" s="294">
        <f>'02.1-ĐNTT'!A126</f>
        <v>7</v>
      </c>
      <c r="B126" s="295" t="str">
        <f>'02.1-ĐNTT'!B126</f>
        <v>Đá Kim Sa hạt nhỏ màu đen (F6.1)</v>
      </c>
      <c r="C126" s="296" t="str">
        <f>'02.1-ĐNTT'!C126</f>
        <v>m2</v>
      </c>
      <c r="D126" s="297">
        <f>'CTKL DOT...'!K456</f>
        <v>0</v>
      </c>
      <c r="E126" s="298">
        <v>0</v>
      </c>
      <c r="F126" s="302">
        <f t="shared" si="1"/>
        <v>0</v>
      </c>
      <c r="G126" s="299"/>
    </row>
    <row r="127" spans="1:7" s="300" customFormat="1">
      <c r="A127" s="294" t="str">
        <f>'02.1-ĐNTT'!A127</f>
        <v>7.1</v>
      </c>
      <c r="B127" s="295" t="str">
        <f>'02.1-ĐNTT'!B127</f>
        <v>Vữa XM mác 75, tạo dốc 1% độ dày theo thực tế</v>
      </c>
      <c r="C127" s="296" t="str">
        <f>'02.1-ĐNTT'!C127</f>
        <v>m2</v>
      </c>
      <c r="D127" s="297">
        <f>'CTKL DOT...'!K457</f>
        <v>0</v>
      </c>
      <c r="E127" s="298">
        <v>0</v>
      </c>
      <c r="F127" s="302">
        <f t="shared" si="1"/>
        <v>0</v>
      </c>
      <c r="G127" s="299"/>
    </row>
    <row r="128" spans="1:7" s="300" customFormat="1">
      <c r="A128" s="294" t="str">
        <f>'02.1-ĐNTT'!A128</f>
        <v>7.2</v>
      </c>
      <c r="B128" s="295" t="str">
        <f>'02.1-ĐNTT'!B128</f>
        <v>Quét 2 lớp chống thấm</v>
      </c>
      <c r="C128" s="296" t="str">
        <f>'02.1-ĐNTT'!C128</f>
        <v>m2</v>
      </c>
      <c r="D128" s="297">
        <f>'CTKL DOT...'!K458</f>
        <v>0</v>
      </c>
      <c r="E128" s="298">
        <v>0</v>
      </c>
      <c r="F128" s="302">
        <f t="shared" si="1"/>
        <v>0</v>
      </c>
      <c r="G128" s="299"/>
    </row>
    <row r="129" spans="1:7" s="300" customFormat="1">
      <c r="A129" s="294">
        <f>'02.1-ĐNTT'!A129</f>
        <v>8</v>
      </c>
      <c r="B129" s="295" t="str">
        <f>'02.1-ĐNTT'!B129</f>
        <v>Ốp đá tổ ong xám (OB) bao gồm cả lớp vữa XM dính kết</v>
      </c>
      <c r="C129" s="296" t="str">
        <f>'02.1-ĐNTT'!C129</f>
        <v>m2</v>
      </c>
      <c r="D129" s="297">
        <f>'CTKL DOT...'!K459</f>
        <v>0</v>
      </c>
      <c r="E129" s="298">
        <v>0</v>
      </c>
      <c r="F129" s="302">
        <f t="shared" si="1"/>
        <v>0</v>
      </c>
      <c r="G129" s="299"/>
    </row>
    <row r="130" spans="1:7" s="300" customFormat="1" ht="30">
      <c r="A130" s="294">
        <f>'02.1-ĐNTT'!A130</f>
        <v>9</v>
      </c>
      <c r="B130" s="295" t="str">
        <f>'02.1-ĐNTT'!B130</f>
        <v>Bê tông mài Granito màu trắng (F7) bao gồm cả lớp vữa XM dính kết</v>
      </c>
      <c r="C130" s="296" t="str">
        <f>'02.1-ĐNTT'!C130</f>
        <v>m2</v>
      </c>
      <c r="D130" s="297">
        <f>'CTKL DOT...'!K460</f>
        <v>0</v>
      </c>
      <c r="E130" s="298">
        <v>0</v>
      </c>
      <c r="F130" s="302">
        <f t="shared" si="1"/>
        <v>0</v>
      </c>
      <c r="G130" s="299"/>
    </row>
    <row r="131" spans="1:7" s="300" customFormat="1">
      <c r="A131" s="294" t="str">
        <f>'02.1-ĐNTT'!A131</f>
        <v>9.1</v>
      </c>
      <c r="B131" s="295" t="str">
        <f>'02.1-ĐNTT'!B131</f>
        <v xml:space="preserve">Khung lưới thép </v>
      </c>
      <c r="C131" s="296" t="str">
        <f>'02.1-ĐNTT'!C131</f>
        <v>m2</v>
      </c>
      <c r="D131" s="297">
        <f>'CTKL DOT...'!K461</f>
        <v>0</v>
      </c>
      <c r="E131" s="298">
        <v>0</v>
      </c>
      <c r="F131" s="302">
        <f t="shared" si="1"/>
        <v>0</v>
      </c>
      <c r="G131" s="299"/>
    </row>
    <row r="132" spans="1:7" s="300" customFormat="1">
      <c r="A132" s="294" t="str">
        <f>'02.1-ĐNTT'!A132</f>
        <v>9.2</v>
      </c>
      <c r="B132" s="295" t="str">
        <f>'02.1-ĐNTT'!B132</f>
        <v>Vữa XM M75 tạo phẳng</v>
      </c>
      <c r="C132" s="296" t="str">
        <f>'02.1-ĐNTT'!C132</f>
        <v>m2</v>
      </c>
      <c r="D132" s="297">
        <f>'CTKL DOT...'!K462</f>
        <v>0</v>
      </c>
      <c r="E132" s="298">
        <v>0</v>
      </c>
      <c r="F132" s="302">
        <f t="shared" si="1"/>
        <v>0</v>
      </c>
      <c r="G132" s="299"/>
    </row>
    <row r="133" spans="1:7" s="300" customFormat="1">
      <c r="A133" s="294">
        <f>'02.1-ĐNTT'!A133</f>
        <v>10</v>
      </c>
      <c r="B133" s="295" t="str">
        <f>'02.1-ĐNTT'!B133</f>
        <v>Đá sỏi cuội tự nhiên 20-30 (F8) bao gồm lớp vữa liên kết</v>
      </c>
      <c r="C133" s="296" t="str">
        <f>'02.1-ĐNTT'!C133</f>
        <v>m2</v>
      </c>
      <c r="D133" s="297">
        <f>'CTKL DOT...'!K463</f>
        <v>0</v>
      </c>
      <c r="E133" s="298">
        <v>0</v>
      </c>
      <c r="F133" s="302">
        <f t="shared" si="1"/>
        <v>0</v>
      </c>
      <c r="G133" s="299"/>
    </row>
    <row r="134" spans="1:7" s="300" customFormat="1">
      <c r="A134" s="294" t="str">
        <f>'02.1-ĐNTT'!A134</f>
        <v>10.1</v>
      </c>
      <c r="B134" s="295" t="str">
        <f>'02.1-ĐNTT'!B134</f>
        <v>Quét lớp chống thấm</v>
      </c>
      <c r="C134" s="296" t="str">
        <f>'02.1-ĐNTT'!C134</f>
        <v>m2</v>
      </c>
      <c r="D134" s="297">
        <f>'CTKL DOT...'!K464</f>
        <v>0</v>
      </c>
      <c r="E134" s="298">
        <v>0</v>
      </c>
      <c r="F134" s="302">
        <f t="shared" si="1"/>
        <v>0</v>
      </c>
      <c r="G134" s="299"/>
    </row>
    <row r="135" spans="1:7" s="300" customFormat="1">
      <c r="A135" s="294"/>
      <c r="B135" s="295" t="str">
        <f>'02.1-ĐNTT'!B135</f>
        <v>Sơn sân bóng rổ</v>
      </c>
      <c r="C135" s="296" t="str">
        <f>'02.1-ĐNTT'!C135</f>
        <v>m2</v>
      </c>
      <c r="D135" s="297">
        <f>'CTKL DOT...'!K465</f>
        <v>0</v>
      </c>
      <c r="E135" s="298">
        <v>0</v>
      </c>
      <c r="F135" s="302">
        <f t="shared" si="1"/>
        <v>0</v>
      </c>
      <c r="G135" s="299"/>
    </row>
    <row r="136" spans="1:7" s="300" customFormat="1">
      <c r="A136" s="294"/>
      <c r="B136" s="295" t="str">
        <f>'02.1-ĐNTT'!B136</f>
        <v xml:space="preserve">Sơn 2 lớp sơn nhựa tạo êm </v>
      </c>
      <c r="C136" s="296" t="str">
        <f>'02.1-ĐNTT'!C136</f>
        <v>m2</v>
      </c>
      <c r="D136" s="297">
        <f>'CTKL DOT...'!K466</f>
        <v>0</v>
      </c>
      <c r="E136" s="298">
        <v>0</v>
      </c>
      <c r="F136" s="302">
        <f t="shared" si="1"/>
        <v>0</v>
      </c>
      <c r="G136" s="299"/>
    </row>
    <row r="137" spans="1:7" s="300" customFormat="1">
      <c r="A137" s="294"/>
      <c r="B137" s="295" t="str">
        <f>'02.1-ĐNTT'!B137</f>
        <v>Phủ 1 lớp chống thấm, co giãn</v>
      </c>
      <c r="C137" s="296" t="str">
        <f>'02.1-ĐNTT'!C137</f>
        <v>m2</v>
      </c>
      <c r="D137" s="297">
        <f>'CTKL DOT...'!K467</f>
        <v>0</v>
      </c>
      <c r="E137" s="298">
        <v>0</v>
      </c>
      <c r="F137" s="302">
        <f t="shared" si="1"/>
        <v>0</v>
      </c>
      <c r="G137" s="299"/>
    </row>
    <row r="138" spans="1:7" s="300" customFormat="1">
      <c r="A138" s="294"/>
      <c r="B138" s="295" t="str">
        <f>'02.1-ĐNTT'!B138</f>
        <v>1 lớp trám vá, làm phẳng bề mặt sân</v>
      </c>
      <c r="C138" s="296" t="str">
        <f>'02.1-ĐNTT'!C138</f>
        <v>m2</v>
      </c>
      <c r="D138" s="297">
        <f>'CTKL DOT...'!K468</f>
        <v>0</v>
      </c>
      <c r="E138" s="298">
        <v>0</v>
      </c>
      <c r="F138" s="302">
        <f t="shared" si="1"/>
        <v>0</v>
      </c>
      <c r="G138" s="299"/>
    </row>
    <row r="139" spans="1:7" s="300" customFormat="1">
      <c r="A139" s="294"/>
      <c r="B139" s="295" t="str">
        <f>'02.1-ĐNTT'!B139</f>
        <v xml:space="preserve">Lớp thảm nhựa nóng </v>
      </c>
      <c r="C139" s="296" t="str">
        <f>'02.1-ĐNTT'!C139</f>
        <v>m2</v>
      </c>
      <c r="D139" s="297">
        <f>'CTKL DOT...'!K469</f>
        <v>0</v>
      </c>
      <c r="E139" s="298">
        <v>0</v>
      </c>
      <c r="F139" s="302">
        <f t="shared" si="1"/>
        <v>0</v>
      </c>
      <c r="G139" s="299"/>
    </row>
    <row r="140" spans="1:7" s="300" customFormat="1">
      <c r="A140" s="294"/>
      <c r="B140" s="295" t="str">
        <f>'02.1-ĐNTT'!B140</f>
        <v>Viền ngoài sân bóng rổ</v>
      </c>
      <c r="C140" s="296" t="str">
        <f>'02.1-ĐNTT'!C140</f>
        <v>md</v>
      </c>
      <c r="D140" s="297">
        <f>'CTKL DOT...'!K470</f>
        <v>0</v>
      </c>
      <c r="E140" s="298">
        <v>0</v>
      </c>
      <c r="F140" s="302">
        <f t="shared" si="1"/>
        <v>0</v>
      </c>
      <c r="G140" s="299"/>
    </row>
    <row r="141" spans="1:7" s="300" customFormat="1">
      <c r="A141" s="294"/>
      <c r="B141" s="295" t="str">
        <f>'02.1-ĐNTT'!B141</f>
        <v>Trụ bóng rổ</v>
      </c>
      <c r="C141" s="296" t="str">
        <f>'02.1-ĐNTT'!C141</f>
        <v>trụ</v>
      </c>
      <c r="D141" s="297">
        <f>'CTKL DOT...'!K471</f>
        <v>0</v>
      </c>
      <c r="E141" s="298">
        <v>0</v>
      </c>
      <c r="F141" s="302">
        <f t="shared" si="1"/>
        <v>0</v>
      </c>
      <c r="G141" s="299"/>
    </row>
    <row r="142" spans="1:7" s="51" customFormat="1">
      <c r="A142" s="290" t="str">
        <f>'02.1-ĐNTT'!A142</f>
        <v>II</v>
      </c>
      <c r="B142" s="291" t="str">
        <f>'02.1-ĐNTT'!B142</f>
        <v>Công tác bồn hoa</v>
      </c>
      <c r="C142" s="292"/>
      <c r="D142" s="297">
        <f>'CTKL DOT...'!K472</f>
        <v>0</v>
      </c>
      <c r="E142" s="298">
        <v>0</v>
      </c>
      <c r="F142" s="302">
        <f t="shared" si="1"/>
        <v>0</v>
      </c>
      <c r="G142" s="213"/>
    </row>
    <row r="143" spans="1:7" s="300" customFormat="1">
      <c r="A143" s="294">
        <f>'02.1-ĐNTT'!A143</f>
        <v>11</v>
      </c>
      <c r="B143" s="295" t="str">
        <f>'02.1-ĐNTT'!B143</f>
        <v>Công tác thi công trát thành bồn hoa</v>
      </c>
      <c r="C143" s="296" t="str">
        <f>'02.1-ĐNTT'!C143</f>
        <v>m2</v>
      </c>
      <c r="D143" s="297">
        <f>'CTKL DOT...'!K473</f>
        <v>0</v>
      </c>
      <c r="E143" s="298">
        <v>0</v>
      </c>
      <c r="F143" s="302">
        <f t="shared" si="1"/>
        <v>0</v>
      </c>
      <c r="G143" s="299"/>
    </row>
    <row r="144" spans="1:7" s="300" customFormat="1">
      <c r="A144" s="294"/>
      <c r="B144" s="295" t="str">
        <f>'02.1-ĐNTT'!B144</f>
        <v>Lớp sỏi 10x20mm trộn cát vàng tỷ lệ  1:1 đáy bồn hoa</v>
      </c>
      <c r="C144" s="296" t="str">
        <f>'02.1-ĐNTT'!C144</f>
        <v>m2</v>
      </c>
      <c r="D144" s="297">
        <f>'CTKL DOT...'!K474</f>
        <v>0</v>
      </c>
      <c r="E144" s="298">
        <v>0</v>
      </c>
      <c r="F144" s="302">
        <f t="shared" ref="F144:F152" si="2">D144*E144</f>
        <v>0</v>
      </c>
      <c r="G144" s="299"/>
    </row>
    <row r="145" spans="1:11" s="300" customFormat="1">
      <c r="A145" s="294"/>
      <c r="B145" s="295" t="str">
        <f>'02.1-ĐNTT'!B145</f>
        <v>Lớp vải địa ART 15 hoặc tương đương</v>
      </c>
      <c r="C145" s="296" t="str">
        <f>'02.1-ĐNTT'!C145</f>
        <v>m2</v>
      </c>
      <c r="D145" s="297">
        <f>'CTKL DOT...'!K475</f>
        <v>0</v>
      </c>
      <c r="E145" s="298">
        <v>0</v>
      </c>
      <c r="F145" s="302">
        <f t="shared" si="2"/>
        <v>0</v>
      </c>
      <c r="G145" s="299"/>
    </row>
    <row r="146" spans="1:11" s="300" customFormat="1" ht="30">
      <c r="A146" s="294"/>
      <c r="B146" s="295" t="str">
        <f>'02.1-ĐNTT'!B146</f>
        <v>Lớp vỉ nhựa Plastic Cell chất liệu nhựa PP màu đen, KT 500x500x30</v>
      </c>
      <c r="C146" s="296" t="str">
        <f>'02.1-ĐNTT'!C146</f>
        <v>m2</v>
      </c>
      <c r="D146" s="297">
        <f>'CTKL DOT...'!K476</f>
        <v>0</v>
      </c>
      <c r="E146" s="298">
        <v>0</v>
      </c>
      <c r="F146" s="302">
        <f t="shared" si="2"/>
        <v>0</v>
      </c>
      <c r="G146" s="299"/>
    </row>
    <row r="147" spans="1:11" s="300" customFormat="1">
      <c r="A147" s="294">
        <f>'02.1-ĐNTT'!A147</f>
        <v>12</v>
      </c>
      <c r="B147" s="295" t="str">
        <f>'02.1-ĐNTT'!B147</f>
        <v>Lớp vữa láng XM75</v>
      </c>
      <c r="C147" s="296" t="str">
        <f>'02.1-ĐNTT'!C147</f>
        <v>m2</v>
      </c>
      <c r="D147" s="297">
        <f>'CTKL DOT...'!K477</f>
        <v>0</v>
      </c>
      <c r="E147" s="298">
        <v>0</v>
      </c>
      <c r="F147" s="302">
        <f t="shared" si="2"/>
        <v>0</v>
      </c>
      <c r="G147" s="299"/>
    </row>
    <row r="148" spans="1:11" s="300" customFormat="1">
      <c r="A148" s="294">
        <f>'02.1-ĐNTT'!A148</f>
        <v>13</v>
      </c>
      <c r="B148" s="295" t="str">
        <f>'02.1-ĐNTT'!B148</f>
        <v>Quét lớp chống thấm</v>
      </c>
      <c r="C148" s="296" t="str">
        <f>'02.1-ĐNTT'!C148</f>
        <v>m2</v>
      </c>
      <c r="D148" s="297">
        <f>'CTKL DOT...'!K478</f>
        <v>0</v>
      </c>
      <c r="E148" s="298">
        <v>0</v>
      </c>
      <c r="F148" s="302">
        <f t="shared" si="2"/>
        <v>0</v>
      </c>
      <c r="G148" s="299"/>
    </row>
    <row r="149" spans="1:11" s="300" customFormat="1">
      <c r="A149" s="294">
        <f>'02.1-ĐNTT'!A149</f>
        <v>14</v>
      </c>
      <c r="B149" s="295" t="str">
        <f>'02.1-ĐNTT'!B149</f>
        <v>Lớp vải địa ART 15 hoặc tương đương - Thành bồn hoa</v>
      </c>
      <c r="C149" s="296" t="str">
        <f>'02.1-ĐNTT'!C149</f>
        <v>m2</v>
      </c>
      <c r="D149" s="297">
        <f>'CTKL DOT...'!K479</f>
        <v>0</v>
      </c>
      <c r="E149" s="298">
        <v>0</v>
      </c>
      <c r="F149" s="302">
        <f t="shared" si="2"/>
        <v>0</v>
      </c>
      <c r="G149" s="299"/>
    </row>
    <row r="150" spans="1:11" s="300" customFormat="1" ht="30">
      <c r="A150" s="294">
        <f>'02.1-ĐNTT'!A150</f>
        <v>15</v>
      </c>
      <c r="B150" s="295" t="str">
        <f>'02.1-ĐNTT'!B150</f>
        <v>Lớp vỉ nhựa Plastic Cell chất liệu nhựa PP màu đen, KT 500x500x30</v>
      </c>
      <c r="C150" s="296" t="str">
        <f>'02.1-ĐNTT'!C150</f>
        <v>m2</v>
      </c>
      <c r="D150" s="297">
        <f>'CTKL DOT...'!K480</f>
        <v>0</v>
      </c>
      <c r="E150" s="298">
        <v>0</v>
      </c>
      <c r="F150" s="302">
        <f t="shared" si="2"/>
        <v>0</v>
      </c>
      <c r="G150" s="299"/>
    </row>
    <row r="151" spans="1:11" s="300" customFormat="1">
      <c r="A151" s="294">
        <f>'02.1-ĐNTT'!A151</f>
        <v>16</v>
      </c>
      <c r="B151" s="295" t="str">
        <f>'02.1-ĐNTT'!B151</f>
        <v>Lớp vữa trát XM75</v>
      </c>
      <c r="C151" s="296" t="str">
        <f>'02.1-ĐNTT'!C151</f>
        <v>m2</v>
      </c>
      <c r="D151" s="297">
        <f>'CTKL DOT...'!K481</f>
        <v>0</v>
      </c>
      <c r="E151" s="298">
        <v>0</v>
      </c>
      <c r="F151" s="302">
        <f t="shared" si="2"/>
        <v>0</v>
      </c>
      <c r="G151" s="299"/>
    </row>
    <row r="152" spans="1:11" s="300" customFormat="1">
      <c r="A152" s="294">
        <f>'02.1-ĐNTT'!A152</f>
        <v>17</v>
      </c>
      <c r="B152" s="295" t="str">
        <f>'02.1-ĐNTT'!B152</f>
        <v>Quét lớp chống thấm</v>
      </c>
      <c r="C152" s="296" t="str">
        <f>'02.1-ĐNTT'!C152</f>
        <v>m2</v>
      </c>
      <c r="D152" s="297">
        <f>'CTKL DOT...'!K482</f>
        <v>0</v>
      </c>
      <c r="E152" s="298">
        <v>0</v>
      </c>
      <c r="F152" s="302">
        <f t="shared" si="2"/>
        <v>0</v>
      </c>
      <c r="G152" s="299"/>
    </row>
    <row r="153" spans="1:11" s="40" customFormat="1">
      <c r="A153" s="52"/>
      <c r="B153" s="53"/>
      <c r="C153" s="54"/>
      <c r="D153" s="55"/>
      <c r="E153" s="56"/>
      <c r="F153" s="57"/>
      <c r="G153" s="58"/>
    </row>
    <row r="154" spans="1:11" s="1" customFormat="1" ht="20.25" customHeight="1">
      <c r="B154" s="66" t="s">
        <v>83</v>
      </c>
      <c r="C154" s="66"/>
      <c r="D154" s="121"/>
      <c r="F154" s="66" t="s">
        <v>82</v>
      </c>
      <c r="G154" s="121"/>
      <c r="H154" s="66"/>
      <c r="J154" s="66"/>
      <c r="K154" s="66"/>
    </row>
    <row r="155" spans="1:11">
      <c r="B155" s="25"/>
      <c r="C155" s="25"/>
      <c r="D155" s="796"/>
      <c r="E155" s="796"/>
      <c r="F155" s="796"/>
      <c r="G155" s="796"/>
    </row>
    <row r="156" spans="1:11">
      <c r="A156" s="25"/>
      <c r="B156" s="25"/>
      <c r="C156" s="2"/>
      <c r="D156" s="14"/>
      <c r="E156" s="25"/>
      <c r="F156" s="14"/>
    </row>
    <row r="157" spans="1:11">
      <c r="A157" s="2"/>
      <c r="B157" s="3"/>
      <c r="C157" s="2"/>
      <c r="D157" s="5"/>
      <c r="E157" s="4"/>
      <c r="F157" s="5"/>
    </row>
    <row r="158" spans="1:11">
      <c r="A158" s="2"/>
      <c r="B158" s="3"/>
      <c r="C158" s="2"/>
      <c r="D158" s="5"/>
      <c r="E158" s="4"/>
      <c r="F158" s="5"/>
    </row>
  </sheetData>
  <mergeCells count="12">
    <mergeCell ref="G9:G10"/>
    <mergeCell ref="D155:G155"/>
    <mergeCell ref="D1:G1"/>
    <mergeCell ref="A2:G2"/>
    <mergeCell ref="A3:G3"/>
    <mergeCell ref="A9:A10"/>
    <mergeCell ref="B9:B10"/>
    <mergeCell ref="C9:C10"/>
    <mergeCell ref="D9:D10"/>
    <mergeCell ref="E9:E10"/>
    <mergeCell ref="F9:F10"/>
    <mergeCell ref="C5:E5"/>
  </mergeCells>
  <printOptions horizontalCentered="1"/>
  <pageMargins left="0.39370078740157483" right="0.39370078740157483" top="0.31496062992125984" bottom="0.39370078740157483" header="7.874015748031496E-2" footer="7.874015748031496E-2"/>
  <pageSetup paperSize="9" fitToHeight="0" orientation="landscape" blackAndWhite="1" r:id="rId1"/>
  <headerFooter>
    <oddFooter>&amp;C&amp;11Page &amp;P of &amp;N</oddFooter>
  </headerFooter>
  <ignoredErrors>
    <ignoredError sqref="A11:G11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2EC9-62F4-4B81-BE51-55F2BEB62335}">
  <sheetPr codeName="Sheet8">
    <outlinePr summaryBelow="0" summaryRight="0"/>
    <pageSetUpPr fitToPage="1"/>
  </sheetPr>
  <dimension ref="A1:Q861"/>
  <sheetViews>
    <sheetView view="pageBreakPreview" topLeftCell="A346" zoomScale="70" zoomScaleNormal="130" zoomScaleSheetLayoutView="70" workbookViewId="0">
      <selection activeCell="E231" sqref="E231"/>
    </sheetView>
  </sheetViews>
  <sheetFormatPr defaultColWidth="9" defaultRowHeight="12.75"/>
  <cols>
    <col min="1" max="1" width="4.625" style="183" customWidth="1"/>
    <col min="2" max="2" width="43.625" style="184" customWidth="1"/>
    <col min="3" max="3" width="8.875" style="183" customWidth="1"/>
    <col min="4" max="4" width="11.5" style="183" customWidth="1"/>
    <col min="5" max="5" width="11.75" style="185" customWidth="1"/>
    <col min="6" max="6" width="11.375" style="185" customWidth="1"/>
    <col min="7" max="7" width="9.25" style="185" customWidth="1"/>
    <col min="8" max="8" width="10.875" style="185" customWidth="1"/>
    <col min="9" max="9" width="11.375" style="483" customWidth="1"/>
    <col min="10" max="10" width="8.625" style="185" customWidth="1"/>
    <col min="11" max="11" width="11" style="483" customWidth="1"/>
    <col min="12" max="12" width="22.75" style="344" bestFit="1" customWidth="1"/>
    <col min="13" max="16" width="12.375" style="148" bestFit="1" customWidth="1"/>
    <col min="17" max="17" width="11.25" style="148" bestFit="1" customWidth="1"/>
    <col min="18" max="16384" width="9" style="148"/>
  </cols>
  <sheetData>
    <row r="1" spans="1:12" ht="6.75" customHeight="1">
      <c r="A1" s="144"/>
      <c r="B1" s="145"/>
      <c r="C1" s="144"/>
      <c r="D1" s="144"/>
      <c r="E1" s="146"/>
      <c r="F1" s="146"/>
      <c r="G1" s="146"/>
      <c r="H1" s="146"/>
      <c r="I1" s="466"/>
      <c r="J1" s="146"/>
      <c r="K1" s="466"/>
      <c r="L1" s="333"/>
    </row>
    <row r="2" spans="1:12" ht="6.75" customHeight="1">
      <c r="A2" s="144"/>
      <c r="B2" s="149"/>
      <c r="C2" s="150"/>
      <c r="D2" s="150"/>
      <c r="E2" s="147"/>
      <c r="F2" s="147"/>
      <c r="G2" s="151"/>
      <c r="H2" s="151"/>
      <c r="I2" s="466"/>
      <c r="J2" s="147"/>
      <c r="K2" s="803"/>
      <c r="L2" s="803"/>
    </row>
    <row r="3" spans="1:12" ht="6.75" customHeight="1">
      <c r="A3" s="144"/>
      <c r="B3" s="149"/>
      <c r="C3" s="150"/>
      <c r="D3" s="150"/>
      <c r="E3" s="147"/>
      <c r="F3" s="147"/>
      <c r="G3" s="151"/>
      <c r="H3" s="151"/>
      <c r="I3" s="466"/>
      <c r="J3" s="147"/>
      <c r="K3" s="804"/>
      <c r="L3" s="804"/>
    </row>
    <row r="4" spans="1:12" ht="18.75">
      <c r="A4" s="805" t="s">
        <v>91</v>
      </c>
      <c r="B4" s="806"/>
      <c r="C4" s="806"/>
      <c r="D4" s="806"/>
      <c r="E4" s="806"/>
      <c r="F4" s="806"/>
      <c r="G4" s="806"/>
      <c r="H4" s="806"/>
      <c r="I4" s="806"/>
      <c r="J4" s="806"/>
      <c r="K4" s="806"/>
      <c r="L4" s="806"/>
    </row>
    <row r="5" spans="1:12" ht="18.75" customHeight="1">
      <c r="A5" s="807"/>
      <c r="B5" s="808"/>
      <c r="C5" s="808"/>
      <c r="D5" s="808"/>
      <c r="E5" s="808"/>
      <c r="F5" s="808"/>
      <c r="G5" s="808"/>
      <c r="H5" s="808"/>
      <c r="I5" s="808"/>
      <c r="J5" s="808"/>
      <c r="K5" s="808"/>
      <c r="L5" s="809"/>
    </row>
    <row r="6" spans="1:12" s="152" customFormat="1" ht="24.75" customHeight="1">
      <c r="A6" s="810" t="s">
        <v>0</v>
      </c>
      <c r="B6" s="810" t="s">
        <v>20</v>
      </c>
      <c r="C6" s="810" t="s">
        <v>19</v>
      </c>
      <c r="D6" s="810" t="s">
        <v>48</v>
      </c>
      <c r="E6" s="811" t="s">
        <v>21</v>
      </c>
      <c r="F6" s="811"/>
      <c r="G6" s="811"/>
      <c r="H6" s="814" t="s">
        <v>324</v>
      </c>
      <c r="I6" s="812" t="s">
        <v>54</v>
      </c>
      <c r="J6" s="819" t="s">
        <v>41</v>
      </c>
      <c r="K6" s="812" t="s">
        <v>39</v>
      </c>
      <c r="L6" s="813" t="s">
        <v>2</v>
      </c>
    </row>
    <row r="7" spans="1:12" s="152" customFormat="1" ht="24.75" customHeight="1">
      <c r="A7" s="810"/>
      <c r="B7" s="810"/>
      <c r="C7" s="810"/>
      <c r="D7" s="810"/>
      <c r="E7" s="422" t="s">
        <v>22</v>
      </c>
      <c r="F7" s="422" t="s">
        <v>23</v>
      </c>
      <c r="G7" s="422" t="s">
        <v>24</v>
      </c>
      <c r="H7" s="815"/>
      <c r="I7" s="812"/>
      <c r="J7" s="819"/>
      <c r="K7" s="812"/>
      <c r="L7" s="813"/>
    </row>
    <row r="8" spans="1:12" s="144" customFormat="1" ht="19.5" customHeight="1">
      <c r="A8" s="423" t="s">
        <v>3</v>
      </c>
      <c r="B8" s="424" t="s">
        <v>4</v>
      </c>
      <c r="C8" s="425" t="s">
        <v>25</v>
      </c>
      <c r="D8" s="425" t="s">
        <v>26</v>
      </c>
      <c r="E8" s="463" t="s">
        <v>27</v>
      </c>
      <c r="F8" s="425" t="s">
        <v>28</v>
      </c>
      <c r="G8" s="426" t="s">
        <v>29</v>
      </c>
      <c r="H8" s="426" t="s">
        <v>30</v>
      </c>
      <c r="I8" s="467" t="s">
        <v>31</v>
      </c>
      <c r="J8" s="426" t="s">
        <v>326</v>
      </c>
      <c r="K8" s="467" t="s">
        <v>327</v>
      </c>
      <c r="L8" s="426" t="s">
        <v>328</v>
      </c>
    </row>
    <row r="9" spans="1:12" s="144" customFormat="1" ht="15.75">
      <c r="A9" s="39"/>
      <c r="B9" s="186" t="str">
        <f>'02.1-ĐNTT'!B12</f>
        <v>HĐ số 21/2025/CT01/SM-HL</v>
      </c>
      <c r="C9" s="187"/>
      <c r="D9" s="187"/>
      <c r="E9" s="188"/>
      <c r="F9" s="189"/>
      <c r="G9" s="190"/>
      <c r="H9" s="190"/>
      <c r="I9" s="468"/>
      <c r="J9" s="191"/>
      <c r="K9" s="484"/>
      <c r="L9" s="394"/>
    </row>
    <row r="10" spans="1:12" s="1" customFormat="1" ht="31.5">
      <c r="A10" s="314" t="str">
        <f>'02.1-ĐNTT'!A13</f>
        <v>*</v>
      </c>
      <c r="B10" s="428" t="str">
        <f>'02.1-ĐNTT'!B13</f>
        <v>HẠNG MỤC: THI CÔNG KẾT CẤU CẢNH QUAN NGOÀI NHÀ KHU VỰC CAO TẦNG</v>
      </c>
      <c r="C10" s="138"/>
      <c r="D10" s="139"/>
      <c r="E10" s="140"/>
      <c r="F10" s="140"/>
      <c r="G10" s="130"/>
      <c r="H10" s="130"/>
      <c r="I10" s="469"/>
      <c r="J10" s="130"/>
      <c r="K10" s="485"/>
      <c r="L10" s="393"/>
    </row>
    <row r="11" spans="1:12" s="154" customFormat="1" ht="15.75" hidden="1">
      <c r="A11" s="397" t="str">
        <f>'02.1-ĐNTT'!A14</f>
        <v>I</v>
      </c>
      <c r="B11" s="395" t="str">
        <f>'02.1-ĐNTT'!B14</f>
        <v>CÔNG TÁC XÂY</v>
      </c>
      <c r="C11" s="205"/>
      <c r="D11" s="205"/>
      <c r="E11" s="155"/>
      <c r="F11" s="156"/>
      <c r="G11" s="192"/>
      <c r="H11" s="192"/>
      <c r="I11" s="470"/>
      <c r="J11" s="206"/>
      <c r="K11" s="486"/>
      <c r="L11" s="334"/>
    </row>
    <row r="12" spans="1:12" s="322" customFormat="1" ht="31.5" hidden="1">
      <c r="A12" s="398">
        <f>'02.1-ĐNTT'!A15</f>
        <v>1</v>
      </c>
      <c r="B12" s="396" t="str">
        <f>'02.1-ĐNTT'!B15</f>
        <v>Xây tường gạch đặc, chiều dày &gt;330mm, VXM mác 75</v>
      </c>
      <c r="C12" s="317" t="str">
        <f>'02.1-ĐNTT'!C15</f>
        <v>m3</v>
      </c>
      <c r="D12" s="317"/>
      <c r="E12" s="318"/>
      <c r="F12" s="319"/>
      <c r="G12" s="320"/>
      <c r="H12" s="320"/>
      <c r="I12" s="471"/>
      <c r="J12" s="321"/>
      <c r="K12" s="487"/>
      <c r="L12" s="334"/>
    </row>
    <row r="13" spans="1:12" s="322" customFormat="1" ht="31.5" hidden="1">
      <c r="A13" s="398">
        <f>'02.1-ĐNTT'!A16</f>
        <v>2</v>
      </c>
      <c r="B13" s="396" t="str">
        <f>'02.1-ĐNTT'!B16</f>
        <v>Xây tường gạch đặc, chiều dày &lt;=330mm, VXM mác 75</v>
      </c>
      <c r="C13" s="317" t="str">
        <f>'02.1-ĐNTT'!C16</f>
        <v>m3</v>
      </c>
      <c r="D13" s="317"/>
      <c r="E13" s="318"/>
      <c r="F13" s="319"/>
      <c r="G13" s="320"/>
      <c r="H13" s="320"/>
      <c r="I13" s="471"/>
      <c r="J13" s="321"/>
      <c r="K13" s="487"/>
      <c r="L13" s="334"/>
    </row>
    <row r="14" spans="1:12" s="322" customFormat="1" ht="31.5" hidden="1">
      <c r="A14" s="398">
        <f>'02.1-ĐNTT'!A17</f>
        <v>3</v>
      </c>
      <c r="B14" s="396" t="str">
        <f>'02.1-ĐNTT'!B17</f>
        <v>Xây tường gạch đặc, chiều dày &lt;=110mm, VXM mác 75</v>
      </c>
      <c r="C14" s="317" t="str">
        <f>'02.1-ĐNTT'!C17</f>
        <v>m3</v>
      </c>
      <c r="D14" s="317"/>
      <c r="E14" s="318"/>
      <c r="F14" s="319"/>
      <c r="G14" s="320"/>
      <c r="H14" s="320"/>
      <c r="I14" s="471"/>
      <c r="J14" s="321"/>
      <c r="K14" s="487"/>
      <c r="L14" s="334"/>
    </row>
    <row r="15" spans="1:12" s="322" customFormat="1" ht="15.75" hidden="1">
      <c r="A15" s="398">
        <f>'02.1-ĐNTT'!A18</f>
        <v>4</v>
      </c>
      <c r="B15" s="396" t="str">
        <f>'02.1-ĐNTT'!B18</f>
        <v>Xây cột, trụ, gạch đặc, VXM mác 75</v>
      </c>
      <c r="C15" s="317" t="str">
        <f>'02.1-ĐNTT'!C18</f>
        <v>m3</v>
      </c>
      <c r="D15" s="317"/>
      <c r="E15" s="318"/>
      <c r="F15" s="319"/>
      <c r="G15" s="320"/>
      <c r="H15" s="320"/>
      <c r="I15" s="471"/>
      <c r="J15" s="321"/>
      <c r="K15" s="487"/>
      <c r="L15" s="334"/>
    </row>
    <row r="16" spans="1:12" s="322" customFormat="1" ht="15.75" hidden="1">
      <c r="A16" s="398">
        <f>'02.1-ĐNTT'!A19</f>
        <v>5</v>
      </c>
      <c r="B16" s="396" t="str">
        <f>'02.1-ĐNTT'!B19</f>
        <v>Ván khuôn giằng tường</v>
      </c>
      <c r="C16" s="317" t="str">
        <f>'02.1-ĐNTT'!C19</f>
        <v>m2</v>
      </c>
      <c r="D16" s="317"/>
      <c r="E16" s="318"/>
      <c r="F16" s="319"/>
      <c r="G16" s="320"/>
      <c r="H16" s="320"/>
      <c r="I16" s="471"/>
      <c r="J16" s="321"/>
      <c r="K16" s="487"/>
      <c r="L16" s="334"/>
    </row>
    <row r="17" spans="1:12" s="322" customFormat="1" ht="15.75" hidden="1">
      <c r="A17" s="398">
        <f>'02.1-ĐNTT'!A20</f>
        <v>6</v>
      </c>
      <c r="B17" s="396" t="str">
        <f>'02.1-ĐNTT'!B20</f>
        <v>Cốt thép giằng tường</v>
      </c>
      <c r="C17" s="317" t="str">
        <f>'02.1-ĐNTT'!C20</f>
        <v>kg</v>
      </c>
      <c r="D17" s="317"/>
      <c r="E17" s="318"/>
      <c r="F17" s="319"/>
      <c r="G17" s="320"/>
      <c r="H17" s="320"/>
      <c r="I17" s="471"/>
      <c r="J17" s="321"/>
      <c r="K17" s="487"/>
      <c r="L17" s="334"/>
    </row>
    <row r="18" spans="1:12" s="322" customFormat="1" ht="15.75" hidden="1">
      <c r="A18" s="398">
        <f>'02.1-ĐNTT'!A21</f>
        <v>7</v>
      </c>
      <c r="B18" s="396" t="str">
        <f>'02.1-ĐNTT'!B21</f>
        <v>Bê tông giằng tường mác 200#</v>
      </c>
      <c r="C18" s="317" t="str">
        <f>'02.1-ĐNTT'!C21</f>
        <v>m3</v>
      </c>
      <c r="D18" s="317"/>
      <c r="E18" s="318"/>
      <c r="F18" s="319"/>
      <c r="G18" s="320"/>
      <c r="H18" s="320"/>
      <c r="I18" s="471"/>
      <c r="J18" s="321"/>
      <c r="K18" s="487"/>
      <c r="L18" s="334"/>
    </row>
    <row r="19" spans="1:12" s="322" customFormat="1" ht="15.75" hidden="1">
      <c r="A19" s="398">
        <f>'02.1-ĐNTT'!A22</f>
        <v>8</v>
      </c>
      <c r="B19" s="396" t="str">
        <f>'02.1-ĐNTT'!B22</f>
        <v>Khoan cấy cốt thép, đường kính thép D14</v>
      </c>
      <c r="C19" s="317" t="str">
        <f>'02.1-ĐNTT'!C22</f>
        <v>vị trí</v>
      </c>
      <c r="D19" s="317"/>
      <c r="E19" s="318"/>
      <c r="F19" s="319"/>
      <c r="G19" s="320"/>
      <c r="H19" s="320"/>
      <c r="I19" s="471"/>
      <c r="J19" s="321"/>
      <c r="K19" s="487"/>
      <c r="L19" s="334"/>
    </row>
    <row r="20" spans="1:12" s="322" customFormat="1" ht="15.75" hidden="1">
      <c r="A20" s="398">
        <f>'02.1-ĐNTT'!A23</f>
        <v>9</v>
      </c>
      <c r="B20" s="396" t="str">
        <f>'02.1-ĐNTT'!B23</f>
        <v>Ván khuôn trụ tường</v>
      </c>
      <c r="C20" s="317" t="str">
        <f>'02.1-ĐNTT'!C23</f>
        <v>m2</v>
      </c>
      <c r="D20" s="317"/>
      <c r="E20" s="318"/>
      <c r="F20" s="319"/>
      <c r="G20" s="320"/>
      <c r="H20" s="320"/>
      <c r="I20" s="471"/>
      <c r="J20" s="321"/>
      <c r="K20" s="487"/>
      <c r="L20" s="334"/>
    </row>
    <row r="21" spans="1:12" s="322" customFormat="1" ht="15.75" hidden="1">
      <c r="A21" s="398">
        <f>'02.1-ĐNTT'!A24</f>
        <v>10</v>
      </c>
      <c r="B21" s="396" t="str">
        <f>'02.1-ĐNTT'!B24</f>
        <v>Cốt thép trụ tường</v>
      </c>
      <c r="C21" s="317" t="str">
        <f>'02.1-ĐNTT'!C24</f>
        <v>kg</v>
      </c>
      <c r="D21" s="317"/>
      <c r="E21" s="318"/>
      <c r="F21" s="319"/>
      <c r="G21" s="320"/>
      <c r="H21" s="320"/>
      <c r="I21" s="471"/>
      <c r="J21" s="321"/>
      <c r="K21" s="487"/>
      <c r="L21" s="334"/>
    </row>
    <row r="22" spans="1:12" s="322" customFormat="1" ht="15.75" hidden="1">
      <c r="A22" s="398">
        <f>'02.1-ĐNTT'!A25</f>
        <v>11</v>
      </c>
      <c r="B22" s="396" t="str">
        <f>'02.1-ĐNTT'!B25</f>
        <v>Bê tông trụ tường mác 200#</v>
      </c>
      <c r="C22" s="317" t="str">
        <f>'02.1-ĐNTT'!C25</f>
        <v>m3</v>
      </c>
      <c r="D22" s="317"/>
      <c r="E22" s="318"/>
      <c r="F22" s="319"/>
      <c r="G22" s="320"/>
      <c r="H22" s="320"/>
      <c r="I22" s="471"/>
      <c r="J22" s="321"/>
      <c r="K22" s="487"/>
      <c r="L22" s="334"/>
    </row>
    <row r="23" spans="1:12" s="322" customFormat="1" ht="15.75" hidden="1">
      <c r="A23" s="398">
        <f>'02.1-ĐNTT'!A26</f>
        <v>12</v>
      </c>
      <c r="B23" s="396" t="str">
        <f>'02.1-ĐNTT'!B26</f>
        <v>Ván khuôn tấm đan, bậc cấp</v>
      </c>
      <c r="C23" s="317" t="str">
        <f>'02.1-ĐNTT'!C26</f>
        <v>m2</v>
      </c>
      <c r="D23" s="317"/>
      <c r="E23" s="318"/>
      <c r="F23" s="319"/>
      <c r="G23" s="320"/>
      <c r="H23" s="320"/>
      <c r="I23" s="471"/>
      <c r="J23" s="321"/>
      <c r="K23" s="487"/>
      <c r="L23" s="334"/>
    </row>
    <row r="24" spans="1:12" s="322" customFormat="1" ht="15.75" hidden="1">
      <c r="A24" s="398">
        <f>'02.1-ĐNTT'!A27</f>
        <v>13</v>
      </c>
      <c r="B24" s="396" t="str">
        <f>'02.1-ĐNTT'!B27</f>
        <v>Cốt thép tấm đan, bậc cấp</v>
      </c>
      <c r="C24" s="317" t="str">
        <f>'02.1-ĐNTT'!C27</f>
        <v>kg</v>
      </c>
      <c r="D24" s="317"/>
      <c r="E24" s="318"/>
      <c r="F24" s="319"/>
      <c r="G24" s="320"/>
      <c r="H24" s="320"/>
      <c r="I24" s="471"/>
      <c r="J24" s="321"/>
      <c r="K24" s="487"/>
      <c r="L24" s="334"/>
    </row>
    <row r="25" spans="1:12" s="322" customFormat="1" ht="15.75" hidden="1">
      <c r="A25" s="398">
        <f>'02.1-ĐNTT'!A28</f>
        <v>14</v>
      </c>
      <c r="B25" s="396" t="str">
        <f>'02.1-ĐNTT'!B28</f>
        <v>Bê tông tấm đan, bậc cấp mác 200#</v>
      </c>
      <c r="C25" s="317" t="str">
        <f>'02.1-ĐNTT'!C28</f>
        <v>m3</v>
      </c>
      <c r="D25" s="317"/>
      <c r="E25" s="318"/>
      <c r="F25" s="319"/>
      <c r="G25" s="320"/>
      <c r="H25" s="320"/>
      <c r="I25" s="471"/>
      <c r="J25" s="321"/>
      <c r="K25" s="487"/>
      <c r="L25" s="334"/>
    </row>
    <row r="26" spans="1:12" s="322" customFormat="1" ht="15.75" hidden="1">
      <c r="A26" s="398">
        <f>'02.1-ĐNTT'!A29</f>
        <v>15</v>
      </c>
      <c r="B26" s="396" t="str">
        <f>'02.1-ĐNTT'!B29</f>
        <v>Lắp đặt tấm đan D430 khu vực Poolbar</v>
      </c>
      <c r="C26" s="317" t="str">
        <f>'02.1-ĐNTT'!C29</f>
        <v>cái</v>
      </c>
      <c r="D26" s="317"/>
      <c r="E26" s="318"/>
      <c r="F26" s="319"/>
      <c r="G26" s="320"/>
      <c r="H26" s="320"/>
      <c r="I26" s="471"/>
      <c r="J26" s="321"/>
      <c r="K26" s="487"/>
      <c r="L26" s="334"/>
    </row>
    <row r="27" spans="1:12" s="322" customFormat="1" ht="47.25" hidden="1">
      <c r="A27" s="398">
        <f>'02.1-ĐNTT'!A30</f>
        <v>16</v>
      </c>
      <c r="B27" s="396" t="str">
        <f>'02.1-ĐNTT'!B30</f>
        <v>Chi phí cộng thêm đối với đầu việc ván khuôn bậc tam cấp - tại vị trí ván khuôn thí (ván khuôn chết không luân chuyển được)</v>
      </c>
      <c r="C27" s="317" t="str">
        <f>'02.1-ĐNTT'!C30</f>
        <v>m2</v>
      </c>
      <c r="D27" s="317"/>
      <c r="E27" s="318"/>
      <c r="F27" s="319"/>
      <c r="G27" s="320"/>
      <c r="H27" s="320"/>
      <c r="I27" s="471"/>
      <c r="J27" s="321"/>
      <c r="K27" s="487"/>
      <c r="L27" s="334"/>
    </row>
    <row r="28" spans="1:12" s="154" customFormat="1" ht="15.75">
      <c r="A28" s="399" t="str">
        <f>'02.1-ĐNTT'!A31</f>
        <v>II</v>
      </c>
      <c r="B28" s="395" t="str">
        <f>'02.1-ĐNTT'!B31</f>
        <v>CÔNG TÁC BÊ TÔNG</v>
      </c>
      <c r="C28" s="205"/>
      <c r="D28" s="205"/>
      <c r="E28" s="155"/>
      <c r="F28" s="156"/>
      <c r="G28" s="192"/>
      <c r="H28" s="192"/>
      <c r="I28" s="470"/>
      <c r="J28" s="206"/>
      <c r="K28" s="486"/>
      <c r="L28" s="334"/>
    </row>
    <row r="29" spans="1:12" s="322" customFormat="1" ht="47.25">
      <c r="A29" s="315">
        <f>'02.1-ĐNTT'!A32</f>
        <v>16</v>
      </c>
      <c r="B29" s="316" t="str">
        <f>'02.1-ĐNTT'!B32</f>
        <v>Bê tông sản xuất qua dây chuyền trạm trộn tại hiện trường hoặc thương phẩm, đổ bằng bơm bê tông, bê tông dầm mác M400#</v>
      </c>
      <c r="C29" s="317" t="str">
        <f>'02.1-ĐNTT'!C32</f>
        <v>m3</v>
      </c>
      <c r="D29" s="317"/>
      <c r="E29" s="318"/>
      <c r="F29" s="319"/>
      <c r="G29" s="320"/>
      <c r="H29" s="320"/>
      <c r="I29" s="471"/>
      <c r="J29" s="321"/>
      <c r="K29" s="488">
        <f>+SUBTOTAL(9,K30:K64)</f>
        <v>18.172097999999991</v>
      </c>
      <c r="L29" s="335" t="s">
        <v>384</v>
      </c>
    </row>
    <row r="30" spans="1:12" s="559" customFormat="1" ht="15.75">
      <c r="A30" s="549"/>
      <c r="B30" s="561" t="s">
        <v>403</v>
      </c>
      <c r="C30" s="551"/>
      <c r="D30" s="551"/>
      <c r="E30" s="552"/>
      <c r="F30" s="553"/>
      <c r="G30" s="554"/>
      <c r="H30" s="554"/>
      <c r="I30" s="555"/>
      <c r="J30" s="556"/>
      <c r="K30" s="572"/>
      <c r="L30" s="558"/>
    </row>
    <row r="31" spans="1:12" s="559" customFormat="1" ht="15.75">
      <c r="A31" s="549"/>
      <c r="B31" s="561" t="s">
        <v>445</v>
      </c>
      <c r="C31" s="551"/>
      <c r="D31" s="551">
        <v>1</v>
      </c>
      <c r="E31" s="552">
        <f>66.17/2</f>
        <v>33.085000000000001</v>
      </c>
      <c r="F31" s="553">
        <v>0.3</v>
      </c>
      <c r="G31" s="554">
        <f>0.45-0.2</f>
        <v>0.25</v>
      </c>
      <c r="H31" s="554"/>
      <c r="I31" s="555"/>
      <c r="J31" s="556">
        <v>1</v>
      </c>
      <c r="K31" s="572">
        <f>+PRODUCT(D31:J31)</f>
        <v>2.4813749999999999</v>
      </c>
      <c r="L31" s="569" t="str">
        <f t="shared" ref="L31:L37" ca="1" si="0">+_xlfn.FORMULATEXT(G31)</f>
        <v>=0,45-0,2</v>
      </c>
    </row>
    <row r="32" spans="1:12" s="559" customFormat="1" ht="15.75">
      <c r="A32" s="549"/>
      <c r="B32" s="561" t="s">
        <v>446</v>
      </c>
      <c r="C32" s="551"/>
      <c r="D32" s="551">
        <v>1</v>
      </c>
      <c r="E32" s="552">
        <f>46.69/2</f>
        <v>23.344999999999999</v>
      </c>
      <c r="F32" s="553">
        <v>0.3</v>
      </c>
      <c r="G32" s="554">
        <f>0.61-0.2</f>
        <v>0.41</v>
      </c>
      <c r="H32" s="554"/>
      <c r="I32" s="555"/>
      <c r="J32" s="556">
        <v>1</v>
      </c>
      <c r="K32" s="572">
        <f t="shared" ref="K32:K38" si="1">+PRODUCT(D32:J32)</f>
        <v>2.871435</v>
      </c>
      <c r="L32" s="569" t="str">
        <f t="shared" ca="1" si="0"/>
        <v>=0,61-0,2</v>
      </c>
    </row>
    <row r="33" spans="1:12" s="559" customFormat="1" ht="15.75">
      <c r="A33" s="549"/>
      <c r="B33" s="561" t="s">
        <v>447</v>
      </c>
      <c r="C33" s="551"/>
      <c r="D33" s="551">
        <v>1</v>
      </c>
      <c r="E33" s="552">
        <v>16.695</v>
      </c>
      <c r="F33" s="553">
        <v>0.3</v>
      </c>
      <c r="G33" s="554">
        <f>0.29-0.2</f>
        <v>8.9999999999999969E-2</v>
      </c>
      <c r="H33" s="554"/>
      <c r="I33" s="555"/>
      <c r="J33" s="556">
        <v>1</v>
      </c>
      <c r="K33" s="572">
        <f t="shared" si="1"/>
        <v>0.4507649999999998</v>
      </c>
      <c r="L33" s="569" t="str">
        <f t="shared" ca="1" si="0"/>
        <v>=0,29-0,2</v>
      </c>
    </row>
    <row r="34" spans="1:12" s="559" customFormat="1" ht="15.75">
      <c r="A34" s="549"/>
      <c r="B34" s="561" t="s">
        <v>448</v>
      </c>
      <c r="C34" s="551"/>
      <c r="D34" s="551">
        <v>1</v>
      </c>
      <c r="E34" s="552">
        <v>20.45</v>
      </c>
      <c r="F34" s="553">
        <v>0.3</v>
      </c>
      <c r="G34" s="554">
        <f>0.29-0.2</f>
        <v>8.9999999999999969E-2</v>
      </c>
      <c r="H34" s="554"/>
      <c r="I34" s="555"/>
      <c r="J34" s="556">
        <v>1</v>
      </c>
      <c r="K34" s="572">
        <f t="shared" si="1"/>
        <v>0.55214999999999981</v>
      </c>
      <c r="L34" s="569" t="str">
        <f t="shared" ca="1" si="0"/>
        <v>=0,29-0,2</v>
      </c>
    </row>
    <row r="35" spans="1:12" s="559" customFormat="1" ht="15.75">
      <c r="A35" s="549"/>
      <c r="B35" s="561" t="s">
        <v>449</v>
      </c>
      <c r="C35" s="551"/>
      <c r="D35" s="551">
        <v>1</v>
      </c>
      <c r="E35" s="552">
        <f>7.205+7.015</f>
        <v>14.219999999999999</v>
      </c>
      <c r="F35" s="553">
        <v>0.3</v>
      </c>
      <c r="G35" s="554">
        <f>0.29-0.2</f>
        <v>8.9999999999999969E-2</v>
      </c>
      <c r="H35" s="554"/>
      <c r="I35" s="555"/>
      <c r="J35" s="556">
        <v>1</v>
      </c>
      <c r="K35" s="572">
        <f t="shared" si="1"/>
        <v>0.38393999999999978</v>
      </c>
      <c r="L35" s="569" t="str">
        <f t="shared" ca="1" si="0"/>
        <v>=0,29-0,2</v>
      </c>
    </row>
    <row r="36" spans="1:12" s="559" customFormat="1" ht="15.75">
      <c r="A36" s="549"/>
      <c r="B36" s="561" t="s">
        <v>450</v>
      </c>
      <c r="C36" s="551"/>
      <c r="D36" s="551">
        <v>1</v>
      </c>
      <c r="E36" s="552">
        <f>4.445+4.475</f>
        <v>8.92</v>
      </c>
      <c r="F36" s="553">
        <v>0.3</v>
      </c>
      <c r="G36" s="554">
        <f>0.29-0.2</f>
        <v>8.9999999999999969E-2</v>
      </c>
      <c r="H36" s="554"/>
      <c r="I36" s="555"/>
      <c r="J36" s="556">
        <v>1</v>
      </c>
      <c r="K36" s="572">
        <f t="shared" si="1"/>
        <v>0.24083999999999989</v>
      </c>
      <c r="L36" s="569" t="str">
        <f t="shared" ca="1" si="0"/>
        <v>=0,29-0,2</v>
      </c>
    </row>
    <row r="37" spans="1:12" s="559" customFormat="1" ht="15.75">
      <c r="A37" s="549"/>
      <c r="B37" s="561" t="s">
        <v>451</v>
      </c>
      <c r="C37" s="551"/>
      <c r="D37" s="551">
        <v>1</v>
      </c>
      <c r="E37" s="552">
        <f>4.79+4.855</f>
        <v>9.6449999999999996</v>
      </c>
      <c r="F37" s="553">
        <v>0.3</v>
      </c>
      <c r="G37" s="554">
        <f>0.29-0.2</f>
        <v>8.9999999999999969E-2</v>
      </c>
      <c r="H37" s="554"/>
      <c r="I37" s="555"/>
      <c r="J37" s="556">
        <v>1</v>
      </c>
      <c r="K37" s="572">
        <f t="shared" si="1"/>
        <v>0.2604149999999999</v>
      </c>
      <c r="L37" s="569" t="str">
        <f t="shared" ca="1" si="0"/>
        <v>=0,29-0,2</v>
      </c>
    </row>
    <row r="38" spans="1:12" s="559" customFormat="1" ht="15.75">
      <c r="A38" s="549"/>
      <c r="B38" s="561" t="s">
        <v>452</v>
      </c>
      <c r="C38" s="551"/>
      <c r="D38" s="551">
        <v>1</v>
      </c>
      <c r="E38" s="552">
        <v>5.125</v>
      </c>
      <c r="F38" s="553">
        <v>0.3</v>
      </c>
      <c r="G38" s="554">
        <f>0.61-0.15</f>
        <v>0.45999999999999996</v>
      </c>
      <c r="H38" s="554"/>
      <c r="I38" s="555"/>
      <c r="J38" s="556">
        <v>1</v>
      </c>
      <c r="K38" s="572">
        <f t="shared" si="1"/>
        <v>0.70724999999999993</v>
      </c>
      <c r="L38" s="569" t="str">
        <f ca="1">+_xlfn.FORMULATEXT(G38)</f>
        <v>=0,61-0,15</v>
      </c>
    </row>
    <row r="39" spans="1:12" s="559" customFormat="1" ht="15.75">
      <c r="A39" s="549"/>
      <c r="B39" s="561" t="s">
        <v>412</v>
      </c>
      <c r="C39" s="551"/>
      <c r="D39" s="551"/>
      <c r="E39" s="552"/>
      <c r="F39" s="553"/>
      <c r="G39" s="554"/>
      <c r="H39" s="554"/>
      <c r="I39" s="555"/>
      <c r="J39" s="556"/>
      <c r="K39" s="572"/>
      <c r="L39" s="569"/>
    </row>
    <row r="40" spans="1:12" s="559" customFormat="1" ht="15.75">
      <c r="A40" s="549"/>
      <c r="B40" s="561" t="s">
        <v>413</v>
      </c>
      <c r="C40" s="551"/>
      <c r="D40" s="551">
        <v>1</v>
      </c>
      <c r="E40" s="552">
        <v>125.768</v>
      </c>
      <c r="F40" s="553">
        <v>0.22</v>
      </c>
      <c r="G40" s="554">
        <f>0.3</f>
        <v>0.3</v>
      </c>
      <c r="H40" s="554"/>
      <c r="I40" s="555"/>
      <c r="J40" s="556">
        <v>1</v>
      </c>
      <c r="K40" s="572">
        <f>+PRODUCT(D40:J40)</f>
        <v>8.300688000000001</v>
      </c>
      <c r="L40" s="569"/>
    </row>
    <row r="41" spans="1:12" s="559" customFormat="1" ht="15.75">
      <c r="A41" s="549"/>
      <c r="B41" s="561" t="s">
        <v>432</v>
      </c>
      <c r="C41" s="551"/>
      <c r="D41" s="551"/>
      <c r="E41" s="552"/>
      <c r="F41" s="553"/>
      <c r="G41" s="554"/>
      <c r="H41" s="554"/>
      <c r="I41" s="555"/>
      <c r="J41" s="556"/>
      <c r="K41" s="572"/>
      <c r="L41" s="569"/>
    </row>
    <row r="42" spans="1:12" s="559" customFormat="1" ht="15.75">
      <c r="A42" s="549"/>
      <c r="B42" s="571" t="s">
        <v>433</v>
      </c>
      <c r="C42" s="551"/>
      <c r="D42" s="551">
        <v>1</v>
      </c>
      <c r="E42" s="552">
        <f>+'thép dầm bồn cây'!D392/1000</f>
        <v>1.51</v>
      </c>
      <c r="F42" s="553">
        <v>0.22</v>
      </c>
      <c r="G42" s="554">
        <v>0.2</v>
      </c>
      <c r="H42" s="554"/>
      <c r="I42" s="555"/>
      <c r="J42" s="556">
        <v>1</v>
      </c>
      <c r="K42" s="572">
        <f>+PRODUCT(D42:J42)</f>
        <v>6.6439999999999999E-2</v>
      </c>
      <c r="L42" s="569"/>
    </row>
    <row r="43" spans="1:12" s="559" customFormat="1" ht="15.75">
      <c r="A43" s="549"/>
      <c r="B43" s="571" t="s">
        <v>434</v>
      </c>
      <c r="C43" s="551"/>
      <c r="D43" s="551">
        <v>1</v>
      </c>
      <c r="E43" s="552">
        <f>+'thép dầm bồn cây'!D397/1000</f>
        <v>2.7650000000000001</v>
      </c>
      <c r="F43" s="553">
        <v>0.22</v>
      </c>
      <c r="G43" s="554">
        <v>0.2</v>
      </c>
      <c r="H43" s="554"/>
      <c r="I43" s="555"/>
      <c r="J43" s="556">
        <v>1</v>
      </c>
      <c r="K43" s="572">
        <f>+PRODUCT(D43:J43)</f>
        <v>0.12166000000000002</v>
      </c>
      <c r="L43" s="569"/>
    </row>
    <row r="44" spans="1:12" s="559" customFormat="1" ht="15.75">
      <c r="A44" s="549"/>
      <c r="B44" s="571" t="s">
        <v>435</v>
      </c>
      <c r="C44" s="551"/>
      <c r="D44" s="551">
        <v>1</v>
      </c>
      <c r="E44" s="552">
        <f>+'thép dầm bồn cây'!D402/1000</f>
        <v>1.0049999999999999</v>
      </c>
      <c r="F44" s="553">
        <v>0.22</v>
      </c>
      <c r="G44" s="554">
        <v>0.2</v>
      </c>
      <c r="H44" s="554"/>
      <c r="I44" s="555"/>
      <c r="J44" s="556">
        <v>1</v>
      </c>
      <c r="K44" s="572">
        <f t="shared" ref="K44:K58" si="2">+PRODUCT(D44:J44)</f>
        <v>4.4220000000000002E-2</v>
      </c>
      <c r="L44" s="569"/>
    </row>
    <row r="45" spans="1:12" s="559" customFormat="1" ht="15.75">
      <c r="A45" s="549"/>
      <c r="B45" s="571" t="s">
        <v>436</v>
      </c>
      <c r="C45" s="551"/>
      <c r="D45" s="551">
        <v>1</v>
      </c>
      <c r="E45" s="552">
        <f>+'thép dầm bồn cây'!D407/1000</f>
        <v>3.5449999999999999</v>
      </c>
      <c r="F45" s="553">
        <v>0.22</v>
      </c>
      <c r="G45" s="554">
        <v>0.2</v>
      </c>
      <c r="H45" s="554"/>
      <c r="I45" s="555"/>
      <c r="J45" s="556">
        <v>1</v>
      </c>
      <c r="K45" s="572">
        <f t="shared" si="2"/>
        <v>0.15598000000000001</v>
      </c>
      <c r="L45" s="569"/>
    </row>
    <row r="46" spans="1:12" s="559" customFormat="1" ht="15.75">
      <c r="A46" s="549"/>
      <c r="B46" s="571" t="s">
        <v>437</v>
      </c>
      <c r="C46" s="551"/>
      <c r="D46" s="551">
        <v>1</v>
      </c>
      <c r="E46" s="552">
        <f>+'thép dầm bồn cây'!D412/1000</f>
        <v>3.62</v>
      </c>
      <c r="F46" s="553">
        <v>0.22</v>
      </c>
      <c r="G46" s="554">
        <v>0.2</v>
      </c>
      <c r="H46" s="554"/>
      <c r="I46" s="555"/>
      <c r="J46" s="556">
        <v>1</v>
      </c>
      <c r="K46" s="572">
        <f t="shared" si="2"/>
        <v>0.15928</v>
      </c>
      <c r="L46" s="569"/>
    </row>
    <row r="47" spans="1:12" s="559" customFormat="1" ht="15.75">
      <c r="A47" s="549"/>
      <c r="B47" s="571" t="s">
        <v>438</v>
      </c>
      <c r="C47" s="551"/>
      <c r="D47" s="551">
        <v>1</v>
      </c>
      <c r="E47" s="552">
        <f>+'thép dầm bồn cây'!D417/1000</f>
        <v>0.93500000000000005</v>
      </c>
      <c r="F47" s="553">
        <v>0.22</v>
      </c>
      <c r="G47" s="554">
        <v>0.2</v>
      </c>
      <c r="H47" s="554"/>
      <c r="I47" s="555"/>
      <c r="J47" s="556">
        <v>1</v>
      </c>
      <c r="K47" s="572">
        <f t="shared" si="2"/>
        <v>4.114000000000001E-2</v>
      </c>
      <c r="L47" s="569"/>
    </row>
    <row r="48" spans="1:12" s="559" customFormat="1" ht="15.75">
      <c r="A48" s="549"/>
      <c r="B48" s="571" t="s">
        <v>439</v>
      </c>
      <c r="C48" s="551"/>
      <c r="D48" s="551">
        <v>1</v>
      </c>
      <c r="E48" s="552">
        <f>+'thép dầm bồn cây'!D422/1000</f>
        <v>2.7349999999999999</v>
      </c>
      <c r="F48" s="553">
        <v>0.22</v>
      </c>
      <c r="G48" s="554">
        <v>0.2</v>
      </c>
      <c r="H48" s="554"/>
      <c r="I48" s="555"/>
      <c r="J48" s="556">
        <v>1</v>
      </c>
      <c r="K48" s="572">
        <f t="shared" si="2"/>
        <v>0.12034</v>
      </c>
      <c r="L48" s="569"/>
    </row>
    <row r="49" spans="1:12" s="559" customFormat="1" ht="15.75">
      <c r="A49" s="549"/>
      <c r="B49" s="571" t="s">
        <v>440</v>
      </c>
      <c r="C49" s="551"/>
      <c r="D49" s="551">
        <v>1</v>
      </c>
      <c r="E49" s="552">
        <f>+'thép dầm bồn cây'!D427/1000</f>
        <v>3.145</v>
      </c>
      <c r="F49" s="553">
        <v>0.22</v>
      </c>
      <c r="G49" s="554">
        <v>0.2</v>
      </c>
      <c r="H49" s="554"/>
      <c r="I49" s="555"/>
      <c r="J49" s="556">
        <v>1</v>
      </c>
      <c r="K49" s="572">
        <f t="shared" si="2"/>
        <v>0.13838</v>
      </c>
      <c r="L49" s="569"/>
    </row>
    <row r="50" spans="1:12" s="559" customFormat="1" ht="15.75">
      <c r="A50" s="549"/>
      <c r="B50" s="571" t="s">
        <v>441</v>
      </c>
      <c r="C50" s="551"/>
      <c r="D50" s="551">
        <v>1</v>
      </c>
      <c r="E50" s="552">
        <f>+'thép dầm bồn cây'!D432/1000</f>
        <v>0.70499999999999996</v>
      </c>
      <c r="F50" s="553">
        <v>0.22</v>
      </c>
      <c r="G50" s="554">
        <v>0.2</v>
      </c>
      <c r="H50" s="554"/>
      <c r="I50" s="555"/>
      <c r="J50" s="556">
        <v>1</v>
      </c>
      <c r="K50" s="572">
        <f t="shared" si="2"/>
        <v>3.1019999999999999E-2</v>
      </c>
      <c r="L50" s="569"/>
    </row>
    <row r="51" spans="1:12" s="559" customFormat="1" ht="15.75">
      <c r="A51" s="549"/>
      <c r="B51" s="571" t="s">
        <v>442</v>
      </c>
      <c r="C51" s="551"/>
      <c r="D51" s="551">
        <v>1</v>
      </c>
      <c r="E51" s="552">
        <f>+'thép dầm bồn cây'!D437/1000</f>
        <v>0.48</v>
      </c>
      <c r="F51" s="553">
        <v>0.22</v>
      </c>
      <c r="G51" s="554">
        <v>0.2</v>
      </c>
      <c r="H51" s="554"/>
      <c r="I51" s="555"/>
      <c r="J51" s="556">
        <v>1</v>
      </c>
      <c r="K51" s="572">
        <f t="shared" si="2"/>
        <v>2.112E-2</v>
      </c>
      <c r="L51" s="569"/>
    </row>
    <row r="52" spans="1:12" s="559" customFormat="1" ht="15.75">
      <c r="A52" s="549"/>
      <c r="B52" s="561" t="s">
        <v>453</v>
      </c>
      <c r="C52" s="551"/>
      <c r="D52" s="551"/>
      <c r="E52" s="552"/>
      <c r="F52" s="553"/>
      <c r="G52" s="554"/>
      <c r="H52" s="554"/>
      <c r="I52" s="555"/>
      <c r="J52" s="556"/>
      <c r="K52" s="572"/>
      <c r="L52" s="569"/>
    </row>
    <row r="53" spans="1:12" s="559" customFormat="1" ht="15.75">
      <c r="A53" s="549"/>
      <c r="B53" s="571" t="s">
        <v>433</v>
      </c>
      <c r="C53" s="551"/>
      <c r="D53" s="551">
        <v>1</v>
      </c>
      <c r="E53" s="552">
        <f>+'thép dầm bồn cây'!D443/1000</f>
        <v>0.96499999999999997</v>
      </c>
      <c r="F53" s="553">
        <v>0.22</v>
      </c>
      <c r="G53" s="554">
        <v>0.2</v>
      </c>
      <c r="H53" s="554"/>
      <c r="I53" s="555"/>
      <c r="J53" s="556">
        <v>1</v>
      </c>
      <c r="K53" s="572">
        <f t="shared" si="2"/>
        <v>4.2459999999999998E-2</v>
      </c>
      <c r="L53" s="569"/>
    </row>
    <row r="54" spans="1:12" s="559" customFormat="1" ht="15.75">
      <c r="A54" s="549"/>
      <c r="B54" s="571" t="s">
        <v>434</v>
      </c>
      <c r="C54" s="551"/>
      <c r="D54" s="551">
        <v>1</v>
      </c>
      <c r="E54" s="552">
        <f>+'thép dầm bồn cây'!D448/1000</f>
        <v>2.48</v>
      </c>
      <c r="F54" s="553">
        <v>0.22</v>
      </c>
      <c r="G54" s="554">
        <v>0.2</v>
      </c>
      <c r="H54" s="554"/>
      <c r="I54" s="555"/>
      <c r="J54" s="556">
        <v>1</v>
      </c>
      <c r="K54" s="572">
        <f t="shared" si="2"/>
        <v>0.10911999999999999</v>
      </c>
      <c r="L54" s="569"/>
    </row>
    <row r="55" spans="1:12" s="559" customFormat="1" ht="15.75">
      <c r="A55" s="549"/>
      <c r="B55" s="571" t="s">
        <v>435</v>
      </c>
      <c r="C55" s="551"/>
      <c r="D55" s="551">
        <v>1</v>
      </c>
      <c r="E55" s="552">
        <f>+'thép dầm bồn cây'!D453/1000</f>
        <v>1.41</v>
      </c>
      <c r="F55" s="553">
        <v>0.22</v>
      </c>
      <c r="G55" s="554">
        <v>0.2</v>
      </c>
      <c r="H55" s="554"/>
      <c r="I55" s="555"/>
      <c r="J55" s="556">
        <v>1</v>
      </c>
      <c r="K55" s="572">
        <f t="shared" si="2"/>
        <v>6.2039999999999998E-2</v>
      </c>
      <c r="L55" s="569"/>
    </row>
    <row r="56" spans="1:12" s="559" customFormat="1" ht="15.75">
      <c r="A56" s="549"/>
      <c r="B56" s="571" t="s">
        <v>436</v>
      </c>
      <c r="C56" s="551"/>
      <c r="D56" s="551">
        <v>1</v>
      </c>
      <c r="E56" s="552">
        <f>+'thép dầm bồn cây'!D458/1000</f>
        <v>2.6</v>
      </c>
      <c r="F56" s="553">
        <v>0.22</v>
      </c>
      <c r="G56" s="554">
        <v>0.2</v>
      </c>
      <c r="H56" s="554"/>
      <c r="I56" s="555"/>
      <c r="J56" s="556">
        <v>1</v>
      </c>
      <c r="K56" s="572">
        <f t="shared" si="2"/>
        <v>0.11440000000000002</v>
      </c>
      <c r="L56" s="569"/>
    </row>
    <row r="57" spans="1:12" s="559" customFormat="1" ht="15.75">
      <c r="A57" s="549"/>
      <c r="B57" s="571" t="s">
        <v>437</v>
      </c>
      <c r="C57" s="551"/>
      <c r="D57" s="551">
        <v>1</v>
      </c>
      <c r="E57" s="552">
        <f>+'thép dầm bồn cây'!D463/1000</f>
        <v>1.5449999999999999</v>
      </c>
      <c r="F57" s="553">
        <v>0.22</v>
      </c>
      <c r="G57" s="554">
        <v>0.2</v>
      </c>
      <c r="H57" s="554"/>
      <c r="I57" s="555"/>
      <c r="J57" s="556">
        <v>1</v>
      </c>
      <c r="K57" s="572">
        <f t="shared" si="2"/>
        <v>6.7979999999999999E-2</v>
      </c>
      <c r="L57" s="569"/>
    </row>
    <row r="58" spans="1:12" s="559" customFormat="1" ht="15.75">
      <c r="A58" s="549"/>
      <c r="B58" s="571" t="s">
        <v>438</v>
      </c>
      <c r="C58" s="551"/>
      <c r="D58" s="551">
        <v>1</v>
      </c>
      <c r="E58" s="552">
        <f>+'thép dầm bồn cây'!D468/1000</f>
        <v>2.4950000000000001</v>
      </c>
      <c r="F58" s="553">
        <v>0.22</v>
      </c>
      <c r="G58" s="554">
        <v>0.2</v>
      </c>
      <c r="H58" s="554"/>
      <c r="I58" s="555"/>
      <c r="J58" s="556">
        <v>1</v>
      </c>
      <c r="K58" s="572">
        <f t="shared" si="2"/>
        <v>0.10978000000000002</v>
      </c>
      <c r="L58" s="569"/>
    </row>
    <row r="59" spans="1:12" s="559" customFormat="1" ht="15.75">
      <c r="A59" s="549"/>
      <c r="B59" s="561" t="s">
        <v>469</v>
      </c>
      <c r="C59" s="551"/>
      <c r="D59" s="551"/>
      <c r="E59" s="552"/>
      <c r="F59" s="553"/>
      <c r="G59" s="554"/>
      <c r="H59" s="554"/>
      <c r="I59" s="555"/>
      <c r="J59" s="556"/>
      <c r="K59" s="572"/>
      <c r="L59" s="569"/>
    </row>
    <row r="60" spans="1:12" s="559" customFormat="1" ht="15.75">
      <c r="A60" s="549"/>
      <c r="B60" s="571" t="s">
        <v>478</v>
      </c>
      <c r="C60" s="551"/>
      <c r="D60" s="551">
        <v>1</v>
      </c>
      <c r="E60" s="552">
        <f>+'thép dầm bồn cây'!D474/1000</f>
        <v>3.5750000000000002</v>
      </c>
      <c r="F60" s="553">
        <v>0.22</v>
      </c>
      <c r="G60" s="554">
        <v>0.2</v>
      </c>
      <c r="H60" s="554"/>
      <c r="I60" s="555"/>
      <c r="J60" s="556">
        <v>1</v>
      </c>
      <c r="K60" s="572">
        <f t="shared" ref="K60" si="3">+PRODUCT(D60:J60)</f>
        <v>0.15730000000000002</v>
      </c>
      <c r="L60" s="569"/>
    </row>
    <row r="61" spans="1:12" s="559" customFormat="1" ht="15.75">
      <c r="A61" s="549"/>
      <c r="B61" s="561" t="s">
        <v>732</v>
      </c>
      <c r="C61" s="551"/>
      <c r="D61" s="551"/>
      <c r="E61" s="552"/>
      <c r="F61" s="553"/>
      <c r="G61" s="554"/>
      <c r="H61" s="554"/>
      <c r="I61" s="555"/>
      <c r="J61" s="556"/>
      <c r="K61" s="572"/>
      <c r="L61" s="569"/>
    </row>
    <row r="62" spans="1:12" s="559" customFormat="1" ht="15.75">
      <c r="A62" s="549"/>
      <c r="B62" s="571" t="s">
        <v>733</v>
      </c>
      <c r="C62" s="551"/>
      <c r="D62" s="551">
        <v>1</v>
      </c>
      <c r="E62" s="552">
        <v>3.875</v>
      </c>
      <c r="F62" s="553">
        <v>0.22</v>
      </c>
      <c r="G62" s="554">
        <v>0.2</v>
      </c>
      <c r="H62" s="554"/>
      <c r="I62" s="555"/>
      <c r="J62" s="556">
        <v>1</v>
      </c>
      <c r="K62" s="572">
        <f t="shared" ref="K62" si="4">+PRODUCT(D62:J62)</f>
        <v>0.17050000000000001</v>
      </c>
      <c r="L62" s="569"/>
    </row>
    <row r="63" spans="1:12" s="559" customFormat="1" ht="15.75">
      <c r="A63" s="549"/>
      <c r="B63" s="571" t="s">
        <v>733</v>
      </c>
      <c r="C63" s="551"/>
      <c r="D63" s="551">
        <v>1</v>
      </c>
      <c r="E63" s="552">
        <v>4.32</v>
      </c>
      <c r="F63" s="553">
        <v>0.22</v>
      </c>
      <c r="G63" s="554">
        <v>0.2</v>
      </c>
      <c r="H63" s="554"/>
      <c r="I63" s="555"/>
      <c r="J63" s="556">
        <v>1</v>
      </c>
      <c r="K63" s="572">
        <f t="shared" ref="K63" si="5">+PRODUCT(D63:J63)</f>
        <v>0.19008000000000003</v>
      </c>
      <c r="L63" s="569"/>
    </row>
    <row r="64" spans="1:12" s="559" customFormat="1" ht="15.75">
      <c r="A64" s="549"/>
      <c r="B64" s="561"/>
      <c r="C64" s="551"/>
      <c r="D64" s="551"/>
      <c r="E64" s="552"/>
      <c r="F64" s="553"/>
      <c r="G64" s="554"/>
      <c r="H64" s="554"/>
      <c r="I64" s="555"/>
      <c r="J64" s="556"/>
      <c r="K64" s="572"/>
      <c r="L64" s="569"/>
    </row>
    <row r="65" spans="1:16" s="322" customFormat="1" ht="47.25">
      <c r="A65" s="315">
        <f>'02.1-ĐNTT'!A33</f>
        <v>17</v>
      </c>
      <c r="B65" s="316" t="str">
        <f>'02.1-ĐNTT'!B33</f>
        <v>Bê tông sản xuất qua dây chuyền trạm trộn tại hiện trường hoặc thương phẩm, đổ bằng bơm bê tông, bê tông giếng gió mác M400#</v>
      </c>
      <c r="C65" s="317" t="str">
        <f>'02.1-ĐNTT'!C33</f>
        <v>m3</v>
      </c>
      <c r="D65" s="317"/>
      <c r="E65" s="318"/>
      <c r="F65" s="319"/>
      <c r="G65" s="320"/>
      <c r="H65" s="320"/>
      <c r="I65" s="471"/>
      <c r="J65" s="321"/>
      <c r="K65" s="488">
        <f>+SUBTOTAL(9,K66:K68)</f>
        <v>13.021151</v>
      </c>
      <c r="L65" s="335"/>
      <c r="M65" s="329"/>
      <c r="N65" s="329"/>
      <c r="O65" s="329"/>
      <c r="P65" s="329"/>
    </row>
    <row r="66" spans="1:16" s="559" customFormat="1" ht="15.75">
      <c r="A66" s="549"/>
      <c r="B66" s="561" t="s">
        <v>468</v>
      </c>
      <c r="C66" s="551"/>
      <c r="D66" s="551">
        <v>1</v>
      </c>
      <c r="E66" s="552">
        <f>22.48/2</f>
        <v>11.24</v>
      </c>
      <c r="F66" s="553">
        <v>0.22</v>
      </c>
      <c r="G66" s="554">
        <v>2.2999999999999998</v>
      </c>
      <c r="H66" s="554"/>
      <c r="I66" s="555"/>
      <c r="J66" s="556">
        <v>1</v>
      </c>
      <c r="K66" s="572">
        <f t="shared" ref="K66" si="6">+PRODUCT(D66:J66)</f>
        <v>5.6874399999999996</v>
      </c>
      <c r="L66" s="569"/>
    </row>
    <row r="67" spans="1:16" s="559" customFormat="1" ht="15.75">
      <c r="A67" s="549"/>
      <c r="B67" s="561" t="s">
        <v>466</v>
      </c>
      <c r="C67" s="551"/>
      <c r="D67" s="551">
        <v>1</v>
      </c>
      <c r="E67" s="552">
        <f>15.647/2</f>
        <v>7.8235000000000001</v>
      </c>
      <c r="F67" s="553">
        <v>0.22</v>
      </c>
      <c r="G67" s="554">
        <v>2.2999999999999998</v>
      </c>
      <c r="H67" s="554"/>
      <c r="I67" s="555"/>
      <c r="J67" s="556">
        <v>1</v>
      </c>
      <c r="K67" s="572">
        <f t="shared" ref="K67:K68" si="7">+PRODUCT(D67:J67)</f>
        <v>3.958691</v>
      </c>
      <c r="L67" s="569"/>
    </row>
    <row r="68" spans="1:16" s="559" customFormat="1" ht="15.75">
      <c r="A68" s="549"/>
      <c r="B68" s="561" t="s">
        <v>467</v>
      </c>
      <c r="C68" s="551"/>
      <c r="D68" s="551">
        <v>1</v>
      </c>
      <c r="E68" s="552">
        <f>13.34/2</f>
        <v>6.67</v>
      </c>
      <c r="F68" s="553">
        <v>0.22</v>
      </c>
      <c r="G68" s="554">
        <v>2.2999999999999998</v>
      </c>
      <c r="H68" s="554"/>
      <c r="I68" s="555"/>
      <c r="J68" s="556">
        <v>1</v>
      </c>
      <c r="K68" s="572">
        <f t="shared" si="7"/>
        <v>3.3750199999999997</v>
      </c>
      <c r="L68" s="569"/>
    </row>
    <row r="69" spans="1:16" s="322" customFormat="1" ht="47.25">
      <c r="A69" s="315">
        <f>'02.1-ĐNTT'!A34</f>
        <v>18</v>
      </c>
      <c r="B69" s="316" t="str">
        <f>'02.1-ĐNTT'!B34</f>
        <v>Bê tông sản xuất qua dây chuyền trạm trộn tại hiện trường hoặc thương phẩm, đổ bằng bơm bê tông, bê tông vách bể mác M400#</v>
      </c>
      <c r="C69" s="317" t="str">
        <f>'02.1-ĐNTT'!C34</f>
        <v>m3</v>
      </c>
      <c r="D69" s="317"/>
      <c r="E69" s="318"/>
      <c r="F69" s="319"/>
      <c r="G69" s="320"/>
      <c r="H69" s="320"/>
      <c r="I69" s="471"/>
      <c r="J69" s="321"/>
      <c r="K69" s="488">
        <f>+SUBTOTAL(9,K70:K130)</f>
        <v>299.20420299999995</v>
      </c>
      <c r="L69" s="335" t="s">
        <v>384</v>
      </c>
      <c r="M69" s="329"/>
      <c r="N69" s="329"/>
      <c r="O69" s="329"/>
      <c r="P69" s="329"/>
    </row>
    <row r="70" spans="1:16" s="559" customFormat="1" ht="15.75">
      <c r="A70" s="549"/>
      <c r="B70" s="550" t="s">
        <v>404</v>
      </c>
      <c r="C70" s="551"/>
      <c r="D70" s="551"/>
      <c r="E70" s="552"/>
      <c r="F70" s="553"/>
      <c r="G70" s="554"/>
      <c r="H70" s="554"/>
      <c r="I70" s="555"/>
      <c r="J70" s="556"/>
      <c r="K70" s="557"/>
      <c r="L70" s="558"/>
    </row>
    <row r="71" spans="1:16" s="570" customFormat="1" ht="15.75">
      <c r="A71" s="560"/>
      <c r="B71" s="561" t="s">
        <v>389</v>
      </c>
      <c r="C71" s="562"/>
      <c r="D71" s="551"/>
      <c r="E71" s="563"/>
      <c r="F71" s="564"/>
      <c r="G71" s="565"/>
      <c r="H71" s="565"/>
      <c r="I71" s="566"/>
      <c r="J71" s="567"/>
      <c r="K71" s="568"/>
      <c r="L71" s="569"/>
    </row>
    <row r="72" spans="1:16" s="570" customFormat="1" ht="15.75">
      <c r="A72" s="560"/>
      <c r="B72" s="571" t="s">
        <v>385</v>
      </c>
      <c r="C72" s="562"/>
      <c r="D72" s="551">
        <v>1</v>
      </c>
      <c r="E72" s="563"/>
      <c r="F72" s="553"/>
      <c r="G72" s="554">
        <f>1.3+0.26</f>
        <v>1.56</v>
      </c>
      <c r="H72" s="554">
        <v>7.0250000000000004</v>
      </c>
      <c r="I72" s="555"/>
      <c r="J72" s="556">
        <v>1</v>
      </c>
      <c r="K72" s="572">
        <f t="shared" ref="K72:K76" si="8">+PRODUCT(D72:J72)</f>
        <v>10.959000000000001</v>
      </c>
      <c r="L72" s="569" t="str">
        <f t="shared" ref="L72:L74" ca="1" si="9">+_xlfn.FORMULATEXT(G72)</f>
        <v>=1,3+0,26</v>
      </c>
    </row>
    <row r="73" spans="1:16" s="570" customFormat="1" ht="15.75">
      <c r="A73" s="560"/>
      <c r="B73" s="571" t="s">
        <v>386</v>
      </c>
      <c r="C73" s="562"/>
      <c r="D73" s="551">
        <v>1</v>
      </c>
      <c r="E73" s="563"/>
      <c r="F73" s="553"/>
      <c r="G73" s="573">
        <v>1.877</v>
      </c>
      <c r="H73" s="573">
        <v>6.3689999999999998</v>
      </c>
      <c r="I73" s="555"/>
      <c r="J73" s="556">
        <v>1</v>
      </c>
      <c r="K73" s="572">
        <f t="shared" si="8"/>
        <v>11.954613</v>
      </c>
      <c r="L73" s="569"/>
    </row>
    <row r="74" spans="1:16" s="570" customFormat="1" ht="15.75">
      <c r="A74" s="560"/>
      <c r="B74" s="571" t="s">
        <v>387</v>
      </c>
      <c r="C74" s="562"/>
      <c r="D74" s="551">
        <v>1</v>
      </c>
      <c r="E74" s="563"/>
      <c r="F74" s="553"/>
      <c r="G74" s="573">
        <f>1.3+0.65</f>
        <v>1.9500000000000002</v>
      </c>
      <c r="H74" s="573">
        <v>37.186</v>
      </c>
      <c r="I74" s="555"/>
      <c r="J74" s="556">
        <v>1</v>
      </c>
      <c r="K74" s="572">
        <f t="shared" si="8"/>
        <v>72.512700000000009</v>
      </c>
      <c r="L74" s="569" t="str">
        <f t="shared" ca="1" si="9"/>
        <v>=1,3+0,65</v>
      </c>
    </row>
    <row r="75" spans="1:16" s="570" customFormat="1" ht="15.75">
      <c r="A75" s="560"/>
      <c r="B75" s="571" t="s">
        <v>388</v>
      </c>
      <c r="C75" s="562"/>
      <c r="D75" s="551">
        <v>1</v>
      </c>
      <c r="E75" s="563"/>
      <c r="F75" s="553"/>
      <c r="G75" s="573">
        <f>1.3+0.6</f>
        <v>1.9</v>
      </c>
      <c r="H75" s="573">
        <v>22.19</v>
      </c>
      <c r="I75" s="555"/>
      <c r="J75" s="556">
        <v>1</v>
      </c>
      <c r="K75" s="572">
        <f t="shared" si="8"/>
        <v>42.161000000000001</v>
      </c>
      <c r="L75" s="569" t="str">
        <f ca="1">+_xlfn.FORMULATEXT(G75)</f>
        <v>=1,3+0,6</v>
      </c>
    </row>
    <row r="76" spans="1:16" s="570" customFormat="1" ht="15.75">
      <c r="A76" s="560"/>
      <c r="B76" s="571" t="s">
        <v>383</v>
      </c>
      <c r="C76" s="562"/>
      <c r="D76" s="551">
        <v>1</v>
      </c>
      <c r="E76" s="563"/>
      <c r="F76" s="553"/>
      <c r="G76" s="554">
        <f>0.775+0.9</f>
        <v>1.675</v>
      </c>
      <c r="H76" s="554">
        <v>4.4269999999999996</v>
      </c>
      <c r="I76" s="555"/>
      <c r="J76" s="556">
        <v>1</v>
      </c>
      <c r="K76" s="572">
        <f t="shared" si="8"/>
        <v>7.4152249999999995</v>
      </c>
      <c r="L76" s="569" t="str">
        <f ca="1">+_xlfn.FORMULATEXT(G76)</f>
        <v>=0,775+0,9</v>
      </c>
    </row>
    <row r="77" spans="1:16" s="570" customFormat="1" ht="15.75">
      <c r="A77" s="560"/>
      <c r="B77" s="561" t="s">
        <v>396</v>
      </c>
      <c r="C77" s="562"/>
      <c r="D77" s="551"/>
      <c r="E77" s="563"/>
      <c r="F77" s="553"/>
      <c r="G77" s="554"/>
      <c r="H77" s="554"/>
      <c r="I77" s="555"/>
      <c r="J77" s="556"/>
      <c r="K77" s="572"/>
      <c r="L77" s="569"/>
    </row>
    <row r="78" spans="1:16" s="570" customFormat="1" ht="15.75">
      <c r="A78" s="560"/>
      <c r="B78" s="571" t="s">
        <v>390</v>
      </c>
      <c r="C78" s="562"/>
      <c r="D78" s="551">
        <v>1</v>
      </c>
      <c r="E78" s="563"/>
      <c r="F78" s="553"/>
      <c r="G78" s="554">
        <f>1.31-0.2</f>
        <v>1.1100000000000001</v>
      </c>
      <c r="H78" s="554">
        <v>2.37</v>
      </c>
      <c r="I78" s="555"/>
      <c r="J78" s="556">
        <v>1</v>
      </c>
      <c r="K78" s="572">
        <f t="shared" ref="K78:K83" si="10">+PRODUCT(D78:J78)</f>
        <v>2.6307000000000005</v>
      </c>
      <c r="L78" s="569" t="str">
        <f ca="1">+_xlfn.FORMULATEXT(G78)</f>
        <v>=1,31-0,2</v>
      </c>
    </row>
    <row r="79" spans="1:16" s="570" customFormat="1" ht="15.75">
      <c r="A79" s="560"/>
      <c r="B79" s="571" t="s">
        <v>391</v>
      </c>
      <c r="C79" s="562"/>
      <c r="D79" s="551">
        <v>1</v>
      </c>
      <c r="E79" s="563"/>
      <c r="F79" s="553"/>
      <c r="G79" s="554">
        <f>1.31-0.2</f>
        <v>1.1100000000000001</v>
      </c>
      <c r="H79" s="554">
        <v>1.585</v>
      </c>
      <c r="I79" s="555"/>
      <c r="J79" s="567">
        <v>1</v>
      </c>
      <c r="K79" s="572">
        <f t="shared" si="10"/>
        <v>1.7593500000000002</v>
      </c>
      <c r="L79" s="569" t="str">
        <f ca="1">+_xlfn.FORMULATEXT(G79)</f>
        <v>=1,31-0,2</v>
      </c>
    </row>
    <row r="80" spans="1:16" s="570" customFormat="1" ht="15.75">
      <c r="A80" s="560"/>
      <c r="B80" s="571" t="s">
        <v>392</v>
      </c>
      <c r="C80" s="562"/>
      <c r="D80" s="551">
        <v>1</v>
      </c>
      <c r="E80" s="563"/>
      <c r="F80" s="553"/>
      <c r="G80" s="554">
        <f>1.85-0.2</f>
        <v>1.6500000000000001</v>
      </c>
      <c r="H80" s="554">
        <v>0.99099999999999999</v>
      </c>
      <c r="I80" s="555"/>
      <c r="J80" s="567">
        <v>1</v>
      </c>
      <c r="K80" s="572">
        <f t="shared" si="10"/>
        <v>1.6351500000000001</v>
      </c>
      <c r="L80" s="569" t="str">
        <f ca="1">+_xlfn.FORMULATEXT(G80)</f>
        <v>=1,85-0,2</v>
      </c>
    </row>
    <row r="81" spans="1:17" s="570" customFormat="1" ht="15.75">
      <c r="A81" s="560"/>
      <c r="B81" s="571" t="s">
        <v>393</v>
      </c>
      <c r="C81" s="562"/>
      <c r="D81" s="551">
        <v>1</v>
      </c>
      <c r="E81" s="563"/>
      <c r="F81" s="553"/>
      <c r="G81" s="554">
        <f>1.31-0.2</f>
        <v>1.1100000000000001</v>
      </c>
      <c r="H81" s="554">
        <v>1.827</v>
      </c>
      <c r="I81" s="555"/>
      <c r="J81" s="567">
        <v>1</v>
      </c>
      <c r="K81" s="572">
        <f t="shared" si="10"/>
        <v>2.0279700000000003</v>
      </c>
      <c r="L81" s="569" t="str">
        <f t="shared" ref="L81:L83" ca="1" si="11">+_xlfn.FORMULATEXT(G81)</f>
        <v>=1,31-0,2</v>
      </c>
    </row>
    <row r="82" spans="1:17" s="570" customFormat="1" ht="15.75">
      <c r="A82" s="560"/>
      <c r="B82" s="571" t="s">
        <v>394</v>
      </c>
      <c r="C82" s="562"/>
      <c r="D82" s="551">
        <v>1</v>
      </c>
      <c r="E82" s="563"/>
      <c r="F82" s="553"/>
      <c r="G82" s="554">
        <f>1.31-0.2</f>
        <v>1.1100000000000001</v>
      </c>
      <c r="H82" s="554">
        <v>1.7649999999999999</v>
      </c>
      <c r="I82" s="555"/>
      <c r="J82" s="567">
        <v>1</v>
      </c>
      <c r="K82" s="572">
        <f t="shared" si="10"/>
        <v>1.9591500000000002</v>
      </c>
      <c r="L82" s="569" t="str">
        <f t="shared" ca="1" si="11"/>
        <v>=1,31-0,2</v>
      </c>
      <c r="M82" s="908" t="s">
        <v>752</v>
      </c>
      <c r="N82" s="908" t="s">
        <v>528</v>
      </c>
      <c r="O82" s="908" t="s">
        <v>754</v>
      </c>
      <c r="P82" s="908" t="s">
        <v>529</v>
      </c>
      <c r="Q82" s="908" t="s">
        <v>530</v>
      </c>
    </row>
    <row r="83" spans="1:17" s="570" customFormat="1" ht="15.75">
      <c r="A83" s="560"/>
      <c r="B83" s="571" t="s">
        <v>395</v>
      </c>
      <c r="C83" s="562"/>
      <c r="D83" s="551">
        <v>1</v>
      </c>
      <c r="E83" s="563"/>
      <c r="F83" s="553"/>
      <c r="G83" s="554">
        <f>1.85-0.2</f>
        <v>1.6500000000000001</v>
      </c>
      <c r="H83" s="554">
        <v>1.036</v>
      </c>
      <c r="I83" s="555"/>
      <c r="J83" s="567">
        <v>1</v>
      </c>
      <c r="K83" s="572">
        <f t="shared" si="10"/>
        <v>1.7094000000000003</v>
      </c>
      <c r="L83" s="569" t="str">
        <f t="shared" ca="1" si="11"/>
        <v>=1,85-0,2</v>
      </c>
      <c r="M83" s="908"/>
      <c r="N83" s="908"/>
      <c r="O83" s="908"/>
      <c r="P83" s="908"/>
      <c r="Q83" s="908"/>
    </row>
    <row r="84" spans="1:17" s="570" customFormat="1" ht="15.75">
      <c r="A84" s="560"/>
      <c r="B84" s="550" t="s">
        <v>411</v>
      </c>
      <c r="C84" s="562"/>
      <c r="D84" s="551"/>
      <c r="E84" s="563"/>
      <c r="F84" s="553"/>
      <c r="G84" s="554"/>
      <c r="H84" s="554"/>
      <c r="I84" s="555"/>
      <c r="J84" s="567"/>
      <c r="K84" s="572"/>
      <c r="L84" s="569"/>
      <c r="M84" s="908"/>
      <c r="N84" s="908"/>
      <c r="O84" s="908"/>
      <c r="P84" s="908"/>
      <c r="Q84" s="908"/>
    </row>
    <row r="85" spans="1:17" s="570" customFormat="1" ht="15.75">
      <c r="A85" s="560"/>
      <c r="B85" s="561" t="s">
        <v>431</v>
      </c>
      <c r="C85" s="562"/>
      <c r="D85" s="551"/>
      <c r="E85" s="563"/>
      <c r="F85" s="553"/>
      <c r="G85" s="554"/>
      <c r="H85" s="554"/>
      <c r="I85" s="555"/>
      <c r="J85" s="567"/>
      <c r="K85" s="572"/>
      <c r="L85" s="569"/>
      <c r="M85" s="909">
        <f>+'thép vách bồn cây'!D8</f>
        <v>49435</v>
      </c>
      <c r="N85" s="909">
        <f>+'thép vách bồn cây'!D13</f>
        <v>71040</v>
      </c>
      <c r="O85" s="909">
        <f>+'thép vách bồn cây'!D23</f>
        <v>6480</v>
      </c>
      <c r="P85" s="909">
        <f>+'thép vách bồn cây'!D28</f>
        <v>60490</v>
      </c>
      <c r="Q85" s="909">
        <f>+'thép vách bồn cây'!D33</f>
        <v>66130</v>
      </c>
    </row>
    <row r="86" spans="1:17" s="570" customFormat="1" ht="15.75">
      <c r="A86" s="560"/>
      <c r="B86" s="571" t="s">
        <v>414</v>
      </c>
      <c r="C86" s="562"/>
      <c r="D86" s="551">
        <v>1</v>
      </c>
      <c r="E86" s="554">
        <f>('thép vách bồn cây'!D8+'thép vách bồn cây'!D13+'thép vách bồn cây'!D23+'thép vách bồn cây'!D28+'thép vách bồn cây'!D33)/1000</f>
        <v>253.57499999999999</v>
      </c>
      <c r="F86" s="553">
        <v>0.2</v>
      </c>
      <c r="G86" s="554">
        <v>1.45</v>
      </c>
      <c r="H86" s="554"/>
      <c r="I86" s="555"/>
      <c r="J86" s="567">
        <v>1</v>
      </c>
      <c r="K86" s="572">
        <f>+PRODUCT(D86:J86)</f>
        <v>73.536749999999998</v>
      </c>
      <c r="L86" s="569"/>
    </row>
    <row r="87" spans="1:17" s="570" customFormat="1" ht="15.75">
      <c r="A87" s="560"/>
      <c r="B87" s="561" t="s">
        <v>432</v>
      </c>
      <c r="C87" s="562"/>
      <c r="D87" s="551"/>
      <c r="E87" s="554"/>
      <c r="F87" s="553"/>
      <c r="G87" s="554"/>
      <c r="H87" s="554"/>
      <c r="I87" s="555"/>
      <c r="J87" s="567"/>
      <c r="K87" s="572"/>
      <c r="L87" s="569"/>
    </row>
    <row r="88" spans="1:17" s="570" customFormat="1" ht="15.75">
      <c r="A88" s="560"/>
      <c r="B88" s="571" t="s">
        <v>415</v>
      </c>
      <c r="C88" s="562"/>
      <c r="D88" s="551">
        <v>1</v>
      </c>
      <c r="E88" s="563">
        <f>+'thép vách bồn cây'!D39/1000</f>
        <v>10.95</v>
      </c>
      <c r="F88" s="553">
        <v>0.22</v>
      </c>
      <c r="G88" s="554">
        <v>0.65</v>
      </c>
      <c r="H88" s="554"/>
      <c r="I88" s="555"/>
      <c r="J88" s="567">
        <v>1</v>
      </c>
      <c r="K88" s="572">
        <f t="shared" ref="K88:K96" si="12">+PRODUCT(D88:J88)</f>
        <v>1.56585</v>
      </c>
      <c r="L88" s="569" t="s">
        <v>417</v>
      </c>
    </row>
    <row r="89" spans="1:17" s="570" customFormat="1" ht="15.75">
      <c r="A89" s="560"/>
      <c r="B89" s="571" t="s">
        <v>416</v>
      </c>
      <c r="C89" s="562"/>
      <c r="D89" s="551">
        <v>1</v>
      </c>
      <c r="E89" s="563">
        <f>+'thép vách bồn cây'!D44/1000</f>
        <v>6.45</v>
      </c>
      <c r="F89" s="553">
        <v>0.22</v>
      </c>
      <c r="G89" s="554">
        <v>0.65</v>
      </c>
      <c r="H89" s="554"/>
      <c r="I89" s="555"/>
      <c r="J89" s="567">
        <v>1</v>
      </c>
      <c r="K89" s="572">
        <f t="shared" si="12"/>
        <v>0.92235</v>
      </c>
      <c r="L89" s="569" t="s">
        <v>418</v>
      </c>
    </row>
    <row r="90" spans="1:17" s="570" customFormat="1" ht="15.75">
      <c r="A90" s="560"/>
      <c r="B90" s="571" t="s">
        <v>419</v>
      </c>
      <c r="C90" s="562"/>
      <c r="D90" s="551">
        <v>1</v>
      </c>
      <c r="E90" s="563">
        <f>+'thép vách bồn cây'!D49/1000</f>
        <v>4.55</v>
      </c>
      <c r="F90" s="553">
        <v>0.22</v>
      </c>
      <c r="G90" s="554">
        <v>0.65</v>
      </c>
      <c r="H90" s="554"/>
      <c r="I90" s="555"/>
      <c r="J90" s="567">
        <v>1</v>
      </c>
      <c r="K90" s="572">
        <f t="shared" si="12"/>
        <v>0.65064999999999995</v>
      </c>
      <c r="L90" s="569" t="s">
        <v>418</v>
      </c>
    </row>
    <row r="91" spans="1:17" s="570" customFormat="1" ht="15.75">
      <c r="A91" s="560"/>
      <c r="B91" s="571" t="s">
        <v>420</v>
      </c>
      <c r="C91" s="562"/>
      <c r="D91" s="551">
        <v>2</v>
      </c>
      <c r="E91" s="563">
        <f>+'thép vách bồn cây'!D54/1000</f>
        <v>0.69</v>
      </c>
      <c r="F91" s="553">
        <v>0.22</v>
      </c>
      <c r="G91" s="554">
        <v>1.45</v>
      </c>
      <c r="H91" s="554"/>
      <c r="I91" s="555"/>
      <c r="J91" s="567">
        <v>1</v>
      </c>
      <c r="K91" s="572">
        <f t="shared" si="12"/>
        <v>0.44021999999999994</v>
      </c>
      <c r="L91" s="569" t="s">
        <v>423</v>
      </c>
    </row>
    <row r="92" spans="1:17" s="570" customFormat="1" ht="15.75">
      <c r="A92" s="560"/>
      <c r="B92" s="571" t="s">
        <v>421</v>
      </c>
      <c r="C92" s="562"/>
      <c r="D92" s="551">
        <v>1</v>
      </c>
      <c r="E92" s="563">
        <f>+'thép vách bồn cây'!D59/1000</f>
        <v>4.33</v>
      </c>
      <c r="F92" s="553">
        <v>0.22</v>
      </c>
      <c r="G92" s="554">
        <v>0.65</v>
      </c>
      <c r="H92" s="554"/>
      <c r="I92" s="555"/>
      <c r="J92" s="567">
        <v>1</v>
      </c>
      <c r="K92" s="572">
        <f t="shared" si="12"/>
        <v>0.61919000000000002</v>
      </c>
      <c r="L92" s="569" t="s">
        <v>424</v>
      </c>
    </row>
    <row r="93" spans="1:17" s="570" customFormat="1" ht="15.75">
      <c r="A93" s="560"/>
      <c r="B93" s="571" t="s">
        <v>422</v>
      </c>
      <c r="C93" s="562"/>
      <c r="D93" s="551">
        <v>1</v>
      </c>
      <c r="E93" s="563">
        <f>+'thép vách bồn cây'!D64/1000</f>
        <v>6.95</v>
      </c>
      <c r="F93" s="553">
        <v>0.22</v>
      </c>
      <c r="G93" s="554">
        <v>0.65</v>
      </c>
      <c r="H93" s="554"/>
      <c r="I93" s="555"/>
      <c r="J93" s="567">
        <v>1</v>
      </c>
      <c r="K93" s="572">
        <f t="shared" si="12"/>
        <v>0.99385000000000012</v>
      </c>
      <c r="L93" s="569" t="s">
        <v>425</v>
      </c>
    </row>
    <row r="94" spans="1:17" s="570" customFormat="1" ht="15.75">
      <c r="A94" s="560"/>
      <c r="B94" s="571" t="s">
        <v>426</v>
      </c>
      <c r="C94" s="562"/>
      <c r="D94" s="551">
        <v>1</v>
      </c>
      <c r="E94" s="563">
        <f>+'thép vách bồn cây'!D69/1000</f>
        <v>9.2449999999999992</v>
      </c>
      <c r="F94" s="553">
        <v>0.22</v>
      </c>
      <c r="G94" s="554">
        <v>0.65</v>
      </c>
      <c r="H94" s="554"/>
      <c r="I94" s="555"/>
      <c r="J94" s="567">
        <v>1</v>
      </c>
      <c r="K94" s="572">
        <f t="shared" si="12"/>
        <v>1.3220350000000001</v>
      </c>
      <c r="L94" s="569" t="s">
        <v>429</v>
      </c>
    </row>
    <row r="95" spans="1:17" s="570" customFormat="1" ht="15.75">
      <c r="A95" s="560"/>
      <c r="B95" s="571" t="s">
        <v>427</v>
      </c>
      <c r="C95" s="562"/>
      <c r="D95" s="551">
        <v>1</v>
      </c>
      <c r="E95" s="563">
        <f>+'thép vách bồn cây'!D74/1000</f>
        <v>5.35</v>
      </c>
      <c r="F95" s="553">
        <v>0.2</v>
      </c>
      <c r="G95" s="554">
        <v>1.45</v>
      </c>
      <c r="H95" s="554"/>
      <c r="I95" s="555"/>
      <c r="J95" s="567">
        <v>1</v>
      </c>
      <c r="K95" s="572">
        <f t="shared" si="12"/>
        <v>1.5515000000000001</v>
      </c>
      <c r="L95" s="569" t="s">
        <v>430</v>
      </c>
    </row>
    <row r="96" spans="1:17" s="570" customFormat="1" ht="15.75">
      <c r="A96" s="560"/>
      <c r="B96" s="571" t="s">
        <v>428</v>
      </c>
      <c r="C96" s="562"/>
      <c r="D96" s="551">
        <v>1</v>
      </c>
      <c r="E96" s="563">
        <f>+'thép vách bồn cây'!D79/1000</f>
        <v>5.1550000000000002</v>
      </c>
      <c r="F96" s="553">
        <v>0.2</v>
      </c>
      <c r="G96" s="554">
        <v>1.45</v>
      </c>
      <c r="H96" s="554"/>
      <c r="I96" s="555"/>
      <c r="J96" s="567">
        <v>1</v>
      </c>
      <c r="K96" s="572">
        <f t="shared" si="12"/>
        <v>1.4949500000000002</v>
      </c>
      <c r="L96" s="569" t="s">
        <v>429</v>
      </c>
    </row>
    <row r="97" spans="1:12" s="570" customFormat="1" ht="15.75">
      <c r="A97" s="560"/>
      <c r="B97" s="561" t="s">
        <v>443</v>
      </c>
      <c r="C97" s="562"/>
      <c r="D97" s="551"/>
      <c r="E97" s="563"/>
      <c r="F97" s="553"/>
      <c r="G97" s="554"/>
      <c r="H97" s="554"/>
      <c r="I97" s="555"/>
      <c r="J97" s="567"/>
      <c r="K97" s="572"/>
      <c r="L97" s="569"/>
    </row>
    <row r="98" spans="1:12" s="570" customFormat="1" ht="15.75">
      <c r="A98" s="560"/>
      <c r="B98" s="571" t="s">
        <v>444</v>
      </c>
      <c r="C98" s="562"/>
      <c r="D98" s="551">
        <v>1</v>
      </c>
      <c r="E98" s="563">
        <v>11.4</v>
      </c>
      <c r="F98" s="553">
        <v>0.2</v>
      </c>
      <c r="G98" s="554">
        <v>1</v>
      </c>
      <c r="H98" s="554"/>
      <c r="I98" s="555"/>
      <c r="J98" s="567">
        <v>1</v>
      </c>
      <c r="K98" s="572">
        <f>+PRODUCT(D98:J98)</f>
        <v>2.2800000000000002</v>
      </c>
      <c r="L98" s="569"/>
    </row>
    <row r="99" spans="1:12" s="570" customFormat="1" ht="15.75">
      <c r="A99" s="560"/>
      <c r="B99" s="561" t="s">
        <v>453</v>
      </c>
      <c r="C99" s="562"/>
      <c r="D99" s="551"/>
      <c r="E99" s="563"/>
      <c r="F99" s="553"/>
      <c r="G99" s="554"/>
      <c r="H99" s="554"/>
      <c r="I99" s="555"/>
      <c r="J99" s="567"/>
      <c r="K99" s="572"/>
      <c r="L99" s="569"/>
    </row>
    <row r="100" spans="1:12" s="570" customFormat="1" ht="15.75">
      <c r="A100" s="560"/>
      <c r="B100" s="571" t="s">
        <v>454</v>
      </c>
      <c r="C100" s="562"/>
      <c r="D100" s="551">
        <v>1</v>
      </c>
      <c r="E100" s="563">
        <f>+'thép vách bồn cây'!D104/1000</f>
        <v>3.5449999999999999</v>
      </c>
      <c r="F100" s="553">
        <v>0.22</v>
      </c>
      <c r="G100" s="554">
        <v>0.65</v>
      </c>
      <c r="H100" s="554"/>
      <c r="I100" s="555"/>
      <c r="J100" s="567">
        <v>1</v>
      </c>
      <c r="K100" s="572">
        <f t="shared" ref="K100:K110" si="13">+PRODUCT(D100:J100)</f>
        <v>0.50693500000000002</v>
      </c>
      <c r="L100" s="569"/>
    </row>
    <row r="101" spans="1:12" s="570" customFormat="1" ht="15.75">
      <c r="A101" s="560"/>
      <c r="B101" s="571" t="s">
        <v>455</v>
      </c>
      <c r="C101" s="562"/>
      <c r="D101" s="551">
        <v>1</v>
      </c>
      <c r="E101" s="563">
        <f>+'thép vách bồn cây'!D109/1000</f>
        <v>2.9169999999999998</v>
      </c>
      <c r="F101" s="553">
        <v>0.2</v>
      </c>
      <c r="G101" s="554">
        <v>1.45</v>
      </c>
      <c r="H101" s="554"/>
      <c r="I101" s="555"/>
      <c r="J101" s="567">
        <v>1</v>
      </c>
      <c r="K101" s="572">
        <f t="shared" si="13"/>
        <v>0.84593000000000007</v>
      </c>
      <c r="L101" s="569"/>
    </row>
    <row r="102" spans="1:12" s="570" customFormat="1" ht="15.75">
      <c r="A102" s="560"/>
      <c r="B102" s="571" t="s">
        <v>456</v>
      </c>
      <c r="C102" s="562"/>
      <c r="D102" s="551">
        <v>1</v>
      </c>
      <c r="E102" s="563">
        <f>+'thép vách bồn cây'!D124/1000</f>
        <v>6.89</v>
      </c>
      <c r="F102" s="553">
        <v>0.2</v>
      </c>
      <c r="G102" s="554">
        <v>0.65</v>
      </c>
      <c r="H102" s="554"/>
      <c r="I102" s="555"/>
      <c r="J102" s="567">
        <v>1</v>
      </c>
      <c r="K102" s="572">
        <f t="shared" si="13"/>
        <v>0.89570000000000005</v>
      </c>
      <c r="L102" s="569"/>
    </row>
    <row r="103" spans="1:12" s="570" customFormat="1" ht="15.75">
      <c r="A103" s="560"/>
      <c r="B103" s="571" t="s">
        <v>457</v>
      </c>
      <c r="C103" s="562"/>
      <c r="D103" s="551">
        <v>1</v>
      </c>
      <c r="E103" s="563">
        <f>+'thép vách bồn cây'!D129/1000</f>
        <v>6.96</v>
      </c>
      <c r="F103" s="553">
        <v>0.2</v>
      </c>
      <c r="G103" s="554">
        <v>0.65</v>
      </c>
      <c r="H103" s="554"/>
      <c r="I103" s="555"/>
      <c r="J103" s="567">
        <v>1</v>
      </c>
      <c r="K103" s="572">
        <f t="shared" si="13"/>
        <v>0.90480000000000016</v>
      </c>
      <c r="L103" s="569"/>
    </row>
    <row r="104" spans="1:12" s="570" customFormat="1" ht="15.75">
      <c r="A104" s="560"/>
      <c r="B104" s="571" t="s">
        <v>458</v>
      </c>
      <c r="C104" s="562"/>
      <c r="D104" s="551">
        <v>1</v>
      </c>
      <c r="E104" s="563">
        <f>+'thép vách bồn cây'!D134/1000</f>
        <v>6.77</v>
      </c>
      <c r="F104" s="553">
        <v>0.2</v>
      </c>
      <c r="G104" s="554">
        <v>0.65</v>
      </c>
      <c r="H104" s="554"/>
      <c r="I104" s="555"/>
      <c r="J104" s="567">
        <v>1</v>
      </c>
      <c r="K104" s="572">
        <f t="shared" si="13"/>
        <v>0.8801000000000001</v>
      </c>
      <c r="L104" s="569"/>
    </row>
    <row r="105" spans="1:12" s="570" customFormat="1" ht="15.75">
      <c r="A105" s="560"/>
      <c r="B105" s="571" t="s">
        <v>459</v>
      </c>
      <c r="C105" s="562"/>
      <c r="D105" s="551">
        <v>1</v>
      </c>
      <c r="E105" s="563">
        <f>+'thép vách bồn cây'!D139/1000</f>
        <v>2.2549999999999999</v>
      </c>
      <c r="F105" s="553">
        <v>0.2</v>
      </c>
      <c r="G105" s="554">
        <v>0.65</v>
      </c>
      <c r="H105" s="554"/>
      <c r="I105" s="555"/>
      <c r="J105" s="567">
        <v>1</v>
      </c>
      <c r="K105" s="572">
        <f t="shared" si="13"/>
        <v>0.29315000000000002</v>
      </c>
      <c r="L105" s="569"/>
    </row>
    <row r="106" spans="1:12" s="570" customFormat="1" ht="15.75">
      <c r="A106" s="560"/>
      <c r="B106" s="571" t="s">
        <v>460</v>
      </c>
      <c r="C106" s="562"/>
      <c r="D106" s="551">
        <v>1</v>
      </c>
      <c r="E106" s="563">
        <f>+'thép vách bồn cây'!D144/1000</f>
        <v>2.29</v>
      </c>
      <c r="F106" s="553">
        <v>0.2</v>
      </c>
      <c r="G106" s="554">
        <v>0.65</v>
      </c>
      <c r="H106" s="554"/>
      <c r="I106" s="555"/>
      <c r="J106" s="567">
        <v>1</v>
      </c>
      <c r="K106" s="572">
        <f t="shared" si="13"/>
        <v>0.29770000000000002</v>
      </c>
      <c r="L106" s="569"/>
    </row>
    <row r="107" spans="1:12" s="570" customFormat="1" ht="15.75">
      <c r="A107" s="560"/>
      <c r="B107" s="571" t="s">
        <v>461</v>
      </c>
      <c r="C107" s="562"/>
      <c r="D107" s="551">
        <v>1</v>
      </c>
      <c r="E107" s="563">
        <f>+'thép vách bồn cây'!D94/1000</f>
        <v>7.93</v>
      </c>
      <c r="F107" s="553">
        <v>0.2</v>
      </c>
      <c r="G107" s="554">
        <v>1.45</v>
      </c>
      <c r="H107" s="554"/>
      <c r="I107" s="555"/>
      <c r="J107" s="567">
        <v>1</v>
      </c>
      <c r="K107" s="572">
        <f t="shared" si="13"/>
        <v>2.2997000000000001</v>
      </c>
      <c r="L107" s="569"/>
    </row>
    <row r="108" spans="1:12" s="570" customFormat="1" ht="15.75">
      <c r="A108" s="560"/>
      <c r="B108" s="571" t="s">
        <v>462</v>
      </c>
      <c r="C108" s="562"/>
      <c r="D108" s="551">
        <v>1</v>
      </c>
      <c r="E108" s="563">
        <f>+'thép vách bồn cây'!D99/1000</f>
        <v>8.6449999999999996</v>
      </c>
      <c r="F108" s="553">
        <v>0.2</v>
      </c>
      <c r="G108" s="554">
        <v>1.45</v>
      </c>
      <c r="H108" s="554"/>
      <c r="I108" s="555"/>
      <c r="J108" s="567">
        <v>1</v>
      </c>
      <c r="K108" s="572">
        <f t="shared" si="13"/>
        <v>2.50705</v>
      </c>
      <c r="L108" s="569"/>
    </row>
    <row r="109" spans="1:12" s="570" customFormat="1" ht="15.75">
      <c r="A109" s="560"/>
      <c r="B109" s="571" t="s">
        <v>463</v>
      </c>
      <c r="C109" s="562"/>
      <c r="D109" s="551">
        <v>1</v>
      </c>
      <c r="E109" s="563">
        <f>+'thép vách bồn cây'!D114/1000</f>
        <v>2.96</v>
      </c>
      <c r="F109" s="553">
        <v>0.22</v>
      </c>
      <c r="G109" s="554">
        <v>0.65</v>
      </c>
      <c r="H109" s="554"/>
      <c r="I109" s="555"/>
      <c r="J109" s="567">
        <v>1</v>
      </c>
      <c r="K109" s="572">
        <f t="shared" si="13"/>
        <v>0.42327999999999999</v>
      </c>
      <c r="L109" s="569"/>
    </row>
    <row r="110" spans="1:12" s="570" customFormat="1" ht="15.75">
      <c r="A110" s="560"/>
      <c r="B110" s="571" t="s">
        <v>464</v>
      </c>
      <c r="C110" s="562"/>
      <c r="D110" s="551">
        <v>1</v>
      </c>
      <c r="E110" s="563">
        <f>+'thép vách bồn cây'!D119/1000</f>
        <v>2.9769999999999999</v>
      </c>
      <c r="F110" s="553">
        <v>0.2</v>
      </c>
      <c r="G110" s="554">
        <v>1.45</v>
      </c>
      <c r="H110" s="554"/>
      <c r="I110" s="555"/>
      <c r="J110" s="567">
        <v>1</v>
      </c>
      <c r="K110" s="572">
        <f t="shared" si="13"/>
        <v>0.86333000000000004</v>
      </c>
      <c r="L110" s="569"/>
    </row>
    <row r="111" spans="1:12" s="570" customFormat="1" ht="15.75">
      <c r="A111" s="560"/>
      <c r="B111" s="561" t="s">
        <v>465</v>
      </c>
      <c r="C111" s="562"/>
      <c r="D111" s="551"/>
      <c r="E111" s="563"/>
      <c r="F111" s="553"/>
      <c r="G111" s="554"/>
      <c r="H111" s="554"/>
      <c r="I111" s="555"/>
      <c r="J111" s="567"/>
      <c r="K111" s="572"/>
      <c r="L111" s="569"/>
    </row>
    <row r="112" spans="1:12" s="570" customFormat="1" ht="15.75">
      <c r="A112" s="560"/>
      <c r="B112" s="571" t="s">
        <v>444</v>
      </c>
      <c r="C112" s="562"/>
      <c r="D112" s="551">
        <v>1</v>
      </c>
      <c r="E112" s="563">
        <v>12</v>
      </c>
      <c r="F112" s="553">
        <v>0.2</v>
      </c>
      <c r="G112" s="554">
        <v>1</v>
      </c>
      <c r="H112" s="554"/>
      <c r="I112" s="555"/>
      <c r="J112" s="567">
        <v>1</v>
      </c>
      <c r="K112" s="572">
        <f>+PRODUCT(D112:J112)</f>
        <v>2.4000000000000004</v>
      </c>
      <c r="L112" s="569"/>
    </row>
    <row r="113" spans="1:12" s="570" customFormat="1" ht="15.75">
      <c r="A113" s="560"/>
      <c r="B113" s="561" t="s">
        <v>469</v>
      </c>
      <c r="C113" s="562"/>
      <c r="D113" s="551"/>
      <c r="E113" s="563"/>
      <c r="F113" s="553"/>
      <c r="G113" s="554"/>
      <c r="H113" s="554"/>
      <c r="I113" s="555"/>
      <c r="J113" s="567"/>
      <c r="K113" s="572"/>
      <c r="L113" s="569"/>
    </row>
    <row r="114" spans="1:12" s="570" customFormat="1" ht="15.75">
      <c r="A114" s="560"/>
      <c r="B114" s="571" t="s">
        <v>470</v>
      </c>
      <c r="C114" s="562"/>
      <c r="D114" s="551">
        <v>1</v>
      </c>
      <c r="E114" s="563">
        <f>+'thép vách bồn cây'!D159/1000</f>
        <v>3.601</v>
      </c>
      <c r="F114" s="553">
        <v>0.2</v>
      </c>
      <c r="G114" s="554">
        <v>1.45</v>
      </c>
      <c r="H114" s="554"/>
      <c r="I114" s="555"/>
      <c r="J114" s="567">
        <v>1</v>
      </c>
      <c r="K114" s="572">
        <f t="shared" ref="K114:K121" si="14">+PRODUCT(D114:J114)</f>
        <v>1.0442900000000002</v>
      </c>
      <c r="L114" s="569"/>
    </row>
    <row r="115" spans="1:12" s="570" customFormat="1" ht="15.75">
      <c r="A115" s="560"/>
      <c r="B115" s="571" t="s">
        <v>471</v>
      </c>
      <c r="C115" s="562"/>
      <c r="D115" s="551">
        <v>1</v>
      </c>
      <c r="E115" s="563">
        <f>+'thép vách bồn cây'!D189/1000</f>
        <v>3.4049999999999998</v>
      </c>
      <c r="F115" s="553">
        <v>0.22</v>
      </c>
      <c r="G115" s="554">
        <v>0.65</v>
      </c>
      <c r="H115" s="554"/>
      <c r="I115" s="555"/>
      <c r="J115" s="567">
        <v>1</v>
      </c>
      <c r="K115" s="572">
        <f t="shared" si="14"/>
        <v>0.48691499999999999</v>
      </c>
      <c r="L115" s="569"/>
    </row>
    <row r="116" spans="1:12" s="570" customFormat="1" ht="15.75">
      <c r="A116" s="560"/>
      <c r="B116" s="571" t="s">
        <v>472</v>
      </c>
      <c r="C116" s="562"/>
      <c r="D116" s="551">
        <v>1</v>
      </c>
      <c r="E116" s="563">
        <f>+'thép vách bồn cây'!D184/1000</f>
        <v>4.7300000000000004</v>
      </c>
      <c r="F116" s="553">
        <v>0.22</v>
      </c>
      <c r="G116" s="554">
        <v>0.65</v>
      </c>
      <c r="H116" s="554"/>
      <c r="I116" s="555"/>
      <c r="J116" s="567">
        <v>1</v>
      </c>
      <c r="K116" s="572">
        <f t="shared" si="14"/>
        <v>0.67639000000000016</v>
      </c>
      <c r="L116" s="569"/>
    </row>
    <row r="117" spans="1:12" s="570" customFormat="1" ht="15.75">
      <c r="A117" s="560"/>
      <c r="B117" s="571" t="s">
        <v>473</v>
      </c>
      <c r="C117" s="562"/>
      <c r="D117" s="551">
        <v>1</v>
      </c>
      <c r="E117" s="563">
        <f>+'thép vách bồn cây'!D179/1000</f>
        <v>4.82</v>
      </c>
      <c r="F117" s="553">
        <v>0.22</v>
      </c>
      <c r="G117" s="554">
        <v>0.65</v>
      </c>
      <c r="H117" s="554"/>
      <c r="I117" s="555"/>
      <c r="J117" s="567">
        <v>1</v>
      </c>
      <c r="K117" s="572">
        <f t="shared" si="14"/>
        <v>0.68925999999999998</v>
      </c>
      <c r="L117" s="569"/>
    </row>
    <row r="118" spans="1:12" s="570" customFormat="1" ht="15.75">
      <c r="A118" s="560"/>
      <c r="B118" s="571" t="s">
        <v>474</v>
      </c>
      <c r="C118" s="562"/>
      <c r="D118" s="551">
        <v>1</v>
      </c>
      <c r="E118" s="563">
        <f>+'thép vách bồn cây'!D174/1000</f>
        <v>4.74</v>
      </c>
      <c r="F118" s="553">
        <v>0.22</v>
      </c>
      <c r="G118" s="554">
        <v>0.65</v>
      </c>
      <c r="H118" s="554"/>
      <c r="I118" s="555"/>
      <c r="J118" s="567">
        <v>1</v>
      </c>
      <c r="K118" s="572">
        <f t="shared" si="14"/>
        <v>0.67781999999999998</v>
      </c>
      <c r="L118" s="569"/>
    </row>
    <row r="119" spans="1:12" s="570" customFormat="1" ht="15.75">
      <c r="A119" s="560"/>
      <c r="B119" s="571" t="s">
        <v>475</v>
      </c>
      <c r="C119" s="562"/>
      <c r="D119" s="551">
        <v>1</v>
      </c>
      <c r="E119" s="563">
        <f>+'thép vách bồn cây'!D169/1000</f>
        <v>4.55</v>
      </c>
      <c r="F119" s="553">
        <v>0.22</v>
      </c>
      <c r="G119" s="554">
        <v>0.65</v>
      </c>
      <c r="H119" s="554"/>
      <c r="I119" s="555"/>
      <c r="J119" s="567">
        <v>1</v>
      </c>
      <c r="K119" s="572">
        <f t="shared" si="14"/>
        <v>0.65064999999999995</v>
      </c>
      <c r="L119" s="569"/>
    </row>
    <row r="120" spans="1:12" s="570" customFormat="1" ht="15.75">
      <c r="A120" s="560"/>
      <c r="B120" s="571" t="s">
        <v>476</v>
      </c>
      <c r="C120" s="562"/>
      <c r="D120" s="551">
        <v>1</v>
      </c>
      <c r="E120" s="563">
        <f>+'thép vách bồn cây'!D164/1000</f>
        <v>3.17</v>
      </c>
      <c r="F120" s="553">
        <v>0.22</v>
      </c>
      <c r="G120" s="554">
        <v>0.65</v>
      </c>
      <c r="H120" s="554"/>
      <c r="I120" s="555"/>
      <c r="J120" s="567">
        <v>1</v>
      </c>
      <c r="K120" s="572">
        <f t="shared" si="14"/>
        <v>0.45331000000000005</v>
      </c>
      <c r="L120" s="569"/>
    </row>
    <row r="121" spans="1:12" s="570" customFormat="1" ht="15.75">
      <c r="A121" s="560"/>
      <c r="B121" s="571" t="s">
        <v>477</v>
      </c>
      <c r="C121" s="562"/>
      <c r="D121" s="551">
        <v>1</v>
      </c>
      <c r="E121" s="563">
        <f>+E114</f>
        <v>3.601</v>
      </c>
      <c r="F121" s="553">
        <v>0.2</v>
      </c>
      <c r="G121" s="554">
        <v>1.45</v>
      </c>
      <c r="H121" s="554"/>
      <c r="I121" s="555"/>
      <c r="J121" s="567">
        <v>1</v>
      </c>
      <c r="K121" s="572">
        <f t="shared" si="14"/>
        <v>1.0442900000000002</v>
      </c>
      <c r="L121" s="569"/>
    </row>
    <row r="122" spans="1:12" s="559" customFormat="1" ht="15.75">
      <c r="A122" s="549"/>
      <c r="B122" s="561" t="s">
        <v>732</v>
      </c>
      <c r="C122" s="551"/>
      <c r="D122" s="551"/>
      <c r="E122" s="552"/>
      <c r="F122" s="553"/>
      <c r="G122" s="554"/>
      <c r="H122" s="554"/>
      <c r="I122" s="555"/>
      <c r="J122" s="556"/>
      <c r="K122" s="572"/>
      <c r="L122" s="569"/>
    </row>
    <row r="123" spans="1:12" s="559" customFormat="1" ht="15.75">
      <c r="A123" s="549"/>
      <c r="B123" s="571" t="s">
        <v>734</v>
      </c>
      <c r="C123" s="551"/>
      <c r="D123" s="551">
        <v>1</v>
      </c>
      <c r="E123" s="552">
        <v>115.8</v>
      </c>
      <c r="F123" s="553">
        <v>0.2</v>
      </c>
      <c r="G123" s="554">
        <v>1.45</v>
      </c>
      <c r="H123" s="554"/>
      <c r="I123" s="555"/>
      <c r="J123" s="556">
        <v>1</v>
      </c>
      <c r="K123" s="572">
        <f t="shared" ref="K123" si="15">+PRODUCT(D123:J123)</f>
        <v>33.582000000000001</v>
      </c>
      <c r="L123" s="569"/>
    </row>
    <row r="124" spans="1:12" s="570" customFormat="1" ht="15.75">
      <c r="A124" s="560"/>
      <c r="B124" s="571"/>
      <c r="C124" s="562"/>
      <c r="D124" s="551"/>
      <c r="E124" s="563"/>
      <c r="F124" s="553"/>
      <c r="G124" s="554"/>
      <c r="H124" s="554"/>
      <c r="I124" s="555"/>
      <c r="J124" s="567"/>
      <c r="K124" s="572"/>
      <c r="L124" s="569"/>
    </row>
    <row r="125" spans="1:12" s="559" customFormat="1" ht="15.75">
      <c r="A125" s="549"/>
      <c r="B125" s="561" t="s">
        <v>581</v>
      </c>
      <c r="C125" s="551"/>
      <c r="D125" s="551"/>
      <c r="E125" s="552"/>
      <c r="F125" s="553"/>
      <c r="G125" s="554"/>
      <c r="H125" s="554"/>
      <c r="I125" s="555"/>
      <c r="J125" s="556"/>
      <c r="K125" s="572"/>
      <c r="L125" s="569"/>
    </row>
    <row r="126" spans="1:12" s="559" customFormat="1" ht="15.75">
      <c r="A126" s="549"/>
      <c r="B126" s="561" t="s">
        <v>573</v>
      </c>
      <c r="C126" s="551"/>
      <c r="D126" s="551">
        <v>1</v>
      </c>
      <c r="E126" s="552">
        <v>12</v>
      </c>
      <c r="F126" s="553">
        <v>0.2</v>
      </c>
      <c r="G126" s="554">
        <v>1</v>
      </c>
      <c r="H126" s="554"/>
      <c r="I126" s="555"/>
      <c r="J126" s="556">
        <v>1</v>
      </c>
      <c r="K126" s="572">
        <f t="shared" ref="K126" si="16">+PRODUCT(D126:J126)</f>
        <v>2.4000000000000004</v>
      </c>
      <c r="L126" s="569"/>
    </row>
    <row r="127" spans="1:12" s="570" customFormat="1" ht="15.75">
      <c r="A127" s="560"/>
      <c r="B127" s="561"/>
      <c r="C127" s="562"/>
      <c r="D127" s="551"/>
      <c r="E127" s="563"/>
      <c r="F127" s="553"/>
      <c r="G127" s="554"/>
      <c r="H127" s="554"/>
      <c r="I127" s="566"/>
      <c r="J127" s="567"/>
      <c r="K127" s="568"/>
      <c r="L127" s="569"/>
    </row>
    <row r="128" spans="1:12" s="559" customFormat="1" ht="15.75">
      <c r="A128" s="549"/>
      <c r="B128" s="561" t="s">
        <v>582</v>
      </c>
      <c r="C128" s="551"/>
      <c r="D128" s="551"/>
      <c r="E128" s="552"/>
      <c r="F128" s="553"/>
      <c r="G128" s="554"/>
      <c r="H128" s="554"/>
      <c r="I128" s="555"/>
      <c r="J128" s="556"/>
      <c r="K128" s="572"/>
      <c r="L128" s="569"/>
    </row>
    <row r="129" spans="1:12" s="559" customFormat="1" ht="15.75">
      <c r="A129" s="549"/>
      <c r="B129" s="561" t="s">
        <v>573</v>
      </c>
      <c r="C129" s="551"/>
      <c r="D129" s="551">
        <v>1</v>
      </c>
      <c r="E129" s="552">
        <f>22.8/2</f>
        <v>11.4</v>
      </c>
      <c r="F129" s="553">
        <v>0.2</v>
      </c>
      <c r="G129" s="554">
        <v>1</v>
      </c>
      <c r="H129" s="554"/>
      <c r="I129" s="555"/>
      <c r="J129" s="556">
        <v>1</v>
      </c>
      <c r="K129" s="572">
        <f t="shared" ref="K129" si="17">+PRODUCT(D129:J129)</f>
        <v>2.2800000000000002</v>
      </c>
      <c r="L129" s="569"/>
    </row>
    <row r="130" spans="1:12" s="559" customFormat="1" ht="15.75">
      <c r="A130" s="549"/>
      <c r="B130" s="561"/>
      <c r="C130" s="551"/>
      <c r="D130" s="551"/>
      <c r="E130" s="552"/>
      <c r="F130" s="553"/>
      <c r="G130" s="554"/>
      <c r="H130" s="554"/>
      <c r="I130" s="555"/>
      <c r="J130" s="556"/>
      <c r="K130" s="572"/>
      <c r="L130" s="569"/>
    </row>
    <row r="131" spans="1:12" s="322" customFormat="1" ht="47.25">
      <c r="A131" s="315">
        <f>'02.1-ĐNTT'!A35</f>
        <v>19</v>
      </c>
      <c r="B131" s="316" t="str">
        <f>'02.1-ĐNTT'!B35</f>
        <v>Bê tông sản xuất qua dây chuyền trạm trộn tại hiện trường hoặc thương phẩm, đổ bằng bơm bê tông, bê tông sàn đáy bể mác M400#</v>
      </c>
      <c r="C131" s="317" t="str">
        <f>'02.1-ĐNTT'!C35</f>
        <v>m3</v>
      </c>
      <c r="D131" s="317"/>
      <c r="E131" s="318"/>
      <c r="F131" s="319"/>
      <c r="G131" s="320"/>
      <c r="H131" s="320"/>
      <c r="I131" s="471"/>
      <c r="J131" s="321"/>
      <c r="K131" s="488">
        <f>SUBTOTAL(9,K132:K180)</f>
        <v>312.15609061990119</v>
      </c>
      <c r="L131" s="335"/>
    </row>
    <row r="132" spans="1:12" s="584" customFormat="1" ht="15.75">
      <c r="A132" s="574"/>
      <c r="B132" s="575" t="s">
        <v>407</v>
      </c>
      <c r="C132" s="576"/>
      <c r="D132" s="576"/>
      <c r="E132" s="577"/>
      <c r="F132" s="578"/>
      <c r="G132" s="579"/>
      <c r="H132" s="579"/>
      <c r="I132" s="580"/>
      <c r="J132" s="581"/>
      <c r="K132" s="582"/>
      <c r="L132" s="583"/>
    </row>
    <row r="133" spans="1:12" s="559" customFormat="1" ht="15.75">
      <c r="A133" s="549"/>
      <c r="B133" s="561" t="s">
        <v>397</v>
      </c>
      <c r="C133" s="551"/>
      <c r="D133" s="551">
        <v>1</v>
      </c>
      <c r="E133" s="552"/>
      <c r="F133" s="553"/>
      <c r="G133" s="554">
        <v>0.15</v>
      </c>
      <c r="H133" s="554">
        <v>44.451999999999998</v>
      </c>
      <c r="I133" s="555"/>
      <c r="J133" s="556">
        <v>1</v>
      </c>
      <c r="K133" s="572">
        <f t="shared" ref="K133:K150" si="18">+PRODUCT(D133:J133)</f>
        <v>6.6677999999999997</v>
      </c>
      <c r="L133" s="569"/>
    </row>
    <row r="134" spans="1:12" s="559" customFormat="1" ht="15.75">
      <c r="A134" s="549"/>
      <c r="B134" s="561" t="s">
        <v>398</v>
      </c>
      <c r="C134" s="551"/>
      <c r="D134" s="551">
        <v>1</v>
      </c>
      <c r="E134" s="552"/>
      <c r="F134" s="553"/>
      <c r="G134" s="554">
        <v>0.2</v>
      </c>
      <c r="H134" s="554">
        <v>41.29</v>
      </c>
      <c r="I134" s="555"/>
      <c r="J134" s="556">
        <v>1</v>
      </c>
      <c r="K134" s="572">
        <f t="shared" si="18"/>
        <v>8.2580000000000009</v>
      </c>
      <c r="L134" s="569"/>
    </row>
    <row r="135" spans="1:12" s="559" customFormat="1" ht="15.75">
      <c r="A135" s="549"/>
      <c r="B135" s="561" t="s">
        <v>399</v>
      </c>
      <c r="C135" s="551"/>
      <c r="D135" s="551">
        <v>1</v>
      </c>
      <c r="E135" s="552"/>
      <c r="F135" s="553"/>
      <c r="G135" s="554">
        <v>0.2</v>
      </c>
      <c r="H135" s="554">
        <v>89.55</v>
      </c>
      <c r="I135" s="555"/>
      <c r="J135" s="556">
        <v>1</v>
      </c>
      <c r="K135" s="572">
        <f t="shared" si="18"/>
        <v>17.91</v>
      </c>
      <c r="L135" s="569"/>
    </row>
    <row r="136" spans="1:12" s="559" customFormat="1" ht="15.75">
      <c r="A136" s="549"/>
      <c r="B136" s="561" t="s">
        <v>400</v>
      </c>
      <c r="C136" s="551"/>
      <c r="D136" s="551">
        <v>1</v>
      </c>
      <c r="E136" s="552"/>
      <c r="F136" s="553"/>
      <c r="G136" s="554">
        <v>0.2</v>
      </c>
      <c r="H136" s="554">
        <v>385.03100000000001</v>
      </c>
      <c r="I136" s="555"/>
      <c r="J136" s="556">
        <v>1</v>
      </c>
      <c r="K136" s="572">
        <f t="shared" si="18"/>
        <v>77.006200000000007</v>
      </c>
      <c r="L136" s="569"/>
    </row>
    <row r="137" spans="1:12" s="559" customFormat="1" ht="15.75">
      <c r="A137" s="549"/>
      <c r="B137" s="561" t="s">
        <v>401</v>
      </c>
      <c r="C137" s="551"/>
      <c r="D137" s="551">
        <v>1</v>
      </c>
      <c r="E137" s="552"/>
      <c r="F137" s="553"/>
      <c r="G137" s="554">
        <v>0.2</v>
      </c>
      <c r="H137" s="554">
        <f>84.114+59.654</f>
        <v>143.768</v>
      </c>
      <c r="I137" s="555"/>
      <c r="J137" s="556">
        <v>1</v>
      </c>
      <c r="K137" s="572">
        <f t="shared" si="18"/>
        <v>28.753600000000002</v>
      </c>
      <c r="L137" s="569" t="str">
        <f ca="1">+_xlfn.FORMULATEXT(H137)</f>
        <v>=84,114+59,654</v>
      </c>
    </row>
    <row r="138" spans="1:12" s="559" customFormat="1" ht="15.75">
      <c r="A138" s="549"/>
      <c r="B138" s="561" t="s">
        <v>402</v>
      </c>
      <c r="C138" s="551"/>
      <c r="D138" s="551">
        <v>1</v>
      </c>
      <c r="E138" s="552"/>
      <c r="F138" s="553"/>
      <c r="G138" s="554">
        <v>0.2</v>
      </c>
      <c r="H138" s="554">
        <v>93.834000000000003</v>
      </c>
      <c r="I138" s="555"/>
      <c r="J138" s="556">
        <v>1</v>
      </c>
      <c r="K138" s="572">
        <f t="shared" si="18"/>
        <v>18.7668</v>
      </c>
      <c r="L138" s="569"/>
    </row>
    <row r="139" spans="1:12" s="559" customFormat="1" ht="15.75">
      <c r="A139" s="549"/>
      <c r="B139" s="561" t="s">
        <v>735</v>
      </c>
      <c r="C139" s="551"/>
      <c r="D139" s="551">
        <v>2</v>
      </c>
      <c r="E139" s="552"/>
      <c r="F139" s="553"/>
      <c r="G139" s="554">
        <v>0.15</v>
      </c>
      <c r="H139" s="554">
        <v>54.207999999999998</v>
      </c>
      <c r="I139" s="555"/>
      <c r="J139" s="556">
        <v>1</v>
      </c>
      <c r="K139" s="572">
        <f t="shared" ref="K139" si="19">+PRODUCT(D139:J139)</f>
        <v>16.2624</v>
      </c>
      <c r="L139" s="569"/>
    </row>
    <row r="140" spans="1:12" s="559" customFormat="1" ht="15.75">
      <c r="A140" s="549"/>
      <c r="B140" s="561" t="s">
        <v>737</v>
      </c>
      <c r="C140" s="551"/>
      <c r="D140" s="551">
        <v>1</v>
      </c>
      <c r="E140" s="552"/>
      <c r="F140" s="553"/>
      <c r="G140" s="554">
        <v>0.15</v>
      </c>
      <c r="H140" s="554">
        <v>7.141</v>
      </c>
      <c r="I140" s="555"/>
      <c r="J140" s="556">
        <v>1</v>
      </c>
      <c r="K140" s="572">
        <f t="shared" ref="K140" si="20">+PRODUCT(D140:J140)</f>
        <v>1.07115</v>
      </c>
      <c r="L140" s="569"/>
    </row>
    <row r="141" spans="1:12" s="559" customFormat="1" ht="15.75">
      <c r="A141" s="549"/>
      <c r="B141" s="561" t="s">
        <v>410</v>
      </c>
      <c r="C141" s="551"/>
      <c r="D141" s="551">
        <v>4</v>
      </c>
      <c r="E141" s="552"/>
      <c r="F141" s="553"/>
      <c r="G141" s="554">
        <v>0.2</v>
      </c>
      <c r="H141" s="554">
        <f>PI()*0.09*0.09/4</f>
        <v>6.3617251235193314E-3</v>
      </c>
      <c r="I141" s="555"/>
      <c r="J141" s="556">
        <v>-1</v>
      </c>
      <c r="K141" s="572">
        <f t="shared" si="18"/>
        <v>-5.0893800988154655E-3</v>
      </c>
      <c r="L141" s="569" t="str">
        <f ca="1">+_xlfn.FORMULATEXT(H141)</f>
        <v>=PI()*0,09*0,09/4</v>
      </c>
    </row>
    <row r="142" spans="1:12" s="559" customFormat="1" ht="15.75">
      <c r="A142" s="549"/>
      <c r="B142" s="575" t="s">
        <v>479</v>
      </c>
      <c r="C142" s="551"/>
      <c r="D142" s="551"/>
      <c r="E142" s="552"/>
      <c r="F142" s="553"/>
      <c r="G142" s="554"/>
      <c r="H142" s="554"/>
      <c r="I142" s="555"/>
      <c r="J142" s="556"/>
      <c r="K142" s="572"/>
      <c r="L142" s="569"/>
    </row>
    <row r="143" spans="1:12" s="559" customFormat="1" ht="15.75">
      <c r="A143" s="549"/>
      <c r="B143" s="561" t="s">
        <v>480</v>
      </c>
      <c r="C143" s="551"/>
      <c r="D143" s="551">
        <v>1</v>
      </c>
      <c r="E143" s="552"/>
      <c r="F143" s="553"/>
      <c r="G143" s="554">
        <v>0.15</v>
      </c>
      <c r="H143" s="554">
        <v>54.515999999999998</v>
      </c>
      <c r="I143" s="555"/>
      <c r="J143" s="556">
        <v>1</v>
      </c>
      <c r="K143" s="572">
        <f t="shared" si="18"/>
        <v>8.1773999999999987</v>
      </c>
      <c r="L143" s="569"/>
    </row>
    <row r="144" spans="1:12" s="559" customFormat="1" ht="15.75">
      <c r="A144" s="549"/>
      <c r="B144" s="561" t="s">
        <v>485</v>
      </c>
      <c r="C144" s="551"/>
      <c r="D144" s="551">
        <v>1</v>
      </c>
      <c r="E144" s="552"/>
      <c r="F144" s="553"/>
      <c r="G144" s="554">
        <v>0.12</v>
      </c>
      <c r="H144" s="554">
        <v>26.489000000000001</v>
      </c>
      <c r="I144" s="555"/>
      <c r="J144" s="556">
        <v>1</v>
      </c>
      <c r="K144" s="572">
        <f t="shared" si="18"/>
        <v>3.1786799999999999</v>
      </c>
      <c r="L144" s="569"/>
    </row>
    <row r="145" spans="1:12" s="559" customFormat="1" ht="15.75">
      <c r="A145" s="549"/>
      <c r="B145" s="561"/>
      <c r="C145" s="551"/>
      <c r="D145" s="551"/>
      <c r="E145" s="552"/>
      <c r="F145" s="553"/>
      <c r="G145" s="554"/>
      <c r="H145" s="554"/>
      <c r="I145" s="555"/>
      <c r="J145" s="556"/>
      <c r="K145" s="572"/>
      <c r="L145" s="569"/>
    </row>
    <row r="146" spans="1:12" s="559" customFormat="1" ht="15.75">
      <c r="A146" s="549"/>
      <c r="B146" s="561" t="s">
        <v>484</v>
      </c>
      <c r="C146" s="551"/>
      <c r="D146" s="551">
        <v>1</v>
      </c>
      <c r="E146" s="552"/>
      <c r="F146" s="553"/>
      <c r="G146" s="554">
        <v>0.15</v>
      </c>
      <c r="H146" s="554">
        <v>121.18300000000001</v>
      </c>
      <c r="I146" s="555"/>
      <c r="J146" s="556">
        <v>1</v>
      </c>
      <c r="K146" s="572">
        <f t="shared" si="18"/>
        <v>18.17745</v>
      </c>
      <c r="L146" s="569"/>
    </row>
    <row r="147" spans="1:12" s="559" customFormat="1" ht="15.75">
      <c r="A147" s="549"/>
      <c r="B147" s="561" t="s">
        <v>486</v>
      </c>
      <c r="C147" s="551"/>
      <c r="D147" s="551">
        <v>1</v>
      </c>
      <c r="E147" s="552"/>
      <c r="F147" s="553"/>
      <c r="G147" s="554">
        <v>0.12</v>
      </c>
      <c r="H147" s="554">
        <v>38.44</v>
      </c>
      <c r="I147" s="555"/>
      <c r="J147" s="556">
        <v>1</v>
      </c>
      <c r="K147" s="572">
        <f t="shared" ref="K147" si="21">+PRODUCT(D147:J147)</f>
        <v>4.6127999999999991</v>
      </c>
      <c r="L147" s="569"/>
    </row>
    <row r="148" spans="1:12" s="559" customFormat="1" ht="15.75">
      <c r="A148" s="549"/>
      <c r="B148" s="561"/>
      <c r="C148" s="551"/>
      <c r="D148" s="551"/>
      <c r="E148" s="552"/>
      <c r="F148" s="553"/>
      <c r="G148" s="554"/>
      <c r="H148" s="554"/>
      <c r="I148" s="555"/>
      <c r="J148" s="556"/>
      <c r="K148" s="572"/>
      <c r="L148" s="569"/>
    </row>
    <row r="149" spans="1:12" s="559" customFormat="1" ht="15.75">
      <c r="A149" s="549"/>
      <c r="B149" s="561" t="s">
        <v>481</v>
      </c>
      <c r="C149" s="551"/>
      <c r="D149" s="551">
        <v>1</v>
      </c>
      <c r="E149" s="552"/>
      <c r="F149" s="553"/>
      <c r="G149" s="554">
        <v>0.15</v>
      </c>
      <c r="H149" s="554">
        <v>76.861000000000004</v>
      </c>
      <c r="I149" s="555"/>
      <c r="J149" s="556">
        <v>1</v>
      </c>
      <c r="K149" s="572">
        <f t="shared" si="18"/>
        <v>11.52915</v>
      </c>
      <c r="L149" s="569"/>
    </row>
    <row r="150" spans="1:12" s="559" customFormat="1" ht="15.75">
      <c r="A150" s="549"/>
      <c r="B150" s="561" t="s">
        <v>487</v>
      </c>
      <c r="C150" s="551"/>
      <c r="D150" s="551">
        <v>1</v>
      </c>
      <c r="E150" s="552"/>
      <c r="F150" s="553"/>
      <c r="G150" s="554">
        <v>0.12</v>
      </c>
      <c r="H150" s="554">
        <v>35.783000000000001</v>
      </c>
      <c r="I150" s="555"/>
      <c r="J150" s="556">
        <v>1</v>
      </c>
      <c r="K150" s="572">
        <f t="shared" si="18"/>
        <v>4.2939600000000002</v>
      </c>
      <c r="L150" s="569"/>
    </row>
    <row r="151" spans="1:12" s="559" customFormat="1" ht="15.75">
      <c r="A151" s="549"/>
      <c r="B151" s="561"/>
      <c r="C151" s="551"/>
      <c r="D151" s="551"/>
      <c r="E151" s="552"/>
      <c r="F151" s="553"/>
      <c r="G151" s="554"/>
      <c r="H151" s="554"/>
      <c r="I151" s="555"/>
      <c r="J151" s="556"/>
      <c r="K151" s="572"/>
      <c r="L151" s="569"/>
    </row>
    <row r="152" spans="1:12" s="559" customFormat="1" ht="15.75">
      <c r="A152" s="549"/>
      <c r="B152" s="561" t="s">
        <v>482</v>
      </c>
      <c r="C152" s="551"/>
      <c r="D152" s="551">
        <v>1</v>
      </c>
      <c r="E152" s="552"/>
      <c r="F152" s="553"/>
      <c r="G152" s="554">
        <v>0.15</v>
      </c>
      <c r="H152" s="554">
        <v>64.986000000000004</v>
      </c>
      <c r="I152" s="555"/>
      <c r="J152" s="556">
        <v>1</v>
      </c>
      <c r="K152" s="572">
        <f t="shared" ref="K152:K155" si="22">+PRODUCT(D152:J152)</f>
        <v>9.7478999999999996</v>
      </c>
      <c r="L152" s="569"/>
    </row>
    <row r="153" spans="1:12" s="559" customFormat="1" ht="15.75">
      <c r="A153" s="549"/>
      <c r="B153" s="561" t="s">
        <v>566</v>
      </c>
      <c r="C153" s="551"/>
      <c r="D153" s="551">
        <v>1</v>
      </c>
      <c r="E153" s="552"/>
      <c r="F153" s="553"/>
      <c r="G153" s="554">
        <v>0.12</v>
      </c>
      <c r="H153" s="554">
        <v>32.616999999999997</v>
      </c>
      <c r="I153" s="555"/>
      <c r="J153" s="556">
        <v>1</v>
      </c>
      <c r="K153" s="572">
        <f t="shared" si="22"/>
        <v>3.9140399999999995</v>
      </c>
      <c r="L153" s="569"/>
    </row>
    <row r="154" spans="1:12" s="559" customFormat="1" ht="15.75">
      <c r="A154" s="549"/>
      <c r="B154" s="561"/>
      <c r="C154" s="551"/>
      <c r="D154" s="551"/>
      <c r="E154" s="552"/>
      <c r="F154" s="553"/>
      <c r="G154" s="554"/>
      <c r="H154" s="554"/>
      <c r="I154" s="555"/>
      <c r="J154" s="556"/>
      <c r="K154" s="572"/>
      <c r="L154" s="569"/>
    </row>
    <row r="155" spans="1:12" s="559" customFormat="1" ht="15.75">
      <c r="A155" s="549"/>
      <c r="B155" s="561" t="s">
        <v>483</v>
      </c>
      <c r="C155" s="551"/>
      <c r="D155" s="551">
        <v>1</v>
      </c>
      <c r="E155" s="552"/>
      <c r="F155" s="553"/>
      <c r="G155" s="554">
        <v>0.15</v>
      </c>
      <c r="H155" s="554">
        <v>52.451999999999998</v>
      </c>
      <c r="I155" s="555"/>
      <c r="J155" s="556">
        <v>1</v>
      </c>
      <c r="K155" s="572">
        <f t="shared" si="22"/>
        <v>7.867799999999999</v>
      </c>
      <c r="L155" s="569"/>
    </row>
    <row r="156" spans="1:12" s="559" customFormat="1" ht="15.75">
      <c r="A156" s="549"/>
      <c r="B156" s="561" t="s">
        <v>567</v>
      </c>
      <c r="C156" s="551"/>
      <c r="D156" s="551">
        <v>1</v>
      </c>
      <c r="E156" s="552"/>
      <c r="F156" s="553"/>
      <c r="G156" s="554">
        <v>0.12</v>
      </c>
      <c r="H156" s="554">
        <v>27.492999999999999</v>
      </c>
      <c r="I156" s="555"/>
      <c r="J156" s="556">
        <v>1</v>
      </c>
      <c r="K156" s="572">
        <f t="shared" ref="K156" si="23">+PRODUCT(D156:J156)</f>
        <v>3.2991599999999996</v>
      </c>
      <c r="L156" s="569"/>
    </row>
    <row r="157" spans="1:12" s="559" customFormat="1" ht="15.75">
      <c r="A157" s="549"/>
      <c r="B157" s="561"/>
      <c r="C157" s="551"/>
      <c r="D157" s="551"/>
      <c r="E157" s="552"/>
      <c r="F157" s="553"/>
      <c r="G157" s="554"/>
      <c r="H157" s="554"/>
      <c r="I157" s="555"/>
      <c r="J157" s="556"/>
      <c r="K157" s="572"/>
      <c r="L157" s="569"/>
    </row>
    <row r="158" spans="1:12" s="559" customFormat="1" ht="15.75">
      <c r="A158" s="549"/>
      <c r="B158" s="561" t="s">
        <v>484</v>
      </c>
      <c r="C158" s="551"/>
      <c r="D158" s="551">
        <v>1</v>
      </c>
      <c r="E158" s="552"/>
      <c r="F158" s="553"/>
      <c r="G158" s="554">
        <v>0.15</v>
      </c>
      <c r="H158" s="554">
        <v>121.18300000000001</v>
      </c>
      <c r="I158" s="555"/>
      <c r="J158" s="556">
        <v>1</v>
      </c>
      <c r="K158" s="572">
        <f t="shared" ref="K158:K159" si="24">+PRODUCT(D158:J158)</f>
        <v>18.17745</v>
      </c>
      <c r="L158" s="569"/>
    </row>
    <row r="159" spans="1:12" s="559" customFormat="1" ht="15.75">
      <c r="A159" s="549"/>
      <c r="B159" s="561" t="s">
        <v>486</v>
      </c>
      <c r="C159" s="551"/>
      <c r="D159" s="551">
        <v>1</v>
      </c>
      <c r="E159" s="552"/>
      <c r="F159" s="553"/>
      <c r="G159" s="554">
        <v>0.12</v>
      </c>
      <c r="H159" s="554">
        <v>38.44</v>
      </c>
      <c r="I159" s="555"/>
      <c r="J159" s="556">
        <v>1</v>
      </c>
      <c r="K159" s="572">
        <f t="shared" si="24"/>
        <v>4.6127999999999991</v>
      </c>
      <c r="L159" s="569"/>
    </row>
    <row r="160" spans="1:12" s="559" customFormat="1" ht="15.75">
      <c r="A160" s="549"/>
      <c r="B160" s="561"/>
      <c r="C160" s="551"/>
      <c r="D160" s="551"/>
      <c r="E160" s="552"/>
      <c r="F160" s="553"/>
      <c r="G160" s="554"/>
      <c r="H160" s="554"/>
      <c r="I160" s="555"/>
      <c r="J160" s="556"/>
      <c r="K160" s="572"/>
      <c r="L160" s="569"/>
    </row>
    <row r="161" spans="1:12" s="559" customFormat="1" ht="15.75">
      <c r="A161" s="549"/>
      <c r="B161" s="561" t="s">
        <v>568</v>
      </c>
      <c r="C161" s="551"/>
      <c r="D161" s="551">
        <v>1</v>
      </c>
      <c r="E161" s="552"/>
      <c r="F161" s="553"/>
      <c r="G161" s="554">
        <v>0.15</v>
      </c>
      <c r="H161" s="554">
        <v>71.091999999999999</v>
      </c>
      <c r="I161" s="555"/>
      <c r="J161" s="556">
        <v>1</v>
      </c>
      <c r="K161" s="572">
        <f t="shared" ref="K161:K162" si="25">+PRODUCT(D161:J161)</f>
        <v>10.6638</v>
      </c>
      <c r="L161" s="569"/>
    </row>
    <row r="162" spans="1:12" s="559" customFormat="1" ht="15.75">
      <c r="A162" s="549"/>
      <c r="B162" s="561" t="s">
        <v>569</v>
      </c>
      <c r="C162" s="551"/>
      <c r="D162" s="551">
        <v>1</v>
      </c>
      <c r="E162" s="552"/>
      <c r="F162" s="553"/>
      <c r="G162" s="554">
        <v>0.12</v>
      </c>
      <c r="H162" s="554">
        <v>42.131</v>
      </c>
      <c r="I162" s="555"/>
      <c r="J162" s="556">
        <v>1</v>
      </c>
      <c r="K162" s="572">
        <f t="shared" si="25"/>
        <v>5.05572</v>
      </c>
      <c r="L162" s="569"/>
    </row>
    <row r="163" spans="1:12" s="559" customFormat="1" ht="15.75">
      <c r="A163" s="549"/>
      <c r="B163" s="561"/>
      <c r="C163" s="551"/>
      <c r="D163" s="551"/>
      <c r="E163" s="552"/>
      <c r="F163" s="553"/>
      <c r="G163" s="554"/>
      <c r="H163" s="554"/>
      <c r="I163" s="555"/>
      <c r="J163" s="556"/>
      <c r="K163" s="572"/>
      <c r="L163" s="569"/>
    </row>
    <row r="164" spans="1:12" s="559" customFormat="1" ht="15.75">
      <c r="A164" s="549"/>
      <c r="B164" s="561" t="s">
        <v>570</v>
      </c>
      <c r="C164" s="551"/>
      <c r="D164" s="551">
        <v>1</v>
      </c>
      <c r="E164" s="552"/>
      <c r="F164" s="553"/>
      <c r="G164" s="554">
        <v>0.15</v>
      </c>
      <c r="H164" s="554">
        <v>67.537999999999997</v>
      </c>
      <c r="I164" s="555"/>
      <c r="J164" s="556">
        <v>1</v>
      </c>
      <c r="K164" s="572">
        <f t="shared" ref="K164:K165" si="26">+PRODUCT(D164:J164)</f>
        <v>10.130699999999999</v>
      </c>
      <c r="L164" s="569"/>
    </row>
    <row r="165" spans="1:12" s="559" customFormat="1" ht="15.75">
      <c r="A165" s="549"/>
      <c r="B165" s="561" t="s">
        <v>571</v>
      </c>
      <c r="C165" s="551"/>
      <c r="D165" s="551">
        <v>1</v>
      </c>
      <c r="E165" s="552"/>
      <c r="F165" s="553"/>
      <c r="G165" s="554">
        <v>0.12</v>
      </c>
      <c r="H165" s="554">
        <v>32.716000000000001</v>
      </c>
      <c r="I165" s="555"/>
      <c r="J165" s="556">
        <v>1</v>
      </c>
      <c r="K165" s="572">
        <f t="shared" si="26"/>
        <v>3.9259200000000001</v>
      </c>
      <c r="L165" s="569"/>
    </row>
    <row r="166" spans="1:12" s="559" customFormat="1" ht="15.75">
      <c r="A166" s="549"/>
      <c r="B166" s="561"/>
      <c r="C166" s="551"/>
      <c r="D166" s="551"/>
      <c r="E166" s="552"/>
      <c r="F166" s="553"/>
      <c r="G166" s="554"/>
      <c r="H166" s="554"/>
      <c r="I166" s="555"/>
      <c r="J166" s="556"/>
      <c r="K166" s="572"/>
      <c r="L166" s="569"/>
    </row>
    <row r="167" spans="1:12" s="559" customFormat="1" ht="15.75">
      <c r="A167" s="549"/>
      <c r="B167" s="561" t="s">
        <v>577</v>
      </c>
      <c r="C167" s="551"/>
      <c r="D167" s="551">
        <v>6</v>
      </c>
      <c r="E167" s="552"/>
      <c r="F167" s="553"/>
      <c r="G167" s="554">
        <v>0.15</v>
      </c>
      <c r="H167" s="554">
        <v>5.125</v>
      </c>
      <c r="I167" s="555"/>
      <c r="J167" s="556">
        <v>1</v>
      </c>
      <c r="K167" s="572">
        <f>+PRODUCT(D167:J167)</f>
        <v>4.6124999999999998</v>
      </c>
      <c r="L167" s="569"/>
    </row>
    <row r="168" spans="1:12" s="559" customFormat="1" ht="15.75">
      <c r="A168" s="549"/>
      <c r="B168" s="561"/>
      <c r="C168" s="551"/>
      <c r="D168" s="551"/>
      <c r="E168" s="552"/>
      <c r="F168" s="553"/>
      <c r="G168" s="554"/>
      <c r="H168" s="554"/>
      <c r="I168" s="555"/>
      <c r="J168" s="556"/>
      <c r="K168" s="572"/>
      <c r="L168" s="569"/>
    </row>
    <row r="169" spans="1:12" s="559" customFormat="1" ht="15.75">
      <c r="A169" s="549"/>
      <c r="B169" s="561" t="s">
        <v>581</v>
      </c>
      <c r="C169" s="551"/>
      <c r="D169" s="551"/>
      <c r="E169" s="552"/>
      <c r="F169" s="553"/>
      <c r="G169" s="554"/>
      <c r="H169" s="554"/>
      <c r="I169" s="555"/>
      <c r="J169" s="556"/>
      <c r="K169" s="572"/>
      <c r="L169" s="569"/>
    </row>
    <row r="170" spans="1:12" s="559" customFormat="1" ht="15.75">
      <c r="A170" s="549"/>
      <c r="B170" s="561" t="s">
        <v>572</v>
      </c>
      <c r="C170" s="551"/>
      <c r="D170" s="551">
        <v>1</v>
      </c>
      <c r="E170" s="552">
        <v>4.0999999999999996</v>
      </c>
      <c r="F170" s="553">
        <v>2.2999999999999998</v>
      </c>
      <c r="G170" s="554">
        <v>0.12</v>
      </c>
      <c r="H170" s="554"/>
      <c r="I170" s="555"/>
      <c r="J170" s="556">
        <v>1</v>
      </c>
      <c r="K170" s="572">
        <f t="shared" ref="K170:K173" si="27">+PRODUCT(D170:J170)</f>
        <v>1.1315999999999997</v>
      </c>
      <c r="L170" s="569"/>
    </row>
    <row r="171" spans="1:12" s="559" customFormat="1" ht="15.75">
      <c r="A171" s="549"/>
      <c r="B171" s="561" t="s">
        <v>574</v>
      </c>
      <c r="C171" s="551"/>
      <c r="D171" s="551">
        <v>1</v>
      </c>
      <c r="E171" s="552">
        <v>4.0999999999999996</v>
      </c>
      <c r="F171" s="553">
        <v>2.2999999999999998</v>
      </c>
      <c r="G171" s="554">
        <v>0.2</v>
      </c>
      <c r="H171" s="554"/>
      <c r="I171" s="555"/>
      <c r="J171" s="556">
        <v>1</v>
      </c>
      <c r="K171" s="572">
        <f t="shared" si="27"/>
        <v>1.8859999999999997</v>
      </c>
      <c r="L171" s="569"/>
    </row>
    <row r="172" spans="1:12" s="559" customFormat="1" ht="15.75">
      <c r="A172" s="549"/>
      <c r="B172" s="561" t="s">
        <v>576</v>
      </c>
      <c r="C172" s="551"/>
      <c r="D172" s="551">
        <v>1</v>
      </c>
      <c r="E172" s="552">
        <v>4</v>
      </c>
      <c r="F172" s="553">
        <v>0.2</v>
      </c>
      <c r="G172" s="554">
        <v>0.12</v>
      </c>
      <c r="H172" s="554"/>
      <c r="I172" s="555"/>
      <c r="J172" s="556">
        <v>1</v>
      </c>
      <c r="K172" s="572">
        <f t="shared" si="27"/>
        <v>9.6000000000000002E-2</v>
      </c>
      <c r="L172" s="569"/>
    </row>
    <row r="173" spans="1:12" s="559" customFormat="1" ht="15.75">
      <c r="A173" s="549"/>
      <c r="B173" s="561" t="s">
        <v>575</v>
      </c>
      <c r="C173" s="551"/>
      <c r="D173" s="551">
        <v>1</v>
      </c>
      <c r="E173" s="552">
        <v>0.8</v>
      </c>
      <c r="F173" s="553">
        <v>0.8</v>
      </c>
      <c r="G173" s="554">
        <v>0.2</v>
      </c>
      <c r="H173" s="554"/>
      <c r="I173" s="555"/>
      <c r="J173" s="556">
        <v>-1</v>
      </c>
      <c r="K173" s="572">
        <f t="shared" si="27"/>
        <v>-0.12800000000000003</v>
      </c>
      <c r="L173" s="569"/>
    </row>
    <row r="174" spans="1:12" s="559" customFormat="1" ht="15.75">
      <c r="A174" s="549"/>
      <c r="B174" s="561"/>
      <c r="C174" s="551"/>
      <c r="D174" s="551"/>
      <c r="E174" s="552"/>
      <c r="F174" s="553"/>
      <c r="G174" s="554"/>
      <c r="H174" s="554"/>
      <c r="I174" s="555"/>
      <c r="J174" s="556"/>
      <c r="K174" s="572"/>
      <c r="L174" s="569"/>
    </row>
    <row r="175" spans="1:12" s="559" customFormat="1" ht="15.75">
      <c r="A175" s="549"/>
      <c r="B175" s="561" t="s">
        <v>582</v>
      </c>
      <c r="C175" s="551"/>
      <c r="D175" s="551"/>
      <c r="E175" s="552"/>
      <c r="F175" s="553"/>
      <c r="G175" s="554"/>
      <c r="H175" s="554"/>
      <c r="I175" s="555"/>
      <c r="J175" s="556"/>
      <c r="K175" s="572"/>
      <c r="L175" s="569"/>
    </row>
    <row r="176" spans="1:12" s="559" customFormat="1" ht="15.75">
      <c r="A176" s="549"/>
      <c r="B176" s="561" t="s">
        <v>572</v>
      </c>
      <c r="C176" s="551"/>
      <c r="D176" s="551">
        <v>1</v>
      </c>
      <c r="E176" s="552">
        <v>2.4</v>
      </c>
      <c r="F176" s="553">
        <v>3.3</v>
      </c>
      <c r="G176" s="554">
        <v>0.12</v>
      </c>
      <c r="H176" s="554"/>
      <c r="I176" s="555"/>
      <c r="J176" s="556">
        <v>1</v>
      </c>
      <c r="K176" s="572">
        <f t="shared" ref="K176:K179" si="28">+PRODUCT(D176:J176)</f>
        <v>0.9503999999999998</v>
      </c>
      <c r="L176" s="569"/>
    </row>
    <row r="177" spans="1:12" s="559" customFormat="1" ht="15.75">
      <c r="A177" s="549"/>
      <c r="B177" s="561" t="s">
        <v>574</v>
      </c>
      <c r="C177" s="551"/>
      <c r="D177" s="551">
        <v>1</v>
      </c>
      <c r="E177" s="552">
        <f>+E176</f>
        <v>2.4</v>
      </c>
      <c r="F177" s="553">
        <f>+F176</f>
        <v>3.3</v>
      </c>
      <c r="G177" s="554">
        <v>0.2</v>
      </c>
      <c r="H177" s="554"/>
      <c r="I177" s="555"/>
      <c r="J177" s="556">
        <v>1</v>
      </c>
      <c r="K177" s="572">
        <f t="shared" si="28"/>
        <v>1.5839999999999999</v>
      </c>
      <c r="L177" s="569"/>
    </row>
    <row r="178" spans="1:12" s="559" customFormat="1" ht="15.75">
      <c r="A178" s="549"/>
      <c r="B178" s="561" t="s">
        <v>576</v>
      </c>
      <c r="C178" s="551"/>
      <c r="D178" s="551">
        <v>1</v>
      </c>
      <c r="E178" s="552">
        <v>4</v>
      </c>
      <c r="F178" s="553">
        <v>0.2</v>
      </c>
      <c r="G178" s="554">
        <v>0.12</v>
      </c>
      <c r="H178" s="554"/>
      <c r="I178" s="555"/>
      <c r="J178" s="556">
        <v>1</v>
      </c>
      <c r="K178" s="572">
        <f t="shared" si="28"/>
        <v>9.6000000000000002E-2</v>
      </c>
      <c r="L178" s="569"/>
    </row>
    <row r="179" spans="1:12" s="559" customFormat="1" ht="15.75">
      <c r="A179" s="549"/>
      <c r="B179" s="561" t="s">
        <v>575</v>
      </c>
      <c r="C179" s="551"/>
      <c r="D179" s="551">
        <v>1</v>
      </c>
      <c r="E179" s="552">
        <v>0.8</v>
      </c>
      <c r="F179" s="553">
        <v>0.8</v>
      </c>
      <c r="G179" s="554">
        <v>0.2</v>
      </c>
      <c r="H179" s="554"/>
      <c r="I179" s="555"/>
      <c r="J179" s="556">
        <v>-1</v>
      </c>
      <c r="K179" s="572">
        <f t="shared" si="28"/>
        <v>-0.12800000000000003</v>
      </c>
      <c r="L179" s="569"/>
    </row>
    <row r="180" spans="1:12" s="559" customFormat="1" ht="15.75">
      <c r="A180" s="549"/>
      <c r="B180" s="561"/>
      <c r="C180" s="551"/>
      <c r="D180" s="551"/>
      <c r="E180" s="552"/>
      <c r="F180" s="553"/>
      <c r="G180" s="554"/>
      <c r="H180" s="554"/>
      <c r="I180" s="555"/>
      <c r="J180" s="556"/>
      <c r="K180" s="572"/>
      <c r="L180" s="569"/>
    </row>
    <row r="181" spans="1:12" s="322" customFormat="1" ht="15.75">
      <c r="A181" s="315">
        <f>'02.1-ĐNTT'!A36</f>
        <v>20</v>
      </c>
      <c r="B181" s="316" t="str">
        <f>'02.1-ĐNTT'!B36</f>
        <v>Bê tông rãnh thoát nước B200 mác M400#</v>
      </c>
      <c r="C181" s="317" t="str">
        <f>'02.1-ĐNTT'!C36</f>
        <v>m3</v>
      </c>
      <c r="D181" s="317"/>
      <c r="E181" s="318"/>
      <c r="F181" s="319"/>
      <c r="G181" s="320"/>
      <c r="H181" s="320"/>
      <c r="I181" s="471"/>
      <c r="J181" s="321"/>
      <c r="K181" s="487"/>
      <c r="L181" s="335"/>
    </row>
    <row r="182" spans="1:12" s="154" customFormat="1" ht="15.75">
      <c r="A182" s="314" t="str">
        <f>'02.1-ĐNTT'!A37</f>
        <v>III</v>
      </c>
      <c r="B182" s="204" t="str">
        <f>'02.1-ĐNTT'!B37</f>
        <v>CÔNG TÁC VÁN KHUÔN</v>
      </c>
      <c r="C182" s="205"/>
      <c r="D182" s="205"/>
      <c r="E182" s="155"/>
      <c r="F182" s="156"/>
      <c r="G182" s="192"/>
      <c r="H182" s="192"/>
      <c r="I182" s="470"/>
      <c r="J182" s="206"/>
      <c r="K182" s="486"/>
      <c r="L182" s="334"/>
    </row>
    <row r="183" spans="1:12" s="322" customFormat="1" ht="15.75">
      <c r="A183" s="315">
        <f>'02.1-ĐNTT'!A38</f>
        <v>21</v>
      </c>
      <c r="B183" s="316" t="str">
        <f>'02.1-ĐNTT'!B38</f>
        <v>Ván khuôn dầm bể</v>
      </c>
      <c r="C183" s="317" t="str">
        <f>'02.1-ĐNTT'!C38</f>
        <v>m2</v>
      </c>
      <c r="D183" s="317"/>
      <c r="E183" s="318"/>
      <c r="F183" s="319"/>
      <c r="G183" s="320"/>
      <c r="H183" s="320"/>
      <c r="I183" s="471"/>
      <c r="J183" s="321"/>
      <c r="K183" s="488">
        <f>SUBTOTAL(9,K184:K218)</f>
        <v>145.93260000000001</v>
      </c>
      <c r="L183" s="335"/>
    </row>
    <row r="184" spans="1:12" s="584" customFormat="1" ht="15.75">
      <c r="A184" s="574"/>
      <c r="B184" s="575" t="str">
        <f t="shared" ref="B184:B215" si="29">+B30</f>
        <v>Dầm bể bơi trục B18-B27</v>
      </c>
      <c r="C184" s="576"/>
      <c r="D184" s="576"/>
      <c r="E184" s="577"/>
      <c r="F184" s="578"/>
      <c r="G184" s="579"/>
      <c r="H184" s="579"/>
      <c r="I184" s="580"/>
      <c r="J184" s="581"/>
      <c r="K184" s="582"/>
      <c r="L184" s="583"/>
    </row>
    <row r="185" spans="1:12" s="559" customFormat="1" ht="15.75">
      <c r="A185" s="549"/>
      <c r="B185" s="575" t="str">
        <f t="shared" si="29"/>
        <v>+ BC1</v>
      </c>
      <c r="C185" s="551"/>
      <c r="D185" s="551">
        <f t="shared" ref="D185:E192" si="30">+D31</f>
        <v>1</v>
      </c>
      <c r="E185" s="603">
        <f t="shared" si="30"/>
        <v>33.085000000000001</v>
      </c>
      <c r="F185" s="602"/>
      <c r="G185" s="554">
        <f t="shared" ref="G185:G192" si="31">+G31</f>
        <v>0.25</v>
      </c>
      <c r="H185" s="554"/>
      <c r="I185" s="555"/>
      <c r="J185" s="556">
        <v>2</v>
      </c>
      <c r="K185" s="572">
        <f>+PRODUCT(D185:J185)</f>
        <v>16.5425</v>
      </c>
      <c r="L185" s="569"/>
    </row>
    <row r="186" spans="1:12" s="559" customFormat="1" ht="15.75">
      <c r="A186" s="549"/>
      <c r="B186" s="575" t="str">
        <f t="shared" si="29"/>
        <v>+ BC2</v>
      </c>
      <c r="C186" s="551"/>
      <c r="D186" s="551">
        <f t="shared" si="30"/>
        <v>1</v>
      </c>
      <c r="E186" s="603">
        <f t="shared" si="30"/>
        <v>23.344999999999999</v>
      </c>
      <c r="F186" s="553"/>
      <c r="G186" s="554">
        <f t="shared" si="31"/>
        <v>0.41</v>
      </c>
      <c r="H186" s="554"/>
      <c r="I186" s="555"/>
      <c r="J186" s="556">
        <v>2</v>
      </c>
      <c r="K186" s="572">
        <f t="shared" ref="K186:K214" si="32">+PRODUCT(D186:J186)</f>
        <v>19.142899999999997</v>
      </c>
      <c r="L186" s="569"/>
    </row>
    <row r="187" spans="1:12" s="559" customFormat="1" ht="15.75">
      <c r="A187" s="549"/>
      <c r="B187" s="575" t="str">
        <f t="shared" si="29"/>
        <v>+ BC1.1</v>
      </c>
      <c r="C187" s="551"/>
      <c r="D187" s="551">
        <f t="shared" si="30"/>
        <v>1</v>
      </c>
      <c r="E187" s="603">
        <f t="shared" si="30"/>
        <v>16.695</v>
      </c>
      <c r="F187" s="553"/>
      <c r="G187" s="554">
        <f t="shared" si="31"/>
        <v>8.9999999999999969E-2</v>
      </c>
      <c r="H187" s="554"/>
      <c r="I187" s="555"/>
      <c r="J187" s="556">
        <v>2</v>
      </c>
      <c r="K187" s="572">
        <f t="shared" si="32"/>
        <v>3.0050999999999992</v>
      </c>
      <c r="L187" s="569"/>
    </row>
    <row r="188" spans="1:12" s="559" customFormat="1" ht="15.75">
      <c r="A188" s="549"/>
      <c r="B188" s="575" t="str">
        <f t="shared" si="29"/>
        <v>+ BC1.2</v>
      </c>
      <c r="C188" s="551"/>
      <c r="D188" s="551">
        <f t="shared" si="30"/>
        <v>1</v>
      </c>
      <c r="E188" s="603">
        <f t="shared" si="30"/>
        <v>20.45</v>
      </c>
      <c r="F188" s="553"/>
      <c r="G188" s="554">
        <f t="shared" si="31"/>
        <v>8.9999999999999969E-2</v>
      </c>
      <c r="H188" s="554"/>
      <c r="I188" s="555"/>
      <c r="J188" s="556">
        <v>2</v>
      </c>
      <c r="K188" s="572">
        <f>+PRODUCT(D188:J188)</f>
        <v>3.6809999999999987</v>
      </c>
      <c r="L188" s="569"/>
    </row>
    <row r="189" spans="1:12" s="559" customFormat="1" ht="15.75">
      <c r="A189" s="549"/>
      <c r="B189" s="575" t="str">
        <f t="shared" si="29"/>
        <v>+ BC1.3</v>
      </c>
      <c r="C189" s="551"/>
      <c r="D189" s="551">
        <f t="shared" si="30"/>
        <v>1</v>
      </c>
      <c r="E189" s="603">
        <f t="shared" si="30"/>
        <v>14.219999999999999</v>
      </c>
      <c r="F189" s="553"/>
      <c r="G189" s="554">
        <f t="shared" si="31"/>
        <v>8.9999999999999969E-2</v>
      </c>
      <c r="H189" s="554"/>
      <c r="I189" s="555"/>
      <c r="J189" s="556">
        <v>2</v>
      </c>
      <c r="K189" s="572">
        <f>+PRODUCT(D189:J189)</f>
        <v>2.5595999999999988</v>
      </c>
      <c r="L189" s="569"/>
    </row>
    <row r="190" spans="1:12" s="559" customFormat="1" ht="15.75">
      <c r="A190" s="549"/>
      <c r="B190" s="575" t="str">
        <f t="shared" si="29"/>
        <v>+ BC1.4</v>
      </c>
      <c r="C190" s="551"/>
      <c r="D190" s="551">
        <f t="shared" si="30"/>
        <v>1</v>
      </c>
      <c r="E190" s="603">
        <f t="shared" si="30"/>
        <v>8.92</v>
      </c>
      <c r="F190" s="553"/>
      <c r="G190" s="554">
        <f t="shared" si="31"/>
        <v>8.9999999999999969E-2</v>
      </c>
      <c r="H190" s="554"/>
      <c r="I190" s="555"/>
      <c r="J190" s="556">
        <v>2</v>
      </c>
      <c r="K190" s="572">
        <f t="shared" si="32"/>
        <v>1.6055999999999995</v>
      </c>
      <c r="L190" s="569"/>
    </row>
    <row r="191" spans="1:12" s="559" customFormat="1" ht="15.75">
      <c r="A191" s="549"/>
      <c r="B191" s="575" t="str">
        <f t="shared" si="29"/>
        <v>+ BC1.5</v>
      </c>
      <c r="C191" s="551"/>
      <c r="D191" s="551">
        <f t="shared" si="30"/>
        <v>1</v>
      </c>
      <c r="E191" s="603">
        <f t="shared" si="30"/>
        <v>9.6449999999999996</v>
      </c>
      <c r="F191" s="553"/>
      <c r="G191" s="554">
        <f t="shared" si="31"/>
        <v>8.9999999999999969E-2</v>
      </c>
      <c r="H191" s="554"/>
      <c r="I191" s="555"/>
      <c r="J191" s="556">
        <v>2</v>
      </c>
      <c r="K191" s="572">
        <f t="shared" si="32"/>
        <v>1.7360999999999993</v>
      </c>
      <c r="L191" s="569"/>
    </row>
    <row r="192" spans="1:12" s="559" customFormat="1" ht="15.75">
      <c r="A192" s="549"/>
      <c r="B192" s="575" t="str">
        <f t="shared" si="29"/>
        <v>+ BY1</v>
      </c>
      <c r="C192" s="551"/>
      <c r="D192" s="551">
        <f t="shared" si="30"/>
        <v>1</v>
      </c>
      <c r="E192" s="603">
        <f t="shared" si="30"/>
        <v>5.125</v>
      </c>
      <c r="F192" s="553"/>
      <c r="G192" s="554">
        <f t="shared" si="31"/>
        <v>0.45999999999999996</v>
      </c>
      <c r="H192" s="554"/>
      <c r="I192" s="555"/>
      <c r="J192" s="556">
        <v>2</v>
      </c>
      <c r="K192" s="572">
        <f t="shared" si="32"/>
        <v>4.7149999999999999</v>
      </c>
      <c r="L192" s="569"/>
    </row>
    <row r="193" spans="1:12" s="559" customFormat="1" ht="15.75">
      <c r="A193" s="549"/>
      <c r="B193" s="575" t="str">
        <f t="shared" si="29"/>
        <v>Dầm dãy bồn cây trục BF</v>
      </c>
      <c r="C193" s="551"/>
      <c r="D193" s="551"/>
      <c r="E193" s="603"/>
      <c r="F193" s="553"/>
      <c r="G193" s="554"/>
      <c r="H193" s="554"/>
      <c r="I193" s="555"/>
      <c r="J193" s="556"/>
      <c r="K193" s="572"/>
      <c r="L193" s="569"/>
    </row>
    <row r="194" spans="1:12" s="559" customFormat="1" ht="15.75">
      <c r="A194" s="549"/>
      <c r="B194" s="575" t="str">
        <f t="shared" si="29"/>
        <v>- Giằng TX1</v>
      </c>
      <c r="C194" s="551"/>
      <c r="D194" s="551">
        <f>+D40</f>
        <v>1</v>
      </c>
      <c r="E194" s="603">
        <f>+E40</f>
        <v>125.768</v>
      </c>
      <c r="F194" s="553"/>
      <c r="G194" s="554">
        <f>+G40</f>
        <v>0.3</v>
      </c>
      <c r="H194" s="554"/>
      <c r="I194" s="555"/>
      <c r="J194" s="556">
        <v>2</v>
      </c>
      <c r="K194" s="572">
        <f t="shared" si="32"/>
        <v>75.460799999999992</v>
      </c>
      <c r="L194" s="569"/>
    </row>
    <row r="195" spans="1:12" s="559" customFormat="1" ht="15.75">
      <c r="A195" s="549"/>
      <c r="B195" s="575" t="str">
        <f t="shared" si="29"/>
        <v>- Vách bồn cây trục 12-16</v>
      </c>
      <c r="C195" s="551"/>
      <c r="D195" s="551"/>
      <c r="E195" s="603"/>
      <c r="F195" s="553"/>
      <c r="G195" s="554"/>
      <c r="H195" s="554"/>
      <c r="I195" s="555"/>
      <c r="J195" s="556"/>
      <c r="K195" s="572"/>
      <c r="L195" s="569"/>
    </row>
    <row r="196" spans="1:12" s="559" customFormat="1" ht="15.75">
      <c r="A196" s="549"/>
      <c r="B196" s="575" t="str">
        <f t="shared" si="29"/>
        <v>+ Giằng TX-3.1</v>
      </c>
      <c r="C196" s="551"/>
      <c r="D196" s="551">
        <f t="shared" ref="D196:E205" si="33">+D42</f>
        <v>1</v>
      </c>
      <c r="E196" s="603">
        <f t="shared" si="33"/>
        <v>1.51</v>
      </c>
      <c r="F196" s="553"/>
      <c r="G196" s="554">
        <f t="shared" ref="G196:G205" si="34">+G42</f>
        <v>0.2</v>
      </c>
      <c r="H196" s="554"/>
      <c r="I196" s="555"/>
      <c r="J196" s="556">
        <v>2</v>
      </c>
      <c r="K196" s="572">
        <f t="shared" si="32"/>
        <v>0.60400000000000009</v>
      </c>
      <c r="L196" s="569"/>
    </row>
    <row r="197" spans="1:12" s="559" customFormat="1" ht="15.75">
      <c r="A197" s="549"/>
      <c r="B197" s="575" t="str">
        <f t="shared" si="29"/>
        <v>+ Giằng TX-3.2</v>
      </c>
      <c r="C197" s="551"/>
      <c r="D197" s="551">
        <f t="shared" si="33"/>
        <v>1</v>
      </c>
      <c r="E197" s="603">
        <f t="shared" si="33"/>
        <v>2.7650000000000001</v>
      </c>
      <c r="F197" s="553"/>
      <c r="G197" s="554">
        <f t="shared" si="34"/>
        <v>0.2</v>
      </c>
      <c r="H197" s="554"/>
      <c r="I197" s="555"/>
      <c r="J197" s="556">
        <v>2</v>
      </c>
      <c r="K197" s="572">
        <f t="shared" si="32"/>
        <v>1.1060000000000001</v>
      </c>
      <c r="L197" s="569"/>
    </row>
    <row r="198" spans="1:12" s="559" customFormat="1" ht="15.75">
      <c r="A198" s="549"/>
      <c r="B198" s="575" t="str">
        <f t="shared" si="29"/>
        <v>+ Giằng TX-3.3</v>
      </c>
      <c r="C198" s="551"/>
      <c r="D198" s="551">
        <f t="shared" si="33"/>
        <v>1</v>
      </c>
      <c r="E198" s="603">
        <f t="shared" si="33"/>
        <v>1.0049999999999999</v>
      </c>
      <c r="F198" s="553"/>
      <c r="G198" s="554">
        <f t="shared" si="34"/>
        <v>0.2</v>
      </c>
      <c r="H198" s="554"/>
      <c r="I198" s="555"/>
      <c r="J198" s="556">
        <v>2</v>
      </c>
      <c r="K198" s="572">
        <f t="shared" si="32"/>
        <v>0.40199999999999997</v>
      </c>
      <c r="L198" s="569"/>
    </row>
    <row r="199" spans="1:12" s="559" customFormat="1" ht="15.75">
      <c r="A199" s="549"/>
      <c r="B199" s="575" t="str">
        <f t="shared" si="29"/>
        <v>+ Giằng TX-3.4</v>
      </c>
      <c r="C199" s="551"/>
      <c r="D199" s="551">
        <f t="shared" si="33"/>
        <v>1</v>
      </c>
      <c r="E199" s="603">
        <f t="shared" si="33"/>
        <v>3.5449999999999999</v>
      </c>
      <c r="F199" s="553"/>
      <c r="G199" s="554">
        <f t="shared" si="34"/>
        <v>0.2</v>
      </c>
      <c r="H199" s="554"/>
      <c r="I199" s="555"/>
      <c r="J199" s="556">
        <v>2</v>
      </c>
      <c r="K199" s="572">
        <f t="shared" si="32"/>
        <v>1.4180000000000001</v>
      </c>
      <c r="L199" s="569"/>
    </row>
    <row r="200" spans="1:12" s="559" customFormat="1" ht="15.75">
      <c r="A200" s="549"/>
      <c r="B200" s="575" t="str">
        <f t="shared" si="29"/>
        <v>+ Giằng TX-3.5</v>
      </c>
      <c r="C200" s="551"/>
      <c r="D200" s="551">
        <f t="shared" si="33"/>
        <v>1</v>
      </c>
      <c r="E200" s="603">
        <f t="shared" si="33"/>
        <v>3.62</v>
      </c>
      <c r="F200" s="553"/>
      <c r="G200" s="554">
        <f t="shared" si="34"/>
        <v>0.2</v>
      </c>
      <c r="H200" s="554"/>
      <c r="I200" s="555"/>
      <c r="J200" s="556">
        <v>2</v>
      </c>
      <c r="K200" s="572">
        <f t="shared" si="32"/>
        <v>1.4480000000000002</v>
      </c>
      <c r="L200" s="569"/>
    </row>
    <row r="201" spans="1:12" s="559" customFormat="1" ht="15.75">
      <c r="A201" s="549"/>
      <c r="B201" s="575" t="str">
        <f t="shared" si="29"/>
        <v>+ Giằng TX-3.6</v>
      </c>
      <c r="C201" s="551"/>
      <c r="D201" s="551">
        <f t="shared" si="33"/>
        <v>1</v>
      </c>
      <c r="E201" s="603">
        <f t="shared" si="33"/>
        <v>0.93500000000000005</v>
      </c>
      <c r="F201" s="553"/>
      <c r="G201" s="554">
        <f t="shared" si="34"/>
        <v>0.2</v>
      </c>
      <c r="H201" s="554"/>
      <c r="I201" s="555"/>
      <c r="J201" s="556">
        <v>2</v>
      </c>
      <c r="K201" s="572">
        <f t="shared" si="32"/>
        <v>0.37400000000000005</v>
      </c>
      <c r="L201" s="569"/>
    </row>
    <row r="202" spans="1:12" s="559" customFormat="1" ht="15.75">
      <c r="A202" s="549"/>
      <c r="B202" s="575" t="str">
        <f t="shared" si="29"/>
        <v>+ Giằng TX-3.7</v>
      </c>
      <c r="C202" s="551"/>
      <c r="D202" s="551">
        <f t="shared" si="33"/>
        <v>1</v>
      </c>
      <c r="E202" s="603">
        <f t="shared" si="33"/>
        <v>2.7349999999999999</v>
      </c>
      <c r="F202" s="553"/>
      <c r="G202" s="554">
        <f t="shared" si="34"/>
        <v>0.2</v>
      </c>
      <c r="H202" s="554"/>
      <c r="I202" s="555"/>
      <c r="J202" s="556">
        <v>2</v>
      </c>
      <c r="K202" s="572">
        <f t="shared" si="32"/>
        <v>1.0940000000000001</v>
      </c>
      <c r="L202" s="569"/>
    </row>
    <row r="203" spans="1:12" s="559" customFormat="1" ht="15.75">
      <c r="A203" s="549"/>
      <c r="B203" s="575" t="str">
        <f t="shared" si="29"/>
        <v>+ Giằng TX-3.8</v>
      </c>
      <c r="C203" s="551"/>
      <c r="D203" s="551">
        <f t="shared" si="33"/>
        <v>1</v>
      </c>
      <c r="E203" s="603">
        <f t="shared" si="33"/>
        <v>3.145</v>
      </c>
      <c r="F203" s="553"/>
      <c r="G203" s="554">
        <f t="shared" si="34"/>
        <v>0.2</v>
      </c>
      <c r="H203" s="554"/>
      <c r="I203" s="555"/>
      <c r="J203" s="556">
        <v>2</v>
      </c>
      <c r="K203" s="572">
        <f t="shared" si="32"/>
        <v>1.258</v>
      </c>
      <c r="L203" s="569"/>
    </row>
    <row r="204" spans="1:12" s="559" customFormat="1" ht="15.75">
      <c r="A204" s="549"/>
      <c r="B204" s="575" t="str">
        <f t="shared" si="29"/>
        <v>+ Giằng TX-3.9</v>
      </c>
      <c r="C204" s="551"/>
      <c r="D204" s="551">
        <f t="shared" si="33"/>
        <v>1</v>
      </c>
      <c r="E204" s="603">
        <f t="shared" si="33"/>
        <v>0.70499999999999996</v>
      </c>
      <c r="F204" s="553"/>
      <c r="G204" s="554">
        <f t="shared" si="34"/>
        <v>0.2</v>
      </c>
      <c r="H204" s="554"/>
      <c r="I204" s="555"/>
      <c r="J204" s="556">
        <v>2</v>
      </c>
      <c r="K204" s="572">
        <f t="shared" si="32"/>
        <v>0.28199999999999997</v>
      </c>
      <c r="L204" s="569"/>
    </row>
    <row r="205" spans="1:12" s="559" customFormat="1" ht="15.75">
      <c r="A205" s="549"/>
      <c r="B205" s="575" t="str">
        <f t="shared" si="29"/>
        <v>+ Giằng TX-3.10</v>
      </c>
      <c r="C205" s="551"/>
      <c r="D205" s="551">
        <f t="shared" si="33"/>
        <v>1</v>
      </c>
      <c r="E205" s="603">
        <f t="shared" si="33"/>
        <v>0.48</v>
      </c>
      <c r="F205" s="553"/>
      <c r="G205" s="554">
        <f t="shared" si="34"/>
        <v>0.2</v>
      </c>
      <c r="H205" s="554"/>
      <c r="I205" s="555"/>
      <c r="J205" s="556">
        <v>2</v>
      </c>
      <c r="K205" s="572">
        <f t="shared" si="32"/>
        <v>0.192</v>
      </c>
      <c r="L205" s="569"/>
    </row>
    <row r="206" spans="1:12" s="559" customFormat="1" ht="15.75">
      <c r="A206" s="549"/>
      <c r="B206" s="575" t="str">
        <f t="shared" si="29"/>
        <v>- Vách bồn cây trục 21-24</v>
      </c>
      <c r="C206" s="551"/>
      <c r="D206" s="551"/>
      <c r="E206" s="603"/>
      <c r="F206" s="553"/>
      <c r="G206" s="554"/>
      <c r="H206" s="554"/>
      <c r="I206" s="555"/>
      <c r="J206" s="556"/>
      <c r="K206" s="572"/>
      <c r="L206" s="569"/>
    </row>
    <row r="207" spans="1:12" s="559" customFormat="1" ht="15.75">
      <c r="A207" s="549"/>
      <c r="B207" s="575" t="str">
        <f t="shared" si="29"/>
        <v>+ Giằng TX-3.1</v>
      </c>
      <c r="C207" s="551"/>
      <c r="D207" s="551">
        <f t="shared" ref="D207:E212" si="35">+D53</f>
        <v>1</v>
      </c>
      <c r="E207" s="603">
        <f t="shared" si="35"/>
        <v>0.96499999999999997</v>
      </c>
      <c r="F207" s="553"/>
      <c r="G207" s="554">
        <f t="shared" ref="G207:G212" si="36">+G53</f>
        <v>0.2</v>
      </c>
      <c r="H207" s="554"/>
      <c r="I207" s="555"/>
      <c r="J207" s="556">
        <v>2</v>
      </c>
      <c r="K207" s="572">
        <f t="shared" si="32"/>
        <v>0.38600000000000001</v>
      </c>
      <c r="L207" s="569"/>
    </row>
    <row r="208" spans="1:12" s="559" customFormat="1" ht="15.75">
      <c r="A208" s="549"/>
      <c r="B208" s="575" t="str">
        <f t="shared" si="29"/>
        <v>+ Giằng TX-3.2</v>
      </c>
      <c r="C208" s="551"/>
      <c r="D208" s="551">
        <f t="shared" si="35"/>
        <v>1</v>
      </c>
      <c r="E208" s="603">
        <f t="shared" si="35"/>
        <v>2.48</v>
      </c>
      <c r="F208" s="553"/>
      <c r="G208" s="554">
        <f t="shared" si="36"/>
        <v>0.2</v>
      </c>
      <c r="H208" s="554"/>
      <c r="I208" s="555"/>
      <c r="J208" s="556">
        <v>2</v>
      </c>
      <c r="K208" s="572">
        <f t="shared" si="32"/>
        <v>0.99199999999999999</v>
      </c>
      <c r="L208" s="569"/>
    </row>
    <row r="209" spans="1:12" s="559" customFormat="1" ht="15.75">
      <c r="A209" s="549"/>
      <c r="B209" s="575" t="str">
        <f t="shared" si="29"/>
        <v>+ Giằng TX-3.3</v>
      </c>
      <c r="C209" s="551"/>
      <c r="D209" s="551">
        <f t="shared" si="35"/>
        <v>1</v>
      </c>
      <c r="E209" s="603">
        <f t="shared" si="35"/>
        <v>1.41</v>
      </c>
      <c r="F209" s="553"/>
      <c r="G209" s="554">
        <f t="shared" si="36"/>
        <v>0.2</v>
      </c>
      <c r="H209" s="554"/>
      <c r="I209" s="555"/>
      <c r="J209" s="556">
        <v>2</v>
      </c>
      <c r="K209" s="572">
        <f t="shared" si="32"/>
        <v>0.56399999999999995</v>
      </c>
      <c r="L209" s="569"/>
    </row>
    <row r="210" spans="1:12" s="559" customFormat="1" ht="15.75">
      <c r="A210" s="549"/>
      <c r="B210" s="575" t="str">
        <f t="shared" si="29"/>
        <v>+ Giằng TX-3.4</v>
      </c>
      <c r="C210" s="551"/>
      <c r="D210" s="551">
        <f t="shared" si="35"/>
        <v>1</v>
      </c>
      <c r="E210" s="603">
        <f t="shared" si="35"/>
        <v>2.6</v>
      </c>
      <c r="F210" s="553"/>
      <c r="G210" s="554">
        <f t="shared" si="36"/>
        <v>0.2</v>
      </c>
      <c r="H210" s="554"/>
      <c r="I210" s="555"/>
      <c r="J210" s="556">
        <v>2</v>
      </c>
      <c r="K210" s="572">
        <f t="shared" si="32"/>
        <v>1.04</v>
      </c>
      <c r="L210" s="569"/>
    </row>
    <row r="211" spans="1:12" s="559" customFormat="1" ht="15.75">
      <c r="A211" s="549"/>
      <c r="B211" s="575" t="str">
        <f t="shared" si="29"/>
        <v>+ Giằng TX-3.5</v>
      </c>
      <c r="C211" s="551"/>
      <c r="D211" s="551">
        <f t="shared" si="35"/>
        <v>1</v>
      </c>
      <c r="E211" s="603">
        <f t="shared" si="35"/>
        <v>1.5449999999999999</v>
      </c>
      <c r="F211" s="553"/>
      <c r="G211" s="554">
        <f t="shared" si="36"/>
        <v>0.2</v>
      </c>
      <c r="H211" s="554"/>
      <c r="I211" s="555"/>
      <c r="J211" s="556">
        <v>2</v>
      </c>
      <c r="K211" s="572">
        <f t="shared" si="32"/>
        <v>0.61799999999999999</v>
      </c>
      <c r="L211" s="569"/>
    </row>
    <row r="212" spans="1:12" s="559" customFormat="1" ht="15.75">
      <c r="A212" s="549"/>
      <c r="B212" s="575" t="str">
        <f t="shared" si="29"/>
        <v>+ Giằng TX-3.6</v>
      </c>
      <c r="C212" s="551"/>
      <c r="D212" s="551">
        <f t="shared" si="35"/>
        <v>1</v>
      </c>
      <c r="E212" s="603">
        <f t="shared" si="35"/>
        <v>2.4950000000000001</v>
      </c>
      <c r="F212" s="553"/>
      <c r="G212" s="554">
        <f t="shared" si="36"/>
        <v>0.2</v>
      </c>
      <c r="H212" s="554"/>
      <c r="I212" s="555"/>
      <c r="J212" s="556">
        <v>2</v>
      </c>
      <c r="K212" s="572">
        <f t="shared" si="32"/>
        <v>0.99800000000000011</v>
      </c>
      <c r="L212" s="569"/>
    </row>
    <row r="213" spans="1:12" s="559" customFormat="1" ht="15.75">
      <c r="A213" s="549"/>
      <c r="B213" s="575" t="str">
        <f t="shared" si="29"/>
        <v>- Vách bồn cây trục 30-33</v>
      </c>
      <c r="C213" s="551"/>
      <c r="D213" s="551"/>
      <c r="E213" s="603"/>
      <c r="F213" s="553"/>
      <c r="G213" s="554"/>
      <c r="H213" s="554"/>
      <c r="I213" s="555"/>
      <c r="J213" s="556"/>
      <c r="K213" s="572"/>
      <c r="L213" s="569"/>
    </row>
    <row r="214" spans="1:12" s="559" customFormat="1" ht="15.75">
      <c r="A214" s="549"/>
      <c r="B214" s="575" t="str">
        <f t="shared" si="29"/>
        <v>+ Giằng TX-1.1</v>
      </c>
      <c r="C214" s="551"/>
      <c r="D214" s="551">
        <f>+D60</f>
        <v>1</v>
      </c>
      <c r="E214" s="603">
        <f>+E60</f>
        <v>3.5750000000000002</v>
      </c>
      <c r="F214" s="553"/>
      <c r="G214" s="554">
        <f>+G60</f>
        <v>0.2</v>
      </c>
      <c r="H214" s="554"/>
      <c r="I214" s="555"/>
      <c r="J214" s="556">
        <v>2</v>
      </c>
      <c r="K214" s="572">
        <f t="shared" si="32"/>
        <v>1.4300000000000002</v>
      </c>
      <c r="L214" s="569"/>
    </row>
    <row r="215" spans="1:12" s="559" customFormat="1" ht="15.75">
      <c r="A215" s="549"/>
      <c r="B215" s="575" t="str">
        <f t="shared" si="29"/>
        <v>- Ngoài trục BB</v>
      </c>
      <c r="C215" s="551"/>
      <c r="D215" s="551"/>
      <c r="E215" s="603"/>
      <c r="F215" s="553"/>
      <c r="G215" s="554"/>
      <c r="H215" s="554"/>
      <c r="I215" s="555"/>
      <c r="J215" s="556"/>
      <c r="K215" s="572"/>
      <c r="L215" s="569"/>
    </row>
    <row r="216" spans="1:12" s="559" customFormat="1" ht="15.75">
      <c r="A216" s="549"/>
      <c r="B216" s="575" t="str">
        <f>+B62</f>
        <v>+ Giằng B 22x20</v>
      </c>
      <c r="C216" s="551"/>
      <c r="D216" s="551">
        <f>+D62</f>
        <v>1</v>
      </c>
      <c r="E216" s="603">
        <f>+E62</f>
        <v>3.875</v>
      </c>
      <c r="F216" s="553"/>
      <c r="G216" s="554">
        <f>+G62</f>
        <v>0.2</v>
      </c>
      <c r="H216" s="554"/>
      <c r="I216" s="555"/>
      <c r="J216" s="556">
        <v>2</v>
      </c>
      <c r="K216" s="572">
        <f t="shared" ref="K216" si="37">+PRODUCT(D216:J216)</f>
        <v>1.55</v>
      </c>
      <c r="L216" s="569"/>
    </row>
    <row r="217" spans="1:12" s="559" customFormat="1" ht="15.75">
      <c r="A217" s="549"/>
      <c r="B217" s="575" t="str">
        <f>+B63</f>
        <v>+ Giằng B 22x20</v>
      </c>
      <c r="C217" s="551"/>
      <c r="D217" s="551">
        <f>+D63</f>
        <v>1</v>
      </c>
      <c r="E217" s="603">
        <f>+E63</f>
        <v>4.32</v>
      </c>
      <c r="F217" s="553"/>
      <c r="G217" s="554">
        <f>+G63</f>
        <v>0.2</v>
      </c>
      <c r="H217" s="554"/>
      <c r="I217" s="555"/>
      <c r="J217" s="556">
        <v>2</v>
      </c>
      <c r="K217" s="572">
        <f t="shared" ref="K217" si="38">+PRODUCT(D217:J217)</f>
        <v>1.7280000000000002</v>
      </c>
      <c r="L217" s="569"/>
    </row>
    <row r="218" spans="1:12" s="559" customFormat="1" ht="15.75">
      <c r="A218" s="549"/>
      <c r="B218" s="561"/>
      <c r="C218" s="551"/>
      <c r="D218" s="551"/>
      <c r="E218" s="552"/>
      <c r="F218" s="553"/>
      <c r="G218" s="554"/>
      <c r="H218" s="554"/>
      <c r="I218" s="555"/>
      <c r="J218" s="556"/>
      <c r="K218" s="572"/>
      <c r="L218" s="569"/>
    </row>
    <row r="219" spans="1:12" s="322" customFormat="1" ht="15.75">
      <c r="A219" s="315">
        <f>'02.1-ĐNTT'!A39</f>
        <v>22</v>
      </c>
      <c r="B219" s="316" t="str">
        <f>'02.1-ĐNTT'!B39</f>
        <v>Ván khuôn giếng gió</v>
      </c>
      <c r="C219" s="317" t="str">
        <f>'02.1-ĐNTT'!C39</f>
        <v>m2</v>
      </c>
      <c r="D219" s="317"/>
      <c r="E219" s="318" t="s">
        <v>325</v>
      </c>
      <c r="F219" s="319"/>
      <c r="G219" s="320"/>
      <c r="H219" s="320"/>
      <c r="I219" s="471"/>
      <c r="J219" s="321"/>
      <c r="K219" s="486">
        <f>+SUBTOTAL(9,K220:K222)</f>
        <v>118.37409999999998</v>
      </c>
      <c r="L219" s="335"/>
    </row>
    <row r="220" spans="1:12" s="559" customFormat="1" ht="15.75">
      <c r="A220" s="549"/>
      <c r="B220" s="575" t="str">
        <f>+B66</f>
        <v>- Giếng gió GG-10</v>
      </c>
      <c r="C220" s="551"/>
      <c r="D220" s="551">
        <f t="shared" ref="D220:E222" si="39">+D66</f>
        <v>1</v>
      </c>
      <c r="E220" s="603">
        <f t="shared" si="39"/>
        <v>11.24</v>
      </c>
      <c r="F220" s="553"/>
      <c r="G220" s="554">
        <f>+G66</f>
        <v>2.2999999999999998</v>
      </c>
      <c r="H220" s="554"/>
      <c r="I220" s="555"/>
      <c r="J220" s="554">
        <v>2</v>
      </c>
      <c r="K220" s="572">
        <f>+PRODUCT(D220:J220)</f>
        <v>51.703999999999994</v>
      </c>
      <c r="L220" s="569"/>
    </row>
    <row r="221" spans="1:12" s="559" customFormat="1" ht="15.75">
      <c r="A221" s="549"/>
      <c r="B221" s="575" t="str">
        <f>+B67</f>
        <v>- Giếng gió GG-11</v>
      </c>
      <c r="C221" s="551"/>
      <c r="D221" s="551">
        <f t="shared" si="39"/>
        <v>1</v>
      </c>
      <c r="E221" s="603">
        <f t="shared" si="39"/>
        <v>7.8235000000000001</v>
      </c>
      <c r="F221" s="553"/>
      <c r="G221" s="554">
        <f>+G67</f>
        <v>2.2999999999999998</v>
      </c>
      <c r="H221" s="554"/>
      <c r="I221" s="555"/>
      <c r="J221" s="554">
        <v>2</v>
      </c>
      <c r="K221" s="572">
        <f>+PRODUCT(D221:J221)</f>
        <v>35.988099999999996</v>
      </c>
      <c r="L221" s="569"/>
    </row>
    <row r="222" spans="1:12" s="559" customFormat="1" ht="15.75">
      <c r="A222" s="549"/>
      <c r="B222" s="575" t="str">
        <f>+B68</f>
        <v>- Giếng gió GG-12</v>
      </c>
      <c r="C222" s="551"/>
      <c r="D222" s="551">
        <f t="shared" si="39"/>
        <v>1</v>
      </c>
      <c r="E222" s="603">
        <f t="shared" si="39"/>
        <v>6.67</v>
      </c>
      <c r="F222" s="553"/>
      <c r="G222" s="554">
        <f>+G68</f>
        <v>2.2999999999999998</v>
      </c>
      <c r="H222" s="554"/>
      <c r="I222" s="555"/>
      <c r="J222" s="554">
        <v>2</v>
      </c>
      <c r="K222" s="572">
        <f>+PRODUCT(D222:J222)</f>
        <v>30.681999999999999</v>
      </c>
      <c r="L222" s="569"/>
    </row>
    <row r="223" spans="1:12" s="322" customFormat="1" ht="15.75">
      <c r="A223" s="315">
        <f>'02.1-ĐNTT'!A40</f>
        <v>23</v>
      </c>
      <c r="B223" s="316" t="str">
        <f>'02.1-ĐNTT'!B40</f>
        <v>Ván khuôn vách bể</v>
      </c>
      <c r="C223" s="317" t="str">
        <f>'02.1-ĐNTT'!C40</f>
        <v>m2</v>
      </c>
      <c r="D223" s="317"/>
      <c r="E223" s="318"/>
      <c r="F223" s="319"/>
      <c r="G223" s="320"/>
      <c r="H223" s="320"/>
      <c r="I223" s="471"/>
      <c r="J223" s="321"/>
      <c r="K223" s="486">
        <f>+SUBTOTAL(9,K224:K270)</f>
        <v>1401.1119799999999</v>
      </c>
      <c r="L223" s="335"/>
    </row>
    <row r="224" spans="1:12" s="329" customFormat="1" ht="15.75">
      <c r="A224" s="323"/>
      <c r="B224" s="575" t="str">
        <f t="shared" ref="B224:B263" si="40">+B84</f>
        <v>Vách bồn cây trục BF</v>
      </c>
      <c r="C224" s="324"/>
      <c r="D224" s="551"/>
      <c r="E224" s="585"/>
      <c r="F224" s="326"/>
      <c r="G224" s="553"/>
      <c r="H224" s="327"/>
      <c r="I224" s="472"/>
      <c r="J224" s="586"/>
      <c r="K224" s="572"/>
      <c r="L224" s="337"/>
    </row>
    <row r="225" spans="1:12" s="329" customFormat="1" ht="15.75">
      <c r="A225" s="323"/>
      <c r="B225" s="575" t="str">
        <f t="shared" si="40"/>
        <v>- Vách ngoài bồn cây</v>
      </c>
      <c r="C225" s="324"/>
      <c r="D225" s="551"/>
      <c r="E225" s="585"/>
      <c r="F225" s="326"/>
      <c r="G225" s="553"/>
      <c r="H225" s="327"/>
      <c r="I225" s="472"/>
      <c r="J225" s="586"/>
      <c r="K225" s="572"/>
      <c r="L225" s="337"/>
    </row>
    <row r="226" spans="1:12" s="329" customFormat="1" ht="15.75">
      <c r="A226" s="323"/>
      <c r="B226" s="575" t="str">
        <f t="shared" si="40"/>
        <v>+ VC8</v>
      </c>
      <c r="C226" s="324"/>
      <c r="D226" s="551">
        <f>+D86</f>
        <v>1</v>
      </c>
      <c r="E226" s="585">
        <f>+E86</f>
        <v>253.57499999999999</v>
      </c>
      <c r="F226" s="326"/>
      <c r="G226" s="553">
        <f>+G86</f>
        <v>1.45</v>
      </c>
      <c r="H226" s="327"/>
      <c r="I226" s="472"/>
      <c r="J226" s="586">
        <v>2</v>
      </c>
      <c r="K226" s="572">
        <f t="shared" ref="K226" si="41">+PRODUCT(D226:J226)</f>
        <v>735.36749999999995</v>
      </c>
      <c r="L226" s="337"/>
    </row>
    <row r="227" spans="1:12" s="329" customFormat="1" ht="15.75">
      <c r="A227" s="323"/>
      <c r="B227" s="575" t="str">
        <f t="shared" si="40"/>
        <v>- Vách bồn cây trục 12-16</v>
      </c>
      <c r="C227" s="324"/>
      <c r="D227" s="551"/>
      <c r="E227" s="585"/>
      <c r="F227" s="326"/>
      <c r="G227" s="553"/>
      <c r="H227" s="327"/>
      <c r="I227" s="472"/>
      <c r="J227" s="586"/>
      <c r="K227" s="572"/>
      <c r="L227" s="337"/>
    </row>
    <row r="228" spans="1:12" s="329" customFormat="1" ht="15.75">
      <c r="A228" s="323"/>
      <c r="B228" s="575" t="str">
        <f t="shared" si="40"/>
        <v>+ VC-3.8</v>
      </c>
      <c r="C228" s="324"/>
      <c r="D228" s="551">
        <f t="shared" ref="D228:E236" si="42">+D88</f>
        <v>1</v>
      </c>
      <c r="E228" s="585">
        <f t="shared" si="42"/>
        <v>10.95</v>
      </c>
      <c r="F228" s="326"/>
      <c r="G228" s="553">
        <f>+(0.53+0.5)/2</f>
        <v>0.51500000000000001</v>
      </c>
      <c r="H228" s="327"/>
      <c r="I228" s="472"/>
      <c r="J228" s="586">
        <v>2</v>
      </c>
      <c r="K228" s="572">
        <f t="shared" ref="K228:K261" si="43">+PRODUCT(D228:J228)</f>
        <v>11.278499999999999</v>
      </c>
      <c r="L228" s="606" t="s">
        <v>578</v>
      </c>
    </row>
    <row r="229" spans="1:12" s="329" customFormat="1" ht="15.75">
      <c r="A229" s="323"/>
      <c r="B229" s="575" t="str">
        <f t="shared" si="40"/>
        <v>+ VC-3.9</v>
      </c>
      <c r="C229" s="324"/>
      <c r="D229" s="551">
        <f t="shared" si="42"/>
        <v>1</v>
      </c>
      <c r="E229" s="585">
        <f t="shared" si="42"/>
        <v>6.45</v>
      </c>
      <c r="F229" s="326"/>
      <c r="G229" s="553">
        <f>+(0.53+0.5)/2</f>
        <v>0.51500000000000001</v>
      </c>
      <c r="H229" s="327"/>
      <c r="I229" s="472"/>
      <c r="J229" s="586">
        <v>2</v>
      </c>
      <c r="K229" s="572">
        <f t="shared" si="43"/>
        <v>6.6435000000000004</v>
      </c>
      <c r="L229" s="337"/>
    </row>
    <row r="230" spans="1:12" s="329" customFormat="1" ht="15.75">
      <c r="A230" s="323"/>
      <c r="B230" s="575" t="str">
        <f t="shared" si="40"/>
        <v>+ VC-3.10</v>
      </c>
      <c r="C230" s="324"/>
      <c r="D230" s="551">
        <f t="shared" si="42"/>
        <v>1</v>
      </c>
      <c r="E230" s="585">
        <f t="shared" si="42"/>
        <v>4.55</v>
      </c>
      <c r="F230" s="326"/>
      <c r="G230" s="553">
        <f>+(0.53+0.5)/2</f>
        <v>0.51500000000000001</v>
      </c>
      <c r="H230" s="327"/>
      <c r="I230" s="472"/>
      <c r="J230" s="586">
        <v>2</v>
      </c>
      <c r="K230" s="572">
        <f t="shared" si="43"/>
        <v>4.6864999999999997</v>
      </c>
      <c r="L230" s="337"/>
    </row>
    <row r="231" spans="1:12" s="329" customFormat="1" ht="15.75">
      <c r="A231" s="323"/>
      <c r="B231" s="575" t="str">
        <f t="shared" si="40"/>
        <v>+ VC-3.11</v>
      </c>
      <c r="C231" s="324"/>
      <c r="D231" s="551">
        <f t="shared" si="42"/>
        <v>2</v>
      </c>
      <c r="E231" s="585">
        <f t="shared" si="42"/>
        <v>0.69</v>
      </c>
      <c r="F231" s="326"/>
      <c r="G231" s="553">
        <f>+(1.45+1.33)/2</f>
        <v>1.3900000000000001</v>
      </c>
      <c r="H231" s="327"/>
      <c r="I231" s="472"/>
      <c r="J231" s="586">
        <v>2</v>
      </c>
      <c r="K231" s="572">
        <f t="shared" si="43"/>
        <v>3.8364000000000003</v>
      </c>
      <c r="L231" s="606" t="s">
        <v>579</v>
      </c>
    </row>
    <row r="232" spans="1:12" s="329" customFormat="1" ht="15.75">
      <c r="A232" s="323"/>
      <c r="B232" s="575" t="str">
        <f t="shared" si="40"/>
        <v>+ VC-3.12</v>
      </c>
      <c r="C232" s="324"/>
      <c r="D232" s="551">
        <f t="shared" si="42"/>
        <v>1</v>
      </c>
      <c r="E232" s="585">
        <f t="shared" si="42"/>
        <v>4.33</v>
      </c>
      <c r="F232" s="326"/>
      <c r="G232" s="553">
        <f t="shared" ref="G232:G234" si="44">+(0.53+0.5)/2</f>
        <v>0.51500000000000001</v>
      </c>
      <c r="H232" s="327"/>
      <c r="I232" s="472"/>
      <c r="J232" s="586">
        <v>2</v>
      </c>
      <c r="K232" s="572">
        <f t="shared" si="43"/>
        <v>4.4599000000000002</v>
      </c>
      <c r="L232" s="337"/>
    </row>
    <row r="233" spans="1:12" s="329" customFormat="1" ht="15.75">
      <c r="A233" s="323"/>
      <c r="B233" s="575" t="str">
        <f t="shared" si="40"/>
        <v>+ VC-3.13</v>
      </c>
      <c r="C233" s="324"/>
      <c r="D233" s="551">
        <f t="shared" si="42"/>
        <v>1</v>
      </c>
      <c r="E233" s="585">
        <f t="shared" si="42"/>
        <v>6.95</v>
      </c>
      <c r="F233" s="326"/>
      <c r="G233" s="553">
        <f t="shared" si="44"/>
        <v>0.51500000000000001</v>
      </c>
      <c r="H233" s="327"/>
      <c r="I233" s="472"/>
      <c r="J233" s="586">
        <v>2</v>
      </c>
      <c r="K233" s="572">
        <f t="shared" si="43"/>
        <v>7.1585000000000001</v>
      </c>
      <c r="L233" s="337"/>
    </row>
    <row r="234" spans="1:12" s="329" customFormat="1" ht="15.75">
      <c r="A234" s="323"/>
      <c r="B234" s="575" t="str">
        <f t="shared" si="40"/>
        <v>+ VC-3.14</v>
      </c>
      <c r="C234" s="324"/>
      <c r="D234" s="551">
        <f t="shared" si="42"/>
        <v>1</v>
      </c>
      <c r="E234" s="585">
        <f t="shared" si="42"/>
        <v>9.2449999999999992</v>
      </c>
      <c r="F234" s="326"/>
      <c r="G234" s="553">
        <f t="shared" si="44"/>
        <v>0.51500000000000001</v>
      </c>
      <c r="H234" s="327"/>
      <c r="I234" s="472"/>
      <c r="J234" s="586">
        <v>2</v>
      </c>
      <c r="K234" s="572">
        <f t="shared" si="43"/>
        <v>9.5223499999999994</v>
      </c>
      <c r="L234" s="337"/>
    </row>
    <row r="235" spans="1:12" s="329" customFormat="1" ht="15.75">
      <c r="A235" s="323"/>
      <c r="B235" s="575" t="str">
        <f t="shared" si="40"/>
        <v>+ VC-3.15</v>
      </c>
      <c r="C235" s="324"/>
      <c r="D235" s="551">
        <f t="shared" si="42"/>
        <v>1</v>
      </c>
      <c r="E235" s="585">
        <f t="shared" si="42"/>
        <v>5.35</v>
      </c>
      <c r="F235" s="326"/>
      <c r="G235" s="553">
        <f t="shared" ref="G235:G236" si="45">+(1.45+1.33)/2</f>
        <v>1.3900000000000001</v>
      </c>
      <c r="H235" s="327"/>
      <c r="I235" s="472"/>
      <c r="J235" s="586">
        <v>2</v>
      </c>
      <c r="K235" s="572">
        <f t="shared" si="43"/>
        <v>14.873000000000001</v>
      </c>
      <c r="L235" s="337"/>
    </row>
    <row r="236" spans="1:12" s="329" customFormat="1" ht="15.75">
      <c r="A236" s="323"/>
      <c r="B236" s="575" t="str">
        <f t="shared" si="40"/>
        <v>+ VC-3.16</v>
      </c>
      <c r="C236" s="324"/>
      <c r="D236" s="551">
        <f t="shared" si="42"/>
        <v>1</v>
      </c>
      <c r="E236" s="585">
        <f t="shared" si="42"/>
        <v>5.1550000000000002</v>
      </c>
      <c r="F236" s="326"/>
      <c r="G236" s="553">
        <f t="shared" si="45"/>
        <v>1.3900000000000001</v>
      </c>
      <c r="H236" s="327"/>
      <c r="I236" s="472"/>
      <c r="J236" s="586">
        <v>2</v>
      </c>
      <c r="K236" s="572">
        <f t="shared" si="43"/>
        <v>14.330900000000002</v>
      </c>
      <c r="L236" s="337"/>
    </row>
    <row r="237" spans="1:12" s="329" customFormat="1" ht="15.75">
      <c r="A237" s="323"/>
      <c r="B237" s="575" t="str">
        <f t="shared" si="40"/>
        <v>- Vách bể phòng kỹ thuật số 06</v>
      </c>
      <c r="C237" s="324"/>
      <c r="D237" s="551"/>
      <c r="E237" s="585"/>
      <c r="F237" s="326"/>
      <c r="G237" s="553"/>
      <c r="H237" s="327"/>
      <c r="I237" s="472"/>
      <c r="J237" s="586"/>
      <c r="K237" s="572"/>
      <c r="L237" s="337"/>
    </row>
    <row r="238" spans="1:12" s="329" customFormat="1" ht="15.75">
      <c r="A238" s="323"/>
      <c r="B238" s="575" t="str">
        <f t="shared" si="40"/>
        <v>+ Vách bể</v>
      </c>
      <c r="C238" s="324"/>
      <c r="D238" s="551">
        <f>+D98</f>
        <v>1</v>
      </c>
      <c r="E238" s="585">
        <f>+E98</f>
        <v>11.4</v>
      </c>
      <c r="F238" s="326"/>
      <c r="G238" s="553">
        <f>+G98</f>
        <v>1</v>
      </c>
      <c r="H238" s="327"/>
      <c r="I238" s="472"/>
      <c r="J238" s="586">
        <v>2</v>
      </c>
      <c r="K238" s="572">
        <f t="shared" si="43"/>
        <v>22.8</v>
      </c>
      <c r="L238" s="337"/>
    </row>
    <row r="239" spans="1:12" s="329" customFormat="1" ht="15.75">
      <c r="A239" s="323"/>
      <c r="B239" s="575" t="str">
        <f t="shared" si="40"/>
        <v>- Vách bồn cây trục 21-24</v>
      </c>
      <c r="C239" s="324"/>
      <c r="D239" s="551"/>
      <c r="E239" s="585"/>
      <c r="F239" s="326"/>
      <c r="G239" s="553"/>
      <c r="H239" s="327"/>
      <c r="I239" s="472"/>
      <c r="J239" s="586"/>
      <c r="K239" s="572"/>
      <c r="L239" s="337"/>
    </row>
    <row r="240" spans="1:12" s="329" customFormat="1" ht="15.75">
      <c r="A240" s="323"/>
      <c r="B240" s="575" t="str">
        <f t="shared" si="40"/>
        <v>+ VC-3.7A</v>
      </c>
      <c r="C240" s="324"/>
      <c r="D240" s="551">
        <f t="shared" ref="D240:E250" si="46">+D100</f>
        <v>1</v>
      </c>
      <c r="E240" s="585">
        <f t="shared" si="46"/>
        <v>3.5449999999999999</v>
      </c>
      <c r="F240" s="326"/>
      <c r="G240" s="553">
        <f t="shared" ref="G240" si="47">+(0.53+0.5)/2</f>
        <v>0.51500000000000001</v>
      </c>
      <c r="H240" s="327"/>
      <c r="I240" s="472"/>
      <c r="J240" s="586">
        <v>2</v>
      </c>
      <c r="K240" s="572">
        <f t="shared" si="43"/>
        <v>3.6513499999999999</v>
      </c>
      <c r="L240" s="337"/>
    </row>
    <row r="241" spans="1:12" s="329" customFormat="1" ht="15.75">
      <c r="A241" s="323"/>
      <c r="B241" s="575" t="str">
        <f t="shared" si="40"/>
        <v>+ VC-3.7B</v>
      </c>
      <c r="C241" s="324"/>
      <c r="D241" s="551">
        <f t="shared" si="46"/>
        <v>1</v>
      </c>
      <c r="E241" s="585">
        <f t="shared" si="46"/>
        <v>2.9169999999999998</v>
      </c>
      <c r="F241" s="326"/>
      <c r="G241" s="553">
        <f t="shared" ref="G241" si="48">+(1.45+1.33)/2</f>
        <v>1.3900000000000001</v>
      </c>
      <c r="H241" s="327"/>
      <c r="I241" s="472"/>
      <c r="J241" s="586">
        <v>2</v>
      </c>
      <c r="K241" s="572">
        <f t="shared" si="43"/>
        <v>8.1092600000000008</v>
      </c>
      <c r="L241" s="337"/>
    </row>
    <row r="242" spans="1:12" s="329" customFormat="1" ht="15.75">
      <c r="A242" s="323"/>
      <c r="B242" s="575" t="str">
        <f t="shared" si="40"/>
        <v>+ VC-3.1</v>
      </c>
      <c r="C242" s="324"/>
      <c r="D242" s="551">
        <f t="shared" si="46"/>
        <v>1</v>
      </c>
      <c r="E242" s="585">
        <f t="shared" si="46"/>
        <v>6.89</v>
      </c>
      <c r="F242" s="326"/>
      <c r="G242" s="553">
        <f t="shared" ref="G242:G246" si="49">+(0.53+0.5)/2</f>
        <v>0.51500000000000001</v>
      </c>
      <c r="H242" s="327"/>
      <c r="I242" s="472"/>
      <c r="J242" s="586">
        <v>2</v>
      </c>
      <c r="K242" s="572">
        <f t="shared" si="43"/>
        <v>7.0967000000000002</v>
      </c>
      <c r="L242" s="337"/>
    </row>
    <row r="243" spans="1:12" s="329" customFormat="1" ht="15.75">
      <c r="A243" s="323"/>
      <c r="B243" s="575" t="str">
        <f t="shared" si="40"/>
        <v>+ VC-3.2</v>
      </c>
      <c r="C243" s="324"/>
      <c r="D243" s="551">
        <f t="shared" si="46"/>
        <v>1</v>
      </c>
      <c r="E243" s="585">
        <f t="shared" si="46"/>
        <v>6.96</v>
      </c>
      <c r="F243" s="326"/>
      <c r="G243" s="553">
        <f t="shared" si="49"/>
        <v>0.51500000000000001</v>
      </c>
      <c r="H243" s="327"/>
      <c r="I243" s="472"/>
      <c r="J243" s="586">
        <v>2</v>
      </c>
      <c r="K243" s="572">
        <f t="shared" si="43"/>
        <v>7.1688000000000001</v>
      </c>
      <c r="L243" s="337"/>
    </row>
    <row r="244" spans="1:12" s="329" customFormat="1" ht="15.75">
      <c r="A244" s="323"/>
      <c r="B244" s="575" t="str">
        <f t="shared" si="40"/>
        <v>+ VC-3.3</v>
      </c>
      <c r="C244" s="324"/>
      <c r="D244" s="551">
        <f t="shared" si="46"/>
        <v>1</v>
      </c>
      <c r="E244" s="585">
        <f t="shared" si="46"/>
        <v>6.77</v>
      </c>
      <c r="F244" s="326"/>
      <c r="G244" s="553">
        <f t="shared" si="49"/>
        <v>0.51500000000000001</v>
      </c>
      <c r="H244" s="327"/>
      <c r="I244" s="472"/>
      <c r="J244" s="586">
        <v>2</v>
      </c>
      <c r="K244" s="572">
        <f t="shared" si="43"/>
        <v>6.9730999999999996</v>
      </c>
      <c r="L244" s="337"/>
    </row>
    <row r="245" spans="1:12" s="329" customFormat="1" ht="15.75">
      <c r="A245" s="323"/>
      <c r="B245" s="575" t="str">
        <f t="shared" si="40"/>
        <v>+ VC-3.4</v>
      </c>
      <c r="C245" s="324"/>
      <c r="D245" s="551">
        <f t="shared" si="46"/>
        <v>1</v>
      </c>
      <c r="E245" s="585">
        <f t="shared" si="46"/>
        <v>2.2549999999999999</v>
      </c>
      <c r="F245" s="326"/>
      <c r="G245" s="553">
        <f t="shared" si="49"/>
        <v>0.51500000000000001</v>
      </c>
      <c r="H245" s="327"/>
      <c r="I245" s="472"/>
      <c r="J245" s="586">
        <v>2</v>
      </c>
      <c r="K245" s="572">
        <f t="shared" si="43"/>
        <v>2.3226499999999999</v>
      </c>
      <c r="L245" s="337"/>
    </row>
    <row r="246" spans="1:12" s="329" customFormat="1" ht="15.75">
      <c r="A246" s="323"/>
      <c r="B246" s="575" t="str">
        <f t="shared" si="40"/>
        <v>+ VC-3.5</v>
      </c>
      <c r="C246" s="324"/>
      <c r="D246" s="551">
        <f t="shared" si="46"/>
        <v>1</v>
      </c>
      <c r="E246" s="585">
        <f t="shared" si="46"/>
        <v>2.29</v>
      </c>
      <c r="F246" s="326"/>
      <c r="G246" s="553">
        <f t="shared" si="49"/>
        <v>0.51500000000000001</v>
      </c>
      <c r="H246" s="327"/>
      <c r="I246" s="472"/>
      <c r="J246" s="586">
        <v>2</v>
      </c>
      <c r="K246" s="572">
        <f t="shared" si="43"/>
        <v>2.3587000000000002</v>
      </c>
      <c r="L246" s="337"/>
    </row>
    <row r="247" spans="1:12" s="329" customFormat="1" ht="15.75">
      <c r="A247" s="323"/>
      <c r="B247" s="575" t="str">
        <f t="shared" si="40"/>
        <v>+ VC-3.6</v>
      </c>
      <c r="C247" s="324"/>
      <c r="D247" s="551">
        <f t="shared" si="46"/>
        <v>1</v>
      </c>
      <c r="E247" s="585">
        <f t="shared" si="46"/>
        <v>7.93</v>
      </c>
      <c r="F247" s="326"/>
      <c r="G247" s="553">
        <f t="shared" ref="G247:G248" si="50">+(1.45+1.33)/2</f>
        <v>1.3900000000000001</v>
      </c>
      <c r="H247" s="327"/>
      <c r="I247" s="472"/>
      <c r="J247" s="586">
        <v>2</v>
      </c>
      <c r="K247" s="572">
        <f t="shared" si="43"/>
        <v>22.045400000000001</v>
      </c>
      <c r="L247" s="337"/>
    </row>
    <row r="248" spans="1:12" s="329" customFormat="1" ht="15.75">
      <c r="A248" s="323"/>
      <c r="B248" s="575" t="str">
        <f t="shared" si="40"/>
        <v>+ VC-3.7</v>
      </c>
      <c r="C248" s="324"/>
      <c r="D248" s="551">
        <f t="shared" si="46"/>
        <v>1</v>
      </c>
      <c r="E248" s="585">
        <f t="shared" si="46"/>
        <v>8.6449999999999996</v>
      </c>
      <c r="F248" s="326"/>
      <c r="G248" s="553">
        <f t="shared" si="50"/>
        <v>1.3900000000000001</v>
      </c>
      <c r="H248" s="327"/>
      <c r="I248" s="472"/>
      <c r="J248" s="586">
        <v>2</v>
      </c>
      <c r="K248" s="572">
        <f t="shared" si="43"/>
        <v>24.033100000000001</v>
      </c>
      <c r="L248" s="337"/>
    </row>
    <row r="249" spans="1:12" s="329" customFormat="1" ht="15.75">
      <c r="A249" s="323"/>
      <c r="B249" s="575" t="str">
        <f t="shared" si="40"/>
        <v>+ VC-3.7C</v>
      </c>
      <c r="C249" s="324"/>
      <c r="D249" s="551">
        <f t="shared" si="46"/>
        <v>1</v>
      </c>
      <c r="E249" s="585">
        <f t="shared" si="46"/>
        <v>2.96</v>
      </c>
      <c r="F249" s="326"/>
      <c r="G249" s="553">
        <f t="shared" ref="G249" si="51">+(0.53+0.5)/2</f>
        <v>0.51500000000000001</v>
      </c>
      <c r="H249" s="327"/>
      <c r="I249" s="472"/>
      <c r="J249" s="586">
        <v>2</v>
      </c>
      <c r="K249" s="572">
        <f t="shared" si="43"/>
        <v>3.0488</v>
      </c>
      <c r="L249" s="337"/>
    </row>
    <row r="250" spans="1:12" s="329" customFormat="1" ht="15.75">
      <c r="A250" s="323"/>
      <c r="B250" s="575" t="str">
        <f t="shared" si="40"/>
        <v>+ VC-3.7D</v>
      </c>
      <c r="C250" s="324"/>
      <c r="D250" s="551">
        <f t="shared" si="46"/>
        <v>1</v>
      </c>
      <c r="E250" s="585">
        <f t="shared" si="46"/>
        <v>2.9769999999999999</v>
      </c>
      <c r="F250" s="326"/>
      <c r="G250" s="553">
        <f t="shared" ref="G250" si="52">+(1.45+1.33)/2</f>
        <v>1.3900000000000001</v>
      </c>
      <c r="H250" s="327"/>
      <c r="I250" s="472"/>
      <c r="J250" s="586">
        <v>2</v>
      </c>
      <c r="K250" s="572">
        <f t="shared" si="43"/>
        <v>8.2760600000000011</v>
      </c>
      <c r="L250" s="337"/>
    </row>
    <row r="251" spans="1:12" s="329" customFormat="1" ht="15.75">
      <c r="A251" s="323"/>
      <c r="B251" s="575" t="str">
        <f t="shared" si="40"/>
        <v>- Vách bể phòng kỹ thuật số 05</v>
      </c>
      <c r="C251" s="324"/>
      <c r="D251" s="551"/>
      <c r="E251" s="585"/>
      <c r="F251" s="326"/>
      <c r="G251" s="553"/>
      <c r="H251" s="327"/>
      <c r="I251" s="472"/>
      <c r="J251" s="586"/>
      <c r="K251" s="572"/>
      <c r="L251" s="337"/>
    </row>
    <row r="252" spans="1:12" s="329" customFormat="1" ht="15.75">
      <c r="A252" s="323"/>
      <c r="B252" s="575" t="str">
        <f t="shared" si="40"/>
        <v>+ Vách bể</v>
      </c>
      <c r="C252" s="324"/>
      <c r="D252" s="551">
        <f>+D112</f>
        <v>1</v>
      </c>
      <c r="E252" s="585">
        <f>+E112</f>
        <v>12</v>
      </c>
      <c r="F252" s="326"/>
      <c r="G252" s="553">
        <f>+G112</f>
        <v>1</v>
      </c>
      <c r="H252" s="327"/>
      <c r="I252" s="472"/>
      <c r="J252" s="586">
        <v>2</v>
      </c>
      <c r="K252" s="572">
        <f t="shared" si="43"/>
        <v>24</v>
      </c>
      <c r="L252" s="337"/>
    </row>
    <row r="253" spans="1:12" s="329" customFormat="1" ht="15.75">
      <c r="A253" s="323"/>
      <c r="B253" s="575" t="str">
        <f t="shared" si="40"/>
        <v>- Vách bồn cây trục 30-33</v>
      </c>
      <c r="C253" s="324"/>
      <c r="D253" s="551"/>
      <c r="E253" s="585"/>
      <c r="F253" s="326"/>
      <c r="G253" s="553"/>
      <c r="H253" s="327"/>
      <c r="I253" s="472"/>
      <c r="J253" s="586"/>
      <c r="K253" s="572"/>
      <c r="L253" s="337"/>
    </row>
    <row r="254" spans="1:12" s="329" customFormat="1" ht="15.75">
      <c r="A254" s="323"/>
      <c r="B254" s="575" t="str">
        <f t="shared" si="40"/>
        <v>+ VC-1.8</v>
      </c>
      <c r="C254" s="324"/>
      <c r="D254" s="551">
        <f t="shared" ref="D254:E261" si="53">+D114</f>
        <v>1</v>
      </c>
      <c r="E254" s="585">
        <f t="shared" si="53"/>
        <v>3.601</v>
      </c>
      <c r="F254" s="326"/>
      <c r="G254" s="553">
        <f t="shared" ref="G254" si="54">+(1.45+1.33)/2</f>
        <v>1.3900000000000001</v>
      </c>
      <c r="H254" s="327"/>
      <c r="I254" s="472"/>
      <c r="J254" s="586">
        <v>2</v>
      </c>
      <c r="K254" s="572">
        <f t="shared" si="43"/>
        <v>10.01078</v>
      </c>
      <c r="L254" s="337"/>
    </row>
    <row r="255" spans="1:12" s="329" customFormat="1" ht="15.75">
      <c r="A255" s="323"/>
      <c r="B255" s="575" t="str">
        <f t="shared" si="40"/>
        <v>+ VC-1.7</v>
      </c>
      <c r="C255" s="324"/>
      <c r="D255" s="551">
        <f t="shared" si="53"/>
        <v>1</v>
      </c>
      <c r="E255" s="585">
        <f t="shared" si="53"/>
        <v>3.4049999999999998</v>
      </c>
      <c r="F255" s="326"/>
      <c r="G255" s="553">
        <f t="shared" ref="G255:G260" si="55">+(0.53+0.5)/2</f>
        <v>0.51500000000000001</v>
      </c>
      <c r="H255" s="327"/>
      <c r="I255" s="472"/>
      <c r="J255" s="586">
        <v>2</v>
      </c>
      <c r="K255" s="572">
        <f t="shared" si="43"/>
        <v>3.5071499999999998</v>
      </c>
      <c r="L255" s="337"/>
    </row>
    <row r="256" spans="1:12" s="329" customFormat="1" ht="15.75">
      <c r="A256" s="323"/>
      <c r="B256" s="575" t="str">
        <f t="shared" si="40"/>
        <v>+ VC-1.6</v>
      </c>
      <c r="C256" s="324"/>
      <c r="D256" s="551">
        <f t="shared" si="53"/>
        <v>1</v>
      </c>
      <c r="E256" s="585">
        <f t="shared" si="53"/>
        <v>4.7300000000000004</v>
      </c>
      <c r="F256" s="326"/>
      <c r="G256" s="553">
        <f t="shared" si="55"/>
        <v>0.51500000000000001</v>
      </c>
      <c r="H256" s="327"/>
      <c r="I256" s="472"/>
      <c r="J256" s="586">
        <v>2</v>
      </c>
      <c r="K256" s="572">
        <f t="shared" si="43"/>
        <v>4.871900000000001</v>
      </c>
      <c r="L256" s="337"/>
    </row>
    <row r="257" spans="1:12" s="329" customFormat="1" ht="15.75">
      <c r="A257" s="323"/>
      <c r="B257" s="575" t="str">
        <f t="shared" si="40"/>
        <v>+ VC-1.5</v>
      </c>
      <c r="C257" s="324"/>
      <c r="D257" s="551">
        <f t="shared" si="53"/>
        <v>1</v>
      </c>
      <c r="E257" s="585">
        <f t="shared" si="53"/>
        <v>4.82</v>
      </c>
      <c r="F257" s="326"/>
      <c r="G257" s="553">
        <f t="shared" si="55"/>
        <v>0.51500000000000001</v>
      </c>
      <c r="H257" s="327"/>
      <c r="I257" s="472"/>
      <c r="J257" s="586">
        <v>2</v>
      </c>
      <c r="K257" s="572">
        <f t="shared" si="43"/>
        <v>4.9646000000000008</v>
      </c>
      <c r="L257" s="337"/>
    </row>
    <row r="258" spans="1:12" s="329" customFormat="1" ht="15.75">
      <c r="A258" s="323"/>
      <c r="B258" s="575" t="str">
        <f t="shared" si="40"/>
        <v>+ VC-1.4</v>
      </c>
      <c r="C258" s="324"/>
      <c r="D258" s="551">
        <f t="shared" si="53"/>
        <v>1</v>
      </c>
      <c r="E258" s="585">
        <f t="shared" si="53"/>
        <v>4.74</v>
      </c>
      <c r="F258" s="326"/>
      <c r="G258" s="553">
        <f t="shared" si="55"/>
        <v>0.51500000000000001</v>
      </c>
      <c r="H258" s="327"/>
      <c r="I258" s="472"/>
      <c r="J258" s="586">
        <v>2</v>
      </c>
      <c r="K258" s="572">
        <f t="shared" si="43"/>
        <v>4.8822000000000001</v>
      </c>
      <c r="L258" s="337"/>
    </row>
    <row r="259" spans="1:12" s="329" customFormat="1" ht="15.75">
      <c r="A259" s="323"/>
      <c r="B259" s="575" t="str">
        <f t="shared" si="40"/>
        <v>+ VC-1.3</v>
      </c>
      <c r="C259" s="324"/>
      <c r="D259" s="551">
        <f t="shared" si="53"/>
        <v>1</v>
      </c>
      <c r="E259" s="585">
        <f t="shared" si="53"/>
        <v>4.55</v>
      </c>
      <c r="F259" s="326"/>
      <c r="G259" s="553">
        <f t="shared" si="55"/>
        <v>0.51500000000000001</v>
      </c>
      <c r="H259" s="327"/>
      <c r="I259" s="472"/>
      <c r="J259" s="586">
        <v>2</v>
      </c>
      <c r="K259" s="572">
        <f t="shared" si="43"/>
        <v>4.6864999999999997</v>
      </c>
      <c r="L259" s="337"/>
    </row>
    <row r="260" spans="1:12" s="329" customFormat="1" ht="15.75">
      <c r="A260" s="323"/>
      <c r="B260" s="575" t="str">
        <f t="shared" si="40"/>
        <v>+ VC-1.2</v>
      </c>
      <c r="C260" s="324"/>
      <c r="D260" s="551">
        <f t="shared" si="53"/>
        <v>1</v>
      </c>
      <c r="E260" s="585">
        <f t="shared" si="53"/>
        <v>3.17</v>
      </c>
      <c r="F260" s="326"/>
      <c r="G260" s="553">
        <f t="shared" si="55"/>
        <v>0.51500000000000001</v>
      </c>
      <c r="H260" s="327"/>
      <c r="I260" s="472"/>
      <c r="J260" s="586">
        <v>2</v>
      </c>
      <c r="K260" s="572">
        <f t="shared" si="43"/>
        <v>3.2650999999999999</v>
      </c>
      <c r="L260" s="337"/>
    </row>
    <row r="261" spans="1:12" s="329" customFormat="1" ht="15.75">
      <c r="A261" s="323"/>
      <c r="B261" s="575" t="str">
        <f t="shared" si="40"/>
        <v>+ VC-1.1</v>
      </c>
      <c r="C261" s="324"/>
      <c r="D261" s="551">
        <f t="shared" si="53"/>
        <v>1</v>
      </c>
      <c r="E261" s="585">
        <f t="shared" si="53"/>
        <v>3.601</v>
      </c>
      <c r="F261" s="326"/>
      <c r="G261" s="553">
        <f t="shared" ref="G261:G269" si="56">+(1.45+1.33)/2</f>
        <v>1.3900000000000001</v>
      </c>
      <c r="H261" s="327"/>
      <c r="I261" s="472"/>
      <c r="J261" s="586">
        <v>2</v>
      </c>
      <c r="K261" s="572">
        <f t="shared" si="43"/>
        <v>10.01078</v>
      </c>
      <c r="L261" s="337"/>
    </row>
    <row r="262" spans="1:12" s="329" customFormat="1" ht="15.75">
      <c r="A262" s="323"/>
      <c r="B262" s="575" t="str">
        <f t="shared" si="40"/>
        <v>- Ngoài trục BB</v>
      </c>
      <c r="C262" s="324"/>
      <c r="D262" s="551"/>
      <c r="E262" s="585"/>
      <c r="F262" s="326"/>
      <c r="G262" s="553"/>
      <c r="H262" s="327"/>
      <c r="I262" s="472"/>
      <c r="J262" s="586"/>
      <c r="K262" s="572"/>
      <c r="L262" s="337"/>
    </row>
    <row r="263" spans="1:12" s="329" customFormat="1" ht="15.75">
      <c r="A263" s="323"/>
      <c r="B263" s="575" t="str">
        <f t="shared" si="40"/>
        <v>+ VCX-02</v>
      </c>
      <c r="C263" s="324"/>
      <c r="D263" s="551">
        <f>+D123</f>
        <v>1</v>
      </c>
      <c r="E263" s="585">
        <f>+E123</f>
        <v>115.8</v>
      </c>
      <c r="F263" s="326"/>
      <c r="G263" s="585">
        <f>+G123</f>
        <v>1.45</v>
      </c>
      <c r="H263" s="327"/>
      <c r="I263" s="472"/>
      <c r="J263" s="586">
        <v>2</v>
      </c>
      <c r="K263" s="572">
        <f t="shared" ref="K263" si="57">+PRODUCT(D263:J263)</f>
        <v>335.82</v>
      </c>
      <c r="L263" s="337"/>
    </row>
    <row r="264" spans="1:12" s="329" customFormat="1" ht="15.75">
      <c r="A264" s="323"/>
      <c r="B264" s="575"/>
      <c r="C264" s="324"/>
      <c r="D264" s="551"/>
      <c r="E264" s="585"/>
      <c r="F264" s="326"/>
      <c r="G264" s="553"/>
      <c r="H264" s="327"/>
      <c r="I264" s="472"/>
      <c r="J264" s="586"/>
      <c r="K264" s="572"/>
      <c r="L264" s="337"/>
    </row>
    <row r="265" spans="1:12" s="329" customFormat="1" ht="15.75">
      <c r="A265" s="323"/>
      <c r="B265" s="575" t="str">
        <f>+B125</f>
        <v>Bể PKT 05</v>
      </c>
      <c r="C265" s="324"/>
      <c r="D265" s="551"/>
      <c r="E265" s="585"/>
      <c r="F265" s="326"/>
      <c r="G265" s="553"/>
      <c r="H265" s="327"/>
      <c r="I265" s="472"/>
      <c r="J265" s="586"/>
      <c r="K265" s="572"/>
      <c r="L265" s="337"/>
    </row>
    <row r="266" spans="1:12" s="329" customFormat="1" ht="15.75">
      <c r="A266" s="323"/>
      <c r="B266" s="575" t="str">
        <f>+B126</f>
        <v>- Thành bể</v>
      </c>
      <c r="C266" s="324"/>
      <c r="D266" s="551">
        <f>+D126</f>
        <v>1</v>
      </c>
      <c r="E266" s="585">
        <f>+E126</f>
        <v>12</v>
      </c>
      <c r="F266" s="326"/>
      <c r="G266" s="553">
        <f t="shared" si="56"/>
        <v>1.3900000000000001</v>
      </c>
      <c r="H266" s="327"/>
      <c r="I266" s="472"/>
      <c r="J266" s="586">
        <v>2</v>
      </c>
      <c r="K266" s="572">
        <f t="shared" ref="K266" si="58">+PRODUCT(D266:J266)</f>
        <v>33.36</v>
      </c>
      <c r="L266" s="337"/>
    </row>
    <row r="267" spans="1:12" s="329" customFormat="1" ht="15.75">
      <c r="A267" s="323"/>
      <c r="B267" s="575"/>
      <c r="C267" s="324"/>
      <c r="D267" s="551"/>
      <c r="E267" s="585"/>
      <c r="F267" s="326"/>
      <c r="G267" s="553"/>
      <c r="H267" s="327"/>
      <c r="I267" s="472"/>
      <c r="J267" s="586"/>
      <c r="K267" s="572"/>
      <c r="L267" s="337"/>
    </row>
    <row r="268" spans="1:12" s="329" customFormat="1" ht="15.75">
      <c r="A268" s="323"/>
      <c r="B268" s="575" t="str">
        <f>+B128</f>
        <v>Bể PKT 06</v>
      </c>
      <c r="C268" s="324"/>
      <c r="D268" s="551"/>
      <c r="E268" s="585"/>
      <c r="F268" s="326"/>
      <c r="G268" s="553"/>
      <c r="H268" s="327"/>
      <c r="I268" s="472"/>
      <c r="J268" s="586"/>
      <c r="K268" s="572"/>
      <c r="L268" s="337"/>
    </row>
    <row r="269" spans="1:12" s="329" customFormat="1" ht="15.75">
      <c r="A269" s="323"/>
      <c r="B269" s="575" t="str">
        <f>+B129</f>
        <v>- Thành bể</v>
      </c>
      <c r="C269" s="324"/>
      <c r="D269" s="551">
        <f>+D129</f>
        <v>1</v>
      </c>
      <c r="E269" s="585">
        <f>+E129</f>
        <v>11.4</v>
      </c>
      <c r="F269" s="326"/>
      <c r="G269" s="553">
        <f t="shared" si="56"/>
        <v>1.3900000000000001</v>
      </c>
      <c r="H269" s="327"/>
      <c r="I269" s="472"/>
      <c r="J269" s="586">
        <v>2</v>
      </c>
      <c r="K269" s="572">
        <f t="shared" ref="K269" si="59">+PRODUCT(D269:J269)</f>
        <v>31.692000000000004</v>
      </c>
      <c r="L269" s="337"/>
    </row>
    <row r="270" spans="1:12" s="329" customFormat="1" ht="15.75">
      <c r="A270" s="323"/>
      <c r="B270" s="575"/>
      <c r="C270" s="324"/>
      <c r="D270" s="551"/>
      <c r="E270" s="585"/>
      <c r="F270" s="326"/>
      <c r="G270" s="553"/>
      <c r="H270" s="327"/>
      <c r="I270" s="472"/>
      <c r="J270" s="586"/>
      <c r="K270" s="572"/>
      <c r="L270" s="337"/>
    </row>
    <row r="271" spans="1:12" s="322" customFormat="1" ht="15.75">
      <c r="A271" s="315">
        <f>'02.1-ĐNTT'!A41</f>
        <v>24</v>
      </c>
      <c r="B271" s="316" t="str">
        <f>'02.1-ĐNTT'!B41</f>
        <v>Ván khuôn cong vách bể</v>
      </c>
      <c r="C271" s="317" t="str">
        <f>'02.1-ĐNTT'!C41</f>
        <v>m2</v>
      </c>
      <c r="D271" s="317"/>
      <c r="E271" s="318"/>
      <c r="F271" s="319"/>
      <c r="G271" s="320"/>
      <c r="H271" s="320"/>
      <c r="I271" s="471"/>
      <c r="J271" s="321"/>
      <c r="K271" s="488">
        <f>SUBTOTAL(9,K272:K287)</f>
        <v>1133.9823999999999</v>
      </c>
      <c r="L271" s="335"/>
    </row>
    <row r="272" spans="1:12" s="584" customFormat="1" ht="15.75">
      <c r="A272" s="574"/>
      <c r="B272" s="575" t="str">
        <f t="shared" ref="B272:B285" si="60">+B70</f>
        <v>Vách bể bơi trục B18-B27</v>
      </c>
      <c r="C272" s="576"/>
      <c r="D272" s="576"/>
      <c r="E272" s="577"/>
      <c r="F272" s="578"/>
      <c r="G272" s="579"/>
      <c r="H272" s="579"/>
      <c r="I272" s="580"/>
      <c r="J272" s="581"/>
      <c r="K272" s="582"/>
      <c r="L272" s="583"/>
    </row>
    <row r="273" spans="1:12" s="329" customFormat="1" ht="15.75">
      <c r="A273" s="323"/>
      <c r="B273" s="575" t="str">
        <f t="shared" si="60"/>
        <v>- Vách ngoài bể bơi trục B18-B27</v>
      </c>
      <c r="C273" s="324"/>
      <c r="D273" s="324"/>
      <c r="E273" s="325"/>
      <c r="F273" s="326"/>
      <c r="G273" s="327"/>
      <c r="H273" s="327"/>
      <c r="I273" s="472"/>
      <c r="J273" s="328"/>
      <c r="K273" s="489"/>
      <c r="L273" s="336"/>
    </row>
    <row r="274" spans="1:12" s="329" customFormat="1" ht="15.75">
      <c r="A274" s="323"/>
      <c r="B274" s="575" t="str">
        <f t="shared" si="60"/>
        <v>+ Vách V1</v>
      </c>
      <c r="C274" s="324"/>
      <c r="D274" s="551">
        <f>+D72</f>
        <v>1</v>
      </c>
      <c r="E274" s="585">
        <v>56.21</v>
      </c>
      <c r="F274" s="552"/>
      <c r="G274" s="553">
        <f>+G72-0.1</f>
        <v>1.46</v>
      </c>
      <c r="H274" s="554"/>
      <c r="I274" s="554"/>
      <c r="J274" s="555">
        <v>1</v>
      </c>
      <c r="K274" s="572">
        <f t="shared" ref="K274:K286" si="61">+PRODUCT(D274:J274)</f>
        <v>82.066599999999994</v>
      </c>
      <c r="L274" s="569" t="s">
        <v>406</v>
      </c>
    </row>
    <row r="275" spans="1:12" s="329" customFormat="1" ht="15.75">
      <c r="A275" s="323"/>
      <c r="B275" s="575" t="str">
        <f t="shared" si="60"/>
        <v>+ Vách V2</v>
      </c>
      <c r="C275" s="324"/>
      <c r="D275" s="551">
        <f>+D73</f>
        <v>1</v>
      </c>
      <c r="E275" s="585">
        <v>50.95</v>
      </c>
      <c r="F275" s="552"/>
      <c r="G275" s="553">
        <f>+G73-0.2</f>
        <v>1.677</v>
      </c>
      <c r="H275" s="554"/>
      <c r="I275" s="554"/>
      <c r="J275" s="555">
        <v>1</v>
      </c>
      <c r="K275" s="572">
        <f t="shared" si="61"/>
        <v>85.443150000000003</v>
      </c>
      <c r="L275" s="337"/>
    </row>
    <row r="276" spans="1:12" s="329" customFormat="1" ht="15.75">
      <c r="A276" s="323"/>
      <c r="B276" s="575" t="str">
        <f t="shared" si="60"/>
        <v>+ Vách V4</v>
      </c>
      <c r="C276" s="324"/>
      <c r="D276" s="551">
        <f>+D74</f>
        <v>1</v>
      </c>
      <c r="E276" s="585">
        <v>297.49700000000001</v>
      </c>
      <c r="F276" s="552"/>
      <c r="G276" s="553">
        <f>+G74-0.2</f>
        <v>1.7500000000000002</v>
      </c>
      <c r="H276" s="554"/>
      <c r="I276" s="554"/>
      <c r="J276" s="555">
        <v>1</v>
      </c>
      <c r="K276" s="572">
        <f t="shared" si="61"/>
        <v>520.61975000000007</v>
      </c>
      <c r="L276" s="337"/>
    </row>
    <row r="277" spans="1:12" s="329" customFormat="1" ht="15.75">
      <c r="A277" s="323"/>
      <c r="B277" s="575" t="str">
        <f t="shared" si="60"/>
        <v>+ Vách V6</v>
      </c>
      <c r="C277" s="324"/>
      <c r="D277" s="551">
        <f>+D75</f>
        <v>1</v>
      </c>
      <c r="E277" s="585">
        <v>177.97499999999999</v>
      </c>
      <c r="F277" s="552"/>
      <c r="G277" s="553">
        <f>+G75-0.1</f>
        <v>1.7999999999999998</v>
      </c>
      <c r="H277" s="554"/>
      <c r="I277" s="554"/>
      <c r="J277" s="555">
        <v>1</v>
      </c>
      <c r="K277" s="572">
        <f t="shared" si="61"/>
        <v>320.35499999999996</v>
      </c>
      <c r="L277" s="569" t="s">
        <v>406</v>
      </c>
    </row>
    <row r="278" spans="1:12" s="329" customFormat="1" ht="15.75">
      <c r="A278" s="323"/>
      <c r="B278" s="575" t="str">
        <f t="shared" si="60"/>
        <v>+ Vách V7</v>
      </c>
      <c r="C278" s="324"/>
      <c r="D278" s="551">
        <f>+D76</f>
        <v>1</v>
      </c>
      <c r="E278" s="585">
        <v>35.42</v>
      </c>
      <c r="F278" s="552"/>
      <c r="G278" s="553">
        <f>+G76-0.2</f>
        <v>1.4750000000000001</v>
      </c>
      <c r="H278" s="554"/>
      <c r="I278" s="554"/>
      <c r="J278" s="555">
        <v>1</v>
      </c>
      <c r="K278" s="572">
        <f t="shared" si="61"/>
        <v>52.244500000000002</v>
      </c>
      <c r="L278" s="336"/>
    </row>
    <row r="279" spans="1:12" s="329" customFormat="1" ht="15.75">
      <c r="A279" s="323"/>
      <c r="B279" s="575" t="str">
        <f t="shared" si="60"/>
        <v>- Vách trong bể bơi trục B18-B27</v>
      </c>
      <c r="C279" s="324"/>
      <c r="D279" s="551"/>
      <c r="E279" s="325"/>
      <c r="F279" s="326"/>
      <c r="G279" s="325"/>
      <c r="H279" s="327"/>
      <c r="I279" s="472"/>
      <c r="J279" s="328"/>
      <c r="K279" s="489"/>
      <c r="L279" s="337"/>
    </row>
    <row r="280" spans="1:12" s="329" customFormat="1" ht="15.75">
      <c r="A280" s="323"/>
      <c r="B280" s="575" t="str">
        <f t="shared" si="60"/>
        <v>+ Vách BY1</v>
      </c>
      <c r="C280" s="324"/>
      <c r="D280" s="551">
        <f t="shared" ref="D280:D285" si="62">+D78</f>
        <v>1</v>
      </c>
      <c r="E280" s="585">
        <v>15.8</v>
      </c>
      <c r="F280" s="326"/>
      <c r="G280" s="553">
        <f t="shared" ref="G280:G285" si="63">+G78</f>
        <v>1.1100000000000001</v>
      </c>
      <c r="H280" s="327"/>
      <c r="I280" s="472"/>
      <c r="J280" s="586">
        <v>1</v>
      </c>
      <c r="K280" s="572">
        <f t="shared" si="61"/>
        <v>17.538000000000004</v>
      </c>
      <c r="L280" s="337"/>
    </row>
    <row r="281" spans="1:12" s="329" customFormat="1" ht="15.75">
      <c r="A281" s="323"/>
      <c r="B281" s="575" t="str">
        <f t="shared" si="60"/>
        <v>+ Vách BY2</v>
      </c>
      <c r="C281" s="324"/>
      <c r="D281" s="551">
        <f t="shared" si="62"/>
        <v>1</v>
      </c>
      <c r="E281" s="585">
        <v>10.566000000000001</v>
      </c>
      <c r="F281" s="326"/>
      <c r="G281" s="553">
        <f t="shared" si="63"/>
        <v>1.1100000000000001</v>
      </c>
      <c r="H281" s="327"/>
      <c r="I281" s="472"/>
      <c r="J281" s="586">
        <v>1</v>
      </c>
      <c r="K281" s="572">
        <f t="shared" si="61"/>
        <v>11.728260000000002</v>
      </c>
      <c r="L281" s="337"/>
    </row>
    <row r="282" spans="1:12" s="329" customFormat="1" ht="15.75">
      <c r="A282" s="323"/>
      <c r="B282" s="575" t="str">
        <f t="shared" si="60"/>
        <v>+ Vách BY3</v>
      </c>
      <c r="C282" s="324"/>
      <c r="D282" s="551">
        <f t="shared" si="62"/>
        <v>1</v>
      </c>
      <c r="E282" s="585">
        <v>8.0440000000000005</v>
      </c>
      <c r="F282" s="326"/>
      <c r="G282" s="553">
        <f t="shared" si="63"/>
        <v>1.6500000000000001</v>
      </c>
      <c r="H282" s="327"/>
      <c r="I282" s="472"/>
      <c r="J282" s="586">
        <v>1</v>
      </c>
      <c r="K282" s="572">
        <f t="shared" si="61"/>
        <v>13.272600000000002</v>
      </c>
      <c r="L282" s="337"/>
    </row>
    <row r="283" spans="1:12" s="329" customFormat="1" ht="15.75">
      <c r="A283" s="323"/>
      <c r="B283" s="575" t="str">
        <f t="shared" si="60"/>
        <v>+ Vách BY4</v>
      </c>
      <c r="C283" s="324"/>
      <c r="D283" s="551">
        <f t="shared" si="62"/>
        <v>1</v>
      </c>
      <c r="E283" s="585">
        <v>12.78</v>
      </c>
      <c r="F283" s="326"/>
      <c r="G283" s="553">
        <f t="shared" si="63"/>
        <v>1.1100000000000001</v>
      </c>
      <c r="H283" s="327"/>
      <c r="I283" s="472"/>
      <c r="J283" s="586">
        <v>1</v>
      </c>
      <c r="K283" s="572">
        <f t="shared" si="61"/>
        <v>14.1858</v>
      </c>
      <c r="L283" s="336"/>
    </row>
    <row r="284" spans="1:12" s="329" customFormat="1" ht="15.75">
      <c r="A284" s="323"/>
      <c r="B284" s="575" t="str">
        <f t="shared" si="60"/>
        <v>+ Vách BY5</v>
      </c>
      <c r="C284" s="324"/>
      <c r="D284" s="551">
        <f t="shared" si="62"/>
        <v>1</v>
      </c>
      <c r="E284" s="585">
        <v>11.763999999999999</v>
      </c>
      <c r="F284" s="326"/>
      <c r="G284" s="553">
        <f t="shared" si="63"/>
        <v>1.1100000000000001</v>
      </c>
      <c r="H284" s="327"/>
      <c r="I284" s="472"/>
      <c r="J284" s="586">
        <v>1</v>
      </c>
      <c r="K284" s="572">
        <f t="shared" si="61"/>
        <v>13.05804</v>
      </c>
      <c r="L284" s="337"/>
    </row>
    <row r="285" spans="1:12" s="329" customFormat="1" ht="15.75">
      <c r="A285" s="323"/>
      <c r="B285" s="575" t="str">
        <f t="shared" si="60"/>
        <v>+ Vách BY6</v>
      </c>
      <c r="C285" s="324"/>
      <c r="D285" s="551">
        <f t="shared" si="62"/>
        <v>1</v>
      </c>
      <c r="E285" s="585">
        <v>8.5579999999999998</v>
      </c>
      <c r="F285" s="326"/>
      <c r="G285" s="553">
        <f t="shared" si="63"/>
        <v>1.6500000000000001</v>
      </c>
      <c r="H285" s="327"/>
      <c r="I285" s="472"/>
      <c r="J285" s="586">
        <v>1</v>
      </c>
      <c r="K285" s="572">
        <f t="shared" si="61"/>
        <v>14.120700000000001</v>
      </c>
      <c r="L285" s="337"/>
    </row>
    <row r="286" spans="1:12" s="329" customFormat="1" ht="15.75">
      <c r="A286" s="323"/>
      <c r="B286" s="575" t="s">
        <v>405</v>
      </c>
      <c r="C286" s="324"/>
      <c r="D286" s="551">
        <v>71</v>
      </c>
      <c r="E286" s="585">
        <v>0.3</v>
      </c>
      <c r="F286" s="326"/>
      <c r="G286" s="553">
        <v>0.25</v>
      </c>
      <c r="H286" s="327"/>
      <c r="I286" s="472"/>
      <c r="J286" s="586">
        <v>-2</v>
      </c>
      <c r="K286" s="572">
        <f t="shared" si="61"/>
        <v>-10.65</v>
      </c>
      <c r="L286" s="337"/>
    </row>
    <row r="287" spans="1:12" s="329" customFormat="1" ht="15.75">
      <c r="A287" s="323"/>
      <c r="B287" s="575"/>
      <c r="C287" s="324"/>
      <c r="D287" s="551"/>
      <c r="E287" s="585"/>
      <c r="F287" s="326"/>
      <c r="G287" s="553"/>
      <c r="H287" s="327"/>
      <c r="I287" s="472"/>
      <c r="J287" s="586"/>
      <c r="K287" s="572"/>
      <c r="L287" s="337"/>
    </row>
    <row r="288" spans="1:12" s="322" customFormat="1" ht="15.75">
      <c r="A288" s="315">
        <f>'02.1-ĐNTT'!A42</f>
        <v>25</v>
      </c>
      <c r="B288" s="316" t="str">
        <f>'02.1-ĐNTT'!B42</f>
        <v>Ván khuôn sàn đáy bể</v>
      </c>
      <c r="C288" s="317" t="str">
        <f>'02.1-ĐNTT'!C42</f>
        <v>m2</v>
      </c>
      <c r="D288" s="317"/>
      <c r="E288" s="318"/>
      <c r="F288" s="319"/>
      <c r="G288" s="320"/>
      <c r="H288" s="320"/>
      <c r="I288" s="471"/>
      <c r="J288" s="321"/>
      <c r="K288" s="488">
        <f>SUBTOTAL(9,K289:K358)</f>
        <v>936.25130061990092</v>
      </c>
      <c r="L288" s="335"/>
    </row>
    <row r="289" spans="1:12" s="332" customFormat="1" ht="15.75">
      <c r="A289" s="330"/>
      <c r="B289" s="575" t="str">
        <f t="shared" ref="B289:B297" si="64">+B132</f>
        <v>Sàn đáy hồ bơi trục B18-B27</v>
      </c>
      <c r="C289" s="331"/>
      <c r="D289" s="324"/>
      <c r="E289" s="325"/>
      <c r="F289" s="326"/>
      <c r="G289" s="327"/>
      <c r="H289" s="554"/>
      <c r="I289" s="472"/>
      <c r="J289" s="328"/>
      <c r="K289" s="489"/>
      <c r="L289" s="337"/>
    </row>
    <row r="290" spans="1:12" s="332" customFormat="1" ht="15.75">
      <c r="A290" s="330"/>
      <c r="B290" s="575" t="str">
        <f t="shared" si="64"/>
        <v>- Sàn cos -0,350</v>
      </c>
      <c r="C290" s="331"/>
      <c r="D290" s="551">
        <f t="shared" ref="D290:D297" si="65">+D133</f>
        <v>1</v>
      </c>
      <c r="E290" s="325"/>
      <c r="F290" s="326"/>
      <c r="G290" s="327"/>
      <c r="H290" s="554">
        <f t="shared" ref="H290:H297" si="66">+H133</f>
        <v>44.451999999999998</v>
      </c>
      <c r="I290" s="472"/>
      <c r="J290" s="586">
        <f t="shared" ref="J290:J297" si="67">+J133</f>
        <v>1</v>
      </c>
      <c r="K290" s="572">
        <f t="shared" ref="K290:K314" si="68">+PRODUCT(D290:J290)</f>
        <v>44.451999999999998</v>
      </c>
      <c r="L290" s="337"/>
    </row>
    <row r="291" spans="1:12" s="332" customFormat="1" ht="15.75">
      <c r="A291" s="330"/>
      <c r="B291" s="575" t="str">
        <f t="shared" si="64"/>
        <v>- Sàn cos -0,290</v>
      </c>
      <c r="C291" s="331"/>
      <c r="D291" s="551">
        <f t="shared" si="65"/>
        <v>1</v>
      </c>
      <c r="E291" s="325"/>
      <c r="F291" s="326"/>
      <c r="G291" s="327"/>
      <c r="H291" s="554">
        <f t="shared" si="66"/>
        <v>41.29</v>
      </c>
      <c r="I291" s="472"/>
      <c r="J291" s="586">
        <f t="shared" si="67"/>
        <v>1</v>
      </c>
      <c r="K291" s="572">
        <f t="shared" si="68"/>
        <v>41.29</v>
      </c>
      <c r="L291" s="337"/>
    </row>
    <row r="292" spans="1:12" s="332" customFormat="1" ht="15.75">
      <c r="A292" s="330"/>
      <c r="B292" s="575" t="str">
        <f t="shared" si="64"/>
        <v>- Sàn cos -0,450</v>
      </c>
      <c r="C292" s="331"/>
      <c r="D292" s="551">
        <f t="shared" si="65"/>
        <v>1</v>
      </c>
      <c r="E292" s="325"/>
      <c r="F292" s="326"/>
      <c r="G292" s="327"/>
      <c r="H292" s="554">
        <f t="shared" si="66"/>
        <v>89.55</v>
      </c>
      <c r="I292" s="472"/>
      <c r="J292" s="586">
        <f t="shared" si="67"/>
        <v>1</v>
      </c>
      <c r="K292" s="572">
        <f t="shared" si="68"/>
        <v>89.55</v>
      </c>
      <c r="L292" s="337"/>
    </row>
    <row r="293" spans="1:12" s="332" customFormat="1" ht="15.75">
      <c r="A293" s="330"/>
      <c r="B293" s="575" t="str">
        <f t="shared" si="64"/>
        <v>- Sàn cos -0,61</v>
      </c>
      <c r="C293" s="331"/>
      <c r="D293" s="551">
        <f t="shared" si="65"/>
        <v>1</v>
      </c>
      <c r="E293" s="325"/>
      <c r="F293" s="326"/>
      <c r="G293" s="327"/>
      <c r="H293" s="554">
        <f t="shared" si="66"/>
        <v>385.03100000000001</v>
      </c>
      <c r="I293" s="472"/>
      <c r="J293" s="586">
        <f t="shared" si="67"/>
        <v>1</v>
      </c>
      <c r="K293" s="572">
        <f t="shared" si="68"/>
        <v>385.03100000000001</v>
      </c>
      <c r="L293" s="337"/>
    </row>
    <row r="294" spans="1:12" s="332" customFormat="1" ht="15.75">
      <c r="A294" s="330"/>
      <c r="B294" s="575" t="str">
        <f t="shared" si="64"/>
        <v>- Sàn cos +0,01</v>
      </c>
      <c r="C294" s="331"/>
      <c r="D294" s="551">
        <f t="shared" si="65"/>
        <v>1</v>
      </c>
      <c r="E294" s="325"/>
      <c r="F294" s="326"/>
      <c r="G294" s="327"/>
      <c r="H294" s="554">
        <f t="shared" si="66"/>
        <v>143.768</v>
      </c>
      <c r="I294" s="472"/>
      <c r="J294" s="586">
        <f t="shared" si="67"/>
        <v>1</v>
      </c>
      <c r="K294" s="572">
        <f t="shared" si="68"/>
        <v>143.768</v>
      </c>
      <c r="L294" s="337"/>
    </row>
    <row r="295" spans="1:12" s="332" customFormat="1" ht="15.75">
      <c r="A295" s="330"/>
      <c r="B295" s="575" t="str">
        <f t="shared" si="64"/>
        <v>- Sàn cos -0,600</v>
      </c>
      <c r="C295" s="331"/>
      <c r="D295" s="551">
        <f t="shared" si="65"/>
        <v>1</v>
      </c>
      <c r="E295" s="325"/>
      <c r="F295" s="326"/>
      <c r="G295" s="327"/>
      <c r="H295" s="554">
        <f t="shared" si="66"/>
        <v>93.834000000000003</v>
      </c>
      <c r="I295" s="472"/>
      <c r="J295" s="586">
        <f t="shared" si="67"/>
        <v>1</v>
      </c>
      <c r="K295" s="572">
        <f t="shared" si="68"/>
        <v>93.834000000000003</v>
      </c>
      <c r="L295" s="337"/>
    </row>
    <row r="296" spans="1:12" s="332" customFormat="1" ht="15.75">
      <c r="A296" s="330"/>
      <c r="B296" s="575" t="str">
        <f t="shared" si="64"/>
        <v xml:space="preserve">- Sàn cos -0,600 ngoài trục BB </v>
      </c>
      <c r="C296" s="331"/>
      <c r="D296" s="551">
        <f t="shared" si="65"/>
        <v>2</v>
      </c>
      <c r="E296" s="325"/>
      <c r="F296" s="326"/>
      <c r="G296" s="327"/>
      <c r="H296" s="554">
        <f t="shared" si="66"/>
        <v>54.207999999999998</v>
      </c>
      <c r="I296" s="472"/>
      <c r="J296" s="586">
        <f t="shared" si="67"/>
        <v>1</v>
      </c>
      <c r="K296" s="572">
        <f t="shared" ref="K296" si="69">+PRODUCT(D296:J296)</f>
        <v>108.416</v>
      </c>
      <c r="L296" s="337"/>
    </row>
    <row r="297" spans="1:12" s="332" customFormat="1" ht="15.75">
      <c r="A297" s="330"/>
      <c r="B297" s="575" t="str">
        <f t="shared" si="64"/>
        <v xml:space="preserve">- Sàn cos -0,500 ngoài trục BB </v>
      </c>
      <c r="C297" s="331"/>
      <c r="D297" s="551">
        <f t="shared" si="65"/>
        <v>1</v>
      </c>
      <c r="E297" s="325"/>
      <c r="F297" s="326"/>
      <c r="G297" s="327"/>
      <c r="H297" s="554">
        <f t="shared" si="66"/>
        <v>7.141</v>
      </c>
      <c r="I297" s="472"/>
      <c r="J297" s="586">
        <f t="shared" si="67"/>
        <v>1</v>
      </c>
      <c r="K297" s="572">
        <f t="shared" ref="K297" si="70">+PRODUCT(D297:J297)</f>
        <v>7.141</v>
      </c>
      <c r="L297" s="337"/>
    </row>
    <row r="298" spans="1:12" s="332" customFormat="1" ht="15.75">
      <c r="A298" s="330"/>
      <c r="B298" s="587" t="s">
        <v>408</v>
      </c>
      <c r="C298" s="331"/>
      <c r="D298" s="551"/>
      <c r="E298" s="325"/>
      <c r="F298" s="326"/>
      <c r="G298" s="327"/>
      <c r="H298" s="554"/>
      <c r="I298" s="472"/>
      <c r="J298" s="586"/>
      <c r="K298" s="572"/>
      <c r="L298" s="337"/>
    </row>
    <row r="299" spans="1:12" s="332" customFormat="1" ht="15.75">
      <c r="A299" s="330"/>
      <c r="B299" s="575" t="str">
        <f t="shared" ref="B299:B304" si="71">+B78</f>
        <v>+ Vách BY1</v>
      </c>
      <c r="C299" s="331"/>
      <c r="D299" s="551">
        <f t="shared" ref="D299:D304" si="72">+D78</f>
        <v>1</v>
      </c>
      <c r="E299" s="325"/>
      <c r="F299" s="326"/>
      <c r="G299" s="327"/>
      <c r="H299" s="554">
        <f t="shared" ref="H299:H304" si="73">+H78</f>
        <v>2.37</v>
      </c>
      <c r="I299" s="472"/>
      <c r="J299" s="586">
        <v>-1</v>
      </c>
      <c r="K299" s="572">
        <f t="shared" si="68"/>
        <v>-2.37</v>
      </c>
      <c r="L299" s="337"/>
    </row>
    <row r="300" spans="1:12" s="332" customFormat="1" ht="15.75">
      <c r="A300" s="330"/>
      <c r="B300" s="575" t="str">
        <f t="shared" si="71"/>
        <v>+ Vách BY2</v>
      </c>
      <c r="C300" s="331"/>
      <c r="D300" s="551">
        <f t="shared" si="72"/>
        <v>1</v>
      </c>
      <c r="E300" s="325"/>
      <c r="F300" s="326"/>
      <c r="G300" s="327"/>
      <c r="H300" s="554">
        <f t="shared" si="73"/>
        <v>1.585</v>
      </c>
      <c r="I300" s="472"/>
      <c r="J300" s="586">
        <v>-1</v>
      </c>
      <c r="K300" s="572">
        <f t="shared" si="68"/>
        <v>-1.585</v>
      </c>
      <c r="L300" s="337"/>
    </row>
    <row r="301" spans="1:12" s="332" customFormat="1" ht="15.75">
      <c r="A301" s="330"/>
      <c r="B301" s="575" t="str">
        <f t="shared" si="71"/>
        <v>+ Vách BY3</v>
      </c>
      <c r="C301" s="331"/>
      <c r="D301" s="551">
        <f t="shared" si="72"/>
        <v>1</v>
      </c>
      <c r="E301" s="325"/>
      <c r="F301" s="326"/>
      <c r="G301" s="327"/>
      <c r="H301" s="554">
        <f t="shared" si="73"/>
        <v>0.99099999999999999</v>
      </c>
      <c r="I301" s="472"/>
      <c r="J301" s="586">
        <v>-1</v>
      </c>
      <c r="K301" s="572">
        <f t="shared" si="68"/>
        <v>-0.99099999999999999</v>
      </c>
      <c r="L301" s="337"/>
    </row>
    <row r="302" spans="1:12" s="332" customFormat="1" ht="15.75">
      <c r="A302" s="330"/>
      <c r="B302" s="575" t="str">
        <f t="shared" si="71"/>
        <v>+ Vách BY4</v>
      </c>
      <c r="C302" s="331"/>
      <c r="D302" s="551">
        <f t="shared" si="72"/>
        <v>1</v>
      </c>
      <c r="E302" s="325"/>
      <c r="F302" s="326"/>
      <c r="G302" s="327"/>
      <c r="H302" s="554">
        <f t="shared" si="73"/>
        <v>1.827</v>
      </c>
      <c r="I302" s="472"/>
      <c r="J302" s="586">
        <v>-1</v>
      </c>
      <c r="K302" s="572">
        <f t="shared" si="68"/>
        <v>-1.827</v>
      </c>
      <c r="L302" s="337"/>
    </row>
    <row r="303" spans="1:12" s="332" customFormat="1" ht="15.75">
      <c r="A303" s="330"/>
      <c r="B303" s="575" t="str">
        <f t="shared" si="71"/>
        <v>+ Vách BY5</v>
      </c>
      <c r="C303" s="331"/>
      <c r="D303" s="551">
        <f t="shared" si="72"/>
        <v>1</v>
      </c>
      <c r="E303" s="325"/>
      <c r="F303" s="326"/>
      <c r="G303" s="327"/>
      <c r="H303" s="554">
        <f t="shared" si="73"/>
        <v>1.7649999999999999</v>
      </c>
      <c r="I303" s="472"/>
      <c r="J303" s="586">
        <v>-1</v>
      </c>
      <c r="K303" s="572">
        <f t="shared" si="68"/>
        <v>-1.7649999999999999</v>
      </c>
      <c r="L303" s="337"/>
    </row>
    <row r="304" spans="1:12" s="332" customFormat="1" ht="15.75">
      <c r="A304" s="330"/>
      <c r="B304" s="575" t="str">
        <f t="shared" si="71"/>
        <v>+ Vách BY6</v>
      </c>
      <c r="C304" s="331"/>
      <c r="D304" s="551">
        <f t="shared" si="72"/>
        <v>1</v>
      </c>
      <c r="E304" s="325"/>
      <c r="F304" s="326"/>
      <c r="G304" s="327"/>
      <c r="H304" s="554">
        <f t="shared" si="73"/>
        <v>1.036</v>
      </c>
      <c r="I304" s="472"/>
      <c r="J304" s="586">
        <v>-1</v>
      </c>
      <c r="K304" s="572">
        <f t="shared" si="68"/>
        <v>-1.036</v>
      </c>
      <c r="L304" s="337"/>
    </row>
    <row r="305" spans="1:17" s="332" customFormat="1" ht="15.75">
      <c r="A305" s="330"/>
      <c r="B305" s="587" t="s">
        <v>409</v>
      </c>
      <c r="C305" s="331"/>
      <c r="D305" s="551"/>
      <c r="E305" s="325"/>
      <c r="F305" s="326"/>
      <c r="G305" s="327"/>
      <c r="H305" s="554"/>
      <c r="I305" s="472"/>
      <c r="J305" s="586"/>
      <c r="K305" s="572"/>
      <c r="L305" s="337"/>
    </row>
    <row r="306" spans="1:17" s="332" customFormat="1" ht="15.75">
      <c r="A306" s="330"/>
      <c r="B306" s="587" t="str">
        <f t="shared" ref="B306:B313" si="74">+B31</f>
        <v>+ BC1</v>
      </c>
      <c r="C306" s="331"/>
      <c r="D306" s="551">
        <f t="shared" ref="D306:F313" si="75">+D31</f>
        <v>1</v>
      </c>
      <c r="E306" s="585">
        <f t="shared" si="75"/>
        <v>33.085000000000001</v>
      </c>
      <c r="F306" s="585">
        <f t="shared" si="75"/>
        <v>0.3</v>
      </c>
      <c r="G306" s="327"/>
      <c r="H306" s="554"/>
      <c r="I306" s="472"/>
      <c r="J306" s="586">
        <v>-1</v>
      </c>
      <c r="K306" s="572">
        <f t="shared" si="68"/>
        <v>-9.9254999999999995</v>
      </c>
      <c r="L306" s="337"/>
    </row>
    <row r="307" spans="1:17" s="332" customFormat="1" ht="15.75">
      <c r="A307" s="330"/>
      <c r="B307" s="587" t="str">
        <f t="shared" si="74"/>
        <v>+ BC2</v>
      </c>
      <c r="C307" s="331"/>
      <c r="D307" s="551">
        <f t="shared" si="75"/>
        <v>1</v>
      </c>
      <c r="E307" s="585">
        <f t="shared" si="75"/>
        <v>23.344999999999999</v>
      </c>
      <c r="F307" s="585">
        <f t="shared" si="75"/>
        <v>0.3</v>
      </c>
      <c r="G307" s="327"/>
      <c r="H307" s="554"/>
      <c r="I307" s="472"/>
      <c r="J307" s="586">
        <v>-1</v>
      </c>
      <c r="K307" s="572">
        <f t="shared" si="68"/>
        <v>-7.0034999999999998</v>
      </c>
      <c r="L307" s="337"/>
    </row>
    <row r="308" spans="1:17" s="332" customFormat="1" ht="15.75">
      <c r="A308" s="330"/>
      <c r="B308" s="587" t="str">
        <f t="shared" si="74"/>
        <v>+ BC1.1</v>
      </c>
      <c r="C308" s="331"/>
      <c r="D308" s="551">
        <f t="shared" si="75"/>
        <v>1</v>
      </c>
      <c r="E308" s="585">
        <f t="shared" si="75"/>
        <v>16.695</v>
      </c>
      <c r="F308" s="585">
        <f t="shared" si="75"/>
        <v>0.3</v>
      </c>
      <c r="G308" s="327"/>
      <c r="H308" s="554"/>
      <c r="I308" s="472"/>
      <c r="J308" s="586">
        <v>-1</v>
      </c>
      <c r="K308" s="572">
        <f t="shared" si="68"/>
        <v>-5.0084999999999997</v>
      </c>
      <c r="L308" s="337"/>
    </row>
    <row r="309" spans="1:17" s="332" customFormat="1" ht="15.75">
      <c r="A309" s="330"/>
      <c r="B309" s="587" t="str">
        <f t="shared" si="74"/>
        <v>+ BC1.2</v>
      </c>
      <c r="C309" s="331"/>
      <c r="D309" s="551">
        <f t="shared" si="75"/>
        <v>1</v>
      </c>
      <c r="E309" s="585">
        <f t="shared" si="75"/>
        <v>20.45</v>
      </c>
      <c r="F309" s="585">
        <f t="shared" si="75"/>
        <v>0.3</v>
      </c>
      <c r="G309" s="327"/>
      <c r="H309" s="554"/>
      <c r="I309" s="472"/>
      <c r="J309" s="586">
        <v>-1</v>
      </c>
      <c r="K309" s="572">
        <f t="shared" si="68"/>
        <v>-6.1349999999999998</v>
      </c>
      <c r="L309" s="337"/>
    </row>
    <row r="310" spans="1:17" s="332" customFormat="1" ht="15.75">
      <c r="A310" s="330"/>
      <c r="B310" s="587" t="str">
        <f t="shared" si="74"/>
        <v>+ BC1.3</v>
      </c>
      <c r="C310" s="331"/>
      <c r="D310" s="551">
        <f t="shared" si="75"/>
        <v>1</v>
      </c>
      <c r="E310" s="585">
        <f t="shared" si="75"/>
        <v>14.219999999999999</v>
      </c>
      <c r="F310" s="585">
        <f t="shared" si="75"/>
        <v>0.3</v>
      </c>
      <c r="G310" s="327"/>
      <c r="H310" s="554"/>
      <c r="I310" s="472"/>
      <c r="J310" s="586">
        <v>-1</v>
      </c>
      <c r="K310" s="572">
        <f t="shared" si="68"/>
        <v>-4.2659999999999991</v>
      </c>
      <c r="L310" s="337"/>
    </row>
    <row r="311" spans="1:17" s="332" customFormat="1" ht="15.75">
      <c r="A311" s="330"/>
      <c r="B311" s="587" t="str">
        <f t="shared" si="74"/>
        <v>+ BC1.4</v>
      </c>
      <c r="C311" s="331"/>
      <c r="D311" s="551">
        <f t="shared" si="75"/>
        <v>1</v>
      </c>
      <c r="E311" s="585">
        <f t="shared" si="75"/>
        <v>8.92</v>
      </c>
      <c r="F311" s="585">
        <f t="shared" si="75"/>
        <v>0.3</v>
      </c>
      <c r="G311" s="327"/>
      <c r="H311" s="554"/>
      <c r="I311" s="472"/>
      <c r="J311" s="586">
        <v>-1</v>
      </c>
      <c r="K311" s="572">
        <f t="shared" si="68"/>
        <v>-2.6759999999999997</v>
      </c>
      <c r="L311" s="337"/>
    </row>
    <row r="312" spans="1:17" s="332" customFormat="1" ht="15.75">
      <c r="A312" s="330"/>
      <c r="B312" s="587" t="str">
        <f t="shared" si="74"/>
        <v>+ BC1.5</v>
      </c>
      <c r="C312" s="331"/>
      <c r="D312" s="551">
        <f t="shared" si="75"/>
        <v>1</v>
      </c>
      <c r="E312" s="585">
        <f t="shared" si="75"/>
        <v>9.6449999999999996</v>
      </c>
      <c r="F312" s="585">
        <f t="shared" si="75"/>
        <v>0.3</v>
      </c>
      <c r="G312" s="327"/>
      <c r="H312" s="554"/>
      <c r="I312" s="472"/>
      <c r="J312" s="586">
        <v>-1</v>
      </c>
      <c r="K312" s="572">
        <f t="shared" si="68"/>
        <v>-2.8935</v>
      </c>
      <c r="L312" s="337"/>
    </row>
    <row r="313" spans="1:17" s="332" customFormat="1" ht="15.75">
      <c r="A313" s="330"/>
      <c r="B313" s="587" t="str">
        <f t="shared" si="74"/>
        <v>+ BY1</v>
      </c>
      <c r="C313" s="331"/>
      <c r="D313" s="551">
        <f t="shared" si="75"/>
        <v>1</v>
      </c>
      <c r="E313" s="585">
        <f t="shared" si="75"/>
        <v>5.125</v>
      </c>
      <c r="F313" s="585">
        <f t="shared" si="75"/>
        <v>0.3</v>
      </c>
      <c r="G313" s="327"/>
      <c r="H313" s="554"/>
      <c r="I313" s="472"/>
      <c r="J313" s="586">
        <v>-1</v>
      </c>
      <c r="K313" s="572">
        <f t="shared" si="68"/>
        <v>-1.5374999999999999</v>
      </c>
      <c r="L313" s="337"/>
    </row>
    <row r="314" spans="1:17" s="332" customFormat="1" ht="15.75">
      <c r="A314" s="330"/>
      <c r="B314" s="575" t="str">
        <f>+B141</f>
        <v>Trừ lỗ thoát sàn bể bơi</v>
      </c>
      <c r="C314" s="331"/>
      <c r="D314" s="551">
        <f>+D141</f>
        <v>4</v>
      </c>
      <c r="E314" s="325"/>
      <c r="F314" s="326"/>
      <c r="G314" s="554">
        <v>0.2</v>
      </c>
      <c r="H314" s="554">
        <f>PI()*0.09*0.09/4</f>
        <v>6.3617251235193314E-3</v>
      </c>
      <c r="I314" s="472"/>
      <c r="J314" s="586">
        <f>+J141</f>
        <v>-1</v>
      </c>
      <c r="K314" s="572">
        <f t="shared" si="68"/>
        <v>-5.0893800988154655E-3</v>
      </c>
      <c r="L314" s="337"/>
    </row>
    <row r="315" spans="1:17" s="332" customFormat="1" ht="15.75">
      <c r="A315" s="330"/>
      <c r="B315" s="575"/>
      <c r="C315" s="331"/>
      <c r="D315" s="551"/>
      <c r="E315" s="325"/>
      <c r="F315" s="326"/>
      <c r="G315" s="554"/>
      <c r="H315" s="554"/>
      <c r="I315" s="472"/>
      <c r="J315" s="586"/>
      <c r="K315" s="572"/>
      <c r="L315" s="337"/>
    </row>
    <row r="316" spans="1:17" s="332" customFormat="1" ht="15.75">
      <c r="A316" s="330"/>
      <c r="B316" s="575" t="str">
        <f>+B142</f>
        <v>Sàn nâng cos bồn cây trục BF</v>
      </c>
      <c r="C316" s="331"/>
      <c r="D316" s="551"/>
      <c r="E316" s="325"/>
      <c r="F316" s="326"/>
      <c r="G316" s="554"/>
      <c r="H316" s="554"/>
      <c r="I316" s="472"/>
      <c r="J316" s="586"/>
      <c r="K316" s="572"/>
      <c r="L316" s="337"/>
    </row>
    <row r="317" spans="1:17" s="332" customFormat="1" ht="15.75">
      <c r="A317" s="330"/>
      <c r="B317" s="575" t="str">
        <f>+B143</f>
        <v>- Sàn cos -0,65 trục B6-B11</v>
      </c>
      <c r="C317" s="331"/>
      <c r="D317" s="551">
        <f>+D143</f>
        <v>1</v>
      </c>
      <c r="E317" s="585"/>
      <c r="F317" s="585"/>
      <c r="G317" s="585">
        <f>+G143</f>
        <v>0.15</v>
      </c>
      <c r="H317" s="585">
        <f>+H143</f>
        <v>54.515999999999998</v>
      </c>
      <c r="I317" s="472"/>
      <c r="J317" s="585">
        <f>+J143</f>
        <v>1</v>
      </c>
      <c r="K317" s="572">
        <f t="shared" ref="K317:K348" si="76">+PRODUCT(D317:J317)</f>
        <v>8.1773999999999987</v>
      </c>
      <c r="L317" s="337"/>
    </row>
    <row r="318" spans="1:17" s="332" customFormat="1" ht="15.75">
      <c r="A318" s="330"/>
      <c r="B318" s="575" t="str">
        <f>+B144</f>
        <v>- Sàn cos -1,3 trục B6-B11</v>
      </c>
      <c r="C318" s="331"/>
      <c r="D318" s="551">
        <f>+D144</f>
        <v>1</v>
      </c>
      <c r="E318" s="585"/>
      <c r="F318" s="585"/>
      <c r="G318" s="585">
        <f>+G144</f>
        <v>0.12</v>
      </c>
      <c r="H318" s="585">
        <f>+H144</f>
        <v>26.489000000000001</v>
      </c>
      <c r="I318" s="472"/>
      <c r="J318" s="585">
        <v>0</v>
      </c>
      <c r="K318" s="572">
        <f t="shared" si="76"/>
        <v>0</v>
      </c>
      <c r="L318" s="337"/>
    </row>
    <row r="319" spans="1:17" s="332" customFormat="1" ht="15.75">
      <c r="A319" s="330"/>
      <c r="B319" s="575"/>
      <c r="C319" s="331"/>
      <c r="D319" s="551"/>
      <c r="E319" s="585"/>
      <c r="F319" s="585"/>
      <c r="G319" s="585"/>
      <c r="H319" s="585"/>
      <c r="I319" s="472"/>
      <c r="J319" s="585"/>
      <c r="K319" s="572"/>
      <c r="L319" s="337"/>
    </row>
    <row r="320" spans="1:17" s="332" customFormat="1" ht="15.75">
      <c r="A320" s="330"/>
      <c r="B320" s="575" t="str">
        <f>+B146</f>
        <v>- Sàn cos -0,65 trục B12-B16</v>
      </c>
      <c r="C320" s="331"/>
      <c r="D320" s="551">
        <f>+D146</f>
        <v>1</v>
      </c>
      <c r="E320" s="585"/>
      <c r="F320" s="585"/>
      <c r="G320" s="585">
        <f>+G146</f>
        <v>0.15</v>
      </c>
      <c r="H320" s="585">
        <f>+H146</f>
        <v>121.18300000000001</v>
      </c>
      <c r="I320" s="472"/>
      <c r="J320" s="585">
        <f>+J146</f>
        <v>1</v>
      </c>
      <c r="K320" s="572">
        <f t="shared" si="76"/>
        <v>18.17745</v>
      </c>
      <c r="L320" s="337"/>
      <c r="O320" s="604">
        <v>2391996</v>
      </c>
      <c r="P320" s="332">
        <v>2.2799999999999998</v>
      </c>
      <c r="Q320" s="605">
        <f>+P320/O320*1000000</f>
        <v>0.9531788514696512</v>
      </c>
    </row>
    <row r="321" spans="1:17" s="332" customFormat="1" ht="15.75">
      <c r="A321" s="330"/>
      <c r="B321" s="575" t="str">
        <f>+B147</f>
        <v>- Sàn cos -1,3 trục B12-B16</v>
      </c>
      <c r="C321" s="331"/>
      <c r="D321" s="551">
        <f>+D147</f>
        <v>1</v>
      </c>
      <c r="E321" s="585"/>
      <c r="F321" s="585"/>
      <c r="G321" s="585">
        <f>+G147</f>
        <v>0.12</v>
      </c>
      <c r="H321" s="585">
        <f>+H147</f>
        <v>38.44</v>
      </c>
      <c r="I321" s="472"/>
      <c r="J321" s="585">
        <v>0</v>
      </c>
      <c r="K321" s="572">
        <f t="shared" si="76"/>
        <v>0</v>
      </c>
      <c r="L321" s="337"/>
      <c r="O321" s="604">
        <v>1697430</v>
      </c>
      <c r="P321" s="332">
        <v>1.35</v>
      </c>
      <c r="Q321" s="605">
        <f>+P321/O321*1000000</f>
        <v>0.7953199837401248</v>
      </c>
    </row>
    <row r="322" spans="1:17" s="332" customFormat="1" ht="15.75">
      <c r="A322" s="330"/>
      <c r="B322" s="575"/>
      <c r="C322" s="331"/>
      <c r="D322" s="551"/>
      <c r="E322" s="585"/>
      <c r="F322" s="585"/>
      <c r="G322" s="585"/>
      <c r="H322" s="585"/>
      <c r="I322" s="472"/>
      <c r="J322" s="585"/>
      <c r="K322" s="572"/>
      <c r="L322" s="337"/>
    </row>
    <row r="323" spans="1:17" s="332" customFormat="1" ht="15.75">
      <c r="A323" s="330"/>
      <c r="B323" s="575" t="str">
        <f>+B149</f>
        <v>- Sàn cos -0,65 trục B16-B21</v>
      </c>
      <c r="C323" s="331"/>
      <c r="D323" s="551">
        <f>+D149</f>
        <v>1</v>
      </c>
      <c r="E323" s="585"/>
      <c r="F323" s="585"/>
      <c r="G323" s="585">
        <f>+G149</f>
        <v>0.15</v>
      </c>
      <c r="H323" s="585">
        <f>+H149</f>
        <v>76.861000000000004</v>
      </c>
      <c r="I323" s="472"/>
      <c r="J323" s="585">
        <f>+J149</f>
        <v>1</v>
      </c>
      <c r="K323" s="572">
        <f t="shared" si="76"/>
        <v>11.52915</v>
      </c>
      <c r="L323" s="337"/>
    </row>
    <row r="324" spans="1:17" s="332" customFormat="1" ht="15.75">
      <c r="A324" s="330"/>
      <c r="B324" s="575" t="str">
        <f>+B150</f>
        <v>- Sàn cos -1,3 trục B16-B21</v>
      </c>
      <c r="C324" s="331"/>
      <c r="D324" s="551">
        <f>+D150</f>
        <v>1</v>
      </c>
      <c r="E324" s="585"/>
      <c r="F324" s="585"/>
      <c r="G324" s="585">
        <f>+G150</f>
        <v>0.12</v>
      </c>
      <c r="H324" s="585">
        <f>+H150</f>
        <v>35.783000000000001</v>
      </c>
      <c r="I324" s="472"/>
      <c r="J324" s="585">
        <v>0</v>
      </c>
      <c r="K324" s="572">
        <f t="shared" si="76"/>
        <v>0</v>
      </c>
      <c r="L324" s="337"/>
    </row>
    <row r="325" spans="1:17" s="332" customFormat="1" ht="15.75">
      <c r="A325" s="330"/>
      <c r="B325" s="575"/>
      <c r="C325" s="331"/>
      <c r="D325" s="551"/>
      <c r="E325" s="585"/>
      <c r="F325" s="585"/>
      <c r="G325" s="585"/>
      <c r="H325" s="585"/>
      <c r="I325" s="472"/>
      <c r="J325" s="585"/>
      <c r="K325" s="572"/>
      <c r="L325" s="337"/>
    </row>
    <row r="326" spans="1:17" s="332" customFormat="1" ht="15.75">
      <c r="A326" s="330"/>
      <c r="B326" s="575" t="str">
        <f>+B152</f>
        <v>- Sàn cos -0,65 trục B24-B30</v>
      </c>
      <c r="C326" s="331"/>
      <c r="D326" s="551">
        <f>+D152</f>
        <v>1</v>
      </c>
      <c r="E326" s="585"/>
      <c r="F326" s="585"/>
      <c r="G326" s="585">
        <f>+G152</f>
        <v>0.15</v>
      </c>
      <c r="H326" s="585">
        <f>+H152</f>
        <v>64.986000000000004</v>
      </c>
      <c r="I326" s="472"/>
      <c r="J326" s="585">
        <f>+J152</f>
        <v>1</v>
      </c>
      <c r="K326" s="572">
        <f t="shared" si="76"/>
        <v>9.7478999999999996</v>
      </c>
      <c r="L326" s="337"/>
    </row>
    <row r="327" spans="1:17" s="332" customFormat="1" ht="15.75">
      <c r="A327" s="330"/>
      <c r="B327" s="575" t="str">
        <f>+B153</f>
        <v>- Sàn cos -1,3 trục B24-B30</v>
      </c>
      <c r="C327" s="331"/>
      <c r="D327" s="551">
        <f>+D153</f>
        <v>1</v>
      </c>
      <c r="E327" s="585"/>
      <c r="F327" s="585"/>
      <c r="G327" s="585">
        <f>+G153</f>
        <v>0.12</v>
      </c>
      <c r="H327" s="585">
        <f>+H153</f>
        <v>32.616999999999997</v>
      </c>
      <c r="I327" s="472"/>
      <c r="J327" s="585">
        <v>0</v>
      </c>
      <c r="K327" s="572">
        <f t="shared" si="76"/>
        <v>0</v>
      </c>
      <c r="L327" s="337"/>
    </row>
    <row r="328" spans="1:17" s="332" customFormat="1" ht="15.75">
      <c r="A328" s="330"/>
      <c r="B328" s="575"/>
      <c r="C328" s="331"/>
      <c r="D328" s="551"/>
      <c r="E328" s="585"/>
      <c r="F328" s="585"/>
      <c r="G328" s="585"/>
      <c r="H328" s="585"/>
      <c r="I328" s="472"/>
      <c r="J328" s="585"/>
      <c r="K328" s="572"/>
      <c r="L328" s="337"/>
    </row>
    <row r="329" spans="1:17" s="332" customFormat="1" ht="15.75">
      <c r="A329" s="330"/>
      <c r="B329" s="575" t="str">
        <f>+B155</f>
        <v>- Sàn cos -0,65 trục B34-B38</v>
      </c>
      <c r="C329" s="331"/>
      <c r="D329" s="551">
        <f>+D155</f>
        <v>1</v>
      </c>
      <c r="E329" s="585"/>
      <c r="F329" s="585"/>
      <c r="G329" s="585">
        <f>+G155</f>
        <v>0.15</v>
      </c>
      <c r="H329" s="585">
        <f>+H155</f>
        <v>52.451999999999998</v>
      </c>
      <c r="I329" s="472"/>
      <c r="J329" s="585">
        <f>+J155</f>
        <v>1</v>
      </c>
      <c r="K329" s="572">
        <f t="shared" si="76"/>
        <v>7.867799999999999</v>
      </c>
      <c r="L329" s="337"/>
    </row>
    <row r="330" spans="1:17" s="332" customFormat="1" ht="15.75">
      <c r="A330" s="330"/>
      <c r="B330" s="575" t="str">
        <f>+B156</f>
        <v>- Sàn cos -1,3 trục B34-B38</v>
      </c>
      <c r="C330" s="331"/>
      <c r="D330" s="551">
        <f>+D156</f>
        <v>1</v>
      </c>
      <c r="E330" s="585"/>
      <c r="F330" s="585"/>
      <c r="G330" s="585">
        <f>+G156</f>
        <v>0.12</v>
      </c>
      <c r="H330" s="585">
        <f>+H156</f>
        <v>27.492999999999999</v>
      </c>
      <c r="I330" s="472"/>
      <c r="J330" s="585">
        <v>0</v>
      </c>
      <c r="K330" s="572">
        <f t="shared" si="76"/>
        <v>0</v>
      </c>
      <c r="L330" s="337"/>
    </row>
    <row r="331" spans="1:17" s="332" customFormat="1" ht="15.75">
      <c r="A331" s="330"/>
      <c r="B331" s="575"/>
      <c r="C331" s="331"/>
      <c r="D331" s="551"/>
      <c r="E331" s="585"/>
      <c r="F331" s="585"/>
      <c r="G331" s="585"/>
      <c r="H331" s="585"/>
      <c r="I331" s="472"/>
      <c r="J331" s="585"/>
      <c r="K331" s="572"/>
      <c r="L331" s="337"/>
    </row>
    <row r="332" spans="1:17" s="332" customFormat="1" ht="15.75">
      <c r="A332" s="330"/>
      <c r="B332" s="575" t="str">
        <f>+B158</f>
        <v>- Sàn cos -0,65 trục B12-B16</v>
      </c>
      <c r="C332" s="331"/>
      <c r="D332" s="551">
        <f>+D158</f>
        <v>1</v>
      </c>
      <c r="E332" s="585"/>
      <c r="F332" s="585"/>
      <c r="G332" s="585">
        <f>+G158</f>
        <v>0.15</v>
      </c>
      <c r="H332" s="585">
        <f>+H158</f>
        <v>121.18300000000001</v>
      </c>
      <c r="I332" s="472"/>
      <c r="J332" s="585">
        <f>+J158</f>
        <v>1</v>
      </c>
      <c r="K332" s="572">
        <f t="shared" si="76"/>
        <v>18.17745</v>
      </c>
      <c r="L332" s="337"/>
    </row>
    <row r="333" spans="1:17" s="332" customFormat="1" ht="15.75">
      <c r="A333" s="330"/>
      <c r="B333" s="575" t="str">
        <f>+B159</f>
        <v>- Sàn cos -1,3 trục B12-B16</v>
      </c>
      <c r="C333" s="331"/>
      <c r="D333" s="551">
        <f>+D159</f>
        <v>1</v>
      </c>
      <c r="E333" s="585"/>
      <c r="F333" s="585"/>
      <c r="G333" s="585">
        <f>+G159</f>
        <v>0.12</v>
      </c>
      <c r="H333" s="585">
        <f>+H159</f>
        <v>38.44</v>
      </c>
      <c r="I333" s="472"/>
      <c r="J333" s="585">
        <v>0</v>
      </c>
      <c r="K333" s="572">
        <f t="shared" si="76"/>
        <v>0</v>
      </c>
      <c r="L333" s="337"/>
    </row>
    <row r="334" spans="1:17" s="332" customFormat="1" ht="15.75">
      <c r="A334" s="330"/>
      <c r="B334" s="575"/>
      <c r="C334" s="331"/>
      <c r="D334" s="551"/>
      <c r="E334" s="585"/>
      <c r="F334" s="585"/>
      <c r="G334" s="585"/>
      <c r="H334" s="585"/>
      <c r="I334" s="472"/>
      <c r="J334" s="585"/>
      <c r="K334" s="572"/>
      <c r="L334" s="337"/>
    </row>
    <row r="335" spans="1:17" s="332" customFormat="1" ht="15.75">
      <c r="A335" s="330"/>
      <c r="B335" s="575" t="str">
        <f>+B161</f>
        <v>- Sàn cos -0,65 trục B21-B24</v>
      </c>
      <c r="C335" s="331"/>
      <c r="D335" s="551">
        <f>+D161</f>
        <v>1</v>
      </c>
      <c r="E335" s="585"/>
      <c r="F335" s="585"/>
      <c r="G335" s="585">
        <f>+G161</f>
        <v>0.15</v>
      </c>
      <c r="H335" s="585">
        <f>+H161</f>
        <v>71.091999999999999</v>
      </c>
      <c r="I335" s="472"/>
      <c r="J335" s="585">
        <f>+J161</f>
        <v>1</v>
      </c>
      <c r="K335" s="572">
        <f t="shared" si="76"/>
        <v>10.6638</v>
      </c>
      <c r="L335" s="337"/>
    </row>
    <row r="336" spans="1:17" s="332" customFormat="1" ht="15.75">
      <c r="A336" s="330"/>
      <c r="B336" s="575" t="str">
        <f>+B162</f>
        <v>- Sàn cos -1,3 trục B21-B24</v>
      </c>
      <c r="C336" s="331"/>
      <c r="D336" s="551">
        <f>+D162</f>
        <v>1</v>
      </c>
      <c r="E336" s="585"/>
      <c r="F336" s="585"/>
      <c r="G336" s="585">
        <f>+G162</f>
        <v>0.12</v>
      </c>
      <c r="H336" s="585">
        <f>+H162</f>
        <v>42.131</v>
      </c>
      <c r="I336" s="472"/>
      <c r="J336" s="585">
        <v>0</v>
      </c>
      <c r="K336" s="572">
        <f t="shared" si="76"/>
        <v>0</v>
      </c>
      <c r="L336" s="337"/>
    </row>
    <row r="337" spans="1:12" s="332" customFormat="1" ht="15.75">
      <c r="A337" s="330"/>
      <c r="B337" s="575"/>
      <c r="C337" s="331"/>
      <c r="D337" s="551"/>
      <c r="E337" s="585"/>
      <c r="F337" s="585"/>
      <c r="G337" s="585"/>
      <c r="H337" s="585"/>
      <c r="I337" s="472"/>
      <c r="J337" s="585"/>
      <c r="K337" s="572"/>
      <c r="L337" s="337"/>
    </row>
    <row r="338" spans="1:12" s="332" customFormat="1" ht="15.75">
      <c r="A338" s="330"/>
      <c r="B338" s="575" t="str">
        <f>+B164</f>
        <v>- Sàn cos -0,65 trục B30-B33</v>
      </c>
      <c r="C338" s="331"/>
      <c r="D338" s="551">
        <f>+D164</f>
        <v>1</v>
      </c>
      <c r="E338" s="585"/>
      <c r="F338" s="585"/>
      <c r="G338" s="585">
        <f>+G164</f>
        <v>0.15</v>
      </c>
      <c r="H338" s="585">
        <f>+H164</f>
        <v>67.537999999999997</v>
      </c>
      <c r="I338" s="472"/>
      <c r="J338" s="585">
        <f>+J164</f>
        <v>1</v>
      </c>
      <c r="K338" s="572">
        <f t="shared" si="76"/>
        <v>10.130699999999999</v>
      </c>
      <c r="L338" s="337"/>
    </row>
    <row r="339" spans="1:12" s="332" customFormat="1" ht="15.75">
      <c r="A339" s="330"/>
      <c r="B339" s="575" t="str">
        <f>+B165</f>
        <v>- Sàn cos -1,3 trục B30,-B33</v>
      </c>
      <c r="C339" s="331"/>
      <c r="D339" s="551">
        <f>+D165</f>
        <v>1</v>
      </c>
      <c r="E339" s="585"/>
      <c r="F339" s="585"/>
      <c r="G339" s="585">
        <f>+G165</f>
        <v>0.12</v>
      </c>
      <c r="H339" s="585">
        <f>+H165</f>
        <v>32.716000000000001</v>
      </c>
      <c r="I339" s="472"/>
      <c r="J339" s="585">
        <v>0</v>
      </c>
      <c r="K339" s="572">
        <f t="shared" si="76"/>
        <v>0</v>
      </c>
      <c r="L339" s="337"/>
    </row>
    <row r="340" spans="1:12" s="332" customFormat="1" ht="15.75">
      <c r="A340" s="330"/>
      <c r="B340" s="575"/>
      <c r="C340" s="331"/>
      <c r="D340" s="551"/>
      <c r="E340" s="585"/>
      <c r="F340" s="585"/>
      <c r="G340" s="585"/>
      <c r="H340" s="585"/>
      <c r="I340" s="472"/>
      <c r="J340" s="585"/>
      <c r="K340" s="572"/>
      <c r="L340" s="337"/>
    </row>
    <row r="341" spans="1:12" s="332" customFormat="1" ht="15.75">
      <c r="A341" s="330"/>
      <c r="B341" s="587" t="s">
        <v>580</v>
      </c>
      <c r="C341" s="331"/>
      <c r="D341" s="551">
        <v>1</v>
      </c>
      <c r="E341" s="585"/>
      <c r="F341" s="585"/>
      <c r="G341" s="585"/>
      <c r="H341" s="585">
        <f>+SUMPRODUCT(D40:D60,E40:E60,F40:F60,J40:J60)</f>
        <v>35.482260000000011</v>
      </c>
      <c r="I341" s="472"/>
      <c r="J341" s="585">
        <v>-1</v>
      </c>
      <c r="K341" s="572">
        <f t="shared" si="76"/>
        <v>-35.482260000000011</v>
      </c>
      <c r="L341" s="337"/>
    </row>
    <row r="342" spans="1:12" s="332" customFormat="1" ht="15.75">
      <c r="A342" s="330"/>
      <c r="B342" s="587"/>
      <c r="C342" s="331"/>
      <c r="D342" s="551"/>
      <c r="E342" s="585"/>
      <c r="F342" s="585"/>
      <c r="G342" s="585"/>
      <c r="H342" s="585"/>
      <c r="I342" s="472"/>
      <c r="J342" s="585"/>
      <c r="K342" s="572"/>
      <c r="L342" s="337"/>
    </row>
    <row r="343" spans="1:12" s="332" customFormat="1" ht="15.75">
      <c r="A343" s="330"/>
      <c r="B343" s="575" t="str">
        <f>+B167</f>
        <v>- Sàn nâng cos +0,07</v>
      </c>
      <c r="C343" s="331"/>
      <c r="D343" s="551">
        <f>+D167</f>
        <v>6</v>
      </c>
      <c r="E343" s="585"/>
      <c r="F343" s="585"/>
      <c r="G343" s="585">
        <f>+G167</f>
        <v>0.15</v>
      </c>
      <c r="H343" s="585">
        <f>+H167</f>
        <v>5.125</v>
      </c>
      <c r="I343" s="472"/>
      <c r="J343" s="585">
        <f>+J167</f>
        <v>1</v>
      </c>
      <c r="K343" s="572">
        <f t="shared" si="76"/>
        <v>4.6124999999999998</v>
      </c>
      <c r="L343" s="337"/>
    </row>
    <row r="344" spans="1:12" s="332" customFormat="1" ht="15.75">
      <c r="A344" s="330"/>
      <c r="B344" s="575"/>
      <c r="C344" s="331"/>
      <c r="D344" s="551"/>
      <c r="E344" s="585"/>
      <c r="F344" s="585"/>
      <c r="G344" s="585"/>
      <c r="H344" s="585"/>
      <c r="I344" s="472"/>
      <c r="J344" s="585"/>
      <c r="K344" s="572"/>
      <c r="L344" s="337"/>
    </row>
    <row r="345" spans="1:12" s="332" customFormat="1" ht="15.75">
      <c r="A345" s="330"/>
      <c r="B345" s="575" t="str">
        <f>+B169</f>
        <v>Bể PKT 05</v>
      </c>
      <c r="C345" s="331"/>
      <c r="D345" s="551"/>
      <c r="E345" s="585"/>
      <c r="F345" s="585"/>
      <c r="G345" s="585"/>
      <c r="H345" s="585"/>
      <c r="I345" s="472"/>
      <c r="J345" s="585"/>
      <c r="K345" s="572"/>
      <c r="L345" s="337"/>
    </row>
    <row r="346" spans="1:12" s="332" customFormat="1" ht="15.75">
      <c r="A346" s="330"/>
      <c r="B346" s="575" t="str">
        <f>+B170</f>
        <v>- Đáy bể</v>
      </c>
      <c r="C346" s="331"/>
      <c r="D346" s="551">
        <f>+D170</f>
        <v>1</v>
      </c>
      <c r="E346" s="585"/>
      <c r="F346" s="585"/>
      <c r="G346" s="585">
        <f>+G170</f>
        <v>0.12</v>
      </c>
      <c r="H346" s="585">
        <v>12.8</v>
      </c>
      <c r="I346" s="472"/>
      <c r="J346" s="585">
        <f>+J170</f>
        <v>1</v>
      </c>
      <c r="K346" s="572">
        <f>+PRODUCT(D346:J346)</f>
        <v>1.536</v>
      </c>
      <c r="L346" s="337"/>
    </row>
    <row r="347" spans="1:12" s="332" customFormat="1" ht="15.75">
      <c r="A347" s="330"/>
      <c r="B347" s="575" t="str">
        <f>+B171</f>
        <v>- Nắp bể</v>
      </c>
      <c r="C347" s="331"/>
      <c r="D347" s="551">
        <f>+D171</f>
        <v>1</v>
      </c>
      <c r="E347" s="585"/>
      <c r="F347" s="585"/>
      <c r="G347" s="585">
        <f>+G171</f>
        <v>0.2</v>
      </c>
      <c r="H347" s="585">
        <v>12.8</v>
      </c>
      <c r="I347" s="472"/>
      <c r="J347" s="585">
        <f>+J171</f>
        <v>1</v>
      </c>
      <c r="K347" s="572">
        <f t="shared" si="76"/>
        <v>2.5600000000000005</v>
      </c>
      <c r="L347" s="337"/>
    </row>
    <row r="348" spans="1:12" s="332" customFormat="1" ht="15.75">
      <c r="A348" s="330"/>
      <c r="B348" s="575" t="str">
        <f>+B172</f>
        <v>- Dầm nắp thăm</v>
      </c>
      <c r="C348" s="331"/>
      <c r="D348" s="551">
        <f>+D172</f>
        <v>1</v>
      </c>
      <c r="E348" s="585">
        <f>+E172</f>
        <v>4</v>
      </c>
      <c r="F348" s="585"/>
      <c r="G348" s="585">
        <f>+G172</f>
        <v>0.12</v>
      </c>
      <c r="H348" s="585"/>
      <c r="I348" s="472"/>
      <c r="J348" s="585">
        <v>2</v>
      </c>
      <c r="K348" s="572">
        <f t="shared" si="76"/>
        <v>0.96</v>
      </c>
      <c r="L348" s="337"/>
    </row>
    <row r="349" spans="1:12" s="332" customFormat="1" ht="15.75">
      <c r="A349" s="330"/>
      <c r="B349" s="575"/>
      <c r="C349" s="331"/>
      <c r="D349" s="551">
        <f>+D173</f>
        <v>1</v>
      </c>
      <c r="E349" s="585">
        <v>3.2</v>
      </c>
      <c r="F349" s="585"/>
      <c r="G349" s="585">
        <f>+G173</f>
        <v>0.2</v>
      </c>
      <c r="H349" s="585"/>
      <c r="I349" s="472"/>
      <c r="J349" s="585">
        <v>1</v>
      </c>
      <c r="K349" s="572">
        <f>+PRODUCT(D349:J349)</f>
        <v>0.64000000000000012</v>
      </c>
      <c r="L349" s="337"/>
    </row>
    <row r="350" spans="1:12" s="332" customFormat="1" ht="15.75">
      <c r="A350" s="330"/>
      <c r="B350" s="575" t="str">
        <f>+B173</f>
        <v>- trừ nắp thăm</v>
      </c>
      <c r="C350" s="331"/>
      <c r="D350" s="551">
        <f>+D173</f>
        <v>1</v>
      </c>
      <c r="E350" s="585">
        <f>+E173</f>
        <v>0.8</v>
      </c>
      <c r="F350" s="585">
        <f>+F173</f>
        <v>0.8</v>
      </c>
      <c r="G350" s="585"/>
      <c r="H350" s="585"/>
      <c r="I350" s="472"/>
      <c r="J350" s="585">
        <f>+J173</f>
        <v>-1</v>
      </c>
      <c r="K350" s="572">
        <f>+PRODUCT(D350:J350)</f>
        <v>-0.64000000000000012</v>
      </c>
      <c r="L350" s="337"/>
    </row>
    <row r="351" spans="1:12" s="332" customFormat="1" ht="15.75">
      <c r="A351" s="330"/>
      <c r="B351" s="575"/>
      <c r="C351" s="331"/>
      <c r="D351" s="551"/>
      <c r="E351" s="325"/>
      <c r="F351" s="326"/>
      <c r="G351" s="554"/>
      <c r="H351" s="554"/>
      <c r="I351" s="472"/>
      <c r="J351" s="586"/>
      <c r="K351" s="572"/>
      <c r="L351" s="337"/>
    </row>
    <row r="352" spans="1:12" s="332" customFormat="1" ht="15.75">
      <c r="A352" s="330"/>
      <c r="B352" s="575" t="str">
        <f>+B175</f>
        <v>Bể PKT 06</v>
      </c>
      <c r="C352" s="331"/>
      <c r="D352" s="551"/>
      <c r="E352" s="585"/>
      <c r="F352" s="585"/>
      <c r="G352" s="585"/>
      <c r="H352" s="585"/>
      <c r="I352" s="472"/>
      <c r="J352" s="585"/>
      <c r="K352" s="572"/>
      <c r="L352" s="337"/>
    </row>
    <row r="353" spans="1:12" s="332" customFormat="1" ht="15.75">
      <c r="A353" s="330"/>
      <c r="B353" s="575" t="str">
        <f>+B176</f>
        <v>- Đáy bể</v>
      </c>
      <c r="C353" s="331"/>
      <c r="D353" s="551">
        <f>+D176</f>
        <v>1</v>
      </c>
      <c r="E353" s="585"/>
      <c r="F353" s="585"/>
      <c r="G353" s="585">
        <f>+G176</f>
        <v>0.12</v>
      </c>
      <c r="H353" s="585">
        <v>12.2</v>
      </c>
      <c r="I353" s="472"/>
      <c r="J353" s="585">
        <f>+J176</f>
        <v>1</v>
      </c>
      <c r="K353" s="572">
        <f>+PRODUCT(D353:J353)</f>
        <v>1.464</v>
      </c>
      <c r="L353" s="337"/>
    </row>
    <row r="354" spans="1:12" s="332" customFormat="1" ht="15.75">
      <c r="A354" s="330"/>
      <c r="B354" s="575" t="str">
        <f>+B177</f>
        <v>- Nắp bể</v>
      </c>
      <c r="C354" s="331"/>
      <c r="D354" s="551">
        <f>+D177</f>
        <v>1</v>
      </c>
      <c r="E354" s="585"/>
      <c r="F354" s="585"/>
      <c r="G354" s="585">
        <f>+G177</f>
        <v>0.2</v>
      </c>
      <c r="H354" s="585"/>
      <c r="I354" s="472"/>
      <c r="J354" s="585">
        <f>+J177</f>
        <v>1</v>
      </c>
      <c r="K354" s="572">
        <f t="shared" ref="K354:K357" si="77">+PRODUCT(D354:J354)</f>
        <v>0.2</v>
      </c>
      <c r="L354" s="337"/>
    </row>
    <row r="355" spans="1:12" s="332" customFormat="1" ht="15.75">
      <c r="A355" s="330"/>
      <c r="B355" s="575" t="str">
        <f>+B178</f>
        <v>- Dầm nắp thăm</v>
      </c>
      <c r="C355" s="331"/>
      <c r="D355" s="551">
        <f>+D178</f>
        <v>1</v>
      </c>
      <c r="E355" s="585">
        <f>+E178</f>
        <v>4</v>
      </c>
      <c r="F355" s="585"/>
      <c r="G355" s="585">
        <f>+G178</f>
        <v>0.12</v>
      </c>
      <c r="H355" s="585"/>
      <c r="I355" s="472"/>
      <c r="J355" s="585">
        <v>2</v>
      </c>
      <c r="K355" s="572">
        <f t="shared" si="77"/>
        <v>0.96</v>
      </c>
      <c r="L355" s="337"/>
    </row>
    <row r="356" spans="1:12" s="332" customFormat="1" ht="15.75">
      <c r="A356" s="330"/>
      <c r="B356" s="575"/>
      <c r="C356" s="331"/>
      <c r="D356" s="551"/>
      <c r="E356" s="585">
        <v>3.2</v>
      </c>
      <c r="F356" s="585"/>
      <c r="G356" s="585">
        <v>0.2</v>
      </c>
      <c r="H356" s="585"/>
      <c r="I356" s="472"/>
      <c r="J356" s="585">
        <v>1</v>
      </c>
      <c r="K356" s="572">
        <f t="shared" si="77"/>
        <v>0.64000000000000012</v>
      </c>
      <c r="L356" s="337"/>
    </row>
    <row r="357" spans="1:12" s="332" customFormat="1" ht="15.75">
      <c r="A357" s="330"/>
      <c r="B357" s="575" t="str">
        <f>+B179</f>
        <v>- trừ nắp thăm</v>
      </c>
      <c r="C357" s="331"/>
      <c r="D357" s="551">
        <f>+D179</f>
        <v>1</v>
      </c>
      <c r="E357" s="585">
        <f>+E179</f>
        <v>0.8</v>
      </c>
      <c r="F357" s="585">
        <f>+F179</f>
        <v>0.8</v>
      </c>
      <c r="G357" s="585">
        <f>+G179</f>
        <v>0.2</v>
      </c>
      <c r="H357" s="585"/>
      <c r="I357" s="472"/>
      <c r="J357" s="585">
        <f>+J179</f>
        <v>-1</v>
      </c>
      <c r="K357" s="572">
        <f t="shared" si="77"/>
        <v>-0.12800000000000003</v>
      </c>
      <c r="L357" s="337"/>
    </row>
    <row r="358" spans="1:12" s="332" customFormat="1" ht="15.75">
      <c r="A358" s="330"/>
      <c r="B358" s="575"/>
      <c r="C358" s="331"/>
      <c r="D358" s="551"/>
      <c r="E358" s="325"/>
      <c r="F358" s="326"/>
      <c r="G358" s="554"/>
      <c r="H358" s="554"/>
      <c r="I358" s="472"/>
      <c r="J358" s="586"/>
      <c r="K358" s="572"/>
      <c r="L358" s="337"/>
    </row>
    <row r="359" spans="1:12" s="322" customFormat="1" ht="15.75">
      <c r="A359" s="315">
        <f>'02.1-ĐNTT'!A43</f>
        <v>26</v>
      </c>
      <c r="B359" s="316" t="str">
        <f>'02.1-ĐNTT'!B43</f>
        <v>Ván khuôn rãnh thoát nước B200</v>
      </c>
      <c r="C359" s="317" t="str">
        <f>'02.1-ĐNTT'!C43</f>
        <v>m2</v>
      </c>
      <c r="D359" s="317"/>
      <c r="E359" s="318"/>
      <c r="F359" s="319"/>
      <c r="G359" s="320"/>
      <c r="H359" s="320"/>
      <c r="I359" s="471"/>
      <c r="J359" s="586"/>
      <c r="K359" s="486">
        <v>0</v>
      </c>
      <c r="L359" s="335"/>
    </row>
    <row r="360" spans="1:12" s="322" customFormat="1" ht="47.25">
      <c r="A360" s="315">
        <f>'02.1-ĐNTT'!A44</f>
        <v>27</v>
      </c>
      <c r="B360" s="316" t="str">
        <f>'02.1-ĐNTT'!B44</f>
        <v>Chi phí cộng thêm đối với đầu việc ván khuôn bậc sàn đáy bể tại vị trí ván khuôn thí (ván khuôn chết không luân chuyển được)</v>
      </c>
      <c r="C360" s="317" t="str">
        <f>'02.1-ĐNTT'!C44</f>
        <v>m2</v>
      </c>
      <c r="D360" s="317"/>
      <c r="E360" s="318"/>
      <c r="F360" s="319"/>
      <c r="G360" s="320"/>
      <c r="H360" s="320"/>
      <c r="I360" s="471"/>
      <c r="J360" s="586"/>
      <c r="K360" s="488">
        <f>SUBTOTAL(9,K361:K363)</f>
        <v>928.05930061990091</v>
      </c>
      <c r="L360" s="335"/>
    </row>
    <row r="361" spans="1:12" s="332" customFormat="1" ht="15.75">
      <c r="A361" s="330"/>
      <c r="B361" s="575" t="s">
        <v>583</v>
      </c>
      <c r="C361" s="331"/>
      <c r="D361" s="551">
        <v>1</v>
      </c>
      <c r="E361" s="585"/>
      <c r="F361" s="585"/>
      <c r="G361" s="585"/>
      <c r="H361" s="585">
        <f>+K288</f>
        <v>936.25130061990092</v>
      </c>
      <c r="I361" s="472"/>
      <c r="J361" s="585">
        <v>1</v>
      </c>
      <c r="K361" s="572">
        <f t="shared" ref="K361:K362" si="78">+PRODUCT(D361:J361)</f>
        <v>936.25130061990092</v>
      </c>
      <c r="L361" s="337"/>
    </row>
    <row r="362" spans="1:12" s="332" customFormat="1" ht="15.75">
      <c r="A362" s="330"/>
      <c r="B362" s="575" t="s">
        <v>584</v>
      </c>
      <c r="C362" s="331"/>
      <c r="D362" s="551">
        <v>1</v>
      </c>
      <c r="E362" s="585"/>
      <c r="F362" s="585"/>
      <c r="G362" s="585"/>
      <c r="H362" s="585">
        <f>SUM(K346:K357)</f>
        <v>8.1920000000000002</v>
      </c>
      <c r="I362" s="472"/>
      <c r="J362" s="585">
        <v>-1</v>
      </c>
      <c r="K362" s="572">
        <f t="shared" si="78"/>
        <v>-8.1920000000000002</v>
      </c>
      <c r="L362" s="337"/>
    </row>
    <row r="363" spans="1:12" s="322" customFormat="1" ht="15.75">
      <c r="A363" s="315"/>
      <c r="B363" s="316"/>
      <c r="C363" s="317"/>
      <c r="D363" s="317"/>
      <c r="E363" s="318"/>
      <c r="F363" s="319"/>
      <c r="G363" s="320"/>
      <c r="H363" s="320"/>
      <c r="I363" s="471"/>
      <c r="J363" s="586"/>
      <c r="K363" s="487"/>
      <c r="L363" s="335"/>
    </row>
    <row r="364" spans="1:12" s="154" customFormat="1" ht="15.75">
      <c r="A364" s="314" t="str">
        <f>'02.1-ĐNTT'!A45</f>
        <v>IV</v>
      </c>
      <c r="B364" s="204" t="str">
        <f>'02.1-ĐNTT'!B45</f>
        <v>CÔNG TÁC CỐT THÉP</v>
      </c>
      <c r="C364" s="205"/>
      <c r="D364" s="205"/>
      <c r="E364" s="155"/>
      <c r="F364" s="156"/>
      <c r="G364" s="192"/>
      <c r="H364" s="192"/>
      <c r="I364" s="470"/>
      <c r="J364" s="206"/>
      <c r="K364" s="486"/>
      <c r="L364" s="334"/>
    </row>
    <row r="365" spans="1:12" s="322" customFormat="1" ht="15.75">
      <c r="A365" s="315">
        <f>'02.1-ĐNTT'!A46</f>
        <v>26</v>
      </c>
      <c r="B365" s="316" t="str">
        <f>'02.1-ĐNTT'!B46</f>
        <v>Cốt thép dầm bể</v>
      </c>
      <c r="C365" s="317" t="str">
        <f>'02.1-ĐNTT'!C46</f>
        <v>kg</v>
      </c>
      <c r="D365" s="317"/>
      <c r="E365" s="318"/>
      <c r="F365" s="319"/>
      <c r="G365" s="320"/>
      <c r="H365" s="320"/>
      <c r="I365" s="471"/>
      <c r="J365" s="321"/>
      <c r="K365" s="488">
        <f>SUM(K366:K367)</f>
        <v>3724.2575199999997</v>
      </c>
      <c r="L365" s="335"/>
    </row>
    <row r="366" spans="1:12" s="332" customFormat="1" ht="15.75">
      <c r="A366" s="330"/>
      <c r="B366" s="575" t="s">
        <v>642</v>
      </c>
      <c r="C366" s="331"/>
      <c r="D366" s="551"/>
      <c r="E366" s="585"/>
      <c r="F366" s="585"/>
      <c r="G366" s="585"/>
      <c r="H366" s="585"/>
      <c r="I366" s="585">
        <f>+'thép dầm bồn cây'!O481</f>
        <v>825.93377999999859</v>
      </c>
      <c r="J366" s="585">
        <v>1</v>
      </c>
      <c r="K366" s="572">
        <f t="shared" ref="K366:K367" si="79">I366*J366</f>
        <v>825.93377999999859</v>
      </c>
      <c r="L366" s="337"/>
    </row>
    <row r="367" spans="1:12" s="332" customFormat="1" ht="15.75">
      <c r="A367" s="330"/>
      <c r="B367" s="575" t="s">
        <v>643</v>
      </c>
      <c r="C367" s="331"/>
      <c r="D367" s="551"/>
      <c r="E367" s="585"/>
      <c r="F367" s="585"/>
      <c r="G367" s="585"/>
      <c r="H367" s="585"/>
      <c r="I367" s="585">
        <f>+'thép dầm bể bơi'!O112</f>
        <v>2898.3237400000012</v>
      </c>
      <c r="J367" s="585">
        <v>1</v>
      </c>
      <c r="K367" s="572">
        <f t="shared" si="79"/>
        <v>2898.3237400000012</v>
      </c>
      <c r="L367" s="337"/>
    </row>
    <row r="368" spans="1:12" s="322" customFormat="1" ht="15.75">
      <c r="A368" s="315">
        <f>'02.1-ĐNTT'!A47</f>
        <v>28</v>
      </c>
      <c r="B368" s="316" t="str">
        <f>'02.1-ĐNTT'!B47</f>
        <v>Cốt thép giếng gió</v>
      </c>
      <c r="C368" s="317" t="str">
        <f>'02.1-ĐNTT'!C47</f>
        <v>kg</v>
      </c>
      <c r="D368" s="317"/>
      <c r="E368" s="318"/>
      <c r="F368" s="319"/>
      <c r="G368" s="320"/>
      <c r="H368" s="320"/>
      <c r="I368" s="585">
        <f>+'thép vách giếng gió'!O28</f>
        <v>800.76072000000011</v>
      </c>
      <c r="J368" s="321">
        <v>1</v>
      </c>
      <c r="K368" s="488">
        <f>I368*J368</f>
        <v>800.76072000000011</v>
      </c>
      <c r="L368" s="335"/>
    </row>
    <row r="369" spans="1:12" s="322" customFormat="1" ht="15.75">
      <c r="A369" s="315">
        <f>'02.1-ĐNTT'!A48</f>
        <v>29</v>
      </c>
      <c r="B369" s="316" t="str">
        <f>'02.1-ĐNTT'!B48</f>
        <v>Cốt thép vách bể</v>
      </c>
      <c r="C369" s="317" t="str">
        <f>'02.1-ĐNTT'!C48</f>
        <v>kg</v>
      </c>
      <c r="D369" s="317"/>
      <c r="E369" s="318"/>
      <c r="F369" s="319"/>
      <c r="G369" s="320"/>
      <c r="H369" s="320"/>
      <c r="I369" s="585"/>
      <c r="J369" s="321"/>
      <c r="K369" s="488">
        <f>SUM(K370:K371)</f>
        <v>22007.774751999998</v>
      </c>
      <c r="L369" s="335"/>
    </row>
    <row r="370" spans="1:12" s="332" customFormat="1" ht="15.75">
      <c r="A370" s="330"/>
      <c r="B370" s="575" t="s">
        <v>644</v>
      </c>
      <c r="C370" s="331"/>
      <c r="D370" s="551"/>
      <c r="E370" s="585"/>
      <c r="F370" s="585"/>
      <c r="G370" s="585"/>
      <c r="H370" s="585"/>
      <c r="I370" s="585">
        <f>+'thép vách bồn cây'!O196</f>
        <v>7757.7679119999975</v>
      </c>
      <c r="J370" s="585">
        <v>1</v>
      </c>
      <c r="K370" s="572">
        <f t="shared" ref="K370:K371" si="80">I370*J370</f>
        <v>7757.7679119999975</v>
      </c>
      <c r="L370" s="337"/>
    </row>
    <row r="371" spans="1:12" s="332" customFormat="1" ht="15.75">
      <c r="A371" s="330"/>
      <c r="B371" s="575" t="s">
        <v>645</v>
      </c>
      <c r="C371" s="331"/>
      <c r="D371" s="551"/>
      <c r="E371" s="585"/>
      <c r="F371" s="585"/>
      <c r="G371" s="585"/>
      <c r="H371" s="585"/>
      <c r="I371" s="585">
        <f>+'thép vách bể bơi'!O41</f>
        <v>14250.00684</v>
      </c>
      <c r="J371" s="585">
        <v>1</v>
      </c>
      <c r="K371" s="572">
        <f t="shared" si="80"/>
        <v>14250.00684</v>
      </c>
      <c r="L371" s="337"/>
    </row>
    <row r="372" spans="1:12" s="322" customFormat="1" ht="15.75">
      <c r="A372" s="315">
        <f>'02.1-ĐNTT'!A49</f>
        <v>30</v>
      </c>
      <c r="B372" s="316" t="str">
        <f>'02.1-ĐNTT'!B49</f>
        <v>Cốt thép sàn đáy bể</v>
      </c>
      <c r="C372" s="317" t="str">
        <f>'02.1-ĐNTT'!C49</f>
        <v>kg</v>
      </c>
      <c r="D372" s="317"/>
      <c r="E372" s="318"/>
      <c r="F372" s="319"/>
      <c r="G372" s="320"/>
      <c r="H372" s="320"/>
      <c r="I372" s="471"/>
      <c r="J372" s="321"/>
      <c r="K372" s="488">
        <f>SUM(K373:K374)</f>
        <v>34821.641174000011</v>
      </c>
      <c r="L372" s="335"/>
    </row>
    <row r="373" spans="1:12" s="332" customFormat="1" ht="15.75">
      <c r="A373" s="330"/>
      <c r="B373" s="575" t="s">
        <v>646</v>
      </c>
      <c r="C373" s="331"/>
      <c r="D373" s="551"/>
      <c r="E373" s="585"/>
      <c r="F373" s="585"/>
      <c r="G373" s="585"/>
      <c r="H373" s="585"/>
      <c r="I373" s="585">
        <f>+'thép sàn bồn cây'!O243</f>
        <v>11313.239774000016</v>
      </c>
      <c r="J373" s="585">
        <v>1</v>
      </c>
      <c r="K373" s="572">
        <f t="shared" ref="K373:K374" si="81">I373*J373</f>
        <v>11313.239774000016</v>
      </c>
      <c r="L373" s="337"/>
    </row>
    <row r="374" spans="1:12" s="332" customFormat="1" ht="15.75">
      <c r="A374" s="330"/>
      <c r="B374" s="575" t="s">
        <v>647</v>
      </c>
      <c r="C374" s="331"/>
      <c r="D374" s="551"/>
      <c r="E374" s="585"/>
      <c r="F374" s="585"/>
      <c r="G374" s="585"/>
      <c r="H374" s="585"/>
      <c r="I374" s="585">
        <f>+'thép sàn bể bơi'!L77</f>
        <v>23508.401399999995</v>
      </c>
      <c r="J374" s="585">
        <v>1</v>
      </c>
      <c r="K374" s="572">
        <f t="shared" si="81"/>
        <v>23508.401399999995</v>
      </c>
      <c r="L374" s="337"/>
    </row>
    <row r="375" spans="1:12" s="322" customFormat="1" ht="15.75">
      <c r="A375" s="315">
        <f>'02.1-ĐNTT'!A50</f>
        <v>31</v>
      </c>
      <c r="B375" s="316" t="str">
        <f>'02.1-ĐNTT'!B50</f>
        <v>Cốt thép rãnh thoát nước</v>
      </c>
      <c r="C375" s="317" t="str">
        <f>'02.1-ĐNTT'!C50</f>
        <v>kg</v>
      </c>
      <c r="D375" s="317"/>
      <c r="E375" s="318"/>
      <c r="F375" s="319"/>
      <c r="G375" s="320"/>
      <c r="H375" s="320"/>
      <c r="I375" s="471"/>
      <c r="J375" s="321"/>
      <c r="K375" s="487"/>
      <c r="L375" s="335"/>
    </row>
    <row r="376" spans="1:12" s="322" customFormat="1" ht="31.5">
      <c r="A376" s="315">
        <f>'02.1-ĐNTT'!A51</f>
        <v>32</v>
      </c>
      <c r="B376" s="316" t="str">
        <f>'02.1-ĐNTT'!B51</f>
        <v>Khoan cấy cốt thép, đường kính thép D12, Keo ramset, hilti hoặc tương đương</v>
      </c>
      <c r="C376" s="317" t="str">
        <f>'02.1-ĐNTT'!C51</f>
        <v>vị trí</v>
      </c>
      <c r="D376" s="317"/>
      <c r="E376" s="318"/>
      <c r="F376" s="319"/>
      <c r="G376" s="320"/>
      <c r="H376" s="320"/>
      <c r="I376" s="471"/>
      <c r="J376" s="321"/>
      <c r="K376" s="488">
        <f>SUM(K377:K378)</f>
        <v>980</v>
      </c>
      <c r="L376" s="335"/>
    </row>
    <row r="377" spans="1:12" s="332" customFormat="1" ht="15.75">
      <c r="A377" s="330"/>
      <c r="B377" s="575" t="s">
        <v>673</v>
      </c>
      <c r="C377" s="331"/>
      <c r="D377" s="551"/>
      <c r="E377" s="585"/>
      <c r="F377" s="585"/>
      <c r="G377" s="585"/>
      <c r="H377" s="585"/>
      <c r="I377" s="585">
        <f>+'thép dầm bể bơi'!O111</f>
        <v>267</v>
      </c>
      <c r="J377" s="585">
        <v>1</v>
      </c>
      <c r="K377" s="572">
        <f t="shared" ref="K377" si="82">I377*J377</f>
        <v>267</v>
      </c>
      <c r="L377" s="337"/>
    </row>
    <row r="378" spans="1:12" s="332" customFormat="1" ht="15.75">
      <c r="A378" s="330"/>
      <c r="B378" s="575" t="s">
        <v>651</v>
      </c>
      <c r="C378" s="331"/>
      <c r="D378" s="551"/>
      <c r="E378" s="585"/>
      <c r="F378" s="585"/>
      <c r="G378" s="585"/>
      <c r="H378" s="585"/>
      <c r="I378" s="585">
        <f>+'thép vách bể bơi'!O40</f>
        <v>713</v>
      </c>
      <c r="J378" s="585">
        <v>1</v>
      </c>
      <c r="K378" s="572">
        <f t="shared" ref="K378" si="83">I378*J378</f>
        <v>713</v>
      </c>
      <c r="L378" s="337"/>
    </row>
    <row r="379" spans="1:12" s="322" customFormat="1" ht="15.75">
      <c r="A379" s="315">
        <f>'02.1-ĐNTT'!A52</f>
        <v>33</v>
      </c>
      <c r="B379" s="316" t="str">
        <f>'02.1-ĐNTT'!B52</f>
        <v>Thép khoan cấy</v>
      </c>
      <c r="C379" s="317" t="str">
        <f>'02.1-ĐNTT'!C52</f>
        <v>kg</v>
      </c>
      <c r="D379" s="501"/>
      <c r="E379" s="318"/>
      <c r="F379" s="319"/>
      <c r="G379" s="320"/>
      <c r="H379" s="320"/>
      <c r="I379" s="471"/>
      <c r="J379" s="321"/>
      <c r="K379" s="488">
        <f>SUM(K380:K382)</f>
        <v>267.77625</v>
      </c>
      <c r="L379" s="335"/>
    </row>
    <row r="380" spans="1:12" s="332" customFormat="1" ht="15.75">
      <c r="A380" s="330"/>
      <c r="B380" s="575" t="s">
        <v>648</v>
      </c>
      <c r="C380" s="331"/>
      <c r="D380" s="551"/>
      <c r="E380" s="585"/>
      <c r="F380" s="585"/>
      <c r="G380" s="585"/>
      <c r="H380" s="585"/>
      <c r="I380" s="585">
        <f>+'thép dầm bồn cây'!O480</f>
        <v>64.814100000000039</v>
      </c>
      <c r="J380" s="585">
        <v>1</v>
      </c>
      <c r="K380" s="572">
        <f t="shared" ref="K380:K381" si="84">I380*J380</f>
        <v>64.814100000000039</v>
      </c>
      <c r="L380" s="337"/>
    </row>
    <row r="381" spans="1:12" s="332" customFormat="1" ht="15.75">
      <c r="A381" s="330"/>
      <c r="B381" s="575" t="s">
        <v>650</v>
      </c>
      <c r="C381" s="331"/>
      <c r="D381" s="551"/>
      <c r="E381" s="585"/>
      <c r="F381" s="585"/>
      <c r="G381" s="585"/>
      <c r="H381" s="585"/>
      <c r="I381" s="585">
        <f>+'thép vách giếng gió'!O27</f>
        <v>0</v>
      </c>
      <c r="J381" s="585">
        <v>1</v>
      </c>
      <c r="K381" s="572">
        <f t="shared" si="84"/>
        <v>0</v>
      </c>
      <c r="L381" s="337"/>
    </row>
    <row r="382" spans="1:12" s="332" customFormat="1" ht="15.75">
      <c r="A382" s="330"/>
      <c r="B382" s="575" t="s">
        <v>649</v>
      </c>
      <c r="C382" s="331"/>
      <c r="D382" s="551"/>
      <c r="E382" s="585"/>
      <c r="F382" s="585"/>
      <c r="G382" s="585"/>
      <c r="H382" s="585"/>
      <c r="I382" s="585">
        <f>+'thép vách bồn cây'!O195</f>
        <v>202.96214999999995</v>
      </c>
      <c r="J382" s="585">
        <v>1</v>
      </c>
      <c r="K382" s="572">
        <f t="shared" ref="K382" si="85">I382*J382</f>
        <v>202.96214999999995</v>
      </c>
      <c r="L382" s="337"/>
    </row>
    <row r="383" spans="1:12" s="154" customFormat="1" ht="31.5" hidden="1">
      <c r="A383" s="314" t="str">
        <f>'02.1-ĐNTT'!A53</f>
        <v>**</v>
      </c>
      <c r="B383" s="204" t="str">
        <f>'02.1-ĐNTT'!B53</f>
        <v xml:space="preserve">HẠNG MỤC: TRÁT, LÁNG, CHỐNG THẤM CẢNH QUAN NGOÀI NHÀ </v>
      </c>
      <c r="C383" s="205"/>
      <c r="D383" s="205"/>
      <c r="E383" s="155"/>
      <c r="F383" s="156"/>
      <c r="G383" s="192"/>
      <c r="H383" s="192"/>
      <c r="I383" s="470"/>
      <c r="J383" s="206"/>
      <c r="K383" s="486"/>
      <c r="L383" s="334"/>
    </row>
    <row r="384" spans="1:12" s="154" customFormat="1" ht="31.5" hidden="1">
      <c r="A384" s="314" t="str">
        <f>'02.1-ĐNTT'!A54</f>
        <v>A</v>
      </c>
      <c r="B384" s="204" t="str">
        <f>'02.1-ĐNTT'!B54</f>
        <v>HẠNG MỤC BỂ + ĐẢO + BỒN HOA QUANH BỂ</v>
      </c>
      <c r="C384" s="205"/>
      <c r="D384" s="205"/>
      <c r="E384" s="155"/>
      <c r="F384" s="156"/>
      <c r="G384" s="192"/>
      <c r="H384" s="192"/>
      <c r="I384" s="470"/>
      <c r="J384" s="206"/>
      <c r="K384" s="486"/>
      <c r="L384" s="334"/>
    </row>
    <row r="385" spans="1:12" s="154" customFormat="1" ht="15.75" hidden="1">
      <c r="A385" s="314" t="str">
        <f>'02.1-ĐNTT'!A55</f>
        <v>I</v>
      </c>
      <c r="B385" s="204" t="str">
        <f>'02.1-ĐNTT'!B55</f>
        <v>Bể bơi</v>
      </c>
      <c r="C385" s="205"/>
      <c r="D385" s="205"/>
      <c r="E385" s="155"/>
      <c r="F385" s="156"/>
      <c r="G385" s="192"/>
      <c r="H385" s="192"/>
      <c r="I385" s="470"/>
      <c r="J385" s="206"/>
      <c r="K385" s="486"/>
      <c r="L385" s="334"/>
    </row>
    <row r="386" spans="1:12" s="322" customFormat="1" ht="15.75" hidden="1">
      <c r="A386" s="315">
        <f>'02.1-ĐNTT'!A56</f>
        <v>1</v>
      </c>
      <c r="B386" s="316" t="str">
        <f>'02.1-ĐNTT'!B56</f>
        <v>Quét lớp chống thấm</v>
      </c>
      <c r="C386" s="317" t="str">
        <f>'02.1-ĐNTT'!C56</f>
        <v>m2</v>
      </c>
      <c r="D386" s="317"/>
      <c r="E386" s="318"/>
      <c r="F386" s="319"/>
      <c r="G386" s="320"/>
      <c r="H386" s="320"/>
      <c r="I386" s="471"/>
      <c r="J386" s="321"/>
      <c r="K386" s="487"/>
      <c r="L386" s="335"/>
    </row>
    <row r="387" spans="1:12" s="322" customFormat="1" ht="15.75" hidden="1">
      <c r="A387" s="315">
        <f>'02.1-ĐNTT'!A57</f>
        <v>2</v>
      </c>
      <c r="B387" s="316" t="str">
        <f>'02.1-ĐNTT'!B57</f>
        <v>Vữa xi măng M75 dày 30-50mm, phần nền</v>
      </c>
      <c r="C387" s="317" t="str">
        <f>'02.1-ĐNTT'!C57</f>
        <v>m2</v>
      </c>
      <c r="D387" s="317"/>
      <c r="E387" s="318"/>
      <c r="F387" s="319"/>
      <c r="G387" s="320"/>
      <c r="H387" s="320"/>
      <c r="I387" s="471"/>
      <c r="J387" s="321"/>
      <c r="K387" s="488"/>
      <c r="L387" s="335"/>
    </row>
    <row r="388" spans="1:12" s="322" customFormat="1" ht="15.75" hidden="1">
      <c r="A388" s="315">
        <f>'02.1-ĐNTT'!A58</f>
        <v>3</v>
      </c>
      <c r="B388" s="316" t="str">
        <f>'02.1-ĐNTT'!B58</f>
        <v xml:space="preserve">Vữa xi măng M75 dày 15mm, trát thành </v>
      </c>
      <c r="C388" s="317" t="str">
        <f>'02.1-ĐNTT'!C58</f>
        <v>m2</v>
      </c>
      <c r="D388" s="317"/>
      <c r="E388" s="318"/>
      <c r="F388" s="319"/>
      <c r="G388" s="320"/>
      <c r="H388" s="320"/>
      <c r="I388" s="471"/>
      <c r="J388" s="321"/>
      <c r="K388" s="487"/>
      <c r="L388" s="335"/>
    </row>
    <row r="389" spans="1:12" s="322" customFormat="1" ht="15.75" hidden="1">
      <c r="A389" s="315"/>
      <c r="B389" s="316" t="str">
        <f>'02.1-ĐNTT'!B59</f>
        <v>Đá Mosaic gốm màu xanh KT300x300x4mm</v>
      </c>
      <c r="C389" s="317" t="str">
        <f>'02.1-ĐNTT'!C59</f>
        <v>m2</v>
      </c>
      <c r="D389" s="317"/>
      <c r="E389" s="318"/>
      <c r="F389" s="319"/>
      <c r="G389" s="320"/>
      <c r="H389" s="320"/>
      <c r="I389" s="471"/>
      <c r="J389" s="321"/>
      <c r="K389" s="487"/>
      <c r="L389" s="335"/>
    </row>
    <row r="390" spans="1:12" s="322" customFormat="1" ht="15.75" hidden="1">
      <c r="A390" s="315"/>
      <c r="B390" s="316" t="str">
        <f>'02.1-ĐNTT'!B60</f>
        <v>Đá Moca crema limestone KT theo TK</v>
      </c>
      <c r="C390" s="317" t="str">
        <f>'02.1-ĐNTT'!C60</f>
        <v>m2</v>
      </c>
      <c r="D390" s="317"/>
      <c r="E390" s="318"/>
      <c r="F390" s="319"/>
      <c r="G390" s="320"/>
      <c r="H390" s="320"/>
      <c r="I390" s="471"/>
      <c r="J390" s="321"/>
      <c r="K390" s="487"/>
      <c r="L390" s="335"/>
    </row>
    <row r="391" spans="1:12" s="322" customFormat="1" ht="15.75" hidden="1">
      <c r="A391" s="315">
        <f>'02.1-ĐNTT'!A61</f>
        <v>4</v>
      </c>
      <c r="B391" s="316" t="str">
        <f>'02.1-ĐNTT'!B61</f>
        <v>Vữa xi măng lót trước khi ốp đá</v>
      </c>
      <c r="C391" s="317" t="str">
        <f>'02.1-ĐNTT'!C61</f>
        <v>m2</v>
      </c>
      <c r="D391" s="317"/>
      <c r="E391" s="318"/>
      <c r="F391" s="319"/>
      <c r="G391" s="320"/>
      <c r="H391" s="320"/>
      <c r="I391" s="471"/>
      <c r="J391" s="321"/>
      <c r="K391" s="487"/>
      <c r="L391" s="335"/>
    </row>
    <row r="392" spans="1:12" s="322" customFormat="1" ht="15.75" hidden="1">
      <c r="A392" s="315">
        <f>'02.1-ĐNTT'!A62</f>
        <v>5</v>
      </c>
      <c r="B392" s="316" t="str">
        <f>'02.1-ĐNTT'!B62</f>
        <v>Xây ghế ngôi trong bể bơi</v>
      </c>
      <c r="C392" s="317" t="str">
        <f>'02.1-ĐNTT'!C62</f>
        <v>m3</v>
      </c>
      <c r="D392" s="317"/>
      <c r="E392" s="318"/>
      <c r="F392" s="319"/>
      <c r="G392" s="320"/>
      <c r="H392" s="320"/>
      <c r="I392" s="471"/>
      <c r="J392" s="321"/>
      <c r="K392" s="487"/>
      <c r="L392" s="335"/>
    </row>
    <row r="393" spans="1:12" s="322" customFormat="1" ht="15.75" hidden="1">
      <c r="A393" s="315"/>
      <c r="B393" s="316" t="str">
        <f>'02.1-ĐNTT'!B63</f>
        <v>Mặt ghế ngồi</v>
      </c>
      <c r="C393" s="317" t="str">
        <f>'02.1-ĐNTT'!C63</f>
        <v>Tấm</v>
      </c>
      <c r="D393" s="317"/>
      <c r="E393" s="318"/>
      <c r="F393" s="319"/>
      <c r="G393" s="320"/>
      <c r="H393" s="320"/>
      <c r="I393" s="471"/>
      <c r="J393" s="321"/>
      <c r="K393" s="487"/>
      <c r="L393" s="335"/>
    </row>
    <row r="394" spans="1:12" s="322" customFormat="1" ht="15.75" hidden="1">
      <c r="A394" s="315"/>
      <c r="B394" s="316" t="str">
        <f>'02.1-ĐNTT'!B64</f>
        <v>Hoàn thiện mặt ghế ngồi</v>
      </c>
      <c r="C394" s="317" t="str">
        <f>'02.1-ĐNTT'!C64</f>
        <v>m2</v>
      </c>
      <c r="D394" s="317"/>
      <c r="E394" s="318"/>
      <c r="F394" s="319"/>
      <c r="G394" s="320"/>
      <c r="H394" s="320"/>
      <c r="I394" s="471"/>
      <c r="J394" s="321"/>
      <c r="K394" s="487"/>
      <c r="L394" s="335"/>
    </row>
    <row r="395" spans="1:12" s="322" customFormat="1" ht="15.75" hidden="1">
      <c r="A395" s="315">
        <f>'02.1-ĐNTT'!A65</f>
        <v>6</v>
      </c>
      <c r="B395" s="316" t="str">
        <f>'02.1-ĐNTT'!B65</f>
        <v>Vữa xi măng lót trước khi ốp đá</v>
      </c>
      <c r="C395" s="317" t="str">
        <f>'02.1-ĐNTT'!C65</f>
        <v>m2</v>
      </c>
      <c r="D395" s="317"/>
      <c r="E395" s="318"/>
      <c r="F395" s="319"/>
      <c r="G395" s="320"/>
      <c r="H395" s="320"/>
      <c r="I395" s="471"/>
      <c r="J395" s="321"/>
      <c r="K395" s="487"/>
      <c r="L395" s="335"/>
    </row>
    <row r="396" spans="1:12" s="322" customFormat="1" ht="15.75" hidden="1">
      <c r="A396" s="315"/>
      <c r="B396" s="316" t="str">
        <f>'02.1-ĐNTT'!B66</f>
        <v>Chữ lòng bể bơi theo thiết kế</v>
      </c>
      <c r="C396" s="317" t="str">
        <f>'02.1-ĐNTT'!C66</f>
        <v>Bộ</v>
      </c>
      <c r="D396" s="317"/>
      <c r="E396" s="318"/>
      <c r="F396" s="319"/>
      <c r="G396" s="320"/>
      <c r="H396" s="320"/>
      <c r="I396" s="471"/>
      <c r="J396" s="321"/>
      <c r="K396" s="487"/>
      <c r="L396" s="335"/>
    </row>
    <row r="397" spans="1:12" s="154" customFormat="1" ht="15.75" hidden="1">
      <c r="A397" s="314" t="str">
        <f>'02.1-ĐNTT'!A67</f>
        <v>II</v>
      </c>
      <c r="B397" s="204" t="str">
        <f>'02.1-ĐNTT'!B67</f>
        <v>Rãnh thác tràn</v>
      </c>
      <c r="C397" s="205"/>
      <c r="D397" s="205"/>
      <c r="E397" s="155"/>
      <c r="F397" s="156"/>
      <c r="G397" s="192"/>
      <c r="H397" s="192"/>
      <c r="I397" s="470"/>
      <c r="J397" s="206"/>
      <c r="K397" s="486"/>
      <c r="L397" s="334"/>
    </row>
    <row r="398" spans="1:12" s="322" customFormat="1" ht="15.75" hidden="1">
      <c r="A398" s="315">
        <f>'02.1-ĐNTT'!A68</f>
        <v>7</v>
      </c>
      <c r="B398" s="316" t="str">
        <f>'02.1-ĐNTT'!B68</f>
        <v>Quét chống thấm</v>
      </c>
      <c r="C398" s="317" t="str">
        <f>'02.1-ĐNTT'!C68</f>
        <v>m2</v>
      </c>
      <c r="D398" s="317"/>
      <c r="E398" s="318"/>
      <c r="F398" s="319"/>
      <c r="G398" s="320"/>
      <c r="H398" s="320"/>
      <c r="I398" s="471"/>
      <c r="J398" s="321"/>
      <c r="K398" s="487"/>
      <c r="L398" s="335"/>
    </row>
    <row r="399" spans="1:12" s="322" customFormat="1" ht="15.75" hidden="1">
      <c r="A399" s="315">
        <f>'02.1-ĐNTT'!A69</f>
        <v>8</v>
      </c>
      <c r="B399" s="316" t="str">
        <f>'02.1-ĐNTT'!B69</f>
        <v>Vữa xi măng dày 15mm, đáy rãnh</v>
      </c>
      <c r="C399" s="317" t="str">
        <f>'02.1-ĐNTT'!C69</f>
        <v>m2</v>
      </c>
      <c r="D399" s="317"/>
      <c r="E399" s="318"/>
      <c r="F399" s="319"/>
      <c r="G399" s="320"/>
      <c r="H399" s="320"/>
      <c r="I399" s="471"/>
      <c r="J399" s="321"/>
      <c r="K399" s="487"/>
      <c r="L399" s="335"/>
    </row>
    <row r="400" spans="1:12" s="322" customFormat="1" ht="15.75" hidden="1">
      <c r="A400" s="315">
        <f>'02.1-ĐNTT'!A70</f>
        <v>9</v>
      </c>
      <c r="B400" s="316" t="str">
        <f>'02.1-ĐNTT'!B70</f>
        <v>Vữa xi măng dày 15mm, thành rãnh</v>
      </c>
      <c r="C400" s="317" t="str">
        <f>'02.1-ĐNTT'!C70</f>
        <v>m2</v>
      </c>
      <c r="D400" s="317"/>
      <c r="E400" s="318"/>
      <c r="F400" s="319"/>
      <c r="G400" s="320"/>
      <c r="H400" s="320"/>
      <c r="I400" s="471"/>
      <c r="J400" s="321"/>
      <c r="K400" s="487"/>
      <c r="L400" s="335"/>
    </row>
    <row r="401" spans="1:12" s="322" customFormat="1" ht="15.75" hidden="1">
      <c r="A401" s="315"/>
      <c r="B401" s="316" t="str">
        <f>'02.1-ĐNTT'!B71</f>
        <v>Lát gạch Ceramic men trắng bề mặt bóng dày 10mm</v>
      </c>
      <c r="C401" s="317" t="str">
        <f>'02.1-ĐNTT'!C71</f>
        <v>m2</v>
      </c>
      <c r="D401" s="317"/>
      <c r="E401" s="318"/>
      <c r="F401" s="319"/>
      <c r="G401" s="320"/>
      <c r="H401" s="320"/>
      <c r="I401" s="471"/>
      <c r="J401" s="321"/>
      <c r="K401" s="487"/>
      <c r="L401" s="335"/>
    </row>
    <row r="402" spans="1:12" s="322" customFormat="1" ht="15.75" hidden="1">
      <c r="A402" s="315"/>
      <c r="B402" s="316" t="str">
        <f>'02.1-ĐNTT'!B72</f>
        <v>Sỏi tự nhiên 20-30mm dày 30mm</v>
      </c>
      <c r="C402" s="317" t="str">
        <f>'02.1-ĐNTT'!C72</f>
        <v>m3</v>
      </c>
      <c r="D402" s="317"/>
      <c r="E402" s="318"/>
      <c r="F402" s="319"/>
      <c r="G402" s="320"/>
      <c r="H402" s="320"/>
      <c r="I402" s="471"/>
      <c r="J402" s="321"/>
      <c r="K402" s="487"/>
      <c r="L402" s="335"/>
    </row>
    <row r="403" spans="1:12" s="322" customFormat="1" ht="15.75" hidden="1">
      <c r="A403" s="315"/>
      <c r="B403" s="316" t="str">
        <f>'02.1-ĐNTT'!B73</f>
        <v>Thanh nhựa đậy rãnh 180x25mm, nhựa nguyên sinh</v>
      </c>
      <c r="C403" s="317" t="str">
        <f>'02.1-ĐNTT'!C73</f>
        <v>md</v>
      </c>
      <c r="D403" s="317"/>
      <c r="E403" s="318"/>
      <c r="F403" s="319"/>
      <c r="G403" s="320"/>
      <c r="H403" s="320"/>
      <c r="I403" s="471"/>
      <c r="J403" s="321"/>
      <c r="K403" s="487"/>
      <c r="L403" s="335"/>
    </row>
    <row r="404" spans="1:12" s="322" customFormat="1" ht="15.75" hidden="1">
      <c r="A404" s="315"/>
      <c r="B404" s="316" t="str">
        <f>'02.1-ĐNTT'!B74</f>
        <v>Nẹp V inox KT50x40mm</v>
      </c>
      <c r="C404" s="317" t="str">
        <f>'02.1-ĐNTT'!C74</f>
        <v>md</v>
      </c>
      <c r="D404" s="317"/>
      <c r="E404" s="318"/>
      <c r="F404" s="319"/>
      <c r="G404" s="320"/>
      <c r="H404" s="320"/>
      <c r="I404" s="471"/>
      <c r="J404" s="321"/>
      <c r="K404" s="487"/>
      <c r="L404" s="335"/>
    </row>
    <row r="405" spans="1:12" s="322" customFormat="1" ht="15.75" hidden="1">
      <c r="A405" s="315">
        <f>'02.1-ĐNTT'!A75</f>
        <v>10</v>
      </c>
      <c r="B405" s="316" t="str">
        <f>'02.1-ĐNTT'!B75</f>
        <v>Nẹp V miệng rãnh thoát tràn</v>
      </c>
      <c r="C405" s="317" t="str">
        <f>'02.1-ĐNTT'!C75</f>
        <v>md</v>
      </c>
      <c r="D405" s="317"/>
      <c r="E405" s="318"/>
      <c r="F405" s="319"/>
      <c r="G405" s="320"/>
      <c r="H405" s="320"/>
      <c r="I405" s="471"/>
      <c r="J405" s="321"/>
      <c r="K405" s="487"/>
      <c r="L405" s="335"/>
    </row>
    <row r="406" spans="1:12" s="154" customFormat="1" ht="15.75" hidden="1">
      <c r="A406" s="314" t="str">
        <f>'02.1-ĐNTT'!A76</f>
        <v>III</v>
      </c>
      <c r="B406" s="204" t="str">
        <f>'02.1-ĐNTT'!B76</f>
        <v>Poolbar</v>
      </c>
      <c r="C406" s="205"/>
      <c r="D406" s="205"/>
      <c r="E406" s="155"/>
      <c r="F406" s="156"/>
      <c r="G406" s="192"/>
      <c r="H406" s="192"/>
      <c r="I406" s="470"/>
      <c r="J406" s="206"/>
      <c r="K406" s="486"/>
      <c r="L406" s="334"/>
    </row>
    <row r="407" spans="1:12" s="322" customFormat="1" ht="15.75" hidden="1">
      <c r="A407" s="315">
        <f>'02.1-ĐNTT'!A77</f>
        <v>11</v>
      </c>
      <c r="B407" s="316" t="str">
        <f>'02.1-ĐNTT'!B77</f>
        <v>Xây tường poolbar, &lt;=110mm</v>
      </c>
      <c r="C407" s="317" t="str">
        <f>'02.1-ĐNTT'!C77</f>
        <v>m3</v>
      </c>
      <c r="D407" s="317"/>
      <c r="E407" s="318"/>
      <c r="F407" s="319"/>
      <c r="G407" s="320"/>
      <c r="H407" s="320"/>
      <c r="I407" s="471"/>
      <c r="J407" s="321"/>
      <c r="K407" s="487"/>
      <c r="L407" s="335"/>
    </row>
    <row r="408" spans="1:12" s="322" customFormat="1" ht="15.75" hidden="1">
      <c r="A408" s="315">
        <f>'02.1-ĐNTT'!A78</f>
        <v>12</v>
      </c>
      <c r="B408" s="316" t="str">
        <f>'02.1-ĐNTT'!B78</f>
        <v>Quét chống thấm</v>
      </c>
      <c r="C408" s="317" t="str">
        <f>'02.1-ĐNTT'!C78</f>
        <v>m2</v>
      </c>
      <c r="D408" s="317"/>
      <c r="E408" s="318"/>
      <c r="F408" s="319"/>
      <c r="G408" s="320"/>
      <c r="H408" s="320"/>
      <c r="I408" s="471"/>
      <c r="J408" s="321"/>
      <c r="K408" s="487"/>
      <c r="L408" s="335"/>
    </row>
    <row r="409" spans="1:12" s="322" customFormat="1" ht="15.75" hidden="1">
      <c r="A409" s="315">
        <f>'02.1-ĐNTT'!A79</f>
        <v>13</v>
      </c>
      <c r="B409" s="316" t="str">
        <f>'02.1-ĐNTT'!B79</f>
        <v>Vữa xi măng mác 75 tạo dốc 1% độ dày theo thực tế</v>
      </c>
      <c r="C409" s="317" t="str">
        <f>'02.1-ĐNTT'!C79</f>
        <v>m2</v>
      </c>
      <c r="D409" s="317"/>
      <c r="E409" s="318"/>
      <c r="F409" s="319"/>
      <c r="G409" s="320"/>
      <c r="H409" s="320"/>
      <c r="I409" s="471"/>
      <c r="J409" s="321"/>
      <c r="K409" s="487"/>
      <c r="L409" s="335"/>
    </row>
    <row r="410" spans="1:12" s="322" customFormat="1" ht="15.75" hidden="1">
      <c r="A410" s="315">
        <f>'02.1-ĐNTT'!A80</f>
        <v>14</v>
      </c>
      <c r="B410" s="316" t="str">
        <f>'02.1-ĐNTT'!B80</f>
        <v xml:space="preserve">Vữa xi măng mác 75 trát thành </v>
      </c>
      <c r="C410" s="317" t="str">
        <f>'02.1-ĐNTT'!C80</f>
        <v>m2</v>
      </c>
      <c r="D410" s="317"/>
      <c r="E410" s="318"/>
      <c r="F410" s="319"/>
      <c r="G410" s="320"/>
      <c r="H410" s="320"/>
      <c r="I410" s="471"/>
      <c r="J410" s="321"/>
      <c r="K410" s="487"/>
      <c r="L410" s="335"/>
    </row>
    <row r="411" spans="1:12" s="322" customFormat="1" ht="31.5" hidden="1">
      <c r="A411" s="315"/>
      <c r="B411" s="316" t="str">
        <f>'02.1-ĐNTT'!B81</f>
        <v>Đá Cubic Granite Bình Định vàng nhạt băm mặt KT100x100x30mm</v>
      </c>
      <c r="C411" s="317" t="str">
        <f>'02.1-ĐNTT'!C81</f>
        <v>m2</v>
      </c>
      <c r="D411" s="317"/>
      <c r="E411" s="318"/>
      <c r="F411" s="319"/>
      <c r="G411" s="320"/>
      <c r="H411" s="320"/>
      <c r="I411" s="471"/>
      <c r="J411" s="321"/>
      <c r="K411" s="487"/>
      <c r="L411" s="335"/>
    </row>
    <row r="412" spans="1:12" s="322" customFormat="1" ht="15.75" hidden="1">
      <c r="A412" s="315"/>
      <c r="B412" s="316" t="str">
        <f>'02.1-ĐNTT'!B82</f>
        <v>Đá Thanh Hóa xanh đen băm mặt KT200x200x30mm</v>
      </c>
      <c r="C412" s="317" t="str">
        <f>'02.1-ĐNTT'!C82</f>
        <v>m2</v>
      </c>
      <c r="D412" s="317"/>
      <c r="E412" s="318"/>
      <c r="F412" s="319"/>
      <c r="G412" s="320"/>
      <c r="H412" s="320"/>
      <c r="I412" s="471"/>
      <c r="J412" s="321"/>
      <c r="K412" s="487"/>
      <c r="L412" s="335"/>
    </row>
    <row r="413" spans="1:12" s="322" customFormat="1" ht="15.75" hidden="1">
      <c r="A413" s="315"/>
      <c r="B413" s="316" t="str">
        <f>'02.1-ĐNTT'!B83</f>
        <v>Đá Thanh Hóa xanh đen băm mặt KT300x300x30mm</v>
      </c>
      <c r="C413" s="317" t="str">
        <f>'02.1-ĐNTT'!C83</f>
        <v>m2</v>
      </c>
      <c r="D413" s="317"/>
      <c r="E413" s="318"/>
      <c r="F413" s="319"/>
      <c r="G413" s="320"/>
      <c r="H413" s="320"/>
      <c r="I413" s="471"/>
      <c r="J413" s="321"/>
      <c r="K413" s="487"/>
      <c r="L413" s="335"/>
    </row>
    <row r="414" spans="1:12" s="322" customFormat="1" ht="15.75" hidden="1">
      <c r="A414" s="315">
        <f>'02.1-ĐNTT'!A84</f>
        <v>15</v>
      </c>
      <c r="B414" s="316" t="str">
        <f>'02.1-ĐNTT'!B84</f>
        <v>Vữa xi măng trước khi ốp đá</v>
      </c>
      <c r="C414" s="317" t="str">
        <f>'02.1-ĐNTT'!C84</f>
        <v>m2</v>
      </c>
      <c r="D414" s="317"/>
      <c r="E414" s="318"/>
      <c r="F414" s="319"/>
      <c r="G414" s="320"/>
      <c r="H414" s="320"/>
      <c r="I414" s="471"/>
      <c r="J414" s="321"/>
      <c r="K414" s="487"/>
      <c r="L414" s="335"/>
    </row>
    <row r="415" spans="1:12" s="322" customFormat="1" ht="31.5" hidden="1">
      <c r="A415" s="315"/>
      <c r="B415" s="316" t="str">
        <f>'02.1-ĐNTT'!B85</f>
        <v>Hệ khung thép hộp mạ kẽm nhúng nóng KT20x20x1,2mm</v>
      </c>
      <c r="C415" s="317" t="str">
        <f>'02.1-ĐNTT'!C85</f>
        <v>kg</v>
      </c>
      <c r="D415" s="317"/>
      <c r="E415" s="318"/>
      <c r="F415" s="319"/>
      <c r="G415" s="320"/>
      <c r="H415" s="320"/>
      <c r="I415" s="471"/>
      <c r="J415" s="321"/>
      <c r="K415" s="487"/>
      <c r="L415" s="335"/>
    </row>
    <row r="416" spans="1:12" s="322" customFormat="1" ht="15.75" hidden="1">
      <c r="A416" s="315"/>
      <c r="B416" s="316" t="str">
        <f>'02.1-ĐNTT'!B86</f>
        <v>Đá Moca crema limestone KT theo KT</v>
      </c>
      <c r="C416" s="317" t="str">
        <f>'02.1-ĐNTT'!C86</f>
        <v>m2</v>
      </c>
      <c r="D416" s="317"/>
      <c r="E416" s="318"/>
      <c r="F416" s="319"/>
      <c r="G416" s="320"/>
      <c r="H416" s="320"/>
      <c r="I416" s="471"/>
      <c r="J416" s="321"/>
      <c r="K416" s="487"/>
      <c r="L416" s="335"/>
    </row>
    <row r="417" spans="1:12" s="154" customFormat="1" ht="15.75" hidden="1">
      <c r="A417" s="314" t="str">
        <f>'02.1-ĐNTT'!A87</f>
        <v>IV</v>
      </c>
      <c r="B417" s="204" t="str">
        <f>'02.1-ĐNTT'!B87</f>
        <v>Biển hồ</v>
      </c>
      <c r="C417" s="205"/>
      <c r="D417" s="205"/>
      <c r="E417" s="155"/>
      <c r="F417" s="156"/>
      <c r="G417" s="192"/>
      <c r="H417" s="192"/>
      <c r="I417" s="470"/>
      <c r="J417" s="206"/>
      <c r="K417" s="486"/>
      <c r="L417" s="334"/>
    </row>
    <row r="418" spans="1:12" s="322" customFormat="1" ht="15.75" hidden="1">
      <c r="A418" s="315">
        <f>'02.1-ĐNTT'!A88</f>
        <v>16</v>
      </c>
      <c r="B418" s="316" t="str">
        <f>'02.1-ĐNTT'!B88</f>
        <v>Bê tông bọt</v>
      </c>
      <c r="C418" s="317" t="str">
        <f>'02.1-ĐNTT'!C88</f>
        <v>m3</v>
      </c>
      <c r="D418" s="317"/>
      <c r="E418" s="318"/>
      <c r="F418" s="319"/>
      <c r="G418" s="320"/>
      <c r="H418" s="320"/>
      <c r="I418" s="471"/>
      <c r="J418" s="321"/>
      <c r="K418" s="487"/>
      <c r="L418" s="335"/>
    </row>
    <row r="419" spans="1:12" s="322" customFormat="1" ht="15.75" hidden="1">
      <c r="A419" s="315"/>
      <c r="B419" s="316" t="str">
        <f>'02.1-ĐNTT'!B89</f>
        <v>Lưới sợi thủy tinh</v>
      </c>
      <c r="C419" s="317" t="str">
        <f>'02.1-ĐNTT'!C89</f>
        <v>m2</v>
      </c>
      <c r="D419" s="317"/>
      <c r="E419" s="318"/>
      <c r="F419" s="319"/>
      <c r="G419" s="320"/>
      <c r="H419" s="320"/>
      <c r="I419" s="471"/>
      <c r="J419" s="321"/>
      <c r="K419" s="487"/>
      <c r="L419" s="335"/>
    </row>
    <row r="420" spans="1:12" s="322" customFormat="1" ht="15.75" hidden="1">
      <c r="A420" s="315">
        <f>'02.1-ĐNTT'!A90</f>
        <v>17</v>
      </c>
      <c r="B420" s="316" t="str">
        <f>'02.1-ĐNTT'!B90</f>
        <v>Quét chống thấm</v>
      </c>
      <c r="C420" s="317" t="str">
        <f>'02.1-ĐNTT'!C90</f>
        <v>m2</v>
      </c>
      <c r="D420" s="317"/>
      <c r="E420" s="318"/>
      <c r="F420" s="319"/>
      <c r="G420" s="320"/>
      <c r="H420" s="320"/>
      <c r="I420" s="471"/>
      <c r="J420" s="321"/>
      <c r="K420" s="487"/>
      <c r="L420" s="335"/>
    </row>
    <row r="421" spans="1:12" s="322" customFormat="1" ht="15.75" hidden="1">
      <c r="A421" s="315"/>
      <c r="B421" s="316" t="str">
        <f>'02.1-ĐNTT'!B91</f>
        <v>Cát nén phủ bề mặt tạo hình độ dày mỏng tùy vị trí</v>
      </c>
      <c r="C421" s="317" t="str">
        <f>'02.1-ĐNTT'!C91</f>
        <v>m2</v>
      </c>
      <c r="D421" s="317"/>
      <c r="E421" s="318"/>
      <c r="F421" s="319"/>
      <c r="G421" s="320"/>
      <c r="H421" s="320"/>
      <c r="I421" s="471"/>
      <c r="J421" s="321"/>
      <c r="K421" s="487"/>
      <c r="L421" s="335"/>
    </row>
    <row r="422" spans="1:12" s="154" customFormat="1" ht="15.75" hidden="1">
      <c r="A422" s="314" t="str">
        <f>'02.1-ĐNTT'!A92</f>
        <v>V</v>
      </c>
      <c r="B422" s="204" t="str">
        <f>'02.1-ĐNTT'!B92</f>
        <v>Bồn hoa + đảo quanh biển hồ</v>
      </c>
      <c r="C422" s="205"/>
      <c r="D422" s="205"/>
      <c r="E422" s="155"/>
      <c r="F422" s="156"/>
      <c r="G422" s="192"/>
      <c r="H422" s="192"/>
      <c r="I422" s="470"/>
      <c r="J422" s="206"/>
      <c r="K422" s="486"/>
      <c r="L422" s="334"/>
    </row>
    <row r="423" spans="1:12" s="322" customFormat="1" ht="15.75" hidden="1">
      <c r="A423" s="315">
        <f>'02.1-ĐNTT'!A93</f>
        <v>18</v>
      </c>
      <c r="B423" s="316" t="str">
        <f>'02.1-ĐNTT'!B93</f>
        <v xml:space="preserve">Quét chống thấm </v>
      </c>
      <c r="C423" s="317" t="str">
        <f>'02.1-ĐNTT'!C93</f>
        <v>m2</v>
      </c>
      <c r="D423" s="317"/>
      <c r="E423" s="318"/>
      <c r="F423" s="319"/>
      <c r="G423" s="320"/>
      <c r="H423" s="320"/>
      <c r="I423" s="471"/>
      <c r="J423" s="321"/>
      <c r="K423" s="487"/>
      <c r="L423" s="335"/>
    </row>
    <row r="424" spans="1:12" s="322" customFormat="1" ht="31.5" hidden="1">
      <c r="A424" s="315">
        <f>'02.1-ĐNTT'!A94</f>
        <v>19</v>
      </c>
      <c r="B424" s="316" t="str">
        <f>'02.1-ĐNTT'!B94</f>
        <v>Lớp vữa xi măng M75 đánh dốc 0,5% về phía phễu thu độ dày theo thực tế</v>
      </c>
      <c r="C424" s="317" t="str">
        <f>'02.1-ĐNTT'!C94</f>
        <v>m2</v>
      </c>
      <c r="D424" s="317"/>
      <c r="E424" s="318"/>
      <c r="F424" s="319"/>
      <c r="G424" s="320"/>
      <c r="H424" s="320"/>
      <c r="I424" s="471"/>
      <c r="J424" s="321"/>
      <c r="K424" s="487"/>
      <c r="L424" s="335"/>
    </row>
    <row r="425" spans="1:12" s="322" customFormat="1" ht="15.75" hidden="1">
      <c r="A425" s="315">
        <f>'02.1-ĐNTT'!A95</f>
        <v>20</v>
      </c>
      <c r="B425" s="316" t="str">
        <f>'02.1-ĐNTT'!B95</f>
        <v>Lớp vữa xi măng M75 trát thành bồn hoa</v>
      </c>
      <c r="C425" s="317" t="str">
        <f>'02.1-ĐNTT'!C95</f>
        <v>m2</v>
      </c>
      <c r="D425" s="317"/>
      <c r="E425" s="318"/>
      <c r="F425" s="319"/>
      <c r="G425" s="320"/>
      <c r="H425" s="320"/>
      <c r="I425" s="471"/>
      <c r="J425" s="321"/>
      <c r="K425" s="488"/>
      <c r="L425" s="335"/>
    </row>
    <row r="426" spans="1:12" s="322" customFormat="1" ht="31.5" hidden="1">
      <c r="A426" s="315"/>
      <c r="B426" s="316" t="str">
        <f>'02.1-ĐNTT'!B96</f>
        <v>Lớp vỉ nhựa Plastic Cell chất liệu nhựa PP màu đen KT500x500x30mm</v>
      </c>
      <c r="C426" s="317" t="str">
        <f>'02.1-ĐNTT'!C96</f>
        <v>m2</v>
      </c>
      <c r="D426" s="317"/>
      <c r="E426" s="318"/>
      <c r="F426" s="319"/>
      <c r="G426" s="320"/>
      <c r="H426" s="320"/>
      <c r="I426" s="471"/>
      <c r="J426" s="321"/>
      <c r="K426" s="487"/>
      <c r="L426" s="335"/>
    </row>
    <row r="427" spans="1:12" s="322" customFormat="1" ht="15.75" hidden="1">
      <c r="A427" s="315"/>
      <c r="B427" s="316" t="str">
        <f>'02.1-ĐNTT'!B97</f>
        <v>Lớp vải địa ART15 hoặc tương đương</v>
      </c>
      <c r="C427" s="317" t="str">
        <f>'02.1-ĐNTT'!C97</f>
        <v>m2</v>
      </c>
      <c r="D427" s="317"/>
      <c r="E427" s="318"/>
      <c r="F427" s="319"/>
      <c r="G427" s="320"/>
      <c r="H427" s="320"/>
      <c r="I427" s="471"/>
      <c r="J427" s="321"/>
      <c r="K427" s="487"/>
      <c r="L427" s="335"/>
    </row>
    <row r="428" spans="1:12" s="322" customFormat="1" ht="15.75" hidden="1">
      <c r="A428" s="315"/>
      <c r="B428" s="316" t="str">
        <f>'02.1-ĐNTT'!B98</f>
        <v>Lớp sỏi 10x20mm trộn cát vàng tỷ lệ 1:1</v>
      </c>
      <c r="C428" s="317" t="str">
        <f>'02.1-ĐNTT'!C98</f>
        <v>m3</v>
      </c>
      <c r="D428" s="317"/>
      <c r="E428" s="318"/>
      <c r="F428" s="319"/>
      <c r="G428" s="320"/>
      <c r="H428" s="320"/>
      <c r="I428" s="471"/>
      <c r="J428" s="321"/>
      <c r="K428" s="487"/>
      <c r="L428" s="335"/>
    </row>
    <row r="429" spans="1:12" s="322" customFormat="1" ht="15.75" hidden="1">
      <c r="A429" s="315"/>
      <c r="B429" s="316" t="str">
        <f>'02.1-ĐNTT'!B99</f>
        <v>Đất màu trồng cây</v>
      </c>
      <c r="C429" s="317" t="str">
        <f>'02.1-ĐNTT'!C99</f>
        <v>m3</v>
      </c>
      <c r="D429" s="317"/>
      <c r="E429" s="318"/>
      <c r="F429" s="319"/>
      <c r="G429" s="320"/>
      <c r="H429" s="320"/>
      <c r="I429" s="471"/>
      <c r="J429" s="321"/>
      <c r="K429" s="487"/>
      <c r="L429" s="335"/>
    </row>
    <row r="430" spans="1:12" s="322" customFormat="1" ht="15.75" hidden="1">
      <c r="A430" s="315"/>
      <c r="B430" s="316" t="str">
        <f>'02.1-ĐNTT'!B100</f>
        <v>Khối đá trang trí lớn</v>
      </c>
      <c r="C430" s="317" t="str">
        <f>'02.1-ĐNTT'!C100</f>
        <v>Viên</v>
      </c>
      <c r="D430" s="317"/>
      <c r="E430" s="318"/>
      <c r="F430" s="319"/>
      <c r="G430" s="320"/>
      <c r="H430" s="320"/>
      <c r="I430" s="471"/>
      <c r="J430" s="321"/>
      <c r="K430" s="487"/>
      <c r="L430" s="335"/>
    </row>
    <row r="431" spans="1:12" s="322" customFormat="1" ht="15.75" hidden="1">
      <c r="A431" s="315"/>
      <c r="B431" s="316" t="str">
        <f>'02.1-ĐNTT'!B101</f>
        <v>Khối đá trang trí cỡ vừa</v>
      </c>
      <c r="C431" s="317" t="str">
        <f>'02.1-ĐNTT'!C101</f>
        <v>Viên</v>
      </c>
      <c r="D431" s="317"/>
      <c r="E431" s="318"/>
      <c r="F431" s="319"/>
      <c r="G431" s="320"/>
      <c r="H431" s="320"/>
      <c r="I431" s="471"/>
      <c r="J431" s="321"/>
      <c r="K431" s="487"/>
      <c r="L431" s="335"/>
    </row>
    <row r="432" spans="1:12" s="322" customFormat="1" ht="15.75" hidden="1">
      <c r="A432" s="315"/>
      <c r="B432" s="316" t="str">
        <f>'02.1-ĐNTT'!B102</f>
        <v>Khối đá trang trí cỡ nhỏ</v>
      </c>
      <c r="C432" s="317" t="str">
        <f>'02.1-ĐNTT'!C102</f>
        <v>Viên</v>
      </c>
      <c r="D432" s="317"/>
      <c r="E432" s="318"/>
      <c r="F432" s="319"/>
      <c r="G432" s="320"/>
      <c r="H432" s="320"/>
      <c r="I432" s="471"/>
      <c r="J432" s="321"/>
      <c r="K432" s="487"/>
      <c r="L432" s="335"/>
    </row>
    <row r="433" spans="1:12" s="154" customFormat="1" ht="31.5" hidden="1">
      <c r="A433" s="314" t="str">
        <f>'02.1-ĐNTT'!A103</f>
        <v>B</v>
      </c>
      <c r="B433" s="204" t="str">
        <f>'02.1-ĐNTT'!B103</f>
        <v>HẠNG MỤC NỀN CẢNH QUAN + BỒN HOA + GIẾNG GIÓ</v>
      </c>
      <c r="C433" s="205"/>
      <c r="D433" s="205"/>
      <c r="E433" s="155"/>
      <c r="F433" s="156"/>
      <c r="G433" s="192"/>
      <c r="H433" s="192"/>
      <c r="I433" s="470"/>
      <c r="J433" s="206"/>
      <c r="K433" s="486"/>
      <c r="L433" s="334"/>
    </row>
    <row r="434" spans="1:12" s="154" customFormat="1" ht="15.75" hidden="1">
      <c r="A434" s="314" t="str">
        <f>'02.1-ĐNTT'!A104</f>
        <v>I</v>
      </c>
      <c r="B434" s="204" t="str">
        <f>'02.1-ĐNTT'!B104</f>
        <v>Phần nền</v>
      </c>
      <c r="C434" s="205"/>
      <c r="D434" s="205"/>
      <c r="E434" s="155"/>
      <c r="F434" s="156"/>
      <c r="G434" s="192"/>
      <c r="H434" s="192"/>
      <c r="I434" s="470"/>
      <c r="J434" s="206"/>
      <c r="K434" s="486"/>
      <c r="L434" s="334"/>
    </row>
    <row r="435" spans="1:12" s="322" customFormat="1" ht="15.75" hidden="1">
      <c r="A435" s="315">
        <f>'02.1-ĐNTT'!A105</f>
        <v>1</v>
      </c>
      <c r="B435" s="316" t="str">
        <f>'02.1-ĐNTT'!B105</f>
        <v>Vị trí hoàn thiện Cát biển tự nhiên (F1)</v>
      </c>
      <c r="C435" s="317" t="str">
        <f>'02.1-ĐNTT'!C105</f>
        <v>m2</v>
      </c>
      <c r="D435" s="317"/>
      <c r="E435" s="318"/>
      <c r="F435" s="319"/>
      <c r="G435" s="320"/>
      <c r="H435" s="320"/>
      <c r="I435" s="471"/>
      <c r="J435" s="321"/>
      <c r="K435" s="487"/>
      <c r="L435" s="335"/>
    </row>
    <row r="436" spans="1:12" s="322" customFormat="1" ht="15.75" hidden="1">
      <c r="A436" s="315" t="str">
        <f>'02.1-ĐNTT'!A106</f>
        <v>1.1</v>
      </c>
      <c r="B436" s="316" t="str">
        <f>'02.1-ĐNTT'!B106</f>
        <v>Lớp vải địa ART 15 hoặc tương đương</v>
      </c>
      <c r="C436" s="317" t="str">
        <f>'02.1-ĐNTT'!C106</f>
        <v>m2</v>
      </c>
      <c r="D436" s="317"/>
      <c r="E436" s="318"/>
      <c r="F436" s="319"/>
      <c r="G436" s="320"/>
      <c r="H436" s="320"/>
      <c r="I436" s="471"/>
      <c r="J436" s="321"/>
      <c r="K436" s="487"/>
      <c r="L436" s="335"/>
    </row>
    <row r="437" spans="1:12" s="322" customFormat="1" ht="31.5" hidden="1">
      <c r="A437" s="315" t="str">
        <f>'02.1-ĐNTT'!A107</f>
        <v>1.2</v>
      </c>
      <c r="B437" s="316" t="str">
        <f>'02.1-ĐNTT'!B107</f>
        <v>Lớp vỉ nhựa Plastic Cell chất liệu nhựa PP màu đen, KT 500x500x30</v>
      </c>
      <c r="C437" s="317" t="str">
        <f>'02.1-ĐNTT'!C107</f>
        <v>m2</v>
      </c>
      <c r="D437" s="317"/>
      <c r="E437" s="318"/>
      <c r="F437" s="319"/>
      <c r="G437" s="320"/>
      <c r="H437" s="320"/>
      <c r="I437" s="471"/>
      <c r="J437" s="321"/>
      <c r="K437" s="487"/>
      <c r="L437" s="335"/>
    </row>
    <row r="438" spans="1:12" s="322" customFormat="1" ht="15.75" hidden="1">
      <c r="A438" s="315" t="str">
        <f>'02.1-ĐNTT'!A108</f>
        <v>1.3</v>
      </c>
      <c r="B438" s="316" t="str">
        <f>'02.1-ĐNTT'!B108</f>
        <v xml:space="preserve">Lớp vữa M75 dày min 15mm, dốc về phía phễu thu </v>
      </c>
      <c r="C438" s="317" t="str">
        <f>'02.1-ĐNTT'!C108</f>
        <v>m2</v>
      </c>
      <c r="D438" s="317"/>
      <c r="E438" s="318"/>
      <c r="F438" s="319"/>
      <c r="G438" s="320"/>
      <c r="H438" s="320"/>
      <c r="I438" s="471"/>
      <c r="J438" s="321"/>
      <c r="K438" s="487"/>
      <c r="L438" s="335"/>
    </row>
    <row r="439" spans="1:12" s="322" customFormat="1" ht="15.75" hidden="1">
      <c r="A439" s="315" t="str">
        <f>'02.1-ĐNTT'!A109</f>
        <v>1.4</v>
      </c>
      <c r="B439" s="316" t="str">
        <f>'02.1-ĐNTT'!B109</f>
        <v>Quét lớp chống thấm</v>
      </c>
      <c r="C439" s="317" t="str">
        <f>'02.1-ĐNTT'!C109</f>
        <v>m2</v>
      </c>
      <c r="D439" s="317"/>
      <c r="E439" s="318"/>
      <c r="F439" s="319"/>
      <c r="G439" s="320"/>
      <c r="H439" s="320"/>
      <c r="I439" s="471"/>
      <c r="J439" s="321"/>
      <c r="K439" s="487"/>
      <c r="L439" s="335"/>
    </row>
    <row r="440" spans="1:12" s="322" customFormat="1" ht="15.75" hidden="1">
      <c r="A440" s="315">
        <f>'02.1-ĐNTT'!A110</f>
        <v>2</v>
      </c>
      <c r="B440" s="316" t="str">
        <f>'02.1-ĐNTT'!B110</f>
        <v>Lát gỗ nhựa ngoài trời (F2)</v>
      </c>
      <c r="C440" s="317" t="str">
        <f>'02.1-ĐNTT'!C110</f>
        <v>m2</v>
      </c>
      <c r="D440" s="317"/>
      <c r="E440" s="318"/>
      <c r="F440" s="319"/>
      <c r="G440" s="320"/>
      <c r="H440" s="320"/>
      <c r="I440" s="471"/>
      <c r="J440" s="321"/>
      <c r="K440" s="487"/>
      <c r="L440" s="335"/>
    </row>
    <row r="441" spans="1:12" s="322" customFormat="1" ht="15.75" hidden="1">
      <c r="A441" s="315" t="str">
        <f>'02.1-ĐNTT'!A111</f>
        <v>2.1</v>
      </c>
      <c r="B441" s="316" t="str">
        <f>'02.1-ĐNTT'!B111</f>
        <v>Hệ khung thép hộp 25x25x1,0mm</v>
      </c>
      <c r="C441" s="317" t="str">
        <f>'02.1-ĐNTT'!C111</f>
        <v>m2</v>
      </c>
      <c r="D441" s="317"/>
      <c r="E441" s="318"/>
      <c r="F441" s="319"/>
      <c r="G441" s="320"/>
      <c r="H441" s="320"/>
      <c r="I441" s="471"/>
      <c r="J441" s="321"/>
      <c r="K441" s="487"/>
      <c r="L441" s="335"/>
    </row>
    <row r="442" spans="1:12" s="322" customFormat="1" ht="15.75" hidden="1">
      <c r="A442" s="315" t="str">
        <f>'02.1-ĐNTT'!A112</f>
        <v>2.2</v>
      </c>
      <c r="B442" s="316" t="str">
        <f>'02.1-ĐNTT'!B112</f>
        <v>Vữa XM M75, tạo dốc 1% độ dày min 20mm</v>
      </c>
      <c r="C442" s="317" t="str">
        <f>'02.1-ĐNTT'!C112</f>
        <v>m2</v>
      </c>
      <c r="D442" s="317"/>
      <c r="E442" s="318"/>
      <c r="F442" s="319"/>
      <c r="G442" s="320"/>
      <c r="H442" s="320"/>
      <c r="I442" s="471"/>
      <c r="J442" s="321"/>
      <c r="K442" s="487"/>
      <c r="L442" s="335"/>
    </row>
    <row r="443" spans="1:12" s="322" customFormat="1" ht="15.75" hidden="1">
      <c r="A443" s="315" t="str">
        <f>'02.1-ĐNTT'!A113</f>
        <v>2.3</v>
      </c>
      <c r="B443" s="316" t="str">
        <f>'02.1-ĐNTT'!B113</f>
        <v>Quét lớp chống thấm</v>
      </c>
      <c r="C443" s="317" t="str">
        <f>'02.1-ĐNTT'!C113</f>
        <v>m2</v>
      </c>
      <c r="D443" s="317"/>
      <c r="E443" s="318"/>
      <c r="F443" s="319"/>
      <c r="G443" s="320"/>
      <c r="H443" s="320"/>
      <c r="I443" s="471"/>
      <c r="J443" s="321"/>
      <c r="K443" s="487"/>
      <c r="L443" s="335"/>
    </row>
    <row r="444" spans="1:12" s="322" customFormat="1" ht="31.5" hidden="1">
      <c r="A444" s="315">
        <f>'02.1-ĐNTT'!A114</f>
        <v>3</v>
      </c>
      <c r="B444" s="316" t="str">
        <f>'02.1-ĐNTT'!B114</f>
        <v>Đá thanh hóa xanh đen băm mặt dày 30mm, chẻ tay hình thức theo thiết kế (F3)</v>
      </c>
      <c r="C444" s="317" t="str">
        <f>'02.1-ĐNTT'!C114</f>
        <v>m2</v>
      </c>
      <c r="D444" s="317"/>
      <c r="E444" s="318"/>
      <c r="F444" s="319"/>
      <c r="G444" s="320"/>
      <c r="H444" s="320"/>
      <c r="I444" s="471"/>
      <c r="J444" s="321"/>
      <c r="K444" s="487"/>
      <c r="L444" s="335"/>
    </row>
    <row r="445" spans="1:12" s="322" customFormat="1" ht="15.75" hidden="1">
      <c r="A445" s="315" t="str">
        <f>'02.1-ĐNTT'!A115</f>
        <v>3.1</v>
      </c>
      <c r="B445" s="316" t="str">
        <f>'02.1-ĐNTT'!B115</f>
        <v>Sỏi tự nhiên đầm chặt chải phẳng dày 50mm</v>
      </c>
      <c r="C445" s="317" t="str">
        <f>'02.1-ĐNTT'!C115</f>
        <v>m2</v>
      </c>
      <c r="D445" s="317"/>
      <c r="E445" s="318"/>
      <c r="F445" s="319"/>
      <c r="G445" s="320"/>
      <c r="H445" s="320"/>
      <c r="I445" s="471"/>
      <c r="J445" s="321"/>
      <c r="K445" s="487"/>
      <c r="L445" s="335"/>
    </row>
    <row r="446" spans="1:12" s="322" customFormat="1" ht="15.75" hidden="1">
      <c r="A446" s="315" t="str">
        <f>'02.1-ĐNTT'!A116</f>
        <v>3.2</v>
      </c>
      <c r="B446" s="316" t="str">
        <f>'02.1-ĐNTT'!B116</f>
        <v>Lớp vải địa ART 15 hoặc tương đương</v>
      </c>
      <c r="C446" s="317" t="str">
        <f>'02.1-ĐNTT'!C116</f>
        <v>m2</v>
      </c>
      <c r="D446" s="317"/>
      <c r="E446" s="318"/>
      <c r="F446" s="319"/>
      <c r="G446" s="320"/>
      <c r="H446" s="320"/>
      <c r="I446" s="471"/>
      <c r="J446" s="321"/>
      <c r="K446" s="487"/>
      <c r="L446" s="335"/>
    </row>
    <row r="447" spans="1:12" s="322" customFormat="1" ht="15.75" hidden="1">
      <c r="A447" s="315">
        <f>'02.1-ĐNTT'!A117</f>
        <v>4</v>
      </c>
      <c r="B447" s="316" t="str">
        <f>'02.1-ĐNTT'!B117</f>
        <v>Đá thanh hóa (F3.1)</v>
      </c>
      <c r="C447" s="317" t="str">
        <f>'02.1-ĐNTT'!C117</f>
        <v>m2</v>
      </c>
      <c r="D447" s="317"/>
      <c r="E447" s="318"/>
      <c r="F447" s="319"/>
      <c r="G447" s="320"/>
      <c r="H447" s="320"/>
      <c r="I447" s="471"/>
      <c r="J447" s="321"/>
      <c r="K447" s="487"/>
      <c r="L447" s="335"/>
    </row>
    <row r="448" spans="1:12" s="322" customFormat="1" ht="15.75" hidden="1">
      <c r="A448" s="315" t="str">
        <f>'02.1-ĐNTT'!A118</f>
        <v>4.1</v>
      </c>
      <c r="B448" s="316" t="str">
        <f>'02.1-ĐNTT'!B118</f>
        <v>Vữa XM mác 75, tạo dốc 1% độ dày theo thực tế</v>
      </c>
      <c r="C448" s="317" t="str">
        <f>'02.1-ĐNTT'!C118</f>
        <v>m2</v>
      </c>
      <c r="D448" s="317"/>
      <c r="E448" s="318"/>
      <c r="F448" s="319"/>
      <c r="G448" s="320"/>
      <c r="H448" s="320"/>
      <c r="I448" s="471"/>
      <c r="J448" s="321"/>
      <c r="K448" s="487"/>
      <c r="L448" s="335"/>
    </row>
    <row r="449" spans="1:12" s="322" customFormat="1" ht="31.5" hidden="1">
      <c r="A449" s="315" t="str">
        <f>'02.1-ĐNTT'!A119</f>
        <v>4.2</v>
      </c>
      <c r="B449" s="316" t="str">
        <f>'02.1-ĐNTT'!B119</f>
        <v>Quét 2 lớp chống thấm gốc XM 2 thành phần Sika topseal 108 dày min&gt;=1.0mm ( hoặc tương đương)</v>
      </c>
      <c r="C449" s="317" t="str">
        <f>'02.1-ĐNTT'!C119</f>
        <v>m2</v>
      </c>
      <c r="D449" s="317"/>
      <c r="E449" s="318"/>
      <c r="F449" s="319"/>
      <c r="G449" s="320"/>
      <c r="H449" s="320"/>
      <c r="I449" s="471"/>
      <c r="J449" s="321"/>
      <c r="K449" s="487"/>
      <c r="L449" s="335"/>
    </row>
    <row r="450" spans="1:12" s="322" customFormat="1" ht="15.75" hidden="1">
      <c r="A450" s="315">
        <f>'02.1-ĐNTT'!A120</f>
        <v>5</v>
      </c>
      <c r="B450" s="316" t="str">
        <f>'02.1-ĐNTT'!B120</f>
        <v>Đá thanh hóa xanh đen băm mặt (F3.2)</v>
      </c>
      <c r="C450" s="317" t="str">
        <f>'02.1-ĐNTT'!C120</f>
        <v>m2</v>
      </c>
      <c r="D450" s="317"/>
      <c r="E450" s="318"/>
      <c r="F450" s="319"/>
      <c r="G450" s="320"/>
      <c r="H450" s="320"/>
      <c r="I450" s="471"/>
      <c r="J450" s="321"/>
      <c r="K450" s="487"/>
      <c r="L450" s="335"/>
    </row>
    <row r="451" spans="1:12" s="322" customFormat="1" ht="15.75" hidden="1">
      <c r="A451" s="315" t="str">
        <f>'02.1-ĐNTT'!A121</f>
        <v>5.1</v>
      </c>
      <c r="B451" s="316" t="str">
        <f>'02.1-ĐNTT'!B121</f>
        <v>Vữa XM mác 75, tạo dốc 1% độ dày theo thực tế</v>
      </c>
      <c r="C451" s="317" t="str">
        <f>'02.1-ĐNTT'!C121</f>
        <v>m2</v>
      </c>
      <c r="D451" s="317"/>
      <c r="E451" s="318"/>
      <c r="F451" s="319"/>
      <c r="G451" s="320"/>
      <c r="H451" s="320"/>
      <c r="I451" s="471"/>
      <c r="J451" s="321"/>
      <c r="K451" s="487"/>
      <c r="L451" s="335"/>
    </row>
    <row r="452" spans="1:12" s="322" customFormat="1" ht="15.75" hidden="1">
      <c r="A452" s="315" t="str">
        <f>'02.1-ĐNTT'!A122</f>
        <v>5.2</v>
      </c>
      <c r="B452" s="316" t="str">
        <f>'02.1-ĐNTT'!B122</f>
        <v>Quét lớp chống thấm</v>
      </c>
      <c r="C452" s="317" t="str">
        <f>'02.1-ĐNTT'!C122</f>
        <v>m2</v>
      </c>
      <c r="D452" s="317"/>
      <c r="E452" s="318"/>
      <c r="F452" s="319"/>
      <c r="G452" s="320"/>
      <c r="H452" s="320"/>
      <c r="I452" s="471"/>
      <c r="J452" s="321"/>
      <c r="K452" s="487"/>
      <c r="L452" s="335"/>
    </row>
    <row r="453" spans="1:12" s="322" customFormat="1" ht="31.5" hidden="1">
      <c r="A453" s="315">
        <f>'02.1-ĐNTT'!A123</f>
        <v>6</v>
      </c>
      <c r="B453" s="316" t="str">
        <f>'02.1-ĐNTT'!B123</f>
        <v>Đá Cubic Granite Bình Định màu vàng nhạt, băm mặt (F6)</v>
      </c>
      <c r="C453" s="317" t="str">
        <f>'02.1-ĐNTT'!C123</f>
        <v>m2</v>
      </c>
      <c r="D453" s="317"/>
      <c r="E453" s="318"/>
      <c r="F453" s="319"/>
      <c r="G453" s="320"/>
      <c r="H453" s="320"/>
      <c r="I453" s="471"/>
      <c r="J453" s="321"/>
      <c r="K453" s="487"/>
      <c r="L453" s="335"/>
    </row>
    <row r="454" spans="1:12" s="322" customFormat="1" ht="15.75" hidden="1">
      <c r="A454" s="315" t="str">
        <f>'02.1-ĐNTT'!A124</f>
        <v>6.1</v>
      </c>
      <c r="B454" s="316" t="str">
        <f>'02.1-ĐNTT'!B124</f>
        <v>Vữa XM mác 75, tạo dốc 1% độ dày theo thực tế</v>
      </c>
      <c r="C454" s="317" t="str">
        <f>'02.1-ĐNTT'!C124</f>
        <v>m2</v>
      </c>
      <c r="D454" s="317"/>
      <c r="E454" s="318"/>
      <c r="F454" s="319"/>
      <c r="G454" s="320"/>
      <c r="H454" s="320"/>
      <c r="I454" s="471"/>
      <c r="J454" s="321"/>
      <c r="K454" s="487"/>
      <c r="L454" s="335"/>
    </row>
    <row r="455" spans="1:12" s="322" customFormat="1" ht="15.75" hidden="1">
      <c r="A455" s="315" t="str">
        <f>'02.1-ĐNTT'!A125</f>
        <v>6.2</v>
      </c>
      <c r="B455" s="316" t="str">
        <f>'02.1-ĐNTT'!B125</f>
        <v>Quét lớp chống thấm</v>
      </c>
      <c r="C455" s="317" t="str">
        <f>'02.1-ĐNTT'!C125</f>
        <v>m2</v>
      </c>
      <c r="D455" s="317"/>
      <c r="E455" s="318"/>
      <c r="F455" s="319"/>
      <c r="G455" s="320"/>
      <c r="H455" s="320"/>
      <c r="I455" s="471"/>
      <c r="J455" s="321"/>
      <c r="K455" s="487"/>
      <c r="L455" s="335"/>
    </row>
    <row r="456" spans="1:12" s="322" customFormat="1" ht="15.75" hidden="1">
      <c r="A456" s="315">
        <f>'02.1-ĐNTT'!A126</f>
        <v>7</v>
      </c>
      <c r="B456" s="316" t="str">
        <f>'02.1-ĐNTT'!B126</f>
        <v>Đá Kim Sa hạt nhỏ màu đen (F6.1)</v>
      </c>
      <c r="C456" s="317" t="str">
        <f>'02.1-ĐNTT'!C126</f>
        <v>m2</v>
      </c>
      <c r="D456" s="317"/>
      <c r="E456" s="318"/>
      <c r="F456" s="319"/>
      <c r="G456" s="320"/>
      <c r="H456" s="320"/>
      <c r="I456" s="471"/>
      <c r="J456" s="321"/>
      <c r="K456" s="487"/>
      <c r="L456" s="335"/>
    </row>
    <row r="457" spans="1:12" s="322" customFormat="1" ht="15.75" hidden="1">
      <c r="A457" s="315" t="str">
        <f>'02.1-ĐNTT'!A127</f>
        <v>7.1</v>
      </c>
      <c r="B457" s="316" t="str">
        <f>'02.1-ĐNTT'!B127</f>
        <v>Vữa XM mác 75, tạo dốc 1% độ dày theo thực tế</v>
      </c>
      <c r="C457" s="317" t="str">
        <f>'02.1-ĐNTT'!C127</f>
        <v>m2</v>
      </c>
      <c r="D457" s="317"/>
      <c r="E457" s="318"/>
      <c r="F457" s="319"/>
      <c r="G457" s="320"/>
      <c r="H457" s="320"/>
      <c r="I457" s="471"/>
      <c r="J457" s="321"/>
      <c r="K457" s="487"/>
      <c r="L457" s="335"/>
    </row>
    <row r="458" spans="1:12" s="322" customFormat="1" ht="15.75" hidden="1">
      <c r="A458" s="315" t="str">
        <f>'02.1-ĐNTT'!A128</f>
        <v>7.2</v>
      </c>
      <c r="B458" s="316" t="str">
        <f>'02.1-ĐNTT'!B128</f>
        <v>Quét 2 lớp chống thấm</v>
      </c>
      <c r="C458" s="317" t="str">
        <f>'02.1-ĐNTT'!C128</f>
        <v>m2</v>
      </c>
      <c r="D458" s="317"/>
      <c r="E458" s="318"/>
      <c r="F458" s="319"/>
      <c r="G458" s="320"/>
      <c r="H458" s="320"/>
      <c r="I458" s="471"/>
      <c r="J458" s="321"/>
      <c r="K458" s="487"/>
      <c r="L458" s="335"/>
    </row>
    <row r="459" spans="1:12" s="322" customFormat="1" ht="31.5" hidden="1">
      <c r="A459" s="315">
        <f>'02.1-ĐNTT'!A129</f>
        <v>8</v>
      </c>
      <c r="B459" s="316" t="str">
        <f>'02.1-ĐNTT'!B129</f>
        <v>Ốp đá tổ ong xám (OB) bao gồm cả lớp vữa XM dính kết</v>
      </c>
      <c r="C459" s="317" t="str">
        <f>'02.1-ĐNTT'!C129</f>
        <v>m2</v>
      </c>
      <c r="D459" s="317"/>
      <c r="E459" s="318"/>
      <c r="F459" s="319"/>
      <c r="G459" s="320"/>
      <c r="H459" s="320"/>
      <c r="I459" s="471"/>
      <c r="J459" s="321"/>
      <c r="K459" s="487"/>
      <c r="L459" s="335"/>
    </row>
    <row r="460" spans="1:12" s="322" customFormat="1" ht="31.5" hidden="1">
      <c r="A460" s="315">
        <f>'02.1-ĐNTT'!A130</f>
        <v>9</v>
      </c>
      <c r="B460" s="316" t="str">
        <f>'02.1-ĐNTT'!B130</f>
        <v>Bê tông mài Granito màu trắng (F7) bao gồm cả lớp vữa XM dính kết</v>
      </c>
      <c r="C460" s="317" t="str">
        <f>'02.1-ĐNTT'!C130</f>
        <v>m2</v>
      </c>
      <c r="D460" s="317"/>
      <c r="E460" s="318"/>
      <c r="F460" s="319"/>
      <c r="G460" s="320"/>
      <c r="H460" s="320"/>
      <c r="I460" s="471"/>
      <c r="J460" s="321"/>
      <c r="K460" s="487"/>
      <c r="L460" s="335"/>
    </row>
    <row r="461" spans="1:12" s="322" customFormat="1" ht="15.75" hidden="1">
      <c r="A461" s="315" t="str">
        <f>'02.1-ĐNTT'!A131</f>
        <v>9.1</v>
      </c>
      <c r="B461" s="316" t="str">
        <f>'02.1-ĐNTT'!B131</f>
        <v xml:space="preserve">Khung lưới thép </v>
      </c>
      <c r="C461" s="317" t="str">
        <f>'02.1-ĐNTT'!C131</f>
        <v>m2</v>
      </c>
      <c r="D461" s="317"/>
      <c r="E461" s="318"/>
      <c r="F461" s="319"/>
      <c r="G461" s="320"/>
      <c r="H461" s="320"/>
      <c r="I461" s="471"/>
      <c r="J461" s="321"/>
      <c r="K461" s="487"/>
      <c r="L461" s="335"/>
    </row>
    <row r="462" spans="1:12" s="322" customFormat="1" ht="15.75" hidden="1">
      <c r="A462" s="315" t="str">
        <f>'02.1-ĐNTT'!A132</f>
        <v>9.2</v>
      </c>
      <c r="B462" s="316" t="str">
        <f>'02.1-ĐNTT'!B132</f>
        <v>Vữa XM M75 tạo phẳng</v>
      </c>
      <c r="C462" s="317" t="str">
        <f>'02.1-ĐNTT'!C132</f>
        <v>m2</v>
      </c>
      <c r="D462" s="317"/>
      <c r="E462" s="318"/>
      <c r="F462" s="319"/>
      <c r="G462" s="320"/>
      <c r="H462" s="320"/>
      <c r="I462" s="473"/>
      <c r="J462" s="321"/>
      <c r="K462" s="473"/>
      <c r="L462" s="335"/>
    </row>
    <row r="463" spans="1:12" s="322" customFormat="1" ht="31.5" hidden="1">
      <c r="A463" s="315">
        <f>'02.1-ĐNTT'!A133</f>
        <v>10</v>
      </c>
      <c r="B463" s="316" t="str">
        <f>'02.1-ĐNTT'!B133</f>
        <v>Đá sỏi cuội tự nhiên 20-30 (F8) bao gồm lớp vữa liên kết</v>
      </c>
      <c r="C463" s="317" t="str">
        <f>'02.1-ĐNTT'!C133</f>
        <v>m2</v>
      </c>
      <c r="D463" s="317"/>
      <c r="E463" s="318"/>
      <c r="F463" s="319"/>
      <c r="G463" s="320"/>
      <c r="H463" s="320"/>
      <c r="I463" s="473"/>
      <c r="J463" s="321"/>
      <c r="K463" s="473"/>
      <c r="L463" s="335"/>
    </row>
    <row r="464" spans="1:12" s="322" customFormat="1" ht="15.75" hidden="1">
      <c r="A464" s="315" t="str">
        <f>'02.1-ĐNTT'!A134</f>
        <v>10.1</v>
      </c>
      <c r="B464" s="316" t="str">
        <f>'02.1-ĐNTT'!B134</f>
        <v>Quét lớp chống thấm</v>
      </c>
      <c r="C464" s="317" t="str">
        <f>'02.1-ĐNTT'!C134</f>
        <v>m2</v>
      </c>
      <c r="D464" s="317"/>
      <c r="E464" s="318"/>
      <c r="F464" s="319"/>
      <c r="G464" s="320"/>
      <c r="H464" s="320"/>
      <c r="I464" s="473"/>
      <c r="J464" s="321"/>
      <c r="K464" s="473"/>
      <c r="L464" s="335"/>
    </row>
    <row r="465" spans="1:12" s="322" customFormat="1" ht="15.75" hidden="1">
      <c r="A465" s="315"/>
      <c r="B465" s="316" t="str">
        <f>'02.1-ĐNTT'!B135</f>
        <v>Sơn sân bóng rổ</v>
      </c>
      <c r="C465" s="317" t="str">
        <f>'02.1-ĐNTT'!C135</f>
        <v>m2</v>
      </c>
      <c r="D465" s="317"/>
      <c r="E465" s="318"/>
      <c r="F465" s="319"/>
      <c r="G465" s="320"/>
      <c r="H465" s="320"/>
      <c r="I465" s="473"/>
      <c r="J465" s="321"/>
      <c r="K465" s="473"/>
      <c r="L465" s="335"/>
    </row>
    <row r="466" spans="1:12" s="322" customFormat="1" ht="15.75" hidden="1">
      <c r="A466" s="315"/>
      <c r="B466" s="316" t="str">
        <f>'02.1-ĐNTT'!B136</f>
        <v xml:space="preserve">Sơn 2 lớp sơn nhựa tạo êm </v>
      </c>
      <c r="C466" s="317" t="str">
        <f>'02.1-ĐNTT'!C136</f>
        <v>m2</v>
      </c>
      <c r="D466" s="317"/>
      <c r="E466" s="318"/>
      <c r="F466" s="319"/>
      <c r="G466" s="320"/>
      <c r="H466" s="320"/>
      <c r="I466" s="473"/>
      <c r="J466" s="321"/>
      <c r="K466" s="473"/>
      <c r="L466" s="335"/>
    </row>
    <row r="467" spans="1:12" s="322" customFormat="1" ht="15.75" hidden="1">
      <c r="A467" s="315"/>
      <c r="B467" s="316" t="str">
        <f>'02.1-ĐNTT'!B137</f>
        <v>Phủ 1 lớp chống thấm, co giãn</v>
      </c>
      <c r="C467" s="317" t="str">
        <f>'02.1-ĐNTT'!C137</f>
        <v>m2</v>
      </c>
      <c r="D467" s="317"/>
      <c r="E467" s="318"/>
      <c r="F467" s="319"/>
      <c r="G467" s="320"/>
      <c r="H467" s="320"/>
      <c r="I467" s="473"/>
      <c r="J467" s="321"/>
      <c r="K467" s="473"/>
      <c r="L467" s="335"/>
    </row>
    <row r="468" spans="1:12" s="322" customFormat="1" ht="15.75" hidden="1">
      <c r="A468" s="315"/>
      <c r="B468" s="316" t="str">
        <f>'02.1-ĐNTT'!B138</f>
        <v>1 lớp trám vá, làm phẳng bề mặt sân</v>
      </c>
      <c r="C468" s="317" t="str">
        <f>'02.1-ĐNTT'!C138</f>
        <v>m2</v>
      </c>
      <c r="D468" s="317"/>
      <c r="E468" s="318"/>
      <c r="F468" s="319"/>
      <c r="G468" s="320"/>
      <c r="H468" s="320"/>
      <c r="I468" s="473"/>
      <c r="J468" s="321"/>
      <c r="K468" s="473"/>
      <c r="L468" s="335"/>
    </row>
    <row r="469" spans="1:12" s="322" customFormat="1" ht="15.75" hidden="1">
      <c r="A469" s="315"/>
      <c r="B469" s="316" t="str">
        <f>'02.1-ĐNTT'!B139</f>
        <v xml:space="preserve">Lớp thảm nhựa nóng </v>
      </c>
      <c r="C469" s="317" t="str">
        <f>'02.1-ĐNTT'!C139</f>
        <v>m2</v>
      </c>
      <c r="D469" s="317"/>
      <c r="E469" s="318"/>
      <c r="F469" s="319"/>
      <c r="G469" s="320"/>
      <c r="H469" s="320"/>
      <c r="I469" s="473"/>
      <c r="J469" s="321"/>
      <c r="K469" s="473"/>
      <c r="L469" s="335"/>
    </row>
    <row r="470" spans="1:12" s="322" customFormat="1" ht="15.75" hidden="1">
      <c r="A470" s="315"/>
      <c r="B470" s="316" t="str">
        <f>'02.1-ĐNTT'!B140</f>
        <v>Viền ngoài sân bóng rổ</v>
      </c>
      <c r="C470" s="317" t="str">
        <f>'02.1-ĐNTT'!C140</f>
        <v>md</v>
      </c>
      <c r="D470" s="317"/>
      <c r="E470" s="318"/>
      <c r="F470" s="319"/>
      <c r="G470" s="320"/>
      <c r="H470" s="320"/>
      <c r="I470" s="473"/>
      <c r="J470" s="321"/>
      <c r="K470" s="473"/>
      <c r="L470" s="335"/>
    </row>
    <row r="471" spans="1:12" s="322" customFormat="1" ht="15.75" hidden="1">
      <c r="A471" s="315"/>
      <c r="B471" s="316" t="str">
        <f>'02.1-ĐNTT'!B141</f>
        <v>Trụ bóng rổ</v>
      </c>
      <c r="C471" s="317" t="str">
        <f>'02.1-ĐNTT'!C141</f>
        <v>trụ</v>
      </c>
      <c r="D471" s="317"/>
      <c r="E471" s="318"/>
      <c r="F471" s="319"/>
      <c r="G471" s="320"/>
      <c r="H471" s="320"/>
      <c r="I471" s="473"/>
      <c r="J471" s="321"/>
      <c r="K471" s="473"/>
      <c r="L471" s="335"/>
    </row>
    <row r="472" spans="1:12" s="154" customFormat="1" ht="15.75" hidden="1">
      <c r="A472" s="314" t="str">
        <f>'02.1-ĐNTT'!A142</f>
        <v>II</v>
      </c>
      <c r="B472" s="204" t="str">
        <f>'02.1-ĐNTT'!B142</f>
        <v>Công tác bồn hoa</v>
      </c>
      <c r="C472" s="205"/>
      <c r="D472" s="205"/>
      <c r="E472" s="155"/>
      <c r="F472" s="156"/>
      <c r="G472" s="192"/>
      <c r="H472" s="192"/>
      <c r="I472" s="474"/>
      <c r="J472" s="206"/>
      <c r="K472" s="474"/>
      <c r="L472" s="334"/>
    </row>
    <row r="473" spans="1:12" s="322" customFormat="1" ht="15.75" hidden="1">
      <c r="A473" s="315">
        <f>'02.1-ĐNTT'!A143</f>
        <v>11</v>
      </c>
      <c r="B473" s="316" t="str">
        <f>'02.1-ĐNTT'!B143</f>
        <v>Công tác thi công trát thành bồn hoa</v>
      </c>
      <c r="C473" s="317" t="str">
        <f>'02.1-ĐNTT'!C143</f>
        <v>m2</v>
      </c>
      <c r="D473" s="317"/>
      <c r="E473" s="318"/>
      <c r="F473" s="319"/>
      <c r="G473" s="320"/>
      <c r="H473" s="320"/>
      <c r="I473" s="473"/>
      <c r="J473" s="321"/>
      <c r="K473" s="473"/>
      <c r="L473" s="335"/>
    </row>
    <row r="474" spans="1:12" s="322" customFormat="1" ht="15.75" hidden="1">
      <c r="A474" s="315"/>
      <c r="B474" s="316" t="str">
        <f>'02.1-ĐNTT'!B144</f>
        <v>Lớp sỏi 10x20mm trộn cát vàng tỷ lệ  1:1 đáy bồn hoa</v>
      </c>
      <c r="C474" s="317" t="str">
        <f>'02.1-ĐNTT'!C144</f>
        <v>m2</v>
      </c>
      <c r="D474" s="317"/>
      <c r="E474" s="318"/>
      <c r="F474" s="319"/>
      <c r="G474" s="320"/>
      <c r="H474" s="320"/>
      <c r="I474" s="473"/>
      <c r="J474" s="321"/>
      <c r="K474" s="473"/>
      <c r="L474" s="335"/>
    </row>
    <row r="475" spans="1:12" s="322" customFormat="1" ht="15.75" hidden="1">
      <c r="A475" s="315"/>
      <c r="B475" s="316" t="str">
        <f>'02.1-ĐNTT'!B145</f>
        <v>Lớp vải địa ART 15 hoặc tương đương</v>
      </c>
      <c r="C475" s="317" t="str">
        <f>'02.1-ĐNTT'!C145</f>
        <v>m2</v>
      </c>
      <c r="D475" s="317"/>
      <c r="E475" s="318"/>
      <c r="F475" s="319"/>
      <c r="G475" s="320"/>
      <c r="H475" s="320"/>
      <c r="I475" s="473"/>
      <c r="J475" s="321"/>
      <c r="K475" s="473"/>
      <c r="L475" s="335"/>
    </row>
    <row r="476" spans="1:12" s="322" customFormat="1" ht="31.5" hidden="1">
      <c r="A476" s="315"/>
      <c r="B476" s="316" t="str">
        <f>'02.1-ĐNTT'!B146</f>
        <v>Lớp vỉ nhựa Plastic Cell chất liệu nhựa PP màu đen, KT 500x500x30</v>
      </c>
      <c r="C476" s="317" t="str">
        <f>'02.1-ĐNTT'!C146</f>
        <v>m2</v>
      </c>
      <c r="D476" s="317"/>
      <c r="E476" s="318"/>
      <c r="F476" s="319"/>
      <c r="G476" s="320"/>
      <c r="H476" s="320"/>
      <c r="I476" s="473"/>
      <c r="J476" s="321"/>
      <c r="K476" s="473"/>
      <c r="L476" s="335"/>
    </row>
    <row r="477" spans="1:12" s="322" customFormat="1" ht="15.75" hidden="1">
      <c r="A477" s="315">
        <f>'02.1-ĐNTT'!A147</f>
        <v>12</v>
      </c>
      <c r="B477" s="316" t="str">
        <f>'02.1-ĐNTT'!B147</f>
        <v>Lớp vữa láng XM75</v>
      </c>
      <c r="C477" s="317" t="str">
        <f>'02.1-ĐNTT'!C147</f>
        <v>m2</v>
      </c>
      <c r="D477" s="317"/>
      <c r="E477" s="318"/>
      <c r="F477" s="319"/>
      <c r="G477" s="320"/>
      <c r="H477" s="320"/>
      <c r="I477" s="473"/>
      <c r="J477" s="321"/>
      <c r="K477" s="490"/>
      <c r="L477" s="335"/>
    </row>
    <row r="478" spans="1:12" s="322" customFormat="1" ht="15.75" hidden="1">
      <c r="A478" s="315">
        <f>'02.1-ĐNTT'!A148</f>
        <v>13</v>
      </c>
      <c r="B478" s="316" t="str">
        <f>'02.1-ĐNTT'!B148</f>
        <v>Quét lớp chống thấm</v>
      </c>
      <c r="C478" s="317" t="str">
        <f>'02.1-ĐNTT'!C148</f>
        <v>m2</v>
      </c>
      <c r="D478" s="317"/>
      <c r="E478" s="318"/>
      <c r="F478" s="319"/>
      <c r="G478" s="320"/>
      <c r="H478" s="320"/>
      <c r="I478" s="473"/>
      <c r="J478" s="321"/>
      <c r="K478" s="473"/>
      <c r="L478" s="335"/>
    </row>
    <row r="479" spans="1:12" s="322" customFormat="1" ht="31.5" hidden="1">
      <c r="A479" s="315">
        <f>'02.1-ĐNTT'!A149</f>
        <v>14</v>
      </c>
      <c r="B479" s="316" t="str">
        <f>'02.1-ĐNTT'!B149</f>
        <v>Lớp vải địa ART 15 hoặc tương đương - Thành bồn hoa</v>
      </c>
      <c r="C479" s="317" t="str">
        <f>'02.1-ĐNTT'!C149</f>
        <v>m2</v>
      </c>
      <c r="D479" s="317"/>
      <c r="E479" s="318"/>
      <c r="F479" s="319"/>
      <c r="G479" s="320"/>
      <c r="H479" s="320"/>
      <c r="I479" s="473"/>
      <c r="J479" s="321"/>
      <c r="K479" s="473"/>
      <c r="L479" s="335"/>
    </row>
    <row r="480" spans="1:12" s="322" customFormat="1" ht="31.5" hidden="1">
      <c r="A480" s="315">
        <f>'02.1-ĐNTT'!A150</f>
        <v>15</v>
      </c>
      <c r="B480" s="316" t="str">
        <f>'02.1-ĐNTT'!B150</f>
        <v>Lớp vỉ nhựa Plastic Cell chất liệu nhựa PP màu đen, KT 500x500x30</v>
      </c>
      <c r="C480" s="317" t="str">
        <f>'02.1-ĐNTT'!C150</f>
        <v>m2</v>
      </c>
      <c r="D480" s="317"/>
      <c r="E480" s="318"/>
      <c r="F480" s="319"/>
      <c r="G480" s="320"/>
      <c r="H480" s="320"/>
      <c r="I480" s="473"/>
      <c r="J480" s="321"/>
      <c r="K480" s="473"/>
      <c r="L480" s="335"/>
    </row>
    <row r="481" spans="1:12" s="322" customFormat="1" ht="15.75" hidden="1">
      <c r="A481" s="315">
        <f>'02.1-ĐNTT'!A151</f>
        <v>16</v>
      </c>
      <c r="B481" s="316" t="str">
        <f>'02.1-ĐNTT'!B151</f>
        <v>Lớp vữa trát XM75</v>
      </c>
      <c r="C481" s="317" t="str">
        <f>'02.1-ĐNTT'!C151</f>
        <v>m2</v>
      </c>
      <c r="D481" s="317"/>
      <c r="E481" s="318"/>
      <c r="F481" s="319"/>
      <c r="G481" s="320"/>
      <c r="H481" s="320"/>
      <c r="I481" s="473"/>
      <c r="J481" s="321"/>
      <c r="K481" s="473"/>
      <c r="L481" s="335"/>
    </row>
    <row r="482" spans="1:12" s="322" customFormat="1" ht="15.75" hidden="1">
      <c r="A482" s="315">
        <f>'02.1-ĐNTT'!A152</f>
        <v>17</v>
      </c>
      <c r="B482" s="316" t="str">
        <f>'02.1-ĐNTT'!B152</f>
        <v>Quét lớp chống thấm</v>
      </c>
      <c r="C482" s="317" t="str">
        <f>'02.1-ĐNTT'!C152</f>
        <v>m2</v>
      </c>
      <c r="D482" s="317"/>
      <c r="E482" s="318"/>
      <c r="F482" s="319"/>
      <c r="G482" s="320"/>
      <c r="H482" s="320"/>
      <c r="I482" s="473"/>
      <c r="J482" s="321"/>
      <c r="K482" s="473"/>
      <c r="L482" s="335"/>
    </row>
    <row r="483" spans="1:12" s="154" customFormat="1" ht="15.75">
      <c r="A483" s="207"/>
      <c r="B483" s="193"/>
      <c r="C483" s="194"/>
      <c r="D483" s="195"/>
      <c r="E483" s="195"/>
      <c r="F483" s="196"/>
      <c r="G483" s="197"/>
      <c r="H483" s="197"/>
      <c r="I483" s="475"/>
      <c r="J483" s="198"/>
      <c r="K483" s="475"/>
      <c r="L483" s="338"/>
    </row>
    <row r="484" spans="1:12" s="153" customFormat="1" ht="15">
      <c r="A484" s="157"/>
      <c r="B484" s="158"/>
      <c r="C484" s="159"/>
      <c r="D484" s="160"/>
      <c r="E484" s="161"/>
      <c r="F484" s="162"/>
      <c r="G484" s="163"/>
      <c r="H484" s="163"/>
      <c r="I484" s="476"/>
      <c r="J484" s="164"/>
      <c r="K484" s="476"/>
      <c r="L484" s="339"/>
    </row>
    <row r="485" spans="1:12" s="1" customFormat="1" ht="20.25" customHeight="1">
      <c r="A485" s="203"/>
      <c r="B485" s="128" t="s">
        <v>85</v>
      </c>
      <c r="C485" s="66"/>
      <c r="E485" s="121"/>
      <c r="G485" s="121"/>
      <c r="H485" s="121"/>
      <c r="I485" s="477"/>
      <c r="K485" s="477" t="s">
        <v>82</v>
      </c>
      <c r="L485" s="340"/>
    </row>
    <row r="486" spans="1:12" s="166" customFormat="1" ht="15.75">
      <c r="A486" s="820"/>
      <c r="B486" s="820"/>
      <c r="C486" s="165"/>
      <c r="D486" s="165"/>
      <c r="E486" s="821"/>
      <c r="F486" s="821"/>
      <c r="G486" s="821"/>
      <c r="H486" s="165"/>
      <c r="I486" s="478"/>
      <c r="J486" s="821"/>
      <c r="K486" s="821"/>
      <c r="L486" s="341"/>
    </row>
    <row r="487" spans="1:12" s="166" customFormat="1" ht="15.75">
      <c r="A487" s="167"/>
      <c r="B487" s="168"/>
      <c r="C487" s="167"/>
      <c r="D487" s="167"/>
      <c r="E487" s="169"/>
      <c r="F487" s="169"/>
      <c r="G487" s="169"/>
      <c r="H487" s="169"/>
      <c r="I487" s="479"/>
      <c r="J487" s="170"/>
      <c r="K487" s="479"/>
      <c r="L487" s="341"/>
    </row>
    <row r="488" spans="1:12" s="166" customFormat="1" ht="15.75">
      <c r="A488" s="171"/>
      <c r="B488" s="172"/>
      <c r="C488" s="173"/>
      <c r="D488" s="173"/>
      <c r="E488" s="174"/>
      <c r="F488" s="174"/>
      <c r="G488" s="174"/>
      <c r="H488" s="174"/>
      <c r="I488" s="480"/>
      <c r="J488" s="175"/>
      <c r="K488" s="480"/>
      <c r="L488" s="341"/>
    </row>
    <row r="489" spans="1:12" s="166" customFormat="1" ht="15.75">
      <c r="A489" s="171"/>
      <c r="B489" s="172"/>
      <c r="C489" s="173"/>
      <c r="D489" s="173"/>
      <c r="E489" s="174"/>
      <c r="F489" s="174"/>
      <c r="G489" s="174"/>
      <c r="H489" s="174"/>
      <c r="I489" s="480"/>
      <c r="J489" s="175"/>
      <c r="K489" s="480"/>
      <c r="L489" s="341"/>
    </row>
    <row r="490" spans="1:12" s="166" customFormat="1" ht="15.75">
      <c r="A490" s="171"/>
      <c r="B490" s="172"/>
      <c r="C490" s="173"/>
      <c r="D490" s="173"/>
      <c r="E490" s="174"/>
      <c r="F490" s="174"/>
      <c r="G490" s="174"/>
      <c r="H490" s="174"/>
      <c r="I490" s="480"/>
      <c r="J490" s="175"/>
      <c r="K490" s="480"/>
      <c r="L490" s="341"/>
    </row>
    <row r="491" spans="1:12" s="166" customFormat="1" ht="15.75">
      <c r="A491" s="171"/>
      <c r="B491" s="172"/>
      <c r="C491" s="171"/>
      <c r="D491" s="171"/>
      <c r="E491" s="174"/>
      <c r="F491" s="174"/>
      <c r="G491" s="174"/>
      <c r="H491" s="174"/>
      <c r="I491" s="480"/>
      <c r="J491" s="175"/>
      <c r="K491" s="480"/>
      <c r="L491" s="341"/>
    </row>
    <row r="492" spans="1:12" s="166" customFormat="1" ht="15.75">
      <c r="A492" s="171"/>
      <c r="B492" s="172"/>
      <c r="C492" s="171"/>
      <c r="D492" s="171"/>
      <c r="E492" s="174"/>
      <c r="F492" s="174"/>
      <c r="G492" s="174"/>
      <c r="H492" s="174"/>
      <c r="I492" s="480"/>
      <c r="J492" s="174"/>
      <c r="K492" s="480"/>
      <c r="L492" s="341"/>
    </row>
    <row r="493" spans="1:12" s="166" customFormat="1" ht="15.75">
      <c r="A493" s="816"/>
      <c r="B493" s="816"/>
      <c r="C493" s="176"/>
      <c r="D493" s="176"/>
      <c r="E493" s="817"/>
      <c r="F493" s="817"/>
      <c r="G493" s="817"/>
      <c r="H493" s="427"/>
      <c r="I493" s="480"/>
      <c r="J493" s="818"/>
      <c r="K493" s="818"/>
      <c r="L493" s="341"/>
    </row>
    <row r="494" spans="1:12">
      <c r="A494" s="144"/>
      <c r="B494" s="145"/>
      <c r="C494" s="144"/>
      <c r="D494" s="144"/>
      <c r="E494" s="146"/>
      <c r="F494" s="146"/>
      <c r="G494" s="146"/>
      <c r="H494" s="146"/>
      <c r="I494" s="466"/>
      <c r="J494" s="146"/>
      <c r="K494" s="466"/>
      <c r="L494" s="333"/>
    </row>
    <row r="495" spans="1:12">
      <c r="A495" s="177"/>
      <c r="B495" s="178"/>
      <c r="C495" s="177"/>
      <c r="D495" s="177"/>
      <c r="E495" s="179"/>
      <c r="F495" s="179"/>
      <c r="G495" s="179"/>
      <c r="H495" s="179"/>
      <c r="I495" s="481"/>
      <c r="J495" s="179"/>
      <c r="K495" s="481"/>
      <c r="L495" s="342"/>
    </row>
    <row r="496" spans="1:12">
      <c r="A496" s="144"/>
      <c r="B496" s="145"/>
      <c r="C496" s="144"/>
      <c r="D496" s="144"/>
      <c r="E496" s="146"/>
      <c r="F496" s="146"/>
      <c r="G496" s="146"/>
      <c r="H496" s="146"/>
      <c r="I496" s="466"/>
      <c r="J496" s="146"/>
      <c r="K496" s="466"/>
      <c r="L496" s="333"/>
    </row>
    <row r="497" spans="1:12">
      <c r="A497" s="144"/>
      <c r="B497" s="145"/>
      <c r="C497" s="144"/>
      <c r="D497" s="144"/>
      <c r="E497" s="146"/>
      <c r="F497" s="146"/>
      <c r="G497" s="146"/>
      <c r="H497" s="146"/>
      <c r="I497" s="466"/>
      <c r="J497" s="146"/>
      <c r="K497" s="466"/>
      <c r="L497" s="333"/>
    </row>
    <row r="498" spans="1:12">
      <c r="A498" s="144"/>
      <c r="B498" s="145"/>
      <c r="C498" s="144"/>
      <c r="D498" s="144"/>
      <c r="E498" s="146"/>
      <c r="F498" s="146"/>
      <c r="G498" s="146"/>
      <c r="H498" s="146"/>
      <c r="I498" s="466"/>
      <c r="J498" s="146"/>
      <c r="K498" s="466"/>
      <c r="L498" s="333"/>
    </row>
    <row r="499" spans="1:12">
      <c r="A499" s="144"/>
      <c r="B499" s="145"/>
      <c r="C499" s="144"/>
      <c r="D499" s="144"/>
      <c r="E499" s="146"/>
      <c r="F499" s="146"/>
      <c r="G499" s="146"/>
      <c r="H499" s="146"/>
      <c r="I499" s="466"/>
      <c r="J499" s="146"/>
      <c r="K499" s="466"/>
      <c r="L499" s="333"/>
    </row>
    <row r="500" spans="1:12">
      <c r="A500" s="144"/>
      <c r="B500" s="145"/>
      <c r="C500" s="144"/>
      <c r="D500" s="144"/>
      <c r="E500" s="146"/>
      <c r="F500" s="146"/>
      <c r="G500" s="146"/>
      <c r="H500" s="146"/>
      <c r="I500" s="466"/>
      <c r="J500" s="146"/>
      <c r="K500" s="466"/>
      <c r="L500" s="333"/>
    </row>
    <row r="501" spans="1:12">
      <c r="A501" s="144"/>
      <c r="B501" s="145"/>
      <c r="C501" s="144"/>
      <c r="D501" s="144"/>
      <c r="E501" s="146"/>
      <c r="F501" s="146"/>
      <c r="G501" s="146"/>
      <c r="H501" s="146"/>
      <c r="I501" s="466"/>
      <c r="J501" s="146"/>
      <c r="K501" s="466"/>
      <c r="L501" s="333"/>
    </row>
    <row r="502" spans="1:12">
      <c r="A502" s="144"/>
      <c r="B502" s="145"/>
      <c r="C502" s="144"/>
      <c r="D502" s="144"/>
      <c r="E502" s="146"/>
      <c r="F502" s="146"/>
      <c r="G502" s="146"/>
      <c r="H502" s="146"/>
      <c r="I502" s="466"/>
      <c r="J502" s="146"/>
      <c r="K502" s="466"/>
      <c r="L502" s="333"/>
    </row>
    <row r="503" spans="1:12">
      <c r="A503" s="144"/>
      <c r="B503" s="145"/>
      <c r="C503" s="144"/>
      <c r="D503" s="144"/>
      <c r="E503" s="146"/>
      <c r="F503" s="146"/>
      <c r="G503" s="146"/>
      <c r="H503" s="146"/>
      <c r="I503" s="466"/>
      <c r="J503" s="146"/>
      <c r="K503" s="466"/>
      <c r="L503" s="333"/>
    </row>
    <row r="504" spans="1:12">
      <c r="A504" s="144"/>
      <c r="B504" s="145"/>
      <c r="C504" s="144"/>
      <c r="D504" s="144"/>
      <c r="E504" s="146"/>
      <c r="F504" s="146"/>
      <c r="G504" s="146"/>
      <c r="H504" s="146"/>
      <c r="I504" s="466"/>
      <c r="J504" s="146"/>
      <c r="K504" s="466"/>
      <c r="L504" s="333"/>
    </row>
    <row r="505" spans="1:12">
      <c r="A505" s="144"/>
      <c r="B505" s="145"/>
      <c r="C505" s="144"/>
      <c r="D505" s="144"/>
      <c r="E505" s="146"/>
      <c r="F505" s="146"/>
      <c r="G505" s="146"/>
      <c r="H505" s="146"/>
      <c r="I505" s="466"/>
      <c r="J505" s="146"/>
      <c r="K505" s="466"/>
      <c r="L505" s="333"/>
    </row>
    <row r="506" spans="1:12">
      <c r="A506" s="144"/>
      <c r="B506" s="145"/>
      <c r="C506" s="144"/>
      <c r="D506" s="144"/>
      <c r="E506" s="146"/>
      <c r="F506" s="146"/>
      <c r="G506" s="146"/>
      <c r="H506" s="146"/>
      <c r="I506" s="466"/>
      <c r="J506" s="146"/>
      <c r="K506" s="466"/>
      <c r="L506" s="333"/>
    </row>
    <row r="507" spans="1:12">
      <c r="A507" s="144"/>
      <c r="B507" s="145"/>
      <c r="C507" s="144"/>
      <c r="D507" s="144"/>
      <c r="E507" s="146"/>
      <c r="F507" s="146"/>
      <c r="G507" s="146"/>
      <c r="H507" s="146"/>
      <c r="I507" s="466"/>
      <c r="J507" s="146"/>
      <c r="K507" s="466"/>
      <c r="L507" s="333"/>
    </row>
    <row r="508" spans="1:12">
      <c r="A508" s="144"/>
      <c r="B508" s="145"/>
      <c r="C508" s="144"/>
      <c r="D508" s="144"/>
      <c r="E508" s="146"/>
      <c r="F508" s="146"/>
      <c r="G508" s="146"/>
      <c r="H508" s="146"/>
      <c r="I508" s="466"/>
      <c r="J508" s="146"/>
      <c r="K508" s="466"/>
      <c r="L508" s="333"/>
    </row>
    <row r="509" spans="1:12">
      <c r="A509" s="144"/>
      <c r="B509" s="145"/>
      <c r="C509" s="144"/>
      <c r="D509" s="144"/>
      <c r="E509" s="146"/>
      <c r="F509" s="146"/>
      <c r="G509" s="146"/>
      <c r="H509" s="146"/>
      <c r="I509" s="466"/>
      <c r="J509" s="146"/>
      <c r="K509" s="466"/>
      <c r="L509" s="333"/>
    </row>
    <row r="510" spans="1:12">
      <c r="A510" s="144"/>
      <c r="B510" s="145"/>
      <c r="C510" s="144"/>
      <c r="D510" s="144"/>
      <c r="E510" s="146"/>
      <c r="F510" s="146"/>
      <c r="G510" s="146"/>
      <c r="H510" s="146"/>
      <c r="I510" s="466"/>
      <c r="J510" s="146"/>
      <c r="K510" s="466"/>
      <c r="L510" s="333"/>
    </row>
    <row r="511" spans="1:12">
      <c r="A511" s="144"/>
      <c r="B511" s="145"/>
      <c r="C511" s="144"/>
      <c r="D511" s="144"/>
      <c r="E511" s="146"/>
      <c r="F511" s="146"/>
      <c r="G511" s="146"/>
      <c r="H511" s="146"/>
      <c r="I511" s="466"/>
      <c r="J511" s="146"/>
      <c r="K511" s="466"/>
      <c r="L511" s="333"/>
    </row>
    <row r="512" spans="1:12">
      <c r="A512" s="144"/>
      <c r="B512" s="145"/>
      <c r="C512" s="144"/>
      <c r="D512" s="144"/>
      <c r="E512" s="146"/>
      <c r="F512" s="146"/>
      <c r="G512" s="146"/>
      <c r="H512" s="146"/>
      <c r="I512" s="466"/>
      <c r="J512" s="146"/>
      <c r="K512" s="466"/>
      <c r="L512" s="333"/>
    </row>
    <row r="513" spans="1:12">
      <c r="A513" s="144"/>
      <c r="B513" s="145"/>
      <c r="C513" s="144"/>
      <c r="D513" s="144"/>
      <c r="E513" s="146"/>
      <c r="F513" s="146"/>
      <c r="G513" s="146"/>
      <c r="H513" s="146"/>
      <c r="I513" s="466"/>
      <c r="J513" s="146"/>
      <c r="K513" s="466"/>
      <c r="L513" s="333"/>
    </row>
    <row r="514" spans="1:12">
      <c r="A514" s="144"/>
      <c r="B514" s="145"/>
      <c r="C514" s="144"/>
      <c r="D514" s="144"/>
      <c r="E514" s="146"/>
      <c r="F514" s="146"/>
      <c r="G514" s="146"/>
      <c r="H514" s="146"/>
      <c r="I514" s="466"/>
      <c r="J514" s="146"/>
      <c r="K514" s="466"/>
      <c r="L514" s="333"/>
    </row>
    <row r="515" spans="1:12">
      <c r="A515" s="144"/>
      <c r="B515" s="145"/>
      <c r="C515" s="144"/>
      <c r="D515" s="144"/>
      <c r="E515" s="146"/>
      <c r="F515" s="146"/>
      <c r="G515" s="146"/>
      <c r="H515" s="146"/>
      <c r="I515" s="466"/>
      <c r="J515" s="146"/>
      <c r="K515" s="466"/>
      <c r="L515" s="333"/>
    </row>
    <row r="516" spans="1:12">
      <c r="A516" s="144"/>
      <c r="B516" s="145"/>
      <c r="C516" s="144"/>
      <c r="D516" s="144"/>
      <c r="E516" s="146"/>
      <c r="F516" s="146"/>
      <c r="G516" s="146"/>
      <c r="H516" s="146"/>
      <c r="I516" s="466"/>
      <c r="J516" s="146"/>
      <c r="K516" s="466"/>
      <c r="L516" s="333"/>
    </row>
    <row r="517" spans="1:12">
      <c r="A517" s="144"/>
      <c r="B517" s="145"/>
      <c r="C517" s="144"/>
      <c r="D517" s="144"/>
      <c r="E517" s="146"/>
      <c r="F517" s="146"/>
      <c r="G517" s="146"/>
      <c r="H517" s="146"/>
      <c r="I517" s="466"/>
      <c r="J517" s="146"/>
      <c r="K517" s="466"/>
      <c r="L517" s="333"/>
    </row>
    <row r="518" spans="1:12">
      <c r="A518" s="144"/>
      <c r="B518" s="145"/>
      <c r="C518" s="144"/>
      <c r="D518" s="144"/>
      <c r="E518" s="146"/>
      <c r="F518" s="146"/>
      <c r="G518" s="146"/>
      <c r="H518" s="146"/>
      <c r="I518" s="466"/>
      <c r="J518" s="146"/>
      <c r="K518" s="466"/>
      <c r="L518" s="333"/>
    </row>
    <row r="519" spans="1:12">
      <c r="A519" s="144"/>
      <c r="B519" s="145"/>
      <c r="C519" s="144"/>
      <c r="D519" s="144"/>
      <c r="E519" s="146"/>
      <c r="F519" s="146"/>
      <c r="G519" s="146"/>
      <c r="H519" s="146"/>
      <c r="I519" s="466"/>
      <c r="J519" s="146"/>
      <c r="K519" s="466"/>
      <c r="L519" s="333"/>
    </row>
    <row r="520" spans="1:12">
      <c r="A520" s="144"/>
      <c r="B520" s="145"/>
      <c r="C520" s="144"/>
      <c r="D520" s="144"/>
      <c r="E520" s="146"/>
      <c r="F520" s="146"/>
      <c r="G520" s="146"/>
      <c r="H520" s="146"/>
      <c r="I520" s="466"/>
      <c r="J520" s="146"/>
      <c r="K520" s="466"/>
      <c r="L520" s="333"/>
    </row>
    <row r="521" spans="1:12">
      <c r="A521" s="144"/>
      <c r="B521" s="145"/>
      <c r="C521" s="144"/>
      <c r="D521" s="144"/>
      <c r="E521" s="146"/>
      <c r="F521" s="146"/>
      <c r="G521" s="146"/>
      <c r="H521" s="146"/>
      <c r="I521" s="466"/>
      <c r="J521" s="146"/>
      <c r="K521" s="466"/>
      <c r="L521" s="333"/>
    </row>
    <row r="522" spans="1:12">
      <c r="A522" s="144"/>
      <c r="B522" s="145"/>
      <c r="C522" s="144"/>
      <c r="D522" s="144"/>
      <c r="E522" s="146"/>
      <c r="F522" s="146"/>
      <c r="G522" s="146"/>
      <c r="H522" s="146"/>
      <c r="I522" s="466"/>
      <c r="J522" s="146"/>
      <c r="K522" s="466"/>
      <c r="L522" s="333"/>
    </row>
    <row r="523" spans="1:12">
      <c r="A523" s="144"/>
      <c r="B523" s="145"/>
      <c r="C523" s="144"/>
      <c r="D523" s="144"/>
      <c r="E523" s="146"/>
      <c r="F523" s="146"/>
      <c r="G523" s="146"/>
      <c r="H523" s="146"/>
      <c r="I523" s="466"/>
      <c r="J523" s="146"/>
      <c r="K523" s="466"/>
      <c r="L523" s="333"/>
    </row>
    <row r="524" spans="1:12">
      <c r="A524" s="144"/>
      <c r="B524" s="145"/>
      <c r="C524" s="144"/>
      <c r="D524" s="144"/>
      <c r="E524" s="146"/>
      <c r="F524" s="146"/>
      <c r="G524" s="146"/>
      <c r="H524" s="146"/>
      <c r="I524" s="466"/>
      <c r="J524" s="146"/>
      <c r="K524" s="466"/>
      <c r="L524" s="333"/>
    </row>
    <row r="525" spans="1:12">
      <c r="A525" s="144"/>
      <c r="B525" s="145"/>
      <c r="C525" s="144"/>
      <c r="D525" s="144"/>
      <c r="E525" s="146"/>
      <c r="F525" s="146"/>
      <c r="G525" s="146"/>
      <c r="H525" s="146"/>
      <c r="I525" s="466"/>
      <c r="J525" s="146"/>
      <c r="K525" s="466"/>
      <c r="L525" s="333"/>
    </row>
    <row r="526" spans="1:12">
      <c r="A526" s="144"/>
      <c r="B526" s="145"/>
      <c r="C526" s="144"/>
      <c r="D526" s="144"/>
      <c r="E526" s="146"/>
      <c r="F526" s="146"/>
      <c r="G526" s="146"/>
      <c r="H526" s="146"/>
      <c r="I526" s="466"/>
      <c r="J526" s="146"/>
      <c r="K526" s="466"/>
      <c r="L526" s="333"/>
    </row>
    <row r="527" spans="1:12">
      <c r="A527" s="144"/>
      <c r="B527" s="145"/>
      <c r="C527" s="144"/>
      <c r="D527" s="144"/>
      <c r="E527" s="146"/>
      <c r="F527" s="146"/>
      <c r="G527" s="146"/>
      <c r="H527" s="146"/>
      <c r="I527" s="466"/>
      <c r="J527" s="146"/>
      <c r="K527" s="466"/>
      <c r="L527" s="333"/>
    </row>
    <row r="528" spans="1:12">
      <c r="A528" s="144"/>
      <c r="B528" s="145"/>
      <c r="C528" s="144"/>
      <c r="D528" s="144"/>
      <c r="E528" s="146"/>
      <c r="F528" s="146"/>
      <c r="G528" s="146"/>
      <c r="H528" s="146"/>
      <c r="I528" s="466"/>
      <c r="J528" s="146"/>
      <c r="K528" s="466"/>
      <c r="L528" s="333"/>
    </row>
    <row r="529" spans="1:12">
      <c r="A529" s="144"/>
      <c r="B529" s="145"/>
      <c r="C529" s="144"/>
      <c r="D529" s="144"/>
      <c r="E529" s="146"/>
      <c r="F529" s="146"/>
      <c r="G529" s="146"/>
      <c r="H529" s="146"/>
      <c r="I529" s="466"/>
      <c r="J529" s="146"/>
      <c r="K529" s="466"/>
      <c r="L529" s="333"/>
    </row>
    <row r="530" spans="1:12">
      <c r="A530" s="144"/>
      <c r="B530" s="145"/>
      <c r="C530" s="144"/>
      <c r="D530" s="144"/>
      <c r="E530" s="146"/>
      <c r="F530" s="146"/>
      <c r="G530" s="146"/>
      <c r="H530" s="146"/>
      <c r="I530" s="466"/>
      <c r="J530" s="146"/>
      <c r="K530" s="466"/>
      <c r="L530" s="333"/>
    </row>
    <row r="531" spans="1:12">
      <c r="A531" s="144"/>
      <c r="B531" s="145"/>
      <c r="C531" s="144"/>
      <c r="D531" s="144"/>
      <c r="E531" s="146"/>
      <c r="F531" s="146"/>
      <c r="G531" s="146"/>
      <c r="H531" s="146"/>
      <c r="I531" s="466"/>
      <c r="J531" s="146"/>
      <c r="K531" s="466"/>
      <c r="L531" s="333"/>
    </row>
    <row r="532" spans="1:12">
      <c r="A532" s="144"/>
      <c r="B532" s="145"/>
      <c r="C532" s="144"/>
      <c r="D532" s="144"/>
      <c r="E532" s="146"/>
      <c r="F532" s="146"/>
      <c r="G532" s="146"/>
      <c r="H532" s="146"/>
      <c r="I532" s="466"/>
      <c r="J532" s="146"/>
      <c r="K532" s="466"/>
      <c r="L532" s="333"/>
    </row>
    <row r="533" spans="1:12">
      <c r="A533" s="144"/>
      <c r="B533" s="145"/>
      <c r="C533" s="144"/>
      <c r="D533" s="144"/>
      <c r="E533" s="146"/>
      <c r="F533" s="146"/>
      <c r="G533" s="146"/>
      <c r="H533" s="146"/>
      <c r="I533" s="466"/>
      <c r="J533" s="146"/>
      <c r="K533" s="466"/>
      <c r="L533" s="333"/>
    </row>
    <row r="534" spans="1:12">
      <c r="A534" s="144"/>
      <c r="B534" s="145"/>
      <c r="C534" s="144"/>
      <c r="D534" s="144"/>
      <c r="E534" s="146"/>
      <c r="F534" s="146"/>
      <c r="G534" s="146"/>
      <c r="H534" s="146"/>
      <c r="I534" s="466"/>
      <c r="J534" s="146"/>
      <c r="K534" s="466"/>
      <c r="L534" s="333"/>
    </row>
    <row r="535" spans="1:12">
      <c r="A535" s="144"/>
      <c r="B535" s="145"/>
      <c r="C535" s="144"/>
      <c r="D535" s="144"/>
      <c r="E535" s="146"/>
      <c r="F535" s="146"/>
      <c r="G535" s="146"/>
      <c r="H535" s="146"/>
      <c r="I535" s="466"/>
      <c r="J535" s="146"/>
      <c r="K535" s="466"/>
      <c r="L535" s="333"/>
    </row>
    <row r="536" spans="1:12">
      <c r="A536" s="144"/>
      <c r="B536" s="145"/>
      <c r="C536" s="144"/>
      <c r="D536" s="144"/>
      <c r="E536" s="146"/>
      <c r="F536" s="146"/>
      <c r="G536" s="146"/>
      <c r="H536" s="146"/>
      <c r="I536" s="466"/>
      <c r="J536" s="146"/>
      <c r="K536" s="466"/>
      <c r="L536" s="333"/>
    </row>
    <row r="537" spans="1:12">
      <c r="A537" s="144"/>
      <c r="B537" s="145"/>
      <c r="C537" s="144"/>
      <c r="D537" s="144"/>
      <c r="E537" s="146"/>
      <c r="F537" s="146"/>
      <c r="G537" s="146"/>
      <c r="H537" s="146"/>
      <c r="I537" s="466"/>
      <c r="J537" s="146"/>
      <c r="K537" s="466"/>
      <c r="L537" s="333"/>
    </row>
    <row r="538" spans="1:12">
      <c r="A538" s="144"/>
      <c r="B538" s="145"/>
      <c r="C538" s="144"/>
      <c r="D538" s="144"/>
      <c r="E538" s="146"/>
      <c r="F538" s="146"/>
      <c r="G538" s="146"/>
      <c r="H538" s="146"/>
      <c r="I538" s="466"/>
      <c r="J538" s="146"/>
      <c r="K538" s="466"/>
      <c r="L538" s="333"/>
    </row>
    <row r="539" spans="1:12">
      <c r="A539" s="144"/>
      <c r="B539" s="145"/>
      <c r="C539" s="144"/>
      <c r="D539" s="144"/>
      <c r="E539" s="146"/>
      <c r="F539" s="146"/>
      <c r="G539" s="146"/>
      <c r="H539" s="146"/>
      <c r="I539" s="466"/>
      <c r="J539" s="146"/>
      <c r="K539" s="466"/>
      <c r="L539" s="333"/>
    </row>
    <row r="540" spans="1:12">
      <c r="A540" s="144"/>
      <c r="B540" s="145"/>
      <c r="C540" s="144"/>
      <c r="D540" s="144"/>
      <c r="E540" s="146"/>
      <c r="F540" s="146"/>
      <c r="G540" s="146"/>
      <c r="H540" s="146"/>
      <c r="I540" s="466"/>
      <c r="J540" s="146"/>
      <c r="K540" s="466"/>
      <c r="L540" s="333"/>
    </row>
    <row r="541" spans="1:12">
      <c r="A541" s="144"/>
      <c r="B541" s="145"/>
      <c r="C541" s="144"/>
      <c r="D541" s="144"/>
      <c r="E541" s="146"/>
      <c r="F541" s="146"/>
      <c r="G541" s="146"/>
      <c r="H541" s="146"/>
      <c r="I541" s="466"/>
      <c r="J541" s="146"/>
      <c r="K541" s="466"/>
      <c r="L541" s="333"/>
    </row>
    <row r="542" spans="1:12">
      <c r="A542" s="144"/>
      <c r="B542" s="145"/>
      <c r="C542" s="144"/>
      <c r="D542" s="144"/>
      <c r="E542" s="146"/>
      <c r="F542" s="146"/>
      <c r="G542" s="146"/>
      <c r="H542" s="146"/>
      <c r="I542" s="466"/>
      <c r="J542" s="146"/>
      <c r="K542" s="466"/>
      <c r="L542" s="333"/>
    </row>
    <row r="543" spans="1:12">
      <c r="A543" s="144"/>
      <c r="B543" s="145"/>
      <c r="C543" s="144"/>
      <c r="D543" s="144"/>
      <c r="E543" s="146"/>
      <c r="F543" s="146"/>
      <c r="G543" s="146"/>
      <c r="H543" s="146"/>
      <c r="I543" s="466"/>
      <c r="J543" s="146"/>
      <c r="K543" s="466"/>
      <c r="L543" s="333"/>
    </row>
    <row r="544" spans="1:12">
      <c r="A544" s="144"/>
      <c r="B544" s="145"/>
      <c r="C544" s="144"/>
      <c r="D544" s="144"/>
      <c r="E544" s="146"/>
      <c r="F544" s="146"/>
      <c r="G544" s="146"/>
      <c r="H544" s="146"/>
      <c r="I544" s="466"/>
      <c r="J544" s="146"/>
      <c r="K544" s="466"/>
      <c r="L544" s="333"/>
    </row>
    <row r="545" spans="1:12">
      <c r="A545" s="144"/>
      <c r="B545" s="145"/>
      <c r="C545" s="144"/>
      <c r="D545" s="144"/>
      <c r="E545" s="146"/>
      <c r="F545" s="146"/>
      <c r="G545" s="146"/>
      <c r="H545" s="146"/>
      <c r="I545" s="466"/>
      <c r="J545" s="146"/>
      <c r="K545" s="466"/>
      <c r="L545" s="333"/>
    </row>
    <row r="546" spans="1:12">
      <c r="A546" s="144"/>
      <c r="B546" s="145"/>
      <c r="C546" s="144"/>
      <c r="D546" s="144"/>
      <c r="E546" s="146"/>
      <c r="F546" s="146"/>
      <c r="G546" s="146"/>
      <c r="H546" s="146"/>
      <c r="I546" s="466"/>
      <c r="J546" s="146"/>
      <c r="K546" s="466"/>
      <c r="L546" s="333"/>
    </row>
    <row r="547" spans="1:12">
      <c r="A547" s="144"/>
      <c r="B547" s="145"/>
      <c r="C547" s="144"/>
      <c r="D547" s="144"/>
      <c r="E547" s="146"/>
      <c r="F547" s="146"/>
      <c r="G547" s="146"/>
      <c r="H547" s="146"/>
      <c r="I547" s="466"/>
      <c r="J547" s="146"/>
      <c r="K547" s="466"/>
      <c r="L547" s="333"/>
    </row>
    <row r="548" spans="1:12">
      <c r="A548" s="144"/>
      <c r="B548" s="145"/>
      <c r="C548" s="144"/>
      <c r="D548" s="144"/>
      <c r="E548" s="146"/>
      <c r="F548" s="146"/>
      <c r="G548" s="146"/>
      <c r="H548" s="146"/>
      <c r="I548" s="466"/>
      <c r="J548" s="146"/>
      <c r="K548" s="466"/>
      <c r="L548" s="333"/>
    </row>
    <row r="549" spans="1:12">
      <c r="A549" s="144"/>
      <c r="B549" s="145"/>
      <c r="C549" s="144"/>
      <c r="D549" s="144"/>
      <c r="E549" s="146"/>
      <c r="F549" s="146"/>
      <c r="G549" s="146"/>
      <c r="H549" s="146"/>
      <c r="I549" s="466"/>
      <c r="J549" s="146"/>
      <c r="K549" s="466"/>
      <c r="L549" s="333"/>
    </row>
    <row r="550" spans="1:12">
      <c r="A550" s="144"/>
      <c r="B550" s="145"/>
      <c r="C550" s="144"/>
      <c r="D550" s="144"/>
      <c r="E550" s="146"/>
      <c r="F550" s="146"/>
      <c r="G550" s="146"/>
      <c r="H550" s="146"/>
      <c r="I550" s="466"/>
      <c r="J550" s="146"/>
      <c r="K550" s="466"/>
      <c r="L550" s="333"/>
    </row>
    <row r="551" spans="1:12">
      <c r="A551" s="144"/>
      <c r="B551" s="145"/>
      <c r="C551" s="144"/>
      <c r="D551" s="144"/>
      <c r="E551" s="146"/>
      <c r="F551" s="146"/>
      <c r="G551" s="146"/>
      <c r="H551" s="146"/>
      <c r="I551" s="466"/>
      <c r="J551" s="146"/>
      <c r="K551" s="466"/>
      <c r="L551" s="333"/>
    </row>
    <row r="552" spans="1:12">
      <c r="A552" s="144"/>
      <c r="B552" s="145"/>
      <c r="C552" s="144"/>
      <c r="D552" s="144"/>
      <c r="E552" s="146"/>
      <c r="F552" s="146"/>
      <c r="G552" s="146"/>
      <c r="H552" s="146"/>
      <c r="I552" s="466"/>
      <c r="J552" s="146"/>
      <c r="K552" s="466"/>
      <c r="L552" s="333"/>
    </row>
    <row r="553" spans="1:12">
      <c r="A553" s="144"/>
      <c r="B553" s="145"/>
      <c r="C553" s="144"/>
      <c r="D553" s="144"/>
      <c r="E553" s="146"/>
      <c r="F553" s="146"/>
      <c r="G553" s="146"/>
      <c r="H553" s="146"/>
      <c r="I553" s="466"/>
      <c r="J553" s="146"/>
      <c r="K553" s="466"/>
      <c r="L553" s="333"/>
    </row>
    <row r="554" spans="1:12">
      <c r="A554" s="144"/>
      <c r="B554" s="145"/>
      <c r="C554" s="144"/>
      <c r="D554" s="144"/>
      <c r="E554" s="146"/>
      <c r="F554" s="146"/>
      <c r="G554" s="146"/>
      <c r="H554" s="146"/>
      <c r="I554" s="466"/>
      <c r="J554" s="146"/>
      <c r="K554" s="466"/>
      <c r="L554" s="333"/>
    </row>
    <row r="555" spans="1:12">
      <c r="A555" s="144"/>
      <c r="B555" s="145"/>
      <c r="C555" s="144"/>
      <c r="D555" s="144"/>
      <c r="E555" s="146"/>
      <c r="F555" s="146"/>
      <c r="G555" s="146"/>
      <c r="H555" s="146"/>
      <c r="I555" s="466"/>
      <c r="J555" s="146"/>
      <c r="K555" s="466"/>
      <c r="L555" s="333"/>
    </row>
    <row r="556" spans="1:12">
      <c r="A556" s="144"/>
      <c r="B556" s="145"/>
      <c r="C556" s="144"/>
      <c r="D556" s="144"/>
      <c r="E556" s="146"/>
      <c r="F556" s="146"/>
      <c r="G556" s="146"/>
      <c r="H556" s="146"/>
      <c r="I556" s="466"/>
      <c r="J556" s="146"/>
      <c r="K556" s="466"/>
      <c r="L556" s="333"/>
    </row>
    <row r="557" spans="1:12">
      <c r="A557" s="144"/>
      <c r="B557" s="145"/>
      <c r="C557" s="144"/>
      <c r="D557" s="144"/>
      <c r="E557" s="146"/>
      <c r="F557" s="146"/>
      <c r="G557" s="146"/>
      <c r="H557" s="146"/>
      <c r="I557" s="466"/>
      <c r="J557" s="146"/>
      <c r="K557" s="466"/>
      <c r="L557" s="333"/>
    </row>
    <row r="558" spans="1:12">
      <c r="A558" s="144"/>
      <c r="B558" s="145"/>
      <c r="C558" s="144"/>
      <c r="D558" s="144"/>
      <c r="E558" s="146"/>
      <c r="F558" s="146"/>
      <c r="G558" s="146"/>
      <c r="H558" s="146"/>
      <c r="I558" s="466"/>
      <c r="J558" s="146"/>
      <c r="K558" s="466"/>
      <c r="L558" s="333"/>
    </row>
    <row r="559" spans="1:12">
      <c r="A559" s="144"/>
      <c r="B559" s="145"/>
      <c r="C559" s="144"/>
      <c r="D559" s="144"/>
      <c r="E559" s="146"/>
      <c r="F559" s="146"/>
      <c r="G559" s="146"/>
      <c r="H559" s="146"/>
      <c r="I559" s="466"/>
      <c r="J559" s="146"/>
      <c r="K559" s="466"/>
      <c r="L559" s="333"/>
    </row>
    <row r="560" spans="1:12">
      <c r="A560" s="144"/>
      <c r="B560" s="145"/>
      <c r="C560" s="144"/>
      <c r="D560" s="144"/>
      <c r="E560" s="146"/>
      <c r="F560" s="146"/>
      <c r="G560" s="146"/>
      <c r="H560" s="146"/>
      <c r="I560" s="466"/>
      <c r="J560" s="146"/>
      <c r="K560" s="466"/>
      <c r="L560" s="333"/>
    </row>
    <row r="561" spans="1:12">
      <c r="A561" s="144"/>
      <c r="B561" s="145"/>
      <c r="C561" s="144"/>
      <c r="D561" s="144"/>
      <c r="E561" s="146"/>
      <c r="F561" s="146"/>
      <c r="G561" s="146"/>
      <c r="H561" s="146"/>
      <c r="I561" s="466"/>
      <c r="J561" s="146"/>
      <c r="K561" s="466"/>
      <c r="L561" s="333"/>
    </row>
    <row r="562" spans="1:12">
      <c r="A562" s="144"/>
      <c r="B562" s="145"/>
      <c r="C562" s="144"/>
      <c r="D562" s="144"/>
      <c r="E562" s="146"/>
      <c r="F562" s="146"/>
      <c r="G562" s="146"/>
      <c r="H562" s="146"/>
      <c r="I562" s="466"/>
      <c r="J562" s="146"/>
      <c r="K562" s="466"/>
      <c r="L562" s="333"/>
    </row>
    <row r="563" spans="1:12">
      <c r="A563" s="144"/>
      <c r="B563" s="145"/>
      <c r="C563" s="144"/>
      <c r="D563" s="144"/>
      <c r="E563" s="146"/>
      <c r="F563" s="146"/>
      <c r="G563" s="146"/>
      <c r="H563" s="146"/>
      <c r="I563" s="466"/>
      <c r="J563" s="146"/>
      <c r="K563" s="466"/>
      <c r="L563" s="333"/>
    </row>
    <row r="564" spans="1:12">
      <c r="A564" s="144"/>
      <c r="B564" s="145"/>
      <c r="C564" s="144"/>
      <c r="D564" s="144"/>
      <c r="E564" s="146"/>
      <c r="F564" s="146"/>
      <c r="G564" s="146"/>
      <c r="H564" s="146"/>
      <c r="I564" s="466"/>
      <c r="J564" s="146"/>
      <c r="K564" s="466"/>
      <c r="L564" s="333"/>
    </row>
    <row r="565" spans="1:12">
      <c r="A565" s="144"/>
      <c r="B565" s="145"/>
      <c r="C565" s="144"/>
      <c r="D565" s="144"/>
      <c r="E565" s="146"/>
      <c r="F565" s="146"/>
      <c r="G565" s="146"/>
      <c r="H565" s="146"/>
      <c r="I565" s="466"/>
      <c r="J565" s="146"/>
      <c r="K565" s="466"/>
      <c r="L565" s="333"/>
    </row>
    <row r="566" spans="1:12">
      <c r="A566" s="144"/>
      <c r="B566" s="145"/>
      <c r="C566" s="144"/>
      <c r="D566" s="144"/>
      <c r="E566" s="146"/>
      <c r="F566" s="146"/>
      <c r="G566" s="146"/>
      <c r="H566" s="146"/>
      <c r="I566" s="466"/>
      <c r="J566" s="146"/>
      <c r="K566" s="466"/>
      <c r="L566" s="333"/>
    </row>
    <row r="567" spans="1:12">
      <c r="A567" s="144"/>
      <c r="B567" s="145"/>
      <c r="C567" s="144"/>
      <c r="D567" s="144"/>
      <c r="E567" s="146"/>
      <c r="F567" s="146"/>
      <c r="G567" s="146"/>
      <c r="H567" s="146"/>
      <c r="I567" s="466"/>
      <c r="J567" s="146"/>
      <c r="K567" s="466"/>
      <c r="L567" s="333"/>
    </row>
    <row r="568" spans="1:12">
      <c r="A568" s="144"/>
      <c r="B568" s="145"/>
      <c r="C568" s="144"/>
      <c r="D568" s="144"/>
      <c r="E568" s="146"/>
      <c r="F568" s="146"/>
      <c r="G568" s="146"/>
      <c r="H568" s="146"/>
      <c r="I568" s="466"/>
      <c r="J568" s="146"/>
      <c r="K568" s="466"/>
      <c r="L568" s="333"/>
    </row>
    <row r="569" spans="1:12">
      <c r="A569" s="144"/>
      <c r="B569" s="145"/>
      <c r="C569" s="144"/>
      <c r="D569" s="144"/>
      <c r="E569" s="146"/>
      <c r="F569" s="146"/>
      <c r="G569" s="146"/>
      <c r="H569" s="146"/>
      <c r="I569" s="466"/>
      <c r="J569" s="146"/>
      <c r="K569" s="466"/>
      <c r="L569" s="333"/>
    </row>
    <row r="570" spans="1:12">
      <c r="A570" s="144"/>
      <c r="B570" s="145"/>
      <c r="C570" s="144"/>
      <c r="D570" s="144"/>
      <c r="E570" s="146"/>
      <c r="F570" s="146"/>
      <c r="G570" s="146"/>
      <c r="H570" s="146"/>
      <c r="I570" s="466"/>
      <c r="J570" s="146"/>
      <c r="K570" s="466"/>
      <c r="L570" s="333"/>
    </row>
    <row r="571" spans="1:12">
      <c r="A571" s="144"/>
      <c r="B571" s="145"/>
      <c r="C571" s="144"/>
      <c r="D571" s="144"/>
      <c r="E571" s="146"/>
      <c r="F571" s="146"/>
      <c r="G571" s="146"/>
      <c r="H571" s="146"/>
      <c r="I571" s="466"/>
      <c r="J571" s="146"/>
      <c r="K571" s="466"/>
      <c r="L571" s="333"/>
    </row>
    <row r="572" spans="1:12">
      <c r="A572" s="144"/>
      <c r="B572" s="145"/>
      <c r="C572" s="144"/>
      <c r="D572" s="144"/>
      <c r="E572" s="146"/>
      <c r="F572" s="146"/>
      <c r="G572" s="146"/>
      <c r="H572" s="146"/>
      <c r="I572" s="466"/>
      <c r="J572" s="146"/>
      <c r="K572" s="466"/>
      <c r="L572" s="333"/>
    </row>
    <row r="573" spans="1:12">
      <c r="A573" s="144"/>
      <c r="B573" s="145"/>
      <c r="C573" s="144"/>
      <c r="D573" s="144"/>
      <c r="E573" s="146"/>
      <c r="F573" s="146"/>
      <c r="G573" s="146"/>
      <c r="H573" s="146"/>
      <c r="I573" s="466"/>
      <c r="J573" s="146"/>
      <c r="K573" s="466"/>
      <c r="L573" s="333"/>
    </row>
    <row r="574" spans="1:12">
      <c r="A574" s="144"/>
      <c r="B574" s="145"/>
      <c r="C574" s="144"/>
      <c r="D574" s="144"/>
      <c r="E574" s="146"/>
      <c r="F574" s="146"/>
      <c r="G574" s="146"/>
      <c r="H574" s="146"/>
      <c r="I574" s="466"/>
      <c r="J574" s="146"/>
      <c r="K574" s="466"/>
      <c r="L574" s="333"/>
    </row>
    <row r="575" spans="1:12">
      <c r="A575" s="144"/>
      <c r="B575" s="145"/>
      <c r="C575" s="144"/>
      <c r="D575" s="144"/>
      <c r="E575" s="146"/>
      <c r="F575" s="146"/>
      <c r="G575" s="146"/>
      <c r="H575" s="146"/>
      <c r="I575" s="466"/>
      <c r="J575" s="146"/>
      <c r="K575" s="466"/>
      <c r="L575" s="333"/>
    </row>
    <row r="576" spans="1:12">
      <c r="A576" s="144"/>
      <c r="B576" s="145"/>
      <c r="C576" s="144"/>
      <c r="D576" s="144"/>
      <c r="E576" s="146"/>
      <c r="F576" s="146"/>
      <c r="G576" s="146"/>
      <c r="H576" s="146"/>
      <c r="I576" s="466"/>
      <c r="J576" s="146"/>
      <c r="K576" s="466"/>
      <c r="L576" s="333"/>
    </row>
    <row r="577" spans="1:12">
      <c r="A577" s="144"/>
      <c r="B577" s="145"/>
      <c r="C577" s="144"/>
      <c r="D577" s="144"/>
      <c r="E577" s="146"/>
      <c r="F577" s="146"/>
      <c r="G577" s="146"/>
      <c r="H577" s="146"/>
      <c r="I577" s="466"/>
      <c r="J577" s="146"/>
      <c r="K577" s="466"/>
      <c r="L577" s="333"/>
    </row>
    <row r="578" spans="1:12">
      <c r="A578" s="144"/>
      <c r="B578" s="145"/>
      <c r="C578" s="144"/>
      <c r="D578" s="144"/>
      <c r="E578" s="146"/>
      <c r="F578" s="146"/>
      <c r="G578" s="146"/>
      <c r="H578" s="146"/>
      <c r="I578" s="466"/>
      <c r="J578" s="146"/>
      <c r="K578" s="466"/>
      <c r="L578" s="333"/>
    </row>
    <row r="579" spans="1:12">
      <c r="A579" s="144"/>
      <c r="B579" s="145"/>
      <c r="C579" s="144"/>
      <c r="D579" s="144"/>
      <c r="E579" s="146"/>
      <c r="F579" s="146"/>
      <c r="G579" s="146"/>
      <c r="H579" s="146"/>
      <c r="I579" s="466"/>
      <c r="J579" s="146"/>
      <c r="K579" s="466"/>
      <c r="L579" s="333"/>
    </row>
    <row r="580" spans="1:12">
      <c r="A580" s="144"/>
      <c r="B580" s="145"/>
      <c r="C580" s="144"/>
      <c r="D580" s="144"/>
      <c r="E580" s="146"/>
      <c r="F580" s="146"/>
      <c r="G580" s="146"/>
      <c r="H580" s="146"/>
      <c r="I580" s="466"/>
      <c r="J580" s="146"/>
      <c r="K580" s="466"/>
      <c r="L580" s="333"/>
    </row>
    <row r="581" spans="1:12">
      <c r="A581" s="144"/>
      <c r="B581" s="145"/>
      <c r="C581" s="144"/>
      <c r="D581" s="144"/>
      <c r="E581" s="146"/>
      <c r="F581" s="146"/>
      <c r="G581" s="146"/>
      <c r="H581" s="146"/>
      <c r="I581" s="466"/>
      <c r="J581" s="146"/>
      <c r="K581" s="466"/>
      <c r="L581" s="333"/>
    </row>
    <row r="582" spans="1:12">
      <c r="A582" s="144"/>
      <c r="B582" s="145"/>
      <c r="C582" s="144"/>
      <c r="D582" s="144"/>
      <c r="E582" s="146"/>
      <c r="F582" s="146"/>
      <c r="G582" s="146"/>
      <c r="H582" s="146"/>
      <c r="I582" s="466"/>
      <c r="J582" s="146"/>
      <c r="K582" s="466"/>
      <c r="L582" s="333"/>
    </row>
    <row r="583" spans="1:12">
      <c r="A583" s="144"/>
      <c r="B583" s="145"/>
      <c r="C583" s="144"/>
      <c r="D583" s="144"/>
      <c r="E583" s="146"/>
      <c r="F583" s="146"/>
      <c r="G583" s="146"/>
      <c r="H583" s="146"/>
      <c r="I583" s="466"/>
      <c r="J583" s="146"/>
      <c r="K583" s="466"/>
      <c r="L583" s="333"/>
    </row>
    <row r="584" spans="1:12">
      <c r="A584" s="144"/>
      <c r="B584" s="145"/>
      <c r="C584" s="144"/>
      <c r="D584" s="144"/>
      <c r="E584" s="146"/>
      <c r="F584" s="146"/>
      <c r="G584" s="146"/>
      <c r="H584" s="146"/>
      <c r="I584" s="466"/>
      <c r="J584" s="146"/>
      <c r="K584" s="466"/>
      <c r="L584" s="333"/>
    </row>
    <row r="585" spans="1:12">
      <c r="A585" s="144"/>
      <c r="B585" s="145"/>
      <c r="C585" s="144"/>
      <c r="D585" s="144"/>
      <c r="E585" s="146"/>
      <c r="F585" s="146"/>
      <c r="G585" s="146"/>
      <c r="H585" s="146"/>
      <c r="I585" s="466"/>
      <c r="J585" s="146"/>
      <c r="K585" s="466"/>
      <c r="L585" s="333"/>
    </row>
    <row r="586" spans="1:12">
      <c r="A586" s="144"/>
      <c r="B586" s="145"/>
      <c r="C586" s="144"/>
      <c r="D586" s="144"/>
      <c r="E586" s="146"/>
      <c r="F586" s="146"/>
      <c r="G586" s="146"/>
      <c r="H586" s="146"/>
      <c r="I586" s="466"/>
      <c r="J586" s="146"/>
      <c r="K586" s="466"/>
      <c r="L586" s="333"/>
    </row>
    <row r="587" spans="1:12">
      <c r="A587" s="144"/>
      <c r="B587" s="145"/>
      <c r="C587" s="144"/>
      <c r="D587" s="144"/>
      <c r="E587" s="146"/>
      <c r="F587" s="146"/>
      <c r="G587" s="146"/>
      <c r="H587" s="146"/>
      <c r="I587" s="466"/>
      <c r="J587" s="146"/>
      <c r="K587" s="466"/>
      <c r="L587" s="333"/>
    </row>
    <row r="588" spans="1:12">
      <c r="A588" s="144"/>
      <c r="B588" s="145"/>
      <c r="C588" s="144"/>
      <c r="D588" s="144"/>
      <c r="E588" s="146"/>
      <c r="F588" s="146"/>
      <c r="G588" s="146"/>
      <c r="H588" s="146"/>
      <c r="I588" s="466"/>
      <c r="J588" s="146"/>
      <c r="K588" s="466"/>
      <c r="L588" s="333"/>
    </row>
    <row r="589" spans="1:12">
      <c r="A589" s="144"/>
      <c r="B589" s="145"/>
      <c r="C589" s="144"/>
      <c r="D589" s="144"/>
      <c r="E589" s="146"/>
      <c r="F589" s="146"/>
      <c r="G589" s="146"/>
      <c r="H589" s="146"/>
      <c r="I589" s="466"/>
      <c r="J589" s="146"/>
      <c r="K589" s="466"/>
      <c r="L589" s="333"/>
    </row>
    <row r="590" spans="1:12">
      <c r="A590" s="144"/>
      <c r="B590" s="145"/>
      <c r="C590" s="144"/>
      <c r="D590" s="144"/>
      <c r="E590" s="146"/>
      <c r="F590" s="146"/>
      <c r="G590" s="146"/>
      <c r="H590" s="146"/>
      <c r="I590" s="466"/>
      <c r="J590" s="146"/>
      <c r="K590" s="466"/>
      <c r="L590" s="333"/>
    </row>
    <row r="591" spans="1:12">
      <c r="A591" s="144"/>
      <c r="B591" s="145"/>
      <c r="C591" s="144"/>
      <c r="D591" s="144"/>
      <c r="E591" s="146"/>
      <c r="F591" s="146"/>
      <c r="G591" s="146"/>
      <c r="H591" s="146"/>
      <c r="I591" s="466"/>
      <c r="J591" s="146"/>
      <c r="K591" s="466"/>
      <c r="L591" s="333"/>
    </row>
    <row r="592" spans="1:12">
      <c r="A592" s="144"/>
      <c r="B592" s="145"/>
      <c r="C592" s="144"/>
      <c r="D592" s="144"/>
      <c r="E592" s="146"/>
      <c r="F592" s="146"/>
      <c r="G592" s="146"/>
      <c r="H592" s="146"/>
      <c r="I592" s="466"/>
      <c r="J592" s="146"/>
      <c r="K592" s="466"/>
      <c r="L592" s="333"/>
    </row>
    <row r="593" spans="1:12">
      <c r="A593" s="144"/>
      <c r="B593" s="145"/>
      <c r="C593" s="144"/>
      <c r="D593" s="144"/>
      <c r="E593" s="146"/>
      <c r="F593" s="146"/>
      <c r="G593" s="146"/>
      <c r="H593" s="146"/>
      <c r="I593" s="466"/>
      <c r="J593" s="146"/>
      <c r="K593" s="466"/>
      <c r="L593" s="333"/>
    </row>
    <row r="594" spans="1:12">
      <c r="A594" s="144"/>
      <c r="B594" s="145"/>
      <c r="C594" s="144"/>
      <c r="D594" s="144"/>
      <c r="E594" s="146"/>
      <c r="F594" s="146"/>
      <c r="G594" s="146"/>
      <c r="H594" s="146"/>
      <c r="I594" s="466"/>
      <c r="J594" s="146"/>
      <c r="K594" s="466"/>
      <c r="L594" s="333"/>
    </row>
    <row r="595" spans="1:12">
      <c r="A595" s="144"/>
      <c r="B595" s="145"/>
      <c r="C595" s="144"/>
      <c r="D595" s="144"/>
      <c r="E595" s="146"/>
      <c r="F595" s="146"/>
      <c r="G595" s="146"/>
      <c r="H595" s="146"/>
      <c r="I595" s="466"/>
      <c r="J595" s="146"/>
      <c r="K595" s="466"/>
      <c r="L595" s="333"/>
    </row>
    <row r="596" spans="1:12">
      <c r="A596" s="144"/>
      <c r="B596" s="145"/>
      <c r="C596" s="144"/>
      <c r="D596" s="144"/>
      <c r="E596" s="146"/>
      <c r="F596" s="146"/>
      <c r="G596" s="146"/>
      <c r="H596" s="146"/>
      <c r="I596" s="466"/>
      <c r="J596" s="146"/>
      <c r="K596" s="466"/>
      <c r="L596" s="333"/>
    </row>
    <row r="597" spans="1:12">
      <c r="A597" s="144"/>
      <c r="B597" s="145"/>
      <c r="C597" s="144"/>
      <c r="D597" s="144"/>
      <c r="E597" s="146"/>
      <c r="F597" s="146"/>
      <c r="G597" s="146"/>
      <c r="H597" s="146"/>
      <c r="I597" s="466"/>
      <c r="J597" s="146"/>
      <c r="K597" s="466"/>
      <c r="L597" s="333"/>
    </row>
    <row r="598" spans="1:12">
      <c r="A598" s="144"/>
      <c r="B598" s="145"/>
      <c r="C598" s="144"/>
      <c r="D598" s="144"/>
      <c r="E598" s="146"/>
      <c r="F598" s="146"/>
      <c r="G598" s="146"/>
      <c r="H598" s="146"/>
      <c r="I598" s="466"/>
      <c r="J598" s="146"/>
      <c r="K598" s="466"/>
      <c r="L598" s="333"/>
    </row>
    <row r="599" spans="1:12">
      <c r="A599" s="144"/>
      <c r="B599" s="145"/>
      <c r="C599" s="144"/>
      <c r="D599" s="144"/>
      <c r="E599" s="146"/>
      <c r="F599" s="146"/>
      <c r="G599" s="146"/>
      <c r="H599" s="146"/>
      <c r="I599" s="466"/>
      <c r="J599" s="146"/>
      <c r="K599" s="466"/>
      <c r="L599" s="333"/>
    </row>
    <row r="600" spans="1:12">
      <c r="A600" s="144"/>
      <c r="B600" s="145"/>
      <c r="C600" s="144"/>
      <c r="D600" s="144"/>
      <c r="E600" s="146"/>
      <c r="F600" s="146"/>
      <c r="G600" s="146"/>
      <c r="H600" s="146"/>
      <c r="I600" s="466"/>
      <c r="J600" s="146"/>
      <c r="K600" s="466"/>
      <c r="L600" s="333"/>
    </row>
    <row r="601" spans="1:12">
      <c r="A601" s="144"/>
      <c r="B601" s="145"/>
      <c r="C601" s="144"/>
      <c r="D601" s="144"/>
      <c r="E601" s="146"/>
      <c r="F601" s="146"/>
      <c r="G601" s="146"/>
      <c r="H601" s="146"/>
      <c r="I601" s="466"/>
      <c r="J601" s="146"/>
      <c r="K601" s="466"/>
      <c r="L601" s="333"/>
    </row>
    <row r="602" spans="1:12">
      <c r="A602" s="144"/>
      <c r="B602" s="145"/>
      <c r="C602" s="144"/>
      <c r="D602" s="144"/>
      <c r="E602" s="146"/>
      <c r="F602" s="146"/>
      <c r="G602" s="146"/>
      <c r="H602" s="146"/>
      <c r="I602" s="466"/>
      <c r="J602" s="146"/>
      <c r="K602" s="466"/>
      <c r="L602" s="333"/>
    </row>
    <row r="603" spans="1:12">
      <c r="A603" s="144"/>
      <c r="B603" s="145"/>
      <c r="C603" s="144"/>
      <c r="D603" s="144"/>
      <c r="E603" s="146"/>
      <c r="F603" s="146"/>
      <c r="G603" s="146"/>
      <c r="H603" s="146"/>
      <c r="I603" s="466"/>
      <c r="J603" s="146"/>
      <c r="K603" s="466"/>
      <c r="L603" s="333"/>
    </row>
    <row r="604" spans="1:12">
      <c r="A604" s="144"/>
      <c r="B604" s="145"/>
      <c r="C604" s="144"/>
      <c r="D604" s="144"/>
      <c r="E604" s="146"/>
      <c r="F604" s="146"/>
      <c r="G604" s="146"/>
      <c r="H604" s="146"/>
      <c r="I604" s="466"/>
      <c r="J604" s="146"/>
      <c r="K604" s="466"/>
      <c r="L604" s="333"/>
    </row>
    <row r="605" spans="1:12">
      <c r="A605" s="144"/>
      <c r="B605" s="145"/>
      <c r="C605" s="144"/>
      <c r="D605" s="144"/>
      <c r="E605" s="146"/>
      <c r="F605" s="146"/>
      <c r="G605" s="146"/>
      <c r="H605" s="146"/>
      <c r="I605" s="466"/>
      <c r="J605" s="146"/>
      <c r="K605" s="466"/>
      <c r="L605" s="333"/>
    </row>
    <row r="606" spans="1:12">
      <c r="A606" s="144"/>
      <c r="B606" s="145"/>
      <c r="C606" s="144"/>
      <c r="D606" s="144"/>
      <c r="E606" s="146"/>
      <c r="F606" s="146"/>
      <c r="G606" s="146"/>
      <c r="H606" s="146"/>
      <c r="I606" s="466"/>
      <c r="J606" s="146"/>
      <c r="K606" s="466"/>
      <c r="L606" s="333"/>
    </row>
    <row r="607" spans="1:12">
      <c r="A607" s="144"/>
      <c r="B607" s="145"/>
      <c r="C607" s="144"/>
      <c r="D607" s="144"/>
      <c r="E607" s="146"/>
      <c r="F607" s="146"/>
      <c r="G607" s="146"/>
      <c r="H607" s="146"/>
      <c r="I607" s="466"/>
      <c r="J607" s="146"/>
      <c r="K607" s="466"/>
      <c r="L607" s="333"/>
    </row>
    <row r="608" spans="1:12">
      <c r="A608" s="144"/>
      <c r="B608" s="145"/>
      <c r="C608" s="144"/>
      <c r="D608" s="144"/>
      <c r="E608" s="146"/>
      <c r="F608" s="146"/>
      <c r="G608" s="146"/>
      <c r="H608" s="146"/>
      <c r="I608" s="466"/>
      <c r="J608" s="146"/>
      <c r="K608" s="466"/>
      <c r="L608" s="333"/>
    </row>
    <row r="609" spans="1:12">
      <c r="A609" s="144"/>
      <c r="B609" s="145"/>
      <c r="C609" s="144"/>
      <c r="D609" s="144"/>
      <c r="E609" s="146"/>
      <c r="F609" s="146"/>
      <c r="G609" s="146"/>
      <c r="H609" s="146"/>
      <c r="I609" s="466"/>
      <c r="J609" s="146"/>
      <c r="K609" s="466"/>
      <c r="L609" s="333"/>
    </row>
    <row r="610" spans="1:12">
      <c r="A610" s="144"/>
      <c r="B610" s="145"/>
      <c r="C610" s="144"/>
      <c r="D610" s="144"/>
      <c r="E610" s="146"/>
      <c r="F610" s="146"/>
      <c r="G610" s="146"/>
      <c r="H610" s="146"/>
      <c r="I610" s="466"/>
      <c r="J610" s="146"/>
      <c r="K610" s="466"/>
      <c r="L610" s="333"/>
    </row>
    <row r="611" spans="1:12">
      <c r="A611" s="144"/>
      <c r="B611" s="145"/>
      <c r="C611" s="144"/>
      <c r="D611" s="144"/>
      <c r="E611" s="146"/>
      <c r="F611" s="146"/>
      <c r="G611" s="146"/>
      <c r="H611" s="146"/>
      <c r="I611" s="466"/>
      <c r="J611" s="146"/>
      <c r="K611" s="466"/>
      <c r="L611" s="333"/>
    </row>
    <row r="612" spans="1:12">
      <c r="A612" s="144"/>
      <c r="B612" s="145"/>
      <c r="C612" s="144"/>
      <c r="D612" s="144"/>
      <c r="E612" s="146"/>
      <c r="F612" s="146"/>
      <c r="G612" s="146"/>
      <c r="H612" s="146"/>
      <c r="I612" s="466"/>
      <c r="J612" s="146"/>
      <c r="K612" s="466"/>
      <c r="L612" s="333"/>
    </row>
    <row r="613" spans="1:12">
      <c r="A613" s="144"/>
      <c r="B613" s="145"/>
      <c r="C613" s="144"/>
      <c r="D613" s="144"/>
      <c r="E613" s="146"/>
      <c r="F613" s="146"/>
      <c r="G613" s="146"/>
      <c r="H613" s="146"/>
      <c r="I613" s="466"/>
      <c r="J613" s="146"/>
      <c r="K613" s="466"/>
      <c r="L613" s="333"/>
    </row>
    <row r="614" spans="1:12">
      <c r="A614" s="144"/>
      <c r="B614" s="145"/>
      <c r="C614" s="144"/>
      <c r="D614" s="144"/>
      <c r="E614" s="146"/>
      <c r="F614" s="146"/>
      <c r="G614" s="146"/>
      <c r="H614" s="146"/>
      <c r="I614" s="466"/>
      <c r="J614" s="146"/>
      <c r="K614" s="466"/>
      <c r="L614" s="333"/>
    </row>
    <row r="615" spans="1:12">
      <c r="A615" s="144"/>
      <c r="B615" s="145"/>
      <c r="C615" s="144"/>
      <c r="D615" s="144"/>
      <c r="E615" s="146"/>
      <c r="F615" s="146"/>
      <c r="G615" s="146"/>
      <c r="H615" s="146"/>
      <c r="I615" s="466"/>
      <c r="J615" s="146"/>
      <c r="K615" s="466"/>
      <c r="L615" s="333"/>
    </row>
    <row r="616" spans="1:12">
      <c r="A616" s="144"/>
      <c r="B616" s="145"/>
      <c r="C616" s="144"/>
      <c r="D616" s="144"/>
      <c r="E616" s="146"/>
      <c r="F616" s="146"/>
      <c r="G616" s="146"/>
      <c r="H616" s="146"/>
      <c r="I616" s="466"/>
      <c r="J616" s="146"/>
      <c r="K616" s="466"/>
      <c r="L616" s="333"/>
    </row>
    <row r="617" spans="1:12">
      <c r="A617" s="144"/>
      <c r="B617" s="145"/>
      <c r="C617" s="144"/>
      <c r="D617" s="144"/>
      <c r="E617" s="146"/>
      <c r="F617" s="146"/>
      <c r="G617" s="146"/>
      <c r="H617" s="146"/>
      <c r="I617" s="466"/>
      <c r="J617" s="146"/>
      <c r="K617" s="466"/>
      <c r="L617" s="333"/>
    </row>
    <row r="618" spans="1:12">
      <c r="A618" s="144"/>
      <c r="B618" s="145"/>
      <c r="C618" s="144"/>
      <c r="D618" s="144"/>
      <c r="E618" s="146"/>
      <c r="F618" s="146"/>
      <c r="G618" s="146"/>
      <c r="H618" s="146"/>
      <c r="I618" s="466"/>
      <c r="J618" s="146"/>
      <c r="K618" s="466"/>
      <c r="L618" s="333"/>
    </row>
    <row r="619" spans="1:12">
      <c r="A619" s="144"/>
      <c r="B619" s="145"/>
      <c r="C619" s="144"/>
      <c r="D619" s="144"/>
      <c r="E619" s="146"/>
      <c r="F619" s="146"/>
      <c r="G619" s="146"/>
      <c r="H619" s="146"/>
      <c r="I619" s="466"/>
      <c r="J619" s="146"/>
      <c r="K619" s="466"/>
      <c r="L619" s="333"/>
    </row>
    <row r="620" spans="1:12">
      <c r="A620" s="144"/>
      <c r="B620" s="145"/>
      <c r="C620" s="144"/>
      <c r="D620" s="144"/>
      <c r="E620" s="146"/>
      <c r="F620" s="146"/>
      <c r="G620" s="146"/>
      <c r="H620" s="146"/>
      <c r="I620" s="466"/>
      <c r="J620" s="146"/>
      <c r="K620" s="466"/>
      <c r="L620" s="333"/>
    </row>
    <row r="621" spans="1:12">
      <c r="A621" s="144"/>
      <c r="B621" s="145"/>
      <c r="C621" s="144"/>
      <c r="D621" s="144"/>
      <c r="E621" s="146"/>
      <c r="F621" s="146"/>
      <c r="G621" s="146"/>
      <c r="H621" s="146"/>
      <c r="I621" s="466"/>
      <c r="J621" s="146"/>
      <c r="K621" s="466"/>
      <c r="L621" s="333"/>
    </row>
    <row r="622" spans="1:12">
      <c r="A622" s="144"/>
      <c r="B622" s="145"/>
      <c r="C622" s="144"/>
      <c r="D622" s="144"/>
      <c r="E622" s="146"/>
      <c r="F622" s="146"/>
      <c r="G622" s="146"/>
      <c r="H622" s="146"/>
      <c r="I622" s="466"/>
      <c r="J622" s="146"/>
      <c r="K622" s="466"/>
      <c r="L622" s="333"/>
    </row>
    <row r="623" spans="1:12">
      <c r="A623" s="144"/>
      <c r="B623" s="145"/>
      <c r="C623" s="144"/>
      <c r="D623" s="144"/>
      <c r="E623" s="146"/>
      <c r="F623" s="146"/>
      <c r="G623" s="146"/>
      <c r="H623" s="146"/>
      <c r="I623" s="466"/>
      <c r="J623" s="146"/>
      <c r="K623" s="466"/>
      <c r="L623" s="333"/>
    </row>
    <row r="624" spans="1:12">
      <c r="A624" s="144"/>
      <c r="B624" s="145"/>
      <c r="C624" s="144"/>
      <c r="D624" s="144"/>
      <c r="E624" s="146"/>
      <c r="F624" s="146"/>
      <c r="G624" s="146"/>
      <c r="H624" s="146"/>
      <c r="I624" s="466"/>
      <c r="J624" s="146"/>
      <c r="K624" s="466"/>
      <c r="L624" s="333"/>
    </row>
    <row r="625" spans="1:12">
      <c r="A625" s="144"/>
      <c r="B625" s="145"/>
      <c r="C625" s="144"/>
      <c r="D625" s="144"/>
      <c r="E625" s="146"/>
      <c r="F625" s="146"/>
      <c r="G625" s="146"/>
      <c r="H625" s="146"/>
      <c r="I625" s="466"/>
      <c r="J625" s="146"/>
      <c r="K625" s="466"/>
      <c r="L625" s="333"/>
    </row>
    <row r="626" spans="1:12">
      <c r="A626" s="144"/>
      <c r="B626" s="145"/>
      <c r="C626" s="144"/>
      <c r="D626" s="144"/>
      <c r="E626" s="146"/>
      <c r="F626" s="146"/>
      <c r="G626" s="146"/>
      <c r="H626" s="146"/>
      <c r="I626" s="466"/>
      <c r="J626" s="146"/>
      <c r="K626" s="466"/>
      <c r="L626" s="333"/>
    </row>
    <row r="627" spans="1:12">
      <c r="A627" s="144"/>
      <c r="B627" s="145"/>
      <c r="C627" s="144"/>
      <c r="D627" s="144"/>
      <c r="E627" s="146"/>
      <c r="F627" s="146"/>
      <c r="G627" s="146"/>
      <c r="H627" s="146"/>
      <c r="I627" s="466"/>
      <c r="J627" s="146"/>
      <c r="K627" s="466"/>
      <c r="L627" s="333"/>
    </row>
    <row r="628" spans="1:12">
      <c r="A628" s="144"/>
      <c r="B628" s="145"/>
      <c r="C628" s="144"/>
      <c r="D628" s="144"/>
      <c r="E628" s="146"/>
      <c r="F628" s="146"/>
      <c r="G628" s="146"/>
      <c r="H628" s="146"/>
      <c r="I628" s="466"/>
      <c r="J628" s="146"/>
      <c r="K628" s="466"/>
      <c r="L628" s="333"/>
    </row>
    <row r="629" spans="1:12">
      <c r="A629" s="144"/>
      <c r="B629" s="145"/>
      <c r="C629" s="144"/>
      <c r="D629" s="144"/>
      <c r="E629" s="146"/>
      <c r="F629" s="146"/>
      <c r="G629" s="146"/>
      <c r="H629" s="146"/>
      <c r="I629" s="466"/>
      <c r="J629" s="146"/>
      <c r="K629" s="466"/>
      <c r="L629" s="333"/>
    </row>
    <row r="630" spans="1:12">
      <c r="A630" s="144"/>
      <c r="B630" s="145"/>
      <c r="C630" s="144"/>
      <c r="D630" s="144"/>
      <c r="E630" s="146"/>
      <c r="F630" s="146"/>
      <c r="G630" s="146"/>
      <c r="H630" s="146"/>
      <c r="I630" s="466"/>
      <c r="J630" s="146"/>
      <c r="K630" s="466"/>
      <c r="L630" s="333"/>
    </row>
    <row r="631" spans="1:12">
      <c r="A631" s="144"/>
      <c r="B631" s="145"/>
      <c r="C631" s="144"/>
      <c r="D631" s="144"/>
      <c r="E631" s="146"/>
      <c r="F631" s="146"/>
      <c r="G631" s="146"/>
      <c r="H631" s="146"/>
      <c r="I631" s="466"/>
      <c r="J631" s="146"/>
      <c r="K631" s="466"/>
      <c r="L631" s="333"/>
    </row>
    <row r="632" spans="1:12">
      <c r="A632" s="144"/>
      <c r="B632" s="145"/>
      <c r="C632" s="144"/>
      <c r="D632" s="144"/>
      <c r="E632" s="146"/>
      <c r="F632" s="146"/>
      <c r="G632" s="146"/>
      <c r="H632" s="146"/>
      <c r="I632" s="466"/>
      <c r="J632" s="146"/>
      <c r="K632" s="466"/>
      <c r="L632" s="333"/>
    </row>
    <row r="633" spans="1:12">
      <c r="A633" s="144"/>
      <c r="B633" s="145"/>
      <c r="C633" s="144"/>
      <c r="D633" s="144"/>
      <c r="E633" s="146"/>
      <c r="F633" s="146"/>
      <c r="G633" s="146"/>
      <c r="H633" s="146"/>
      <c r="I633" s="466"/>
      <c r="J633" s="146"/>
      <c r="K633" s="466"/>
      <c r="L633" s="333"/>
    </row>
    <row r="634" spans="1:12">
      <c r="A634" s="144"/>
      <c r="B634" s="145"/>
      <c r="C634" s="144"/>
      <c r="D634" s="144"/>
      <c r="E634" s="146"/>
      <c r="F634" s="146"/>
      <c r="G634" s="146"/>
      <c r="H634" s="146"/>
      <c r="I634" s="466"/>
      <c r="J634" s="146"/>
      <c r="K634" s="466"/>
      <c r="L634" s="333"/>
    </row>
    <row r="635" spans="1:12">
      <c r="A635" s="144"/>
      <c r="B635" s="145"/>
      <c r="C635" s="144"/>
      <c r="D635" s="144"/>
      <c r="E635" s="146"/>
      <c r="F635" s="146"/>
      <c r="G635" s="146"/>
      <c r="H635" s="146"/>
      <c r="I635" s="466"/>
      <c r="J635" s="146"/>
      <c r="K635" s="466"/>
      <c r="L635" s="333"/>
    </row>
    <row r="636" spans="1:12">
      <c r="A636" s="144"/>
      <c r="B636" s="145"/>
      <c r="C636" s="144"/>
      <c r="D636" s="144"/>
      <c r="E636" s="146"/>
      <c r="F636" s="146"/>
      <c r="G636" s="146"/>
      <c r="H636" s="146"/>
      <c r="I636" s="466"/>
      <c r="J636" s="146"/>
      <c r="K636" s="466"/>
      <c r="L636" s="333"/>
    </row>
    <row r="637" spans="1:12">
      <c r="A637" s="144"/>
      <c r="B637" s="145"/>
      <c r="C637" s="144"/>
      <c r="D637" s="144"/>
      <c r="E637" s="146"/>
      <c r="F637" s="146"/>
      <c r="G637" s="146"/>
      <c r="H637" s="146"/>
      <c r="I637" s="466"/>
      <c r="J637" s="146"/>
      <c r="K637" s="466"/>
      <c r="L637" s="333"/>
    </row>
    <row r="638" spans="1:12">
      <c r="A638" s="144"/>
      <c r="B638" s="145"/>
      <c r="C638" s="144"/>
      <c r="D638" s="144"/>
      <c r="E638" s="146"/>
      <c r="F638" s="146"/>
      <c r="G638" s="146"/>
      <c r="H638" s="146"/>
      <c r="I638" s="466"/>
      <c r="J638" s="146"/>
      <c r="K638" s="466"/>
      <c r="L638" s="333"/>
    </row>
    <row r="639" spans="1:12">
      <c r="A639" s="144"/>
      <c r="B639" s="145"/>
      <c r="C639" s="144"/>
      <c r="D639" s="144"/>
      <c r="E639" s="146"/>
      <c r="F639" s="146"/>
      <c r="G639" s="146"/>
      <c r="H639" s="146"/>
      <c r="I639" s="466"/>
      <c r="J639" s="146"/>
      <c r="K639" s="466"/>
      <c r="L639" s="333"/>
    </row>
    <row r="640" spans="1:12">
      <c r="A640" s="144"/>
      <c r="B640" s="145"/>
      <c r="C640" s="144"/>
      <c r="D640" s="144"/>
      <c r="E640" s="146"/>
      <c r="F640" s="146"/>
      <c r="G640" s="146"/>
      <c r="H640" s="146"/>
      <c r="I640" s="466"/>
      <c r="J640" s="146"/>
      <c r="K640" s="466"/>
      <c r="L640" s="333"/>
    </row>
    <row r="641" spans="1:12">
      <c r="A641" s="144"/>
      <c r="B641" s="145"/>
      <c r="C641" s="144"/>
      <c r="D641" s="144"/>
      <c r="E641" s="146"/>
      <c r="F641" s="146"/>
      <c r="G641" s="146"/>
      <c r="H641" s="146"/>
      <c r="I641" s="466"/>
      <c r="J641" s="146"/>
      <c r="K641" s="466"/>
      <c r="L641" s="333"/>
    </row>
    <row r="642" spans="1:12">
      <c r="A642" s="144"/>
      <c r="B642" s="145"/>
      <c r="C642" s="144"/>
      <c r="D642" s="144"/>
      <c r="E642" s="146"/>
      <c r="F642" s="146"/>
      <c r="G642" s="146"/>
      <c r="H642" s="146"/>
      <c r="I642" s="466"/>
      <c r="J642" s="146"/>
      <c r="K642" s="466"/>
      <c r="L642" s="333"/>
    </row>
    <row r="643" spans="1:12">
      <c r="A643" s="144"/>
      <c r="B643" s="145"/>
      <c r="C643" s="144"/>
      <c r="D643" s="144"/>
      <c r="E643" s="146"/>
      <c r="F643" s="146"/>
      <c r="G643" s="146"/>
      <c r="H643" s="146"/>
      <c r="I643" s="466"/>
      <c r="J643" s="146"/>
      <c r="K643" s="466"/>
      <c r="L643" s="333"/>
    </row>
    <row r="644" spans="1:12">
      <c r="A644" s="144"/>
      <c r="B644" s="145"/>
      <c r="C644" s="144"/>
      <c r="D644" s="144"/>
      <c r="E644" s="146"/>
      <c r="F644" s="146"/>
      <c r="G644" s="146"/>
      <c r="H644" s="146"/>
      <c r="I644" s="466"/>
      <c r="J644" s="146"/>
      <c r="K644" s="466"/>
      <c r="L644" s="333"/>
    </row>
    <row r="645" spans="1:12">
      <c r="A645" s="144"/>
      <c r="B645" s="145"/>
      <c r="C645" s="144"/>
      <c r="D645" s="144"/>
      <c r="E645" s="146"/>
      <c r="F645" s="146"/>
      <c r="G645" s="146"/>
      <c r="H645" s="146"/>
      <c r="I645" s="466"/>
      <c r="J645" s="146"/>
      <c r="K645" s="466"/>
      <c r="L645" s="333"/>
    </row>
    <row r="646" spans="1:12">
      <c r="A646" s="144"/>
      <c r="B646" s="145"/>
      <c r="C646" s="144"/>
      <c r="D646" s="144"/>
      <c r="E646" s="146"/>
      <c r="F646" s="146"/>
      <c r="G646" s="146"/>
      <c r="H646" s="146"/>
      <c r="I646" s="466"/>
      <c r="J646" s="146"/>
      <c r="K646" s="466"/>
      <c r="L646" s="333"/>
    </row>
    <row r="647" spans="1:12">
      <c r="A647" s="144"/>
      <c r="B647" s="145"/>
      <c r="C647" s="144"/>
      <c r="D647" s="144"/>
      <c r="E647" s="146"/>
      <c r="F647" s="146"/>
      <c r="G647" s="146"/>
      <c r="H647" s="146"/>
      <c r="I647" s="466"/>
      <c r="J647" s="146"/>
      <c r="K647" s="466"/>
      <c r="L647" s="333"/>
    </row>
    <row r="648" spans="1:12">
      <c r="A648" s="144"/>
      <c r="B648" s="145"/>
      <c r="C648" s="144"/>
      <c r="D648" s="144"/>
      <c r="E648" s="146"/>
      <c r="F648" s="146"/>
      <c r="G648" s="146"/>
      <c r="H648" s="146"/>
      <c r="I648" s="466"/>
      <c r="J648" s="146"/>
      <c r="K648" s="466"/>
      <c r="L648" s="333"/>
    </row>
    <row r="649" spans="1:12">
      <c r="A649" s="144"/>
      <c r="B649" s="145"/>
      <c r="C649" s="144"/>
      <c r="D649" s="144"/>
      <c r="E649" s="146"/>
      <c r="F649" s="146"/>
      <c r="G649" s="146"/>
      <c r="H649" s="146"/>
      <c r="I649" s="466"/>
      <c r="J649" s="146"/>
      <c r="K649" s="466"/>
      <c r="L649" s="333"/>
    </row>
    <row r="650" spans="1:12">
      <c r="A650" s="144"/>
      <c r="B650" s="145"/>
      <c r="C650" s="144"/>
      <c r="D650" s="144"/>
      <c r="E650" s="146"/>
      <c r="F650" s="146"/>
      <c r="G650" s="146"/>
      <c r="H650" s="146"/>
      <c r="I650" s="466"/>
      <c r="J650" s="146"/>
      <c r="K650" s="466"/>
      <c r="L650" s="333"/>
    </row>
    <row r="651" spans="1:12">
      <c r="A651" s="144"/>
      <c r="B651" s="145"/>
      <c r="C651" s="144"/>
      <c r="D651" s="144"/>
      <c r="E651" s="146"/>
      <c r="F651" s="146"/>
      <c r="G651" s="146"/>
      <c r="H651" s="146"/>
      <c r="I651" s="466"/>
      <c r="J651" s="146"/>
      <c r="K651" s="466"/>
      <c r="L651" s="333"/>
    </row>
    <row r="652" spans="1:12">
      <c r="A652" s="144"/>
      <c r="B652" s="145"/>
      <c r="C652" s="144"/>
      <c r="D652" s="144"/>
      <c r="E652" s="146"/>
      <c r="F652" s="146"/>
      <c r="G652" s="146"/>
      <c r="H652" s="146"/>
      <c r="I652" s="466"/>
      <c r="J652" s="146"/>
      <c r="K652" s="466"/>
      <c r="L652" s="333"/>
    </row>
    <row r="653" spans="1:12">
      <c r="A653" s="144"/>
      <c r="B653" s="145"/>
      <c r="C653" s="144"/>
      <c r="D653" s="144"/>
      <c r="E653" s="146"/>
      <c r="F653" s="146"/>
      <c r="G653" s="146"/>
      <c r="H653" s="146"/>
      <c r="I653" s="466"/>
      <c r="J653" s="146"/>
      <c r="K653" s="466"/>
      <c r="L653" s="333"/>
    </row>
    <row r="654" spans="1:12">
      <c r="A654" s="144"/>
      <c r="B654" s="145"/>
      <c r="C654" s="144"/>
      <c r="D654" s="144"/>
      <c r="E654" s="146"/>
      <c r="F654" s="146"/>
      <c r="G654" s="146"/>
      <c r="H654" s="146"/>
      <c r="I654" s="466"/>
      <c r="J654" s="146"/>
      <c r="K654" s="466"/>
      <c r="L654" s="333"/>
    </row>
    <row r="655" spans="1:12">
      <c r="A655" s="144"/>
      <c r="B655" s="145"/>
      <c r="C655" s="144"/>
      <c r="D655" s="144"/>
      <c r="E655" s="146"/>
      <c r="F655" s="146"/>
      <c r="G655" s="146"/>
      <c r="H655" s="146"/>
      <c r="I655" s="466"/>
      <c r="J655" s="146"/>
      <c r="K655" s="466"/>
      <c r="L655" s="333"/>
    </row>
    <row r="656" spans="1:12">
      <c r="A656" s="144"/>
      <c r="B656" s="145"/>
      <c r="C656" s="144"/>
      <c r="D656" s="144"/>
      <c r="E656" s="146"/>
      <c r="F656" s="146"/>
      <c r="G656" s="146"/>
      <c r="H656" s="146"/>
      <c r="I656" s="466"/>
      <c r="J656" s="146"/>
      <c r="K656" s="466"/>
      <c r="L656" s="333"/>
    </row>
    <row r="657" spans="1:12">
      <c r="A657" s="144"/>
      <c r="B657" s="145"/>
      <c r="C657" s="144"/>
      <c r="D657" s="144"/>
      <c r="E657" s="146"/>
      <c r="F657" s="146"/>
      <c r="G657" s="146"/>
      <c r="H657" s="146"/>
      <c r="I657" s="466"/>
      <c r="J657" s="146"/>
      <c r="K657" s="466"/>
      <c r="L657" s="333"/>
    </row>
    <row r="658" spans="1:12">
      <c r="A658" s="144"/>
      <c r="B658" s="145"/>
      <c r="C658" s="144"/>
      <c r="D658" s="144"/>
      <c r="E658" s="146"/>
      <c r="F658" s="146"/>
      <c r="G658" s="146"/>
      <c r="H658" s="146"/>
      <c r="I658" s="466"/>
      <c r="J658" s="146"/>
      <c r="K658" s="466"/>
      <c r="L658" s="333"/>
    </row>
    <row r="659" spans="1:12">
      <c r="A659" s="144"/>
      <c r="B659" s="145"/>
      <c r="C659" s="144"/>
      <c r="D659" s="144"/>
      <c r="E659" s="146"/>
      <c r="F659" s="146"/>
      <c r="G659" s="146"/>
      <c r="H659" s="146"/>
      <c r="I659" s="466"/>
      <c r="J659" s="146"/>
      <c r="K659" s="466"/>
      <c r="L659" s="333"/>
    </row>
    <row r="660" spans="1:12">
      <c r="A660" s="144"/>
      <c r="B660" s="145"/>
      <c r="C660" s="144"/>
      <c r="D660" s="144"/>
      <c r="E660" s="146"/>
      <c r="F660" s="146"/>
      <c r="G660" s="146"/>
      <c r="H660" s="146"/>
      <c r="I660" s="466"/>
      <c r="J660" s="146"/>
      <c r="K660" s="466"/>
      <c r="L660" s="333"/>
    </row>
    <row r="661" spans="1:12">
      <c r="A661" s="144"/>
      <c r="B661" s="145"/>
      <c r="C661" s="144"/>
      <c r="D661" s="144"/>
      <c r="E661" s="146"/>
      <c r="F661" s="146"/>
      <c r="G661" s="146"/>
      <c r="H661" s="146"/>
      <c r="I661" s="466"/>
      <c r="J661" s="146"/>
      <c r="K661" s="466"/>
      <c r="L661" s="333"/>
    </row>
    <row r="662" spans="1:12">
      <c r="A662" s="144"/>
      <c r="B662" s="145"/>
      <c r="C662" s="144"/>
      <c r="D662" s="144"/>
      <c r="E662" s="146"/>
      <c r="F662" s="146"/>
      <c r="G662" s="146"/>
      <c r="H662" s="146"/>
      <c r="I662" s="466"/>
      <c r="J662" s="146"/>
      <c r="K662" s="466"/>
      <c r="L662" s="333"/>
    </row>
    <row r="663" spans="1:12">
      <c r="A663" s="144"/>
      <c r="B663" s="145"/>
      <c r="C663" s="144"/>
      <c r="D663" s="144"/>
      <c r="E663" s="146"/>
      <c r="F663" s="146"/>
      <c r="G663" s="146"/>
      <c r="H663" s="146"/>
      <c r="I663" s="466"/>
      <c r="J663" s="146"/>
      <c r="K663" s="466"/>
      <c r="L663" s="333"/>
    </row>
    <row r="664" spans="1:12">
      <c r="A664" s="144"/>
      <c r="B664" s="145"/>
      <c r="C664" s="144"/>
      <c r="D664" s="144"/>
      <c r="E664" s="146"/>
      <c r="F664" s="146"/>
      <c r="G664" s="146"/>
      <c r="H664" s="146"/>
      <c r="I664" s="466"/>
      <c r="J664" s="146"/>
      <c r="K664" s="466"/>
      <c r="L664" s="333"/>
    </row>
    <row r="665" spans="1:12">
      <c r="A665" s="144"/>
      <c r="B665" s="145"/>
      <c r="C665" s="144"/>
      <c r="D665" s="144"/>
      <c r="E665" s="146"/>
      <c r="F665" s="146"/>
      <c r="G665" s="146"/>
      <c r="H665" s="146"/>
      <c r="I665" s="466"/>
      <c r="J665" s="146"/>
      <c r="K665" s="466"/>
      <c r="L665" s="333"/>
    </row>
    <row r="666" spans="1:12">
      <c r="A666" s="144"/>
      <c r="B666" s="145"/>
      <c r="C666" s="144"/>
      <c r="D666" s="144"/>
      <c r="E666" s="146"/>
      <c r="F666" s="146"/>
      <c r="G666" s="146"/>
      <c r="H666" s="146"/>
      <c r="I666" s="466"/>
      <c r="J666" s="146"/>
      <c r="K666" s="466"/>
      <c r="L666" s="333"/>
    </row>
    <row r="667" spans="1:12">
      <c r="A667" s="144"/>
      <c r="B667" s="145"/>
      <c r="C667" s="144"/>
      <c r="D667" s="144"/>
      <c r="E667" s="146"/>
      <c r="F667" s="146"/>
      <c r="G667" s="146"/>
      <c r="H667" s="146"/>
      <c r="I667" s="466"/>
      <c r="J667" s="146"/>
      <c r="K667" s="466"/>
      <c r="L667" s="333"/>
    </row>
    <row r="668" spans="1:12">
      <c r="A668" s="144"/>
      <c r="B668" s="145"/>
      <c r="C668" s="144"/>
      <c r="D668" s="144"/>
      <c r="E668" s="146"/>
      <c r="F668" s="146"/>
      <c r="G668" s="146"/>
      <c r="H668" s="146"/>
      <c r="I668" s="466"/>
      <c r="J668" s="146"/>
      <c r="K668" s="466"/>
      <c r="L668" s="333"/>
    </row>
    <row r="669" spans="1:12">
      <c r="A669" s="144"/>
      <c r="B669" s="145"/>
      <c r="C669" s="144"/>
      <c r="D669" s="144"/>
      <c r="E669" s="146"/>
      <c r="F669" s="146"/>
      <c r="G669" s="146"/>
      <c r="H669" s="146"/>
      <c r="I669" s="466"/>
      <c r="J669" s="146"/>
      <c r="K669" s="466"/>
      <c r="L669" s="333"/>
    </row>
    <row r="670" spans="1:12">
      <c r="A670" s="144"/>
      <c r="B670" s="145"/>
      <c r="C670" s="144"/>
      <c r="D670" s="144"/>
      <c r="E670" s="146"/>
      <c r="F670" s="146"/>
      <c r="G670" s="146"/>
      <c r="H670" s="146"/>
      <c r="I670" s="466"/>
      <c r="J670" s="146"/>
      <c r="K670" s="466"/>
      <c r="L670" s="333"/>
    </row>
    <row r="671" spans="1:12">
      <c r="A671" s="144"/>
      <c r="B671" s="145"/>
      <c r="C671" s="144"/>
      <c r="D671" s="144"/>
      <c r="E671" s="146"/>
      <c r="F671" s="146"/>
      <c r="G671" s="146"/>
      <c r="H671" s="146"/>
      <c r="I671" s="466"/>
      <c r="J671" s="146"/>
      <c r="K671" s="466"/>
      <c r="L671" s="333"/>
    </row>
    <row r="672" spans="1:12">
      <c r="A672" s="144"/>
      <c r="B672" s="145"/>
      <c r="C672" s="144"/>
      <c r="D672" s="144"/>
      <c r="E672" s="146"/>
      <c r="F672" s="146"/>
      <c r="G672" s="146"/>
      <c r="H672" s="146"/>
      <c r="I672" s="466"/>
      <c r="J672" s="146"/>
      <c r="K672" s="466"/>
      <c r="L672" s="333"/>
    </row>
    <row r="673" spans="1:12">
      <c r="A673" s="144"/>
      <c r="B673" s="145"/>
      <c r="C673" s="144"/>
      <c r="D673" s="144"/>
      <c r="E673" s="146"/>
      <c r="F673" s="146"/>
      <c r="G673" s="146"/>
      <c r="H673" s="146"/>
      <c r="I673" s="466"/>
      <c r="J673" s="146"/>
      <c r="K673" s="466"/>
      <c r="L673" s="333"/>
    </row>
    <row r="674" spans="1:12">
      <c r="A674" s="144"/>
      <c r="B674" s="145"/>
      <c r="C674" s="144"/>
      <c r="D674" s="144"/>
      <c r="E674" s="146"/>
      <c r="F674" s="146"/>
      <c r="G674" s="146"/>
      <c r="H674" s="146"/>
      <c r="I674" s="466"/>
      <c r="J674" s="146"/>
      <c r="K674" s="466"/>
      <c r="L674" s="333"/>
    </row>
    <row r="675" spans="1:12">
      <c r="A675" s="144"/>
      <c r="B675" s="145"/>
      <c r="C675" s="144"/>
      <c r="D675" s="144"/>
      <c r="E675" s="146"/>
      <c r="F675" s="146"/>
      <c r="G675" s="146"/>
      <c r="H675" s="146"/>
      <c r="I675" s="466"/>
      <c r="J675" s="146"/>
      <c r="K675" s="466"/>
      <c r="L675" s="333"/>
    </row>
    <row r="676" spans="1:12">
      <c r="A676" s="144"/>
      <c r="B676" s="145"/>
      <c r="C676" s="144"/>
      <c r="D676" s="144"/>
      <c r="E676" s="146"/>
      <c r="F676" s="146"/>
      <c r="G676" s="146"/>
      <c r="H676" s="146"/>
      <c r="I676" s="466"/>
      <c r="J676" s="146"/>
      <c r="K676" s="466"/>
      <c r="L676" s="333"/>
    </row>
    <row r="677" spans="1:12">
      <c r="A677" s="144"/>
      <c r="B677" s="145"/>
      <c r="C677" s="144"/>
      <c r="D677" s="144"/>
      <c r="E677" s="146"/>
      <c r="F677" s="146"/>
      <c r="G677" s="146"/>
      <c r="H677" s="146"/>
      <c r="I677" s="466"/>
      <c r="J677" s="146"/>
      <c r="K677" s="466"/>
      <c r="L677" s="333"/>
    </row>
    <row r="678" spans="1:12">
      <c r="A678" s="144"/>
      <c r="B678" s="145"/>
      <c r="C678" s="144"/>
      <c r="D678" s="144"/>
      <c r="E678" s="146"/>
      <c r="F678" s="146"/>
      <c r="G678" s="146"/>
      <c r="H678" s="146"/>
      <c r="I678" s="466"/>
      <c r="J678" s="146"/>
      <c r="K678" s="466"/>
      <c r="L678" s="333"/>
    </row>
    <row r="679" spans="1:12">
      <c r="A679" s="144"/>
      <c r="B679" s="145"/>
      <c r="C679" s="144"/>
      <c r="D679" s="144"/>
      <c r="E679" s="146"/>
      <c r="F679" s="146"/>
      <c r="G679" s="146"/>
      <c r="H679" s="146"/>
      <c r="I679" s="466"/>
      <c r="J679" s="146"/>
      <c r="K679" s="466"/>
      <c r="L679" s="333"/>
    </row>
    <row r="680" spans="1:12">
      <c r="A680" s="144"/>
      <c r="B680" s="145"/>
      <c r="C680" s="144"/>
      <c r="D680" s="144"/>
      <c r="E680" s="146"/>
      <c r="F680" s="146"/>
      <c r="G680" s="146"/>
      <c r="H680" s="146"/>
      <c r="I680" s="466"/>
      <c r="J680" s="146"/>
      <c r="K680" s="466"/>
      <c r="L680" s="333"/>
    </row>
    <row r="681" spans="1:12">
      <c r="A681" s="144"/>
      <c r="B681" s="145"/>
      <c r="C681" s="144"/>
      <c r="D681" s="144"/>
      <c r="E681" s="146"/>
      <c r="F681" s="146"/>
      <c r="G681" s="146"/>
      <c r="H681" s="146"/>
      <c r="I681" s="466"/>
      <c r="J681" s="146"/>
      <c r="K681" s="466"/>
      <c r="L681" s="333"/>
    </row>
    <row r="682" spans="1:12">
      <c r="A682" s="144"/>
      <c r="B682" s="145"/>
      <c r="C682" s="144"/>
      <c r="D682" s="144"/>
      <c r="E682" s="146"/>
      <c r="F682" s="146"/>
      <c r="G682" s="146"/>
      <c r="H682" s="146"/>
      <c r="I682" s="466"/>
      <c r="J682" s="146"/>
      <c r="K682" s="466"/>
      <c r="L682" s="333"/>
    </row>
    <row r="683" spans="1:12">
      <c r="A683" s="144"/>
      <c r="B683" s="145"/>
      <c r="C683" s="144"/>
      <c r="D683" s="144"/>
      <c r="E683" s="146"/>
      <c r="F683" s="146"/>
      <c r="G683" s="146"/>
      <c r="H683" s="146"/>
      <c r="I683" s="466"/>
      <c r="J683" s="146"/>
      <c r="K683" s="466"/>
      <c r="L683" s="333"/>
    </row>
    <row r="684" spans="1:12">
      <c r="A684" s="144"/>
      <c r="B684" s="145"/>
      <c r="C684" s="144"/>
      <c r="D684" s="144"/>
      <c r="E684" s="146"/>
      <c r="F684" s="146"/>
      <c r="G684" s="146"/>
      <c r="H684" s="146"/>
      <c r="I684" s="466"/>
      <c r="J684" s="146"/>
      <c r="K684" s="466"/>
      <c r="L684" s="333"/>
    </row>
    <row r="685" spans="1:12">
      <c r="A685" s="144"/>
      <c r="B685" s="145"/>
      <c r="C685" s="144"/>
      <c r="D685" s="144"/>
      <c r="E685" s="146"/>
      <c r="F685" s="146"/>
      <c r="G685" s="146"/>
      <c r="H685" s="146"/>
      <c r="I685" s="466"/>
      <c r="J685" s="146"/>
      <c r="K685" s="466"/>
      <c r="L685" s="333"/>
    </row>
    <row r="686" spans="1:12">
      <c r="A686" s="144"/>
      <c r="B686" s="145"/>
      <c r="C686" s="144"/>
      <c r="D686" s="144"/>
      <c r="E686" s="146"/>
      <c r="F686" s="146"/>
      <c r="G686" s="146"/>
      <c r="H686" s="146"/>
      <c r="I686" s="466"/>
      <c r="J686" s="146"/>
      <c r="K686" s="466"/>
      <c r="L686" s="333"/>
    </row>
    <row r="687" spans="1:12">
      <c r="A687" s="144"/>
      <c r="B687" s="145"/>
      <c r="C687" s="144"/>
      <c r="D687" s="144"/>
      <c r="E687" s="146"/>
      <c r="F687" s="146"/>
      <c r="G687" s="146"/>
      <c r="H687" s="146"/>
      <c r="I687" s="466"/>
      <c r="J687" s="146"/>
      <c r="K687" s="466"/>
      <c r="L687" s="333"/>
    </row>
    <row r="688" spans="1:12">
      <c r="A688" s="144"/>
      <c r="B688" s="145"/>
      <c r="C688" s="144"/>
      <c r="D688" s="144"/>
      <c r="E688" s="146"/>
      <c r="F688" s="146"/>
      <c r="G688" s="146"/>
      <c r="H688" s="146"/>
      <c r="I688" s="466"/>
      <c r="J688" s="146"/>
      <c r="K688" s="466"/>
      <c r="L688" s="333"/>
    </row>
    <row r="689" spans="1:12">
      <c r="A689" s="144"/>
      <c r="B689" s="145"/>
      <c r="C689" s="144"/>
      <c r="D689" s="144"/>
      <c r="E689" s="146"/>
      <c r="F689" s="146"/>
      <c r="G689" s="146"/>
      <c r="H689" s="146"/>
      <c r="I689" s="466"/>
      <c r="J689" s="146"/>
      <c r="K689" s="466"/>
      <c r="L689" s="333"/>
    </row>
    <row r="690" spans="1:12">
      <c r="A690" s="144"/>
      <c r="B690" s="145"/>
      <c r="C690" s="144"/>
      <c r="D690" s="144"/>
      <c r="E690" s="146"/>
      <c r="F690" s="146"/>
      <c r="G690" s="146"/>
      <c r="H690" s="146"/>
      <c r="I690" s="466"/>
      <c r="J690" s="146"/>
      <c r="K690" s="466"/>
      <c r="L690" s="333"/>
    </row>
    <row r="691" spans="1:12">
      <c r="A691" s="144"/>
      <c r="B691" s="145"/>
      <c r="C691" s="144"/>
      <c r="D691" s="144"/>
      <c r="E691" s="146"/>
      <c r="F691" s="146"/>
      <c r="G691" s="146"/>
      <c r="H691" s="146"/>
      <c r="I691" s="466"/>
      <c r="J691" s="146"/>
      <c r="K691" s="466"/>
      <c r="L691" s="333"/>
    </row>
    <row r="692" spans="1:12">
      <c r="A692" s="144"/>
      <c r="B692" s="145"/>
      <c r="C692" s="144"/>
      <c r="D692" s="144"/>
      <c r="E692" s="146"/>
      <c r="F692" s="146"/>
      <c r="G692" s="146"/>
      <c r="H692" s="146"/>
      <c r="I692" s="466"/>
      <c r="J692" s="146"/>
      <c r="K692" s="466"/>
      <c r="L692" s="333"/>
    </row>
    <row r="693" spans="1:12">
      <c r="A693" s="144"/>
      <c r="B693" s="145"/>
      <c r="C693" s="144"/>
      <c r="D693" s="144"/>
      <c r="E693" s="146"/>
      <c r="F693" s="146"/>
      <c r="G693" s="146"/>
      <c r="H693" s="146"/>
      <c r="I693" s="466"/>
      <c r="J693" s="146"/>
      <c r="K693" s="466"/>
      <c r="L693" s="333"/>
    </row>
    <row r="694" spans="1:12">
      <c r="A694" s="144"/>
      <c r="B694" s="145"/>
      <c r="C694" s="144"/>
      <c r="D694" s="144"/>
      <c r="E694" s="146"/>
      <c r="F694" s="146"/>
      <c r="G694" s="146"/>
      <c r="H694" s="146"/>
      <c r="I694" s="466"/>
      <c r="J694" s="146"/>
      <c r="K694" s="466"/>
      <c r="L694" s="333"/>
    </row>
    <row r="695" spans="1:12">
      <c r="A695" s="144"/>
      <c r="B695" s="145"/>
      <c r="C695" s="144"/>
      <c r="D695" s="144"/>
      <c r="E695" s="146"/>
      <c r="F695" s="146"/>
      <c r="G695" s="146"/>
      <c r="H695" s="146"/>
      <c r="I695" s="466"/>
      <c r="J695" s="146"/>
      <c r="K695" s="466"/>
      <c r="L695" s="333"/>
    </row>
    <row r="696" spans="1:12">
      <c r="A696" s="144"/>
      <c r="B696" s="145"/>
      <c r="C696" s="144"/>
      <c r="D696" s="144"/>
      <c r="E696" s="146"/>
      <c r="F696" s="146"/>
      <c r="G696" s="146"/>
      <c r="H696" s="146"/>
      <c r="I696" s="466"/>
      <c r="J696" s="146"/>
      <c r="K696" s="466"/>
      <c r="L696" s="333"/>
    </row>
    <row r="697" spans="1:12">
      <c r="A697" s="144"/>
      <c r="B697" s="145"/>
      <c r="C697" s="144"/>
      <c r="D697" s="144"/>
      <c r="E697" s="146"/>
      <c r="F697" s="146"/>
      <c r="G697" s="146"/>
      <c r="H697" s="146"/>
      <c r="I697" s="466"/>
      <c r="J697" s="146"/>
      <c r="K697" s="466"/>
      <c r="L697" s="333"/>
    </row>
    <row r="698" spans="1:12">
      <c r="A698" s="144"/>
      <c r="B698" s="145"/>
      <c r="C698" s="144"/>
      <c r="D698" s="144"/>
      <c r="E698" s="146"/>
      <c r="F698" s="146"/>
      <c r="G698" s="146"/>
      <c r="H698" s="146"/>
      <c r="I698" s="466"/>
      <c r="J698" s="146"/>
      <c r="K698" s="466"/>
      <c r="L698" s="333"/>
    </row>
    <row r="699" spans="1:12">
      <c r="A699" s="144"/>
      <c r="B699" s="145"/>
      <c r="C699" s="144"/>
      <c r="D699" s="144"/>
      <c r="E699" s="146"/>
      <c r="F699" s="146"/>
      <c r="G699" s="146"/>
      <c r="H699" s="146"/>
      <c r="I699" s="466"/>
      <c r="J699" s="146"/>
      <c r="K699" s="466"/>
      <c r="L699" s="333"/>
    </row>
    <row r="700" spans="1:12">
      <c r="A700" s="144"/>
      <c r="B700" s="145"/>
      <c r="C700" s="144"/>
      <c r="D700" s="144"/>
      <c r="E700" s="146"/>
      <c r="F700" s="146"/>
      <c r="G700" s="146"/>
      <c r="H700" s="146"/>
      <c r="I700" s="466"/>
      <c r="J700" s="146"/>
      <c r="K700" s="466"/>
      <c r="L700" s="333"/>
    </row>
    <row r="701" spans="1:12">
      <c r="A701" s="144"/>
      <c r="B701" s="145"/>
      <c r="C701" s="144"/>
      <c r="D701" s="144"/>
      <c r="E701" s="146"/>
      <c r="F701" s="146"/>
      <c r="G701" s="146"/>
      <c r="H701" s="146"/>
      <c r="I701" s="466"/>
      <c r="J701" s="146"/>
      <c r="K701" s="466"/>
      <c r="L701" s="333"/>
    </row>
    <row r="702" spans="1:12">
      <c r="A702" s="144"/>
      <c r="B702" s="145"/>
      <c r="C702" s="144"/>
      <c r="D702" s="144"/>
      <c r="E702" s="146"/>
      <c r="F702" s="146"/>
      <c r="G702" s="146"/>
      <c r="H702" s="146"/>
      <c r="I702" s="466"/>
      <c r="J702" s="146"/>
      <c r="K702" s="466"/>
      <c r="L702" s="333"/>
    </row>
    <row r="703" spans="1:12">
      <c r="A703" s="144"/>
      <c r="B703" s="145"/>
      <c r="C703" s="144"/>
      <c r="D703" s="144"/>
      <c r="E703" s="146"/>
      <c r="F703" s="146"/>
      <c r="G703" s="146"/>
      <c r="H703" s="146"/>
      <c r="I703" s="466"/>
      <c r="J703" s="146"/>
      <c r="K703" s="466"/>
      <c r="L703" s="333"/>
    </row>
    <row r="704" spans="1:12">
      <c r="A704" s="144"/>
      <c r="B704" s="145"/>
      <c r="C704" s="144"/>
      <c r="D704" s="144"/>
      <c r="E704" s="146"/>
      <c r="F704" s="146"/>
      <c r="G704" s="146"/>
      <c r="H704" s="146"/>
      <c r="I704" s="466"/>
      <c r="J704" s="146"/>
      <c r="K704" s="466"/>
      <c r="L704" s="333"/>
    </row>
    <row r="705" spans="1:12">
      <c r="A705" s="144"/>
      <c r="B705" s="145"/>
      <c r="C705" s="144"/>
      <c r="D705" s="144"/>
      <c r="E705" s="146"/>
      <c r="F705" s="146"/>
      <c r="G705" s="146"/>
      <c r="H705" s="146"/>
      <c r="I705" s="466"/>
      <c r="J705" s="146"/>
      <c r="K705" s="466"/>
      <c r="L705" s="333"/>
    </row>
    <row r="706" spans="1:12">
      <c r="A706" s="144"/>
      <c r="B706" s="145"/>
      <c r="C706" s="144"/>
      <c r="D706" s="144"/>
      <c r="E706" s="146"/>
      <c r="F706" s="146"/>
      <c r="G706" s="146"/>
      <c r="H706" s="146"/>
      <c r="I706" s="466"/>
      <c r="J706" s="146"/>
      <c r="K706" s="466"/>
      <c r="L706" s="333"/>
    </row>
    <row r="707" spans="1:12">
      <c r="A707" s="144"/>
      <c r="B707" s="145"/>
      <c r="C707" s="144"/>
      <c r="D707" s="144"/>
      <c r="E707" s="146"/>
      <c r="F707" s="146"/>
      <c r="G707" s="146"/>
      <c r="H707" s="146"/>
      <c r="I707" s="466"/>
      <c r="J707" s="146"/>
      <c r="K707" s="466"/>
      <c r="L707" s="333"/>
    </row>
    <row r="708" spans="1:12">
      <c r="A708" s="144"/>
      <c r="B708" s="145"/>
      <c r="C708" s="144"/>
      <c r="D708" s="144"/>
      <c r="E708" s="146"/>
      <c r="F708" s="146"/>
      <c r="G708" s="146"/>
      <c r="H708" s="146"/>
      <c r="I708" s="466"/>
      <c r="J708" s="146"/>
      <c r="K708" s="466"/>
      <c r="L708" s="333"/>
    </row>
    <row r="709" spans="1:12">
      <c r="A709" s="144"/>
      <c r="B709" s="145"/>
      <c r="C709" s="144"/>
      <c r="D709" s="144"/>
      <c r="E709" s="146"/>
      <c r="F709" s="146"/>
      <c r="G709" s="146"/>
      <c r="H709" s="146"/>
      <c r="I709" s="466"/>
      <c r="J709" s="146"/>
      <c r="K709" s="466"/>
      <c r="L709" s="333"/>
    </row>
    <row r="710" spans="1:12">
      <c r="A710" s="144"/>
      <c r="B710" s="145"/>
      <c r="C710" s="144"/>
      <c r="D710" s="144"/>
      <c r="E710" s="146"/>
      <c r="F710" s="146"/>
      <c r="G710" s="146"/>
      <c r="H710" s="146"/>
      <c r="I710" s="466"/>
      <c r="J710" s="146"/>
      <c r="K710" s="466"/>
      <c r="L710" s="333"/>
    </row>
    <row r="711" spans="1:12">
      <c r="A711" s="144"/>
      <c r="B711" s="145"/>
      <c r="C711" s="144"/>
      <c r="D711" s="144"/>
      <c r="E711" s="146"/>
      <c r="F711" s="146"/>
      <c r="G711" s="146"/>
      <c r="H711" s="146"/>
      <c r="I711" s="466"/>
      <c r="J711" s="146"/>
      <c r="K711" s="466"/>
      <c r="L711" s="333"/>
    </row>
    <row r="712" spans="1:12">
      <c r="A712" s="144"/>
      <c r="B712" s="145"/>
      <c r="C712" s="144"/>
      <c r="D712" s="144"/>
      <c r="E712" s="146"/>
      <c r="F712" s="146"/>
      <c r="G712" s="146"/>
      <c r="H712" s="146"/>
      <c r="I712" s="466"/>
      <c r="J712" s="146"/>
      <c r="K712" s="466"/>
      <c r="L712" s="333"/>
    </row>
    <row r="713" spans="1:12">
      <c r="A713" s="144"/>
      <c r="B713" s="145"/>
      <c r="C713" s="144"/>
      <c r="D713" s="144"/>
      <c r="E713" s="146"/>
      <c r="F713" s="146"/>
      <c r="G713" s="146"/>
      <c r="H713" s="146"/>
      <c r="I713" s="466"/>
      <c r="J713" s="146"/>
      <c r="K713" s="466"/>
      <c r="L713" s="333"/>
    </row>
    <row r="714" spans="1:12">
      <c r="A714" s="144"/>
      <c r="B714" s="145"/>
      <c r="C714" s="144"/>
      <c r="D714" s="144"/>
      <c r="E714" s="146"/>
      <c r="F714" s="146"/>
      <c r="G714" s="146"/>
      <c r="H714" s="146"/>
      <c r="I714" s="466"/>
      <c r="J714" s="146"/>
      <c r="K714" s="466"/>
      <c r="L714" s="333"/>
    </row>
    <row r="715" spans="1:12">
      <c r="A715" s="144"/>
      <c r="B715" s="145"/>
      <c r="C715" s="144"/>
      <c r="D715" s="144"/>
      <c r="E715" s="146"/>
      <c r="F715" s="146"/>
      <c r="G715" s="146"/>
      <c r="H715" s="146"/>
      <c r="I715" s="466"/>
      <c r="J715" s="146"/>
      <c r="K715" s="466"/>
      <c r="L715" s="333"/>
    </row>
    <row r="716" spans="1:12">
      <c r="A716" s="144"/>
      <c r="B716" s="145"/>
      <c r="C716" s="144"/>
      <c r="D716" s="144"/>
      <c r="E716" s="146"/>
      <c r="F716" s="146"/>
      <c r="G716" s="146"/>
      <c r="H716" s="146"/>
      <c r="I716" s="466"/>
      <c r="J716" s="146"/>
      <c r="K716" s="466"/>
      <c r="L716" s="333"/>
    </row>
    <row r="717" spans="1:12">
      <c r="A717" s="144"/>
      <c r="B717" s="145"/>
      <c r="C717" s="144"/>
      <c r="D717" s="144"/>
      <c r="E717" s="146"/>
      <c r="F717" s="146"/>
      <c r="G717" s="146"/>
      <c r="H717" s="146"/>
      <c r="I717" s="466"/>
      <c r="J717" s="146"/>
      <c r="K717" s="466"/>
      <c r="L717" s="333"/>
    </row>
    <row r="718" spans="1:12">
      <c r="A718" s="144"/>
      <c r="B718" s="145"/>
      <c r="C718" s="144"/>
      <c r="D718" s="144"/>
      <c r="E718" s="146"/>
      <c r="F718" s="146"/>
      <c r="G718" s="146"/>
      <c r="H718" s="146"/>
      <c r="I718" s="466"/>
      <c r="J718" s="146"/>
      <c r="K718" s="466"/>
      <c r="L718" s="333"/>
    </row>
    <row r="719" spans="1:12">
      <c r="A719" s="144"/>
      <c r="B719" s="145"/>
      <c r="C719" s="144"/>
      <c r="D719" s="144"/>
      <c r="E719" s="146"/>
      <c r="F719" s="146"/>
      <c r="G719" s="146"/>
      <c r="H719" s="146"/>
      <c r="I719" s="466"/>
      <c r="J719" s="146"/>
      <c r="K719" s="466"/>
      <c r="L719" s="333"/>
    </row>
    <row r="720" spans="1:12">
      <c r="A720" s="144"/>
      <c r="B720" s="145"/>
      <c r="C720" s="144"/>
      <c r="D720" s="144"/>
      <c r="E720" s="146"/>
      <c r="F720" s="146"/>
      <c r="G720" s="146"/>
      <c r="H720" s="146"/>
      <c r="I720" s="466"/>
      <c r="J720" s="146"/>
      <c r="K720" s="466"/>
      <c r="L720" s="333"/>
    </row>
    <row r="721" spans="1:12">
      <c r="A721" s="144"/>
      <c r="B721" s="145"/>
      <c r="C721" s="144"/>
      <c r="D721" s="144"/>
      <c r="E721" s="146"/>
      <c r="F721" s="146"/>
      <c r="G721" s="146"/>
      <c r="H721" s="146"/>
      <c r="I721" s="466"/>
      <c r="J721" s="146"/>
      <c r="K721" s="466"/>
      <c r="L721" s="333"/>
    </row>
    <row r="722" spans="1:12">
      <c r="A722" s="144"/>
      <c r="B722" s="145"/>
      <c r="C722" s="144"/>
      <c r="D722" s="144"/>
      <c r="E722" s="146"/>
      <c r="F722" s="146"/>
      <c r="G722" s="146"/>
      <c r="H722" s="146"/>
      <c r="I722" s="466"/>
      <c r="J722" s="146"/>
      <c r="K722" s="466"/>
      <c r="L722" s="333"/>
    </row>
    <row r="723" spans="1:12">
      <c r="A723" s="144"/>
      <c r="B723" s="145"/>
      <c r="C723" s="144"/>
      <c r="D723" s="144"/>
      <c r="E723" s="146"/>
      <c r="F723" s="146"/>
      <c r="G723" s="146"/>
      <c r="H723" s="146"/>
      <c r="I723" s="466"/>
      <c r="J723" s="146"/>
      <c r="K723" s="466"/>
      <c r="L723" s="333"/>
    </row>
    <row r="724" spans="1:12">
      <c r="A724" s="144"/>
      <c r="B724" s="145"/>
      <c r="C724" s="144"/>
      <c r="D724" s="144"/>
      <c r="E724" s="146"/>
      <c r="F724" s="146"/>
      <c r="G724" s="146"/>
      <c r="H724" s="146"/>
      <c r="I724" s="466"/>
      <c r="J724" s="146"/>
      <c r="K724" s="466"/>
      <c r="L724" s="333"/>
    </row>
    <row r="725" spans="1:12">
      <c r="A725" s="144"/>
      <c r="B725" s="145"/>
      <c r="C725" s="144"/>
      <c r="D725" s="144"/>
      <c r="E725" s="146"/>
      <c r="F725" s="146"/>
      <c r="G725" s="146"/>
      <c r="H725" s="146"/>
      <c r="I725" s="466"/>
      <c r="J725" s="146"/>
      <c r="K725" s="466"/>
      <c r="L725" s="333"/>
    </row>
    <row r="726" spans="1:12">
      <c r="A726" s="144"/>
      <c r="B726" s="145"/>
      <c r="C726" s="144"/>
      <c r="D726" s="144"/>
      <c r="E726" s="146"/>
      <c r="F726" s="146"/>
      <c r="G726" s="146"/>
      <c r="H726" s="146"/>
      <c r="I726" s="466"/>
      <c r="J726" s="146"/>
      <c r="K726" s="466"/>
      <c r="L726" s="333"/>
    </row>
    <row r="727" spans="1:12">
      <c r="A727" s="144"/>
      <c r="B727" s="145"/>
      <c r="C727" s="144"/>
      <c r="D727" s="144"/>
      <c r="E727" s="146"/>
      <c r="F727" s="146"/>
      <c r="G727" s="146"/>
      <c r="H727" s="146"/>
      <c r="I727" s="466"/>
      <c r="J727" s="146"/>
      <c r="K727" s="466"/>
      <c r="L727" s="333"/>
    </row>
    <row r="728" spans="1:12">
      <c r="A728" s="144"/>
      <c r="B728" s="145"/>
      <c r="C728" s="144"/>
      <c r="D728" s="144"/>
      <c r="E728" s="146"/>
      <c r="F728" s="146"/>
      <c r="G728" s="146"/>
      <c r="H728" s="146"/>
      <c r="I728" s="466"/>
      <c r="J728" s="146"/>
      <c r="K728" s="466"/>
      <c r="L728" s="333"/>
    </row>
    <row r="729" spans="1:12">
      <c r="A729" s="144"/>
      <c r="B729" s="145"/>
      <c r="C729" s="144"/>
      <c r="D729" s="144"/>
      <c r="E729" s="146"/>
      <c r="F729" s="146"/>
      <c r="G729" s="146"/>
      <c r="H729" s="146"/>
      <c r="I729" s="466"/>
      <c r="J729" s="146"/>
      <c r="K729" s="466"/>
      <c r="L729" s="333"/>
    </row>
    <row r="730" spans="1:12">
      <c r="A730" s="144"/>
      <c r="B730" s="145"/>
      <c r="C730" s="144"/>
      <c r="D730" s="144"/>
      <c r="E730" s="146"/>
      <c r="F730" s="146"/>
      <c r="G730" s="146"/>
      <c r="H730" s="146"/>
      <c r="I730" s="466"/>
      <c r="J730" s="146"/>
      <c r="K730" s="466"/>
      <c r="L730" s="333"/>
    </row>
    <row r="731" spans="1:12">
      <c r="A731" s="144"/>
      <c r="B731" s="145"/>
      <c r="C731" s="144"/>
      <c r="D731" s="144"/>
      <c r="E731" s="146"/>
      <c r="F731" s="146"/>
      <c r="G731" s="146"/>
      <c r="H731" s="146"/>
      <c r="I731" s="466"/>
      <c r="J731" s="146"/>
      <c r="K731" s="466"/>
      <c r="L731" s="333"/>
    </row>
    <row r="732" spans="1:12">
      <c r="A732" s="144"/>
      <c r="B732" s="145"/>
      <c r="C732" s="144"/>
      <c r="D732" s="144"/>
      <c r="E732" s="146"/>
      <c r="F732" s="146"/>
      <c r="G732" s="146"/>
      <c r="H732" s="146"/>
      <c r="I732" s="466"/>
      <c r="J732" s="146"/>
      <c r="K732" s="466"/>
      <c r="L732" s="333"/>
    </row>
    <row r="733" spans="1:12">
      <c r="A733" s="144"/>
      <c r="B733" s="145"/>
      <c r="C733" s="144"/>
      <c r="D733" s="144"/>
      <c r="E733" s="146"/>
      <c r="F733" s="146"/>
      <c r="G733" s="146"/>
      <c r="H733" s="146"/>
      <c r="I733" s="466"/>
      <c r="J733" s="146"/>
      <c r="K733" s="466"/>
      <c r="L733" s="333"/>
    </row>
    <row r="734" spans="1:12">
      <c r="A734" s="144"/>
      <c r="B734" s="145"/>
      <c r="C734" s="144"/>
      <c r="D734" s="144"/>
      <c r="E734" s="146"/>
      <c r="F734" s="146"/>
      <c r="G734" s="146"/>
      <c r="H734" s="146"/>
      <c r="I734" s="466"/>
      <c r="J734" s="146"/>
      <c r="K734" s="466"/>
      <c r="L734" s="333"/>
    </row>
    <row r="735" spans="1:12">
      <c r="A735" s="144"/>
      <c r="B735" s="145"/>
      <c r="C735" s="144"/>
      <c r="D735" s="144"/>
      <c r="E735" s="146"/>
      <c r="F735" s="146"/>
      <c r="G735" s="146"/>
      <c r="H735" s="146"/>
      <c r="I735" s="466"/>
      <c r="J735" s="146"/>
      <c r="K735" s="466"/>
      <c r="L735" s="333"/>
    </row>
    <row r="736" spans="1:12">
      <c r="A736" s="144"/>
      <c r="B736" s="145"/>
      <c r="C736" s="144"/>
      <c r="D736" s="144"/>
      <c r="E736" s="146"/>
      <c r="F736" s="146"/>
      <c r="G736" s="146"/>
      <c r="H736" s="146"/>
      <c r="I736" s="466"/>
      <c r="J736" s="146"/>
      <c r="K736" s="466"/>
      <c r="L736" s="333"/>
    </row>
    <row r="737" spans="1:12">
      <c r="A737" s="144"/>
      <c r="B737" s="145"/>
      <c r="C737" s="144"/>
      <c r="D737" s="144"/>
      <c r="E737" s="146"/>
      <c r="F737" s="146"/>
      <c r="G737" s="146"/>
      <c r="H737" s="146"/>
      <c r="I737" s="466"/>
      <c r="J737" s="146"/>
      <c r="K737" s="466"/>
      <c r="L737" s="333"/>
    </row>
    <row r="738" spans="1:12">
      <c r="A738" s="144"/>
      <c r="B738" s="145"/>
      <c r="C738" s="144"/>
      <c r="D738" s="144"/>
      <c r="E738" s="146"/>
      <c r="F738" s="146"/>
      <c r="G738" s="146"/>
      <c r="H738" s="146"/>
      <c r="I738" s="466"/>
      <c r="J738" s="146"/>
      <c r="K738" s="466"/>
      <c r="L738" s="333"/>
    </row>
    <row r="739" spans="1:12">
      <c r="A739" s="144"/>
      <c r="B739" s="145"/>
      <c r="C739" s="144"/>
      <c r="D739" s="144"/>
      <c r="E739" s="146"/>
      <c r="F739" s="146"/>
      <c r="G739" s="146"/>
      <c r="H739" s="146"/>
      <c r="I739" s="466"/>
      <c r="J739" s="146"/>
      <c r="K739" s="466"/>
      <c r="L739" s="333"/>
    </row>
    <row r="740" spans="1:12">
      <c r="A740" s="144"/>
      <c r="B740" s="145"/>
      <c r="C740" s="144"/>
      <c r="D740" s="144"/>
      <c r="E740" s="146"/>
      <c r="F740" s="146"/>
      <c r="G740" s="146"/>
      <c r="H740" s="146"/>
      <c r="I740" s="466"/>
      <c r="J740" s="146"/>
      <c r="K740" s="466"/>
      <c r="L740" s="333"/>
    </row>
    <row r="741" spans="1:12">
      <c r="A741" s="144"/>
      <c r="B741" s="145"/>
      <c r="C741" s="144"/>
      <c r="D741" s="144"/>
      <c r="E741" s="146"/>
      <c r="F741" s="146"/>
      <c r="G741" s="146"/>
      <c r="H741" s="146"/>
      <c r="I741" s="466"/>
      <c r="J741" s="146"/>
      <c r="K741" s="466"/>
      <c r="L741" s="333"/>
    </row>
    <row r="742" spans="1:12">
      <c r="A742" s="144"/>
      <c r="B742" s="145"/>
      <c r="C742" s="144"/>
      <c r="D742" s="144"/>
      <c r="E742" s="146"/>
      <c r="F742" s="146"/>
      <c r="G742" s="146"/>
      <c r="H742" s="146"/>
      <c r="I742" s="466"/>
      <c r="J742" s="146"/>
      <c r="K742" s="466"/>
      <c r="L742" s="333"/>
    </row>
    <row r="743" spans="1:12">
      <c r="A743" s="144"/>
      <c r="B743" s="145"/>
      <c r="C743" s="144"/>
      <c r="D743" s="144"/>
      <c r="E743" s="146"/>
      <c r="F743" s="146"/>
      <c r="G743" s="146"/>
      <c r="H743" s="146"/>
      <c r="I743" s="466"/>
      <c r="J743" s="146"/>
      <c r="K743" s="466"/>
      <c r="L743" s="333"/>
    </row>
    <row r="744" spans="1:12">
      <c r="A744" s="144"/>
      <c r="B744" s="145"/>
      <c r="C744" s="144"/>
      <c r="D744" s="144"/>
      <c r="E744" s="146"/>
      <c r="F744" s="146"/>
      <c r="G744" s="146"/>
      <c r="H744" s="146"/>
      <c r="I744" s="466"/>
      <c r="J744" s="146"/>
      <c r="K744" s="466"/>
      <c r="L744" s="333"/>
    </row>
    <row r="745" spans="1:12">
      <c r="A745" s="144"/>
      <c r="B745" s="145"/>
      <c r="C745" s="144"/>
      <c r="D745" s="144"/>
      <c r="E745" s="146"/>
      <c r="F745" s="146"/>
      <c r="G745" s="146"/>
      <c r="H745" s="146"/>
      <c r="I745" s="466"/>
      <c r="J745" s="146"/>
      <c r="K745" s="466"/>
      <c r="L745" s="333"/>
    </row>
    <row r="746" spans="1:12">
      <c r="A746" s="144"/>
      <c r="B746" s="145"/>
      <c r="C746" s="144"/>
      <c r="D746" s="144"/>
      <c r="E746" s="146"/>
      <c r="F746" s="146"/>
      <c r="G746" s="146"/>
      <c r="H746" s="146"/>
      <c r="I746" s="466"/>
      <c r="J746" s="146"/>
      <c r="K746" s="466"/>
      <c r="L746" s="333"/>
    </row>
    <row r="747" spans="1:12">
      <c r="A747" s="144"/>
      <c r="B747" s="145"/>
      <c r="C747" s="144"/>
      <c r="D747" s="144"/>
      <c r="E747" s="146"/>
      <c r="F747" s="146"/>
      <c r="G747" s="146"/>
      <c r="H747" s="146"/>
      <c r="I747" s="466"/>
      <c r="J747" s="146"/>
      <c r="K747" s="466"/>
      <c r="L747" s="333"/>
    </row>
    <row r="748" spans="1:12">
      <c r="A748" s="144"/>
      <c r="B748" s="145"/>
      <c r="C748" s="144"/>
      <c r="D748" s="144"/>
      <c r="E748" s="146"/>
      <c r="F748" s="146"/>
      <c r="G748" s="146"/>
      <c r="H748" s="146"/>
      <c r="I748" s="466"/>
      <c r="J748" s="146"/>
      <c r="K748" s="466"/>
      <c r="L748" s="333"/>
    </row>
    <row r="749" spans="1:12">
      <c r="A749" s="144"/>
      <c r="B749" s="145"/>
      <c r="C749" s="144"/>
      <c r="D749" s="144"/>
      <c r="E749" s="146"/>
      <c r="F749" s="146"/>
      <c r="G749" s="146"/>
      <c r="H749" s="146"/>
      <c r="I749" s="466"/>
      <c r="J749" s="146"/>
      <c r="K749" s="466"/>
      <c r="L749" s="333"/>
    </row>
    <row r="750" spans="1:12">
      <c r="A750" s="144"/>
      <c r="B750" s="145"/>
      <c r="C750" s="144"/>
      <c r="D750" s="144"/>
      <c r="E750" s="146"/>
      <c r="F750" s="146"/>
      <c r="G750" s="146"/>
      <c r="H750" s="146"/>
      <c r="I750" s="466"/>
      <c r="J750" s="146"/>
      <c r="K750" s="466"/>
      <c r="L750" s="333"/>
    </row>
    <row r="751" spans="1:12">
      <c r="A751" s="144"/>
      <c r="B751" s="145"/>
      <c r="C751" s="144"/>
      <c r="D751" s="144"/>
      <c r="E751" s="146"/>
      <c r="F751" s="146"/>
      <c r="G751" s="146"/>
      <c r="H751" s="146"/>
      <c r="I751" s="466"/>
      <c r="J751" s="146"/>
      <c r="K751" s="466"/>
      <c r="L751" s="333"/>
    </row>
    <row r="752" spans="1:12">
      <c r="A752" s="144"/>
      <c r="B752" s="145"/>
      <c r="C752" s="144"/>
      <c r="D752" s="144"/>
      <c r="E752" s="146"/>
      <c r="F752" s="146"/>
      <c r="G752" s="146"/>
      <c r="H752" s="146"/>
      <c r="I752" s="466"/>
      <c r="J752" s="146"/>
      <c r="K752" s="466"/>
      <c r="L752" s="333"/>
    </row>
    <row r="753" spans="1:12">
      <c r="A753" s="144"/>
      <c r="B753" s="145"/>
      <c r="C753" s="144"/>
      <c r="D753" s="144"/>
      <c r="E753" s="146"/>
      <c r="F753" s="146"/>
      <c r="G753" s="146"/>
      <c r="H753" s="146"/>
      <c r="I753" s="466"/>
      <c r="J753" s="146"/>
      <c r="K753" s="466"/>
      <c r="L753" s="333"/>
    </row>
    <row r="754" spans="1:12">
      <c r="A754" s="144"/>
      <c r="B754" s="145"/>
      <c r="C754" s="144"/>
      <c r="D754" s="144"/>
      <c r="E754" s="146"/>
      <c r="F754" s="146"/>
      <c r="G754" s="146"/>
      <c r="H754" s="146"/>
      <c r="I754" s="466"/>
      <c r="J754" s="146"/>
      <c r="K754" s="466"/>
      <c r="L754" s="333"/>
    </row>
    <row r="755" spans="1:12">
      <c r="A755" s="144"/>
      <c r="B755" s="145"/>
      <c r="C755" s="144"/>
      <c r="D755" s="144"/>
      <c r="E755" s="146"/>
      <c r="F755" s="146"/>
      <c r="G755" s="146"/>
      <c r="H755" s="146"/>
      <c r="I755" s="466"/>
      <c r="J755" s="146"/>
      <c r="K755" s="466"/>
      <c r="L755" s="333"/>
    </row>
    <row r="756" spans="1:12">
      <c r="A756" s="144"/>
      <c r="B756" s="145"/>
      <c r="C756" s="144"/>
      <c r="D756" s="144"/>
      <c r="E756" s="146"/>
      <c r="F756" s="146"/>
      <c r="G756" s="146"/>
      <c r="H756" s="146"/>
      <c r="I756" s="466"/>
      <c r="J756" s="146"/>
      <c r="K756" s="466"/>
      <c r="L756" s="333"/>
    </row>
    <row r="757" spans="1:12">
      <c r="A757" s="144"/>
      <c r="B757" s="145"/>
      <c r="C757" s="144"/>
      <c r="D757" s="144"/>
      <c r="E757" s="146"/>
      <c r="F757" s="146"/>
      <c r="G757" s="146"/>
      <c r="H757" s="146"/>
      <c r="I757" s="466"/>
      <c r="J757" s="146"/>
      <c r="K757" s="466"/>
      <c r="L757" s="333"/>
    </row>
    <row r="758" spans="1:12">
      <c r="A758" s="144"/>
      <c r="B758" s="145"/>
      <c r="C758" s="144"/>
      <c r="D758" s="144"/>
      <c r="E758" s="146"/>
      <c r="F758" s="146"/>
      <c r="G758" s="146"/>
      <c r="H758" s="146"/>
      <c r="I758" s="466"/>
      <c r="J758" s="146"/>
      <c r="K758" s="466"/>
      <c r="L758" s="333"/>
    </row>
    <row r="759" spans="1:12">
      <c r="A759" s="144"/>
      <c r="B759" s="145"/>
      <c r="C759" s="144"/>
      <c r="D759" s="144"/>
      <c r="E759" s="146"/>
      <c r="F759" s="146"/>
      <c r="G759" s="146"/>
      <c r="H759" s="146"/>
      <c r="I759" s="466"/>
      <c r="J759" s="146"/>
      <c r="K759" s="466"/>
      <c r="L759" s="333"/>
    </row>
    <row r="760" spans="1:12">
      <c r="A760" s="144"/>
      <c r="B760" s="145"/>
      <c r="C760" s="144"/>
      <c r="D760" s="144"/>
      <c r="E760" s="146"/>
      <c r="F760" s="146"/>
      <c r="G760" s="146"/>
      <c r="H760" s="146"/>
      <c r="I760" s="466"/>
      <c r="J760" s="146"/>
      <c r="K760" s="466"/>
      <c r="L760" s="333"/>
    </row>
    <row r="761" spans="1:12">
      <c r="A761" s="144"/>
      <c r="B761" s="145"/>
      <c r="C761" s="144"/>
      <c r="D761" s="144"/>
      <c r="E761" s="146"/>
      <c r="F761" s="146"/>
      <c r="G761" s="146"/>
      <c r="H761" s="146"/>
      <c r="I761" s="466"/>
      <c r="J761" s="146"/>
      <c r="K761" s="466"/>
      <c r="L761" s="333"/>
    </row>
    <row r="762" spans="1:12">
      <c r="A762" s="144"/>
      <c r="B762" s="145"/>
      <c r="C762" s="144"/>
      <c r="D762" s="144"/>
      <c r="E762" s="146"/>
      <c r="F762" s="146"/>
      <c r="G762" s="146"/>
      <c r="H762" s="146"/>
      <c r="I762" s="466"/>
      <c r="J762" s="146"/>
      <c r="K762" s="466"/>
      <c r="L762" s="333"/>
    </row>
    <row r="763" spans="1:12">
      <c r="A763" s="144"/>
      <c r="B763" s="145"/>
      <c r="C763" s="144"/>
      <c r="D763" s="144"/>
      <c r="E763" s="146"/>
      <c r="F763" s="146"/>
      <c r="G763" s="146"/>
      <c r="H763" s="146"/>
      <c r="I763" s="466"/>
      <c r="J763" s="146"/>
      <c r="K763" s="466"/>
      <c r="L763" s="333"/>
    </row>
    <row r="764" spans="1:12">
      <c r="A764" s="144"/>
      <c r="B764" s="145"/>
      <c r="C764" s="144"/>
      <c r="D764" s="144"/>
      <c r="E764" s="146"/>
      <c r="F764" s="146"/>
      <c r="G764" s="146"/>
      <c r="H764" s="146"/>
      <c r="I764" s="466"/>
      <c r="J764" s="146"/>
      <c r="K764" s="466"/>
      <c r="L764" s="333"/>
    </row>
    <row r="765" spans="1:12">
      <c r="A765" s="144"/>
      <c r="B765" s="145"/>
      <c r="C765" s="144"/>
      <c r="D765" s="144"/>
      <c r="E765" s="146"/>
      <c r="F765" s="146"/>
      <c r="G765" s="146"/>
      <c r="H765" s="146"/>
      <c r="I765" s="466"/>
      <c r="J765" s="146"/>
      <c r="K765" s="466"/>
      <c r="L765" s="333"/>
    </row>
    <row r="766" spans="1:12">
      <c r="A766" s="144"/>
      <c r="B766" s="145"/>
      <c r="C766" s="144"/>
      <c r="D766" s="144"/>
      <c r="E766" s="146"/>
      <c r="F766" s="146"/>
      <c r="G766" s="146"/>
      <c r="H766" s="146"/>
      <c r="I766" s="466"/>
      <c r="J766" s="146"/>
      <c r="K766" s="466"/>
      <c r="L766" s="333"/>
    </row>
    <row r="767" spans="1:12">
      <c r="A767" s="144"/>
      <c r="B767" s="145"/>
      <c r="C767" s="144"/>
      <c r="D767" s="144"/>
      <c r="E767" s="146"/>
      <c r="F767" s="146"/>
      <c r="G767" s="146"/>
      <c r="H767" s="146"/>
      <c r="I767" s="466"/>
      <c r="J767" s="146"/>
      <c r="K767" s="466"/>
      <c r="L767" s="333"/>
    </row>
    <row r="768" spans="1:12">
      <c r="A768" s="144"/>
      <c r="B768" s="145"/>
      <c r="C768" s="144"/>
      <c r="D768" s="144"/>
      <c r="E768" s="146"/>
      <c r="F768" s="146"/>
      <c r="G768" s="146"/>
      <c r="H768" s="146"/>
      <c r="I768" s="466"/>
      <c r="J768" s="146"/>
      <c r="K768" s="466"/>
      <c r="L768" s="333"/>
    </row>
    <row r="769" spans="1:12">
      <c r="A769" s="144"/>
      <c r="B769" s="145"/>
      <c r="C769" s="144"/>
      <c r="D769" s="144"/>
      <c r="E769" s="146"/>
      <c r="F769" s="146"/>
      <c r="G769" s="146"/>
      <c r="H769" s="146"/>
      <c r="I769" s="466"/>
      <c r="J769" s="146"/>
      <c r="K769" s="466"/>
      <c r="L769" s="333"/>
    </row>
    <row r="770" spans="1:12">
      <c r="A770" s="144"/>
      <c r="B770" s="145"/>
      <c r="C770" s="144"/>
      <c r="D770" s="144"/>
      <c r="E770" s="146"/>
      <c r="F770" s="146"/>
      <c r="G770" s="146"/>
      <c r="H770" s="146"/>
      <c r="I770" s="466"/>
      <c r="J770" s="146"/>
      <c r="K770" s="466"/>
      <c r="L770" s="333"/>
    </row>
    <row r="771" spans="1:12">
      <c r="A771" s="144"/>
      <c r="B771" s="145"/>
      <c r="C771" s="144"/>
      <c r="D771" s="144"/>
      <c r="E771" s="146"/>
      <c r="F771" s="146"/>
      <c r="G771" s="146"/>
      <c r="H771" s="146"/>
      <c r="I771" s="466"/>
      <c r="J771" s="146"/>
      <c r="K771" s="466"/>
      <c r="L771" s="333"/>
    </row>
    <row r="772" spans="1:12">
      <c r="A772" s="144"/>
      <c r="B772" s="145"/>
      <c r="C772" s="144"/>
      <c r="D772" s="144"/>
      <c r="E772" s="146"/>
      <c r="F772" s="146"/>
      <c r="G772" s="146"/>
      <c r="H772" s="146"/>
      <c r="I772" s="466"/>
      <c r="J772" s="146"/>
      <c r="K772" s="466"/>
      <c r="L772" s="333"/>
    </row>
    <row r="773" spans="1:12">
      <c r="A773" s="144"/>
      <c r="B773" s="145"/>
      <c r="C773" s="144"/>
      <c r="D773" s="144"/>
      <c r="E773" s="146"/>
      <c r="F773" s="146"/>
      <c r="G773" s="146"/>
      <c r="H773" s="146"/>
      <c r="I773" s="466"/>
      <c r="J773" s="146"/>
      <c r="K773" s="466"/>
      <c r="L773" s="333"/>
    </row>
    <row r="774" spans="1:12">
      <c r="A774" s="144"/>
      <c r="B774" s="145"/>
      <c r="C774" s="144"/>
      <c r="D774" s="144"/>
      <c r="E774" s="146"/>
      <c r="F774" s="146"/>
      <c r="G774" s="146"/>
      <c r="H774" s="146"/>
      <c r="I774" s="466"/>
      <c r="J774" s="146"/>
      <c r="K774" s="466"/>
      <c r="L774" s="333"/>
    </row>
    <row r="775" spans="1:12">
      <c r="A775" s="144"/>
      <c r="B775" s="145"/>
      <c r="C775" s="144"/>
      <c r="D775" s="144"/>
      <c r="E775" s="146"/>
      <c r="F775" s="146"/>
      <c r="G775" s="146"/>
      <c r="H775" s="146"/>
      <c r="I775" s="466"/>
      <c r="J775" s="146"/>
      <c r="K775" s="466"/>
      <c r="L775" s="333"/>
    </row>
    <row r="776" spans="1:12">
      <c r="A776" s="144"/>
      <c r="B776" s="145"/>
      <c r="C776" s="144"/>
      <c r="D776" s="144"/>
      <c r="E776" s="146"/>
      <c r="F776" s="146"/>
      <c r="G776" s="146"/>
      <c r="H776" s="146"/>
      <c r="I776" s="466"/>
      <c r="J776" s="146"/>
      <c r="K776" s="466"/>
      <c r="L776" s="333"/>
    </row>
    <row r="777" spans="1:12">
      <c r="A777" s="144"/>
      <c r="B777" s="145"/>
      <c r="C777" s="144"/>
      <c r="D777" s="144"/>
      <c r="E777" s="146"/>
      <c r="F777" s="146"/>
      <c r="G777" s="146"/>
      <c r="H777" s="146"/>
      <c r="I777" s="466"/>
      <c r="J777" s="146"/>
      <c r="K777" s="466"/>
      <c r="L777" s="333"/>
    </row>
    <row r="778" spans="1:12">
      <c r="A778" s="144"/>
      <c r="B778" s="145"/>
      <c r="C778" s="144"/>
      <c r="D778" s="144"/>
      <c r="E778" s="146"/>
      <c r="F778" s="146"/>
      <c r="G778" s="146"/>
      <c r="H778" s="146"/>
      <c r="I778" s="466"/>
      <c r="J778" s="146"/>
      <c r="K778" s="466"/>
      <c r="L778" s="333"/>
    </row>
    <row r="779" spans="1:12">
      <c r="A779" s="144"/>
      <c r="B779" s="145"/>
      <c r="C779" s="144"/>
      <c r="D779" s="144"/>
      <c r="E779" s="146"/>
      <c r="F779" s="146"/>
      <c r="G779" s="146"/>
      <c r="H779" s="146"/>
      <c r="I779" s="466"/>
      <c r="J779" s="146"/>
      <c r="K779" s="466"/>
      <c r="L779" s="333"/>
    </row>
    <row r="780" spans="1:12">
      <c r="A780" s="144"/>
      <c r="B780" s="145"/>
      <c r="C780" s="144"/>
      <c r="D780" s="144"/>
      <c r="E780" s="146"/>
      <c r="F780" s="146"/>
      <c r="G780" s="146"/>
      <c r="H780" s="146"/>
      <c r="I780" s="466"/>
      <c r="J780" s="146"/>
      <c r="K780" s="466"/>
      <c r="L780" s="333"/>
    </row>
    <row r="781" spans="1:12">
      <c r="A781" s="144"/>
      <c r="B781" s="145"/>
      <c r="C781" s="144"/>
      <c r="D781" s="144"/>
      <c r="E781" s="146"/>
      <c r="F781" s="146"/>
      <c r="G781" s="146"/>
      <c r="H781" s="146"/>
      <c r="I781" s="466"/>
      <c r="J781" s="146"/>
      <c r="K781" s="466"/>
      <c r="L781" s="333"/>
    </row>
    <row r="782" spans="1:12">
      <c r="A782" s="144"/>
      <c r="B782" s="145"/>
      <c r="C782" s="144"/>
      <c r="D782" s="144"/>
      <c r="E782" s="146"/>
      <c r="F782" s="146"/>
      <c r="G782" s="146"/>
      <c r="H782" s="146"/>
      <c r="I782" s="466"/>
      <c r="J782" s="146"/>
      <c r="K782" s="466"/>
      <c r="L782" s="333"/>
    </row>
    <row r="783" spans="1:12">
      <c r="A783" s="144"/>
      <c r="B783" s="145"/>
      <c r="C783" s="144"/>
      <c r="D783" s="144"/>
      <c r="E783" s="146"/>
      <c r="F783" s="146"/>
      <c r="G783" s="146"/>
      <c r="H783" s="146"/>
      <c r="I783" s="466"/>
      <c r="J783" s="146"/>
      <c r="K783" s="466"/>
      <c r="L783" s="333"/>
    </row>
    <row r="784" spans="1:12">
      <c r="A784" s="144"/>
      <c r="B784" s="145"/>
      <c r="C784" s="144"/>
      <c r="D784" s="144"/>
      <c r="E784" s="146"/>
      <c r="F784" s="146"/>
      <c r="G784" s="146"/>
      <c r="H784" s="146"/>
      <c r="I784" s="466"/>
      <c r="J784" s="146"/>
      <c r="K784" s="466"/>
      <c r="L784" s="333"/>
    </row>
    <row r="785" spans="1:12">
      <c r="A785" s="144"/>
      <c r="B785" s="145"/>
      <c r="C785" s="144"/>
      <c r="D785" s="144"/>
      <c r="E785" s="146"/>
      <c r="F785" s="146"/>
      <c r="G785" s="146"/>
      <c r="H785" s="146"/>
      <c r="I785" s="466"/>
      <c r="J785" s="146"/>
      <c r="K785" s="466"/>
      <c r="L785" s="333"/>
    </row>
    <row r="786" spans="1:12">
      <c r="A786" s="144"/>
      <c r="B786" s="145"/>
      <c r="C786" s="144"/>
      <c r="D786" s="144"/>
      <c r="E786" s="146"/>
      <c r="F786" s="146"/>
      <c r="G786" s="146"/>
      <c r="H786" s="146"/>
      <c r="I786" s="466"/>
      <c r="J786" s="146"/>
      <c r="K786" s="466"/>
      <c r="L786" s="333"/>
    </row>
    <row r="787" spans="1:12">
      <c r="A787" s="144"/>
      <c r="B787" s="145"/>
      <c r="C787" s="144"/>
      <c r="D787" s="144"/>
      <c r="E787" s="146"/>
      <c r="F787" s="146"/>
      <c r="G787" s="146"/>
      <c r="H787" s="146"/>
      <c r="I787" s="466"/>
      <c r="J787" s="146"/>
      <c r="K787" s="466"/>
      <c r="L787" s="333"/>
    </row>
    <row r="788" spans="1:12">
      <c r="A788" s="144"/>
      <c r="B788" s="145"/>
      <c r="C788" s="144"/>
      <c r="D788" s="144"/>
      <c r="E788" s="146"/>
      <c r="F788" s="146"/>
      <c r="G788" s="146"/>
      <c r="H788" s="146"/>
      <c r="I788" s="466"/>
      <c r="J788" s="146"/>
      <c r="K788" s="466"/>
      <c r="L788" s="333"/>
    </row>
    <row r="789" spans="1:12">
      <c r="A789" s="144"/>
      <c r="B789" s="145"/>
      <c r="C789" s="144"/>
      <c r="D789" s="144"/>
      <c r="E789" s="146"/>
      <c r="F789" s="146"/>
      <c r="G789" s="146"/>
      <c r="H789" s="146"/>
      <c r="I789" s="466"/>
      <c r="J789" s="146"/>
      <c r="K789" s="466"/>
      <c r="L789" s="333"/>
    </row>
    <row r="790" spans="1:12">
      <c r="A790" s="144"/>
      <c r="B790" s="145"/>
      <c r="C790" s="144"/>
      <c r="D790" s="144"/>
      <c r="E790" s="146"/>
      <c r="F790" s="146"/>
      <c r="G790" s="146"/>
      <c r="H790" s="146"/>
      <c r="I790" s="466"/>
      <c r="J790" s="146"/>
      <c r="K790" s="466"/>
      <c r="L790" s="333"/>
    </row>
    <row r="791" spans="1:12">
      <c r="A791" s="144"/>
      <c r="B791" s="145"/>
      <c r="C791" s="144"/>
      <c r="D791" s="144"/>
      <c r="E791" s="146"/>
      <c r="F791" s="146"/>
      <c r="G791" s="146"/>
      <c r="H791" s="146"/>
      <c r="I791" s="466"/>
      <c r="J791" s="146"/>
      <c r="K791" s="466"/>
      <c r="L791" s="333"/>
    </row>
    <row r="792" spans="1:12">
      <c r="A792" s="144"/>
      <c r="B792" s="145"/>
      <c r="C792" s="144"/>
      <c r="D792" s="144"/>
      <c r="E792" s="146"/>
      <c r="F792" s="146"/>
      <c r="G792" s="146"/>
      <c r="H792" s="146"/>
      <c r="I792" s="466"/>
      <c r="J792" s="146"/>
      <c r="K792" s="466"/>
      <c r="L792" s="333"/>
    </row>
    <row r="793" spans="1:12">
      <c r="A793" s="144"/>
      <c r="B793" s="145"/>
      <c r="C793" s="144"/>
      <c r="D793" s="144"/>
      <c r="E793" s="146"/>
      <c r="F793" s="146"/>
      <c r="G793" s="146"/>
      <c r="H793" s="146"/>
      <c r="I793" s="466"/>
      <c r="J793" s="146"/>
      <c r="K793" s="466"/>
      <c r="L793" s="333"/>
    </row>
    <row r="794" spans="1:12">
      <c r="A794" s="144"/>
      <c r="B794" s="145"/>
      <c r="C794" s="144"/>
      <c r="D794" s="144"/>
      <c r="E794" s="146"/>
      <c r="F794" s="146"/>
      <c r="G794" s="146"/>
      <c r="H794" s="146"/>
      <c r="I794" s="466"/>
      <c r="J794" s="146"/>
      <c r="K794" s="466"/>
      <c r="L794" s="333"/>
    </row>
    <row r="795" spans="1:12">
      <c r="A795" s="144"/>
      <c r="B795" s="145"/>
      <c r="C795" s="144"/>
      <c r="D795" s="144"/>
      <c r="E795" s="146"/>
      <c r="F795" s="146"/>
      <c r="G795" s="146"/>
      <c r="H795" s="146"/>
      <c r="I795" s="466"/>
      <c r="J795" s="146"/>
      <c r="K795" s="466"/>
      <c r="L795" s="333"/>
    </row>
    <row r="796" spans="1:12">
      <c r="A796" s="144"/>
      <c r="B796" s="145"/>
      <c r="C796" s="144"/>
      <c r="D796" s="144"/>
      <c r="E796" s="146"/>
      <c r="F796" s="146"/>
      <c r="G796" s="146"/>
      <c r="H796" s="146"/>
      <c r="I796" s="466"/>
      <c r="J796" s="146"/>
      <c r="K796" s="466"/>
      <c r="L796" s="333"/>
    </row>
    <row r="797" spans="1:12">
      <c r="A797" s="144"/>
      <c r="B797" s="145"/>
      <c r="C797" s="144"/>
      <c r="D797" s="144"/>
      <c r="E797" s="146"/>
      <c r="F797" s="146"/>
      <c r="G797" s="146"/>
      <c r="H797" s="146"/>
      <c r="I797" s="466"/>
      <c r="J797" s="146"/>
      <c r="K797" s="466"/>
      <c r="L797" s="333"/>
    </row>
    <row r="798" spans="1:12">
      <c r="A798" s="144"/>
      <c r="B798" s="145"/>
      <c r="C798" s="144"/>
      <c r="D798" s="144"/>
      <c r="E798" s="146"/>
      <c r="F798" s="146"/>
      <c r="G798" s="146"/>
      <c r="H798" s="146"/>
      <c r="I798" s="466"/>
      <c r="J798" s="146"/>
      <c r="K798" s="466"/>
      <c r="L798" s="333"/>
    </row>
    <row r="799" spans="1:12">
      <c r="A799" s="144"/>
      <c r="B799" s="145"/>
      <c r="C799" s="144"/>
      <c r="D799" s="144"/>
      <c r="E799" s="146"/>
      <c r="F799" s="146"/>
      <c r="G799" s="146"/>
      <c r="H799" s="146"/>
      <c r="I799" s="466"/>
      <c r="J799" s="146"/>
      <c r="K799" s="466"/>
      <c r="L799" s="333"/>
    </row>
    <row r="800" spans="1:12">
      <c r="A800" s="144"/>
      <c r="B800" s="145"/>
      <c r="C800" s="144"/>
      <c r="D800" s="144"/>
      <c r="E800" s="146"/>
      <c r="F800" s="146"/>
      <c r="G800" s="146"/>
      <c r="H800" s="146"/>
      <c r="I800" s="466"/>
      <c r="J800" s="146"/>
      <c r="K800" s="466"/>
      <c r="L800" s="333"/>
    </row>
    <row r="801" spans="1:12">
      <c r="A801" s="144"/>
      <c r="B801" s="145"/>
      <c r="C801" s="144"/>
      <c r="D801" s="144"/>
      <c r="E801" s="146"/>
      <c r="F801" s="146"/>
      <c r="G801" s="146"/>
      <c r="H801" s="146"/>
      <c r="I801" s="466"/>
      <c r="J801" s="146"/>
      <c r="K801" s="466"/>
      <c r="L801" s="333"/>
    </row>
    <row r="802" spans="1:12">
      <c r="A802" s="144"/>
      <c r="B802" s="145"/>
      <c r="C802" s="144"/>
      <c r="D802" s="144"/>
      <c r="E802" s="146"/>
      <c r="F802" s="146"/>
      <c r="G802" s="146"/>
      <c r="H802" s="146"/>
      <c r="I802" s="466"/>
      <c r="J802" s="146"/>
      <c r="K802" s="466"/>
      <c r="L802" s="333"/>
    </row>
    <row r="803" spans="1:12">
      <c r="A803" s="144"/>
      <c r="B803" s="145"/>
      <c r="C803" s="144"/>
      <c r="D803" s="144"/>
      <c r="E803" s="146"/>
      <c r="F803" s="146"/>
      <c r="G803" s="146"/>
      <c r="H803" s="146"/>
      <c r="I803" s="466"/>
      <c r="J803" s="146"/>
      <c r="K803" s="466"/>
      <c r="L803" s="333"/>
    </row>
    <row r="804" spans="1:12">
      <c r="A804" s="144"/>
      <c r="B804" s="145"/>
      <c r="C804" s="144"/>
      <c r="D804" s="144"/>
      <c r="E804" s="146"/>
      <c r="F804" s="146"/>
      <c r="G804" s="146"/>
      <c r="H804" s="146"/>
      <c r="I804" s="466"/>
      <c r="J804" s="146"/>
      <c r="K804" s="466"/>
      <c r="L804" s="333"/>
    </row>
    <row r="805" spans="1:12">
      <c r="A805" s="144"/>
      <c r="B805" s="145"/>
      <c r="C805" s="144"/>
      <c r="D805" s="144"/>
      <c r="E805" s="146"/>
      <c r="F805" s="146"/>
      <c r="G805" s="146"/>
      <c r="H805" s="146"/>
      <c r="I805" s="466"/>
      <c r="J805" s="146"/>
      <c r="K805" s="466"/>
      <c r="L805" s="333"/>
    </row>
    <row r="806" spans="1:12">
      <c r="A806" s="144"/>
      <c r="B806" s="145"/>
      <c r="C806" s="144"/>
      <c r="D806" s="144"/>
      <c r="E806" s="146"/>
      <c r="F806" s="146"/>
      <c r="G806" s="146"/>
      <c r="H806" s="146"/>
      <c r="I806" s="466"/>
      <c r="J806" s="146"/>
      <c r="K806" s="466"/>
      <c r="L806" s="333"/>
    </row>
    <row r="807" spans="1:12">
      <c r="A807" s="144"/>
      <c r="B807" s="145"/>
      <c r="C807" s="144"/>
      <c r="D807" s="144"/>
      <c r="E807" s="146"/>
      <c r="F807" s="146"/>
      <c r="G807" s="146"/>
      <c r="H807" s="146"/>
      <c r="I807" s="466"/>
      <c r="J807" s="146"/>
      <c r="K807" s="466"/>
      <c r="L807" s="333"/>
    </row>
    <row r="808" spans="1:12">
      <c r="A808" s="144"/>
      <c r="B808" s="145"/>
      <c r="C808" s="144"/>
      <c r="D808" s="144"/>
      <c r="E808" s="146"/>
      <c r="F808" s="146"/>
      <c r="G808" s="146"/>
      <c r="H808" s="146"/>
      <c r="I808" s="466"/>
      <c r="J808" s="146"/>
      <c r="K808" s="466"/>
      <c r="L808" s="333"/>
    </row>
    <row r="809" spans="1:12">
      <c r="A809" s="144"/>
      <c r="B809" s="145"/>
      <c r="C809" s="144"/>
      <c r="D809" s="144"/>
      <c r="E809" s="146"/>
      <c r="F809" s="146"/>
      <c r="G809" s="146"/>
      <c r="H809" s="146"/>
      <c r="I809" s="466"/>
      <c r="J809" s="146"/>
      <c r="K809" s="466"/>
      <c r="L809" s="333"/>
    </row>
    <row r="810" spans="1:12">
      <c r="A810" s="144"/>
      <c r="B810" s="145"/>
      <c r="C810" s="144"/>
      <c r="D810" s="144"/>
      <c r="E810" s="146"/>
      <c r="F810" s="146"/>
      <c r="G810" s="146"/>
      <c r="H810" s="146"/>
      <c r="I810" s="466"/>
      <c r="J810" s="146"/>
      <c r="K810" s="466"/>
      <c r="L810" s="333"/>
    </row>
    <row r="811" spans="1:12">
      <c r="A811" s="144"/>
      <c r="B811" s="145"/>
      <c r="C811" s="144"/>
      <c r="D811" s="144"/>
      <c r="E811" s="146"/>
      <c r="F811" s="146"/>
      <c r="G811" s="146"/>
      <c r="H811" s="146"/>
      <c r="I811" s="466"/>
      <c r="J811" s="146"/>
      <c r="K811" s="466"/>
      <c r="L811" s="333"/>
    </row>
    <row r="812" spans="1:12">
      <c r="A812" s="144"/>
      <c r="B812" s="145"/>
      <c r="C812" s="144"/>
      <c r="D812" s="144"/>
      <c r="E812" s="146"/>
      <c r="F812" s="146"/>
      <c r="G812" s="146"/>
      <c r="H812" s="146"/>
      <c r="I812" s="466"/>
      <c r="J812" s="146"/>
      <c r="K812" s="466"/>
      <c r="L812" s="333"/>
    </row>
    <row r="813" spans="1:12">
      <c r="A813" s="144"/>
      <c r="B813" s="145"/>
      <c r="C813" s="144"/>
      <c r="D813" s="144"/>
      <c r="E813" s="146"/>
      <c r="F813" s="146"/>
      <c r="G813" s="146"/>
      <c r="H813" s="146"/>
      <c r="I813" s="466"/>
      <c r="J813" s="146"/>
      <c r="K813" s="466"/>
      <c r="L813" s="333"/>
    </row>
    <row r="814" spans="1:12">
      <c r="A814" s="144"/>
      <c r="B814" s="145"/>
      <c r="C814" s="144"/>
      <c r="D814" s="144"/>
      <c r="E814" s="146"/>
      <c r="F814" s="146"/>
      <c r="G814" s="146"/>
      <c r="H814" s="146"/>
      <c r="I814" s="466"/>
      <c r="J814" s="146"/>
      <c r="K814" s="466"/>
      <c r="L814" s="333"/>
    </row>
    <row r="815" spans="1:12">
      <c r="A815" s="144"/>
      <c r="B815" s="145"/>
      <c r="C815" s="144"/>
      <c r="D815" s="144"/>
      <c r="E815" s="146"/>
      <c r="F815" s="146"/>
      <c r="G815" s="146"/>
      <c r="H815" s="146"/>
      <c r="I815" s="466"/>
      <c r="J815" s="146"/>
      <c r="K815" s="466"/>
      <c r="L815" s="333"/>
    </row>
    <row r="816" spans="1:12">
      <c r="A816" s="144"/>
      <c r="B816" s="145"/>
      <c r="C816" s="144"/>
      <c r="D816" s="144"/>
      <c r="E816" s="146"/>
      <c r="F816" s="146"/>
      <c r="G816" s="146"/>
      <c r="H816" s="146"/>
      <c r="I816" s="466"/>
      <c r="J816" s="146"/>
      <c r="K816" s="466"/>
      <c r="L816" s="333"/>
    </row>
    <row r="817" spans="1:12">
      <c r="A817" s="144"/>
      <c r="B817" s="145"/>
      <c r="C817" s="144"/>
      <c r="D817" s="144"/>
      <c r="E817" s="146"/>
      <c r="F817" s="146"/>
      <c r="G817" s="146"/>
      <c r="H817" s="146"/>
      <c r="I817" s="466"/>
      <c r="J817" s="146"/>
      <c r="K817" s="466"/>
      <c r="L817" s="333"/>
    </row>
    <row r="818" spans="1:12">
      <c r="A818" s="144"/>
      <c r="B818" s="145"/>
      <c r="C818" s="144"/>
      <c r="D818" s="144"/>
      <c r="E818" s="146"/>
      <c r="F818" s="146"/>
      <c r="G818" s="146"/>
      <c r="H818" s="146"/>
      <c r="I818" s="466"/>
      <c r="J818" s="146"/>
      <c r="K818" s="466"/>
      <c r="L818" s="333"/>
    </row>
    <row r="819" spans="1:12">
      <c r="A819" s="144"/>
      <c r="B819" s="145"/>
      <c r="C819" s="144"/>
      <c r="D819" s="144"/>
      <c r="E819" s="146"/>
      <c r="F819" s="146"/>
      <c r="G819" s="146"/>
      <c r="H819" s="146"/>
      <c r="I819" s="466"/>
      <c r="J819" s="146"/>
      <c r="K819" s="466"/>
      <c r="L819" s="333"/>
    </row>
    <row r="820" spans="1:12">
      <c r="A820" s="144"/>
      <c r="B820" s="145"/>
      <c r="C820" s="144"/>
      <c r="D820" s="144"/>
      <c r="E820" s="146"/>
      <c r="F820" s="146"/>
      <c r="G820" s="146"/>
      <c r="H820" s="146"/>
      <c r="I820" s="466"/>
      <c r="J820" s="146"/>
      <c r="K820" s="466"/>
      <c r="L820" s="333"/>
    </row>
    <row r="821" spans="1:12">
      <c r="A821" s="144"/>
      <c r="B821" s="145"/>
      <c r="C821" s="144"/>
      <c r="D821" s="144"/>
      <c r="E821" s="146"/>
      <c r="F821" s="146"/>
      <c r="G821" s="146"/>
      <c r="H821" s="146"/>
      <c r="I821" s="466"/>
      <c r="J821" s="146"/>
      <c r="K821" s="466"/>
      <c r="L821" s="333"/>
    </row>
    <row r="822" spans="1:12">
      <c r="A822" s="144"/>
      <c r="B822" s="145"/>
      <c r="C822" s="144"/>
      <c r="D822" s="144"/>
      <c r="E822" s="146"/>
      <c r="F822" s="146"/>
      <c r="G822" s="146"/>
      <c r="H822" s="146"/>
      <c r="I822" s="466"/>
      <c r="J822" s="146"/>
      <c r="K822" s="466"/>
      <c r="L822" s="333"/>
    </row>
    <row r="823" spans="1:12">
      <c r="A823" s="144"/>
      <c r="B823" s="145"/>
      <c r="C823" s="144"/>
      <c r="D823" s="144"/>
      <c r="E823" s="146"/>
      <c r="F823" s="146"/>
      <c r="G823" s="146"/>
      <c r="H823" s="146"/>
      <c r="I823" s="466"/>
      <c r="J823" s="146"/>
      <c r="K823" s="466"/>
      <c r="L823" s="333"/>
    </row>
    <row r="824" spans="1:12">
      <c r="A824" s="144"/>
      <c r="B824" s="145"/>
      <c r="C824" s="144"/>
      <c r="D824" s="144"/>
      <c r="E824" s="146"/>
      <c r="F824" s="146"/>
      <c r="G824" s="146"/>
      <c r="H824" s="146"/>
      <c r="I824" s="466"/>
      <c r="J824" s="146"/>
      <c r="K824" s="466"/>
      <c r="L824" s="333"/>
    </row>
    <row r="825" spans="1:12">
      <c r="A825" s="144"/>
      <c r="B825" s="145"/>
      <c r="C825" s="144"/>
      <c r="D825" s="144"/>
      <c r="E825" s="146"/>
      <c r="F825" s="146"/>
      <c r="G825" s="146"/>
      <c r="H825" s="146"/>
      <c r="I825" s="466"/>
      <c r="J825" s="146"/>
      <c r="K825" s="466"/>
      <c r="L825" s="333"/>
    </row>
    <row r="826" spans="1:12">
      <c r="A826" s="144"/>
      <c r="B826" s="145"/>
      <c r="C826" s="144"/>
      <c r="D826" s="144"/>
      <c r="E826" s="146"/>
      <c r="F826" s="146"/>
      <c r="G826" s="146"/>
      <c r="H826" s="146"/>
      <c r="I826" s="466"/>
      <c r="J826" s="146"/>
      <c r="K826" s="466"/>
      <c r="L826" s="333"/>
    </row>
    <row r="827" spans="1:12">
      <c r="A827" s="144"/>
      <c r="B827" s="145"/>
      <c r="C827" s="144"/>
      <c r="D827" s="144"/>
      <c r="E827" s="146"/>
      <c r="F827" s="146"/>
      <c r="G827" s="146"/>
      <c r="H827" s="146"/>
      <c r="I827" s="466"/>
      <c r="J827" s="146"/>
      <c r="K827" s="466"/>
      <c r="L827" s="333"/>
    </row>
    <row r="828" spans="1:12">
      <c r="A828" s="144"/>
      <c r="B828" s="145"/>
      <c r="C828" s="144"/>
      <c r="D828" s="144"/>
      <c r="E828" s="146"/>
      <c r="F828" s="146"/>
      <c r="G828" s="146"/>
      <c r="H828" s="146"/>
      <c r="I828" s="466"/>
      <c r="J828" s="146"/>
      <c r="K828" s="466"/>
      <c r="L828" s="333"/>
    </row>
    <row r="829" spans="1:12">
      <c r="A829" s="144"/>
      <c r="B829" s="145"/>
      <c r="C829" s="144"/>
      <c r="D829" s="144"/>
      <c r="E829" s="146"/>
      <c r="F829" s="146"/>
      <c r="G829" s="146"/>
      <c r="H829" s="146"/>
      <c r="I829" s="466"/>
      <c r="J829" s="146"/>
      <c r="K829" s="466"/>
      <c r="L829" s="333"/>
    </row>
    <row r="830" spans="1:12">
      <c r="A830" s="144"/>
      <c r="B830" s="145"/>
      <c r="C830" s="144"/>
      <c r="D830" s="144"/>
      <c r="E830" s="146"/>
      <c r="F830" s="146"/>
      <c r="G830" s="146"/>
      <c r="H830" s="146"/>
      <c r="I830" s="466"/>
      <c r="J830" s="146"/>
      <c r="K830" s="466"/>
      <c r="L830" s="333"/>
    </row>
    <row r="831" spans="1:12">
      <c r="A831" s="144"/>
      <c r="B831" s="145"/>
      <c r="C831" s="144"/>
      <c r="D831" s="144"/>
      <c r="E831" s="146"/>
      <c r="F831" s="146"/>
      <c r="G831" s="146"/>
      <c r="H831" s="146"/>
      <c r="I831" s="466"/>
      <c r="J831" s="146"/>
      <c r="K831" s="466"/>
      <c r="L831" s="333"/>
    </row>
    <row r="832" spans="1:12">
      <c r="A832" s="144"/>
      <c r="B832" s="145"/>
      <c r="C832" s="144"/>
      <c r="D832" s="144"/>
      <c r="E832" s="146"/>
      <c r="F832" s="146"/>
      <c r="G832" s="146"/>
      <c r="H832" s="146"/>
      <c r="I832" s="466"/>
      <c r="J832" s="146"/>
      <c r="K832" s="466"/>
      <c r="L832" s="333"/>
    </row>
    <row r="833" spans="1:12">
      <c r="A833" s="144"/>
      <c r="B833" s="145"/>
      <c r="C833" s="144"/>
      <c r="D833" s="144"/>
      <c r="E833" s="146"/>
      <c r="F833" s="146"/>
      <c r="G833" s="146"/>
      <c r="H833" s="146"/>
      <c r="I833" s="466"/>
      <c r="J833" s="146"/>
      <c r="K833" s="466"/>
      <c r="L833" s="333"/>
    </row>
    <row r="834" spans="1:12">
      <c r="A834" s="144"/>
      <c r="B834" s="145"/>
      <c r="C834" s="144"/>
      <c r="D834" s="144"/>
      <c r="E834" s="146"/>
      <c r="F834" s="146"/>
      <c r="G834" s="146"/>
      <c r="H834" s="146"/>
      <c r="I834" s="466"/>
      <c r="J834" s="146"/>
      <c r="K834" s="466"/>
      <c r="L834" s="333"/>
    </row>
    <row r="835" spans="1:12">
      <c r="A835" s="144"/>
      <c r="B835" s="145"/>
      <c r="C835" s="144"/>
      <c r="D835" s="144"/>
      <c r="E835" s="146"/>
      <c r="F835" s="146"/>
      <c r="G835" s="146"/>
      <c r="H835" s="146"/>
      <c r="I835" s="466"/>
      <c r="J835" s="146"/>
      <c r="K835" s="466"/>
      <c r="L835" s="333"/>
    </row>
    <row r="836" spans="1:12">
      <c r="A836" s="144"/>
      <c r="B836" s="145"/>
      <c r="C836" s="144"/>
      <c r="D836" s="144"/>
      <c r="E836" s="146"/>
      <c r="F836" s="146"/>
      <c r="G836" s="146"/>
      <c r="H836" s="146"/>
      <c r="I836" s="466"/>
      <c r="J836" s="146"/>
      <c r="K836" s="466"/>
      <c r="L836" s="333"/>
    </row>
    <row r="837" spans="1:12">
      <c r="A837" s="144"/>
      <c r="B837" s="145"/>
      <c r="C837" s="144"/>
      <c r="D837" s="144"/>
      <c r="E837" s="146"/>
      <c r="F837" s="146"/>
      <c r="G837" s="146"/>
      <c r="H837" s="146"/>
      <c r="I837" s="466"/>
      <c r="J837" s="146"/>
      <c r="K837" s="466"/>
      <c r="L837" s="333"/>
    </row>
    <row r="838" spans="1:12">
      <c r="A838" s="144"/>
      <c r="B838" s="145"/>
      <c r="C838" s="144"/>
      <c r="D838" s="144"/>
      <c r="E838" s="146"/>
      <c r="F838" s="146"/>
      <c r="G838" s="146"/>
      <c r="H838" s="146"/>
      <c r="I838" s="466"/>
      <c r="J838" s="146"/>
      <c r="K838" s="466"/>
      <c r="L838" s="333"/>
    </row>
    <row r="839" spans="1:12">
      <c r="A839" s="144"/>
      <c r="B839" s="145"/>
      <c r="C839" s="144"/>
      <c r="D839" s="144"/>
      <c r="E839" s="146"/>
      <c r="F839" s="146"/>
      <c r="G839" s="146"/>
      <c r="H839" s="146"/>
      <c r="I839" s="466"/>
      <c r="J839" s="146"/>
      <c r="K839" s="466"/>
      <c r="L839" s="333"/>
    </row>
    <row r="840" spans="1:12">
      <c r="A840" s="144"/>
      <c r="B840" s="145"/>
      <c r="C840" s="144"/>
      <c r="D840" s="144"/>
      <c r="E840" s="146"/>
      <c r="F840" s="146"/>
      <c r="G840" s="146"/>
      <c r="H840" s="146"/>
      <c r="I840" s="466"/>
      <c r="J840" s="146"/>
      <c r="K840" s="466"/>
      <c r="L840" s="333"/>
    </row>
    <row r="841" spans="1:12">
      <c r="A841" s="144"/>
      <c r="B841" s="145"/>
      <c r="C841" s="144"/>
      <c r="D841" s="144"/>
      <c r="E841" s="146"/>
      <c r="F841" s="146"/>
      <c r="G841" s="146"/>
      <c r="H841" s="146"/>
      <c r="I841" s="466"/>
      <c r="J841" s="146"/>
      <c r="K841" s="466"/>
      <c r="L841" s="333"/>
    </row>
    <row r="842" spans="1:12">
      <c r="A842" s="144"/>
      <c r="B842" s="145"/>
      <c r="C842" s="144"/>
      <c r="D842" s="144"/>
      <c r="E842" s="146"/>
      <c r="F842" s="146"/>
      <c r="G842" s="146"/>
      <c r="H842" s="146"/>
      <c r="I842" s="466"/>
      <c r="J842" s="146"/>
      <c r="K842" s="466"/>
      <c r="L842" s="333"/>
    </row>
    <row r="843" spans="1:12">
      <c r="A843" s="144"/>
      <c r="B843" s="145"/>
      <c r="C843" s="144"/>
      <c r="D843" s="144"/>
      <c r="E843" s="146"/>
      <c r="F843" s="146"/>
      <c r="G843" s="146"/>
      <c r="H843" s="146"/>
      <c r="I843" s="466"/>
      <c r="J843" s="146"/>
      <c r="K843" s="466"/>
      <c r="L843" s="333"/>
    </row>
    <row r="844" spans="1:12">
      <c r="A844" s="144"/>
      <c r="B844" s="145"/>
      <c r="C844" s="144"/>
      <c r="D844" s="144"/>
      <c r="E844" s="146"/>
      <c r="F844" s="146"/>
      <c r="G844" s="146"/>
      <c r="H844" s="146"/>
      <c r="I844" s="466"/>
      <c r="J844" s="146"/>
      <c r="K844" s="466"/>
      <c r="L844" s="333"/>
    </row>
    <row r="845" spans="1:12">
      <c r="A845" s="144"/>
      <c r="B845" s="145"/>
      <c r="C845" s="144"/>
      <c r="D845" s="144"/>
      <c r="E845" s="146"/>
      <c r="F845" s="146"/>
      <c r="G845" s="146"/>
      <c r="H845" s="146"/>
      <c r="I845" s="466"/>
      <c r="J845" s="146"/>
      <c r="K845" s="466"/>
      <c r="L845" s="333"/>
    </row>
    <row r="846" spans="1:12">
      <c r="A846" s="144"/>
      <c r="B846" s="145"/>
      <c r="C846" s="144"/>
      <c r="D846" s="144"/>
      <c r="E846" s="146"/>
      <c r="F846" s="146"/>
      <c r="G846" s="146"/>
      <c r="H846" s="146"/>
      <c r="I846" s="466"/>
      <c r="J846" s="146"/>
      <c r="K846" s="466"/>
      <c r="L846" s="333"/>
    </row>
    <row r="847" spans="1:12">
      <c r="A847" s="144"/>
      <c r="B847" s="145"/>
      <c r="C847" s="144"/>
      <c r="D847" s="144"/>
      <c r="E847" s="146"/>
      <c r="F847" s="146"/>
      <c r="G847" s="146"/>
      <c r="H847" s="146"/>
      <c r="I847" s="466"/>
      <c r="J847" s="146"/>
      <c r="K847" s="466"/>
      <c r="L847" s="333"/>
    </row>
    <row r="848" spans="1:12">
      <c r="A848" s="144"/>
      <c r="B848" s="145"/>
      <c r="C848" s="144"/>
      <c r="D848" s="144"/>
      <c r="E848" s="146"/>
      <c r="F848" s="146"/>
      <c r="G848" s="146"/>
      <c r="H848" s="146"/>
      <c r="I848" s="466"/>
      <c r="J848" s="146"/>
      <c r="K848" s="466"/>
      <c r="L848" s="333"/>
    </row>
    <row r="849" spans="1:12">
      <c r="A849" s="144"/>
      <c r="B849" s="145"/>
      <c r="C849" s="144"/>
      <c r="D849" s="144"/>
      <c r="E849" s="146"/>
      <c r="F849" s="146"/>
      <c r="G849" s="146"/>
      <c r="H849" s="146"/>
      <c r="I849" s="466"/>
      <c r="J849" s="146"/>
      <c r="K849" s="466"/>
      <c r="L849" s="333"/>
    </row>
    <row r="850" spans="1:12">
      <c r="A850" s="144"/>
      <c r="B850" s="145"/>
      <c r="C850" s="144"/>
      <c r="D850" s="144"/>
      <c r="E850" s="146"/>
      <c r="F850" s="146"/>
      <c r="G850" s="146"/>
      <c r="H850" s="146"/>
      <c r="I850" s="466"/>
      <c r="J850" s="146"/>
      <c r="K850" s="466"/>
      <c r="L850" s="333"/>
    </row>
    <row r="851" spans="1:12">
      <c r="A851" s="144"/>
      <c r="B851" s="145"/>
      <c r="C851" s="144"/>
      <c r="D851" s="144"/>
      <c r="E851" s="146"/>
      <c r="F851" s="146"/>
      <c r="G851" s="146"/>
      <c r="H851" s="146"/>
      <c r="I851" s="466"/>
      <c r="J851" s="146"/>
      <c r="K851" s="466"/>
      <c r="L851" s="333"/>
    </row>
    <row r="852" spans="1:12">
      <c r="A852" s="144"/>
      <c r="B852" s="145"/>
      <c r="C852" s="144"/>
      <c r="D852" s="144"/>
      <c r="E852" s="146"/>
      <c r="F852" s="146"/>
      <c r="G852" s="146"/>
      <c r="H852" s="146"/>
      <c r="I852" s="466"/>
      <c r="J852" s="146"/>
      <c r="K852" s="466"/>
      <c r="L852" s="333"/>
    </row>
    <row r="853" spans="1:12">
      <c r="A853" s="144"/>
      <c r="B853" s="145"/>
      <c r="C853" s="144"/>
      <c r="D853" s="144"/>
      <c r="E853" s="146"/>
      <c r="F853" s="146"/>
      <c r="G853" s="146"/>
      <c r="H853" s="146"/>
      <c r="I853" s="466"/>
      <c r="J853" s="146"/>
      <c r="K853" s="466"/>
      <c r="L853" s="333"/>
    </row>
    <row r="854" spans="1:12">
      <c r="A854" s="144"/>
      <c r="B854" s="145"/>
      <c r="C854" s="144"/>
      <c r="D854" s="144"/>
      <c r="E854" s="146"/>
      <c r="F854" s="146"/>
      <c r="G854" s="146"/>
      <c r="H854" s="146"/>
      <c r="I854" s="466"/>
      <c r="J854" s="146"/>
      <c r="K854" s="466"/>
      <c r="L854" s="333"/>
    </row>
    <row r="855" spans="1:12">
      <c r="A855" s="144"/>
      <c r="B855" s="145"/>
      <c r="C855" s="144"/>
      <c r="D855" s="144"/>
      <c r="E855" s="146"/>
      <c r="F855" s="146"/>
      <c r="G855" s="146"/>
      <c r="H855" s="146"/>
      <c r="I855" s="466"/>
      <c r="J855" s="146"/>
      <c r="K855" s="466"/>
      <c r="L855" s="333"/>
    </row>
    <row r="856" spans="1:12">
      <c r="A856" s="144"/>
      <c r="B856" s="145"/>
      <c r="C856" s="144"/>
      <c r="D856" s="144"/>
      <c r="E856" s="146"/>
      <c r="F856" s="146"/>
      <c r="G856" s="146"/>
      <c r="H856" s="146"/>
      <c r="I856" s="466"/>
      <c r="J856" s="146"/>
      <c r="K856" s="466"/>
      <c r="L856" s="333"/>
    </row>
    <row r="857" spans="1:12">
      <c r="A857" s="144"/>
      <c r="B857" s="145"/>
      <c r="C857" s="144"/>
      <c r="D857" s="144"/>
      <c r="E857" s="146"/>
      <c r="F857" s="146"/>
      <c r="G857" s="146"/>
      <c r="H857" s="146"/>
      <c r="I857" s="466"/>
      <c r="J857" s="146"/>
      <c r="K857" s="466"/>
      <c r="L857" s="333"/>
    </row>
    <row r="858" spans="1:12">
      <c r="A858" s="144"/>
      <c r="B858" s="145"/>
      <c r="C858" s="144"/>
      <c r="D858" s="144"/>
      <c r="E858" s="146"/>
      <c r="F858" s="146"/>
      <c r="G858" s="146"/>
      <c r="H858" s="146"/>
      <c r="I858" s="466"/>
      <c r="J858" s="146"/>
      <c r="K858" s="466"/>
      <c r="L858" s="333"/>
    </row>
    <row r="859" spans="1:12">
      <c r="A859" s="144"/>
      <c r="B859" s="145"/>
      <c r="C859" s="144"/>
      <c r="D859" s="144"/>
      <c r="E859" s="146"/>
      <c r="F859" s="146"/>
      <c r="G859" s="146"/>
      <c r="H859" s="146"/>
      <c r="I859" s="466"/>
      <c r="J859" s="146"/>
      <c r="K859" s="466"/>
      <c r="L859" s="333"/>
    </row>
    <row r="860" spans="1:12">
      <c r="A860" s="144"/>
      <c r="B860" s="145"/>
      <c r="C860" s="144"/>
      <c r="D860" s="144"/>
      <c r="E860" s="146"/>
      <c r="F860" s="146"/>
      <c r="G860" s="146"/>
      <c r="H860" s="146"/>
      <c r="I860" s="466"/>
      <c r="J860" s="146"/>
      <c r="K860" s="466"/>
      <c r="L860" s="333"/>
    </row>
    <row r="861" spans="1:12">
      <c r="A861" s="180"/>
      <c r="B861" s="181"/>
      <c r="C861" s="180"/>
      <c r="D861" s="180"/>
      <c r="E861" s="182"/>
      <c r="F861" s="182"/>
      <c r="G861" s="182"/>
      <c r="H861" s="182"/>
      <c r="I861" s="482"/>
      <c r="J861" s="182"/>
      <c r="K861" s="482"/>
      <c r="L861" s="343"/>
    </row>
  </sheetData>
  <mergeCells count="25">
    <mergeCell ref="M82:M84"/>
    <mergeCell ref="N82:N84"/>
    <mergeCell ref="O82:O84"/>
    <mergeCell ref="P82:P84"/>
    <mergeCell ref="Q82:Q84"/>
    <mergeCell ref="A493:B493"/>
    <mergeCell ref="E493:G493"/>
    <mergeCell ref="J493:K493"/>
    <mergeCell ref="J6:J7"/>
    <mergeCell ref="K6:K7"/>
    <mergeCell ref="A486:B486"/>
    <mergeCell ref="E486:G486"/>
    <mergeCell ref="J486:K486"/>
    <mergeCell ref="K2:L2"/>
    <mergeCell ref="K3:L3"/>
    <mergeCell ref="A4:L4"/>
    <mergeCell ref="A5:L5"/>
    <mergeCell ref="A6:A7"/>
    <mergeCell ref="B6:B7"/>
    <mergeCell ref="C6:C7"/>
    <mergeCell ref="D6:D7"/>
    <mergeCell ref="E6:G6"/>
    <mergeCell ref="I6:I7"/>
    <mergeCell ref="L6:L7"/>
    <mergeCell ref="H6:H7"/>
  </mergeCells>
  <phoneticPr fontId="180" type="noConversion"/>
  <printOptions horizontalCentered="1"/>
  <pageMargins left="0.39370078740157483" right="0.19685039370078741" top="0.39370078740157483" bottom="0.39370078740157483" header="7.874015748031496E-2" footer="7.874015748031496E-2"/>
  <pageSetup paperSize="9" scale="80" fitToHeight="0" orientation="landscape" blackAndWhite="1" r:id="rId1"/>
  <headerFooter>
    <oddFooter>&amp;C&amp;10Page &amp;P of &amp;N</oddFooter>
  </headerFooter>
  <ignoredErrors>
    <ignoredError sqref="A8:G8" numberStoredAsText="1"/>
    <ignoredError sqref="G2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CE3F-B0D8-439B-AA9C-2BC4F0CB8C1C}">
  <sheetPr codeName="Sheet9"/>
  <dimension ref="A1:V28"/>
  <sheetViews>
    <sheetView topLeftCell="A6" zoomScale="70" zoomScaleNormal="70" workbookViewId="0">
      <selection activeCell="L23" sqref="L23"/>
    </sheetView>
  </sheetViews>
  <sheetFormatPr defaultColWidth="9" defaultRowHeight="18.75"/>
  <cols>
    <col min="1" max="1" width="6.75" style="534" customWidth="1"/>
    <col min="2" max="2" width="35.875" style="546" customWidth="1"/>
    <col min="3" max="3" width="9" style="534"/>
    <col min="4" max="4" width="9.25" style="534" customWidth="1"/>
    <col min="5" max="5" width="14.25" style="534" customWidth="1"/>
    <col min="6" max="7" width="16.375" style="534" bestFit="1" customWidth="1"/>
    <col min="8" max="8" width="14.125" style="534" customWidth="1"/>
    <col min="9" max="9" width="17.875" style="534" customWidth="1"/>
    <col min="10" max="10" width="19.25" style="534" customWidth="1"/>
    <col min="11" max="11" width="19.375" style="534" customWidth="1"/>
    <col min="12" max="12" width="23.25" style="534" customWidth="1"/>
    <col min="13" max="256" width="9" style="534"/>
    <col min="257" max="257" width="6.75" style="534" customWidth="1"/>
    <col min="258" max="258" width="32.875" style="534" customWidth="1"/>
    <col min="259" max="259" width="9" style="534"/>
    <col min="260" max="260" width="9.25" style="534" customWidth="1"/>
    <col min="261" max="263" width="13.25" style="534" customWidth="1"/>
    <col min="264" max="264" width="11.75" style="534" customWidth="1"/>
    <col min="265" max="266" width="17.875" style="534" customWidth="1"/>
    <col min="267" max="267" width="19.375" style="534" customWidth="1"/>
    <col min="268" max="268" width="23.25" style="534" customWidth="1"/>
    <col min="269" max="512" width="9" style="534"/>
    <col min="513" max="513" width="6.75" style="534" customWidth="1"/>
    <col min="514" max="514" width="32.875" style="534" customWidth="1"/>
    <col min="515" max="515" width="9" style="534"/>
    <col min="516" max="516" width="9.25" style="534" customWidth="1"/>
    <col min="517" max="519" width="13.25" style="534" customWidth="1"/>
    <col min="520" max="520" width="11.75" style="534" customWidth="1"/>
    <col min="521" max="522" width="17.875" style="534" customWidth="1"/>
    <col min="523" max="523" width="19.375" style="534" customWidth="1"/>
    <col min="524" max="524" width="23.25" style="534" customWidth="1"/>
    <col min="525" max="768" width="9" style="534"/>
    <col min="769" max="769" width="6.75" style="534" customWidth="1"/>
    <col min="770" max="770" width="32.875" style="534" customWidth="1"/>
    <col min="771" max="771" width="9" style="534"/>
    <col min="772" max="772" width="9.25" style="534" customWidth="1"/>
    <col min="773" max="775" width="13.25" style="534" customWidth="1"/>
    <col min="776" max="776" width="11.75" style="534" customWidth="1"/>
    <col min="777" max="778" width="17.875" style="534" customWidth="1"/>
    <col min="779" max="779" width="19.375" style="534" customWidth="1"/>
    <col min="780" max="780" width="23.25" style="534" customWidth="1"/>
    <col min="781" max="1024" width="9" style="534"/>
    <col min="1025" max="1025" width="6.75" style="534" customWidth="1"/>
    <col min="1026" max="1026" width="32.875" style="534" customWidth="1"/>
    <col min="1027" max="1027" width="9" style="534"/>
    <col min="1028" max="1028" width="9.25" style="534" customWidth="1"/>
    <col min="1029" max="1031" width="13.25" style="534" customWidth="1"/>
    <col min="1032" max="1032" width="11.75" style="534" customWidth="1"/>
    <col min="1033" max="1034" width="17.875" style="534" customWidth="1"/>
    <col min="1035" max="1035" width="19.375" style="534" customWidth="1"/>
    <col min="1036" max="1036" width="23.25" style="534" customWidth="1"/>
    <col min="1037" max="1280" width="9" style="534"/>
    <col min="1281" max="1281" width="6.75" style="534" customWidth="1"/>
    <col min="1282" max="1282" width="32.875" style="534" customWidth="1"/>
    <col min="1283" max="1283" width="9" style="534"/>
    <col min="1284" max="1284" width="9.25" style="534" customWidth="1"/>
    <col min="1285" max="1287" width="13.25" style="534" customWidth="1"/>
    <col min="1288" max="1288" width="11.75" style="534" customWidth="1"/>
    <col min="1289" max="1290" width="17.875" style="534" customWidth="1"/>
    <col min="1291" max="1291" width="19.375" style="534" customWidth="1"/>
    <col min="1292" max="1292" width="23.25" style="534" customWidth="1"/>
    <col min="1293" max="1536" width="9" style="534"/>
    <col min="1537" max="1537" width="6.75" style="534" customWidth="1"/>
    <col min="1538" max="1538" width="32.875" style="534" customWidth="1"/>
    <col min="1539" max="1539" width="9" style="534"/>
    <col min="1540" max="1540" width="9.25" style="534" customWidth="1"/>
    <col min="1541" max="1543" width="13.25" style="534" customWidth="1"/>
    <col min="1544" max="1544" width="11.75" style="534" customWidth="1"/>
    <col min="1545" max="1546" width="17.875" style="534" customWidth="1"/>
    <col min="1547" max="1547" width="19.375" style="534" customWidth="1"/>
    <col min="1548" max="1548" width="23.25" style="534" customWidth="1"/>
    <col min="1549" max="1792" width="9" style="534"/>
    <col min="1793" max="1793" width="6.75" style="534" customWidth="1"/>
    <col min="1794" max="1794" width="32.875" style="534" customWidth="1"/>
    <col min="1795" max="1795" width="9" style="534"/>
    <col min="1796" max="1796" width="9.25" style="534" customWidth="1"/>
    <col min="1797" max="1799" width="13.25" style="534" customWidth="1"/>
    <col min="1800" max="1800" width="11.75" style="534" customWidth="1"/>
    <col min="1801" max="1802" width="17.875" style="534" customWidth="1"/>
    <col min="1803" max="1803" width="19.375" style="534" customWidth="1"/>
    <col min="1804" max="1804" width="23.25" style="534" customWidth="1"/>
    <col min="1805" max="2048" width="9" style="534"/>
    <col min="2049" max="2049" width="6.75" style="534" customWidth="1"/>
    <col min="2050" max="2050" width="32.875" style="534" customWidth="1"/>
    <col min="2051" max="2051" width="9" style="534"/>
    <col min="2052" max="2052" width="9.25" style="534" customWidth="1"/>
    <col min="2053" max="2055" width="13.25" style="534" customWidth="1"/>
    <col min="2056" max="2056" width="11.75" style="534" customWidth="1"/>
    <col min="2057" max="2058" width="17.875" style="534" customWidth="1"/>
    <col min="2059" max="2059" width="19.375" style="534" customWidth="1"/>
    <col min="2060" max="2060" width="23.25" style="534" customWidth="1"/>
    <col min="2061" max="2304" width="9" style="534"/>
    <col min="2305" max="2305" width="6.75" style="534" customWidth="1"/>
    <col min="2306" max="2306" width="32.875" style="534" customWidth="1"/>
    <col min="2307" max="2307" width="9" style="534"/>
    <col min="2308" max="2308" width="9.25" style="534" customWidth="1"/>
    <col min="2309" max="2311" width="13.25" style="534" customWidth="1"/>
    <col min="2312" max="2312" width="11.75" style="534" customWidth="1"/>
    <col min="2313" max="2314" width="17.875" style="534" customWidth="1"/>
    <col min="2315" max="2315" width="19.375" style="534" customWidth="1"/>
    <col min="2316" max="2316" width="23.25" style="534" customWidth="1"/>
    <col min="2317" max="2560" width="9" style="534"/>
    <col min="2561" max="2561" width="6.75" style="534" customWidth="1"/>
    <col min="2562" max="2562" width="32.875" style="534" customWidth="1"/>
    <col min="2563" max="2563" width="9" style="534"/>
    <col min="2564" max="2564" width="9.25" style="534" customWidth="1"/>
    <col min="2565" max="2567" width="13.25" style="534" customWidth="1"/>
    <col min="2568" max="2568" width="11.75" style="534" customWidth="1"/>
    <col min="2569" max="2570" width="17.875" style="534" customWidth="1"/>
    <col min="2571" max="2571" width="19.375" style="534" customWidth="1"/>
    <col min="2572" max="2572" width="23.25" style="534" customWidth="1"/>
    <col min="2573" max="2816" width="9" style="534"/>
    <col min="2817" max="2817" width="6.75" style="534" customWidth="1"/>
    <col min="2818" max="2818" width="32.875" style="534" customWidth="1"/>
    <col min="2819" max="2819" width="9" style="534"/>
    <col min="2820" max="2820" width="9.25" style="534" customWidth="1"/>
    <col min="2821" max="2823" width="13.25" style="534" customWidth="1"/>
    <col min="2824" max="2824" width="11.75" style="534" customWidth="1"/>
    <col min="2825" max="2826" width="17.875" style="534" customWidth="1"/>
    <col min="2827" max="2827" width="19.375" style="534" customWidth="1"/>
    <col min="2828" max="2828" width="23.25" style="534" customWidth="1"/>
    <col min="2829" max="3072" width="9" style="534"/>
    <col min="3073" max="3073" width="6.75" style="534" customWidth="1"/>
    <col min="3074" max="3074" width="32.875" style="534" customWidth="1"/>
    <col min="3075" max="3075" width="9" style="534"/>
    <col min="3076" max="3076" width="9.25" style="534" customWidth="1"/>
    <col min="3077" max="3079" width="13.25" style="534" customWidth="1"/>
    <col min="3080" max="3080" width="11.75" style="534" customWidth="1"/>
    <col min="3081" max="3082" width="17.875" style="534" customWidth="1"/>
    <col min="3083" max="3083" width="19.375" style="534" customWidth="1"/>
    <col min="3084" max="3084" width="23.25" style="534" customWidth="1"/>
    <col min="3085" max="3328" width="9" style="534"/>
    <col min="3329" max="3329" width="6.75" style="534" customWidth="1"/>
    <col min="3330" max="3330" width="32.875" style="534" customWidth="1"/>
    <col min="3331" max="3331" width="9" style="534"/>
    <col min="3332" max="3332" width="9.25" style="534" customWidth="1"/>
    <col min="3333" max="3335" width="13.25" style="534" customWidth="1"/>
    <col min="3336" max="3336" width="11.75" style="534" customWidth="1"/>
    <col min="3337" max="3338" width="17.875" style="534" customWidth="1"/>
    <col min="3339" max="3339" width="19.375" style="534" customWidth="1"/>
    <col min="3340" max="3340" width="23.25" style="534" customWidth="1"/>
    <col min="3341" max="3584" width="9" style="534"/>
    <col min="3585" max="3585" width="6.75" style="534" customWidth="1"/>
    <col min="3586" max="3586" width="32.875" style="534" customWidth="1"/>
    <col min="3587" max="3587" width="9" style="534"/>
    <col min="3588" max="3588" width="9.25" style="534" customWidth="1"/>
    <col min="3589" max="3591" width="13.25" style="534" customWidth="1"/>
    <col min="3592" max="3592" width="11.75" style="534" customWidth="1"/>
    <col min="3593" max="3594" width="17.875" style="534" customWidth="1"/>
    <col min="3595" max="3595" width="19.375" style="534" customWidth="1"/>
    <col min="3596" max="3596" width="23.25" style="534" customWidth="1"/>
    <col min="3597" max="3840" width="9" style="534"/>
    <col min="3841" max="3841" width="6.75" style="534" customWidth="1"/>
    <col min="3842" max="3842" width="32.875" style="534" customWidth="1"/>
    <col min="3843" max="3843" width="9" style="534"/>
    <col min="3844" max="3844" width="9.25" style="534" customWidth="1"/>
    <col min="3845" max="3847" width="13.25" style="534" customWidth="1"/>
    <col min="3848" max="3848" width="11.75" style="534" customWidth="1"/>
    <col min="3849" max="3850" width="17.875" style="534" customWidth="1"/>
    <col min="3851" max="3851" width="19.375" style="534" customWidth="1"/>
    <col min="3852" max="3852" width="23.25" style="534" customWidth="1"/>
    <col min="3853" max="4096" width="9" style="534"/>
    <col min="4097" max="4097" width="6.75" style="534" customWidth="1"/>
    <col min="4098" max="4098" width="32.875" style="534" customWidth="1"/>
    <col min="4099" max="4099" width="9" style="534"/>
    <col min="4100" max="4100" width="9.25" style="534" customWidth="1"/>
    <col min="4101" max="4103" width="13.25" style="534" customWidth="1"/>
    <col min="4104" max="4104" width="11.75" style="534" customWidth="1"/>
    <col min="4105" max="4106" width="17.875" style="534" customWidth="1"/>
    <col min="4107" max="4107" width="19.375" style="534" customWidth="1"/>
    <col min="4108" max="4108" width="23.25" style="534" customWidth="1"/>
    <col min="4109" max="4352" width="9" style="534"/>
    <col min="4353" max="4353" width="6.75" style="534" customWidth="1"/>
    <col min="4354" max="4354" width="32.875" style="534" customWidth="1"/>
    <col min="4355" max="4355" width="9" style="534"/>
    <col min="4356" max="4356" width="9.25" style="534" customWidth="1"/>
    <col min="4357" max="4359" width="13.25" style="534" customWidth="1"/>
    <col min="4360" max="4360" width="11.75" style="534" customWidth="1"/>
    <col min="4361" max="4362" width="17.875" style="534" customWidth="1"/>
    <col min="4363" max="4363" width="19.375" style="534" customWidth="1"/>
    <col min="4364" max="4364" width="23.25" style="534" customWidth="1"/>
    <col min="4365" max="4608" width="9" style="534"/>
    <col min="4609" max="4609" width="6.75" style="534" customWidth="1"/>
    <col min="4610" max="4610" width="32.875" style="534" customWidth="1"/>
    <col min="4611" max="4611" width="9" style="534"/>
    <col min="4612" max="4612" width="9.25" style="534" customWidth="1"/>
    <col min="4613" max="4615" width="13.25" style="534" customWidth="1"/>
    <col min="4616" max="4616" width="11.75" style="534" customWidth="1"/>
    <col min="4617" max="4618" width="17.875" style="534" customWidth="1"/>
    <col min="4619" max="4619" width="19.375" style="534" customWidth="1"/>
    <col min="4620" max="4620" width="23.25" style="534" customWidth="1"/>
    <col min="4621" max="4864" width="9" style="534"/>
    <col min="4865" max="4865" width="6.75" style="534" customWidth="1"/>
    <col min="4866" max="4866" width="32.875" style="534" customWidth="1"/>
    <col min="4867" max="4867" width="9" style="534"/>
    <col min="4868" max="4868" width="9.25" style="534" customWidth="1"/>
    <col min="4869" max="4871" width="13.25" style="534" customWidth="1"/>
    <col min="4872" max="4872" width="11.75" style="534" customWidth="1"/>
    <col min="4873" max="4874" width="17.875" style="534" customWidth="1"/>
    <col min="4875" max="4875" width="19.375" style="534" customWidth="1"/>
    <col min="4876" max="4876" width="23.25" style="534" customWidth="1"/>
    <col min="4877" max="5120" width="9" style="534"/>
    <col min="5121" max="5121" width="6.75" style="534" customWidth="1"/>
    <col min="5122" max="5122" width="32.875" style="534" customWidth="1"/>
    <col min="5123" max="5123" width="9" style="534"/>
    <col min="5124" max="5124" width="9.25" style="534" customWidth="1"/>
    <col min="5125" max="5127" width="13.25" style="534" customWidth="1"/>
    <col min="5128" max="5128" width="11.75" style="534" customWidth="1"/>
    <col min="5129" max="5130" width="17.875" style="534" customWidth="1"/>
    <col min="5131" max="5131" width="19.375" style="534" customWidth="1"/>
    <col min="5132" max="5132" width="23.25" style="534" customWidth="1"/>
    <col min="5133" max="5376" width="9" style="534"/>
    <col min="5377" max="5377" width="6.75" style="534" customWidth="1"/>
    <col min="5378" max="5378" width="32.875" style="534" customWidth="1"/>
    <col min="5379" max="5379" width="9" style="534"/>
    <col min="5380" max="5380" width="9.25" style="534" customWidth="1"/>
    <col min="5381" max="5383" width="13.25" style="534" customWidth="1"/>
    <col min="5384" max="5384" width="11.75" style="534" customWidth="1"/>
    <col min="5385" max="5386" width="17.875" style="534" customWidth="1"/>
    <col min="5387" max="5387" width="19.375" style="534" customWidth="1"/>
    <col min="5388" max="5388" width="23.25" style="534" customWidth="1"/>
    <col min="5389" max="5632" width="9" style="534"/>
    <col min="5633" max="5633" width="6.75" style="534" customWidth="1"/>
    <col min="5634" max="5634" width="32.875" style="534" customWidth="1"/>
    <col min="5635" max="5635" width="9" style="534"/>
    <col min="5636" max="5636" width="9.25" style="534" customWidth="1"/>
    <col min="5637" max="5639" width="13.25" style="534" customWidth="1"/>
    <col min="5640" max="5640" width="11.75" style="534" customWidth="1"/>
    <col min="5641" max="5642" width="17.875" style="534" customWidth="1"/>
    <col min="5643" max="5643" width="19.375" style="534" customWidth="1"/>
    <col min="5644" max="5644" width="23.25" style="534" customWidth="1"/>
    <col min="5645" max="5888" width="9" style="534"/>
    <col min="5889" max="5889" width="6.75" style="534" customWidth="1"/>
    <col min="5890" max="5890" width="32.875" style="534" customWidth="1"/>
    <col min="5891" max="5891" width="9" style="534"/>
    <col min="5892" max="5892" width="9.25" style="534" customWidth="1"/>
    <col min="5893" max="5895" width="13.25" style="534" customWidth="1"/>
    <col min="5896" max="5896" width="11.75" style="534" customWidth="1"/>
    <col min="5897" max="5898" width="17.875" style="534" customWidth="1"/>
    <col min="5899" max="5899" width="19.375" style="534" customWidth="1"/>
    <col min="5900" max="5900" width="23.25" style="534" customWidth="1"/>
    <col min="5901" max="6144" width="9" style="534"/>
    <col min="6145" max="6145" width="6.75" style="534" customWidth="1"/>
    <col min="6146" max="6146" width="32.875" style="534" customWidth="1"/>
    <col min="6147" max="6147" width="9" style="534"/>
    <col min="6148" max="6148" width="9.25" style="534" customWidth="1"/>
    <col min="6149" max="6151" width="13.25" style="534" customWidth="1"/>
    <col min="6152" max="6152" width="11.75" style="534" customWidth="1"/>
    <col min="6153" max="6154" width="17.875" style="534" customWidth="1"/>
    <col min="6155" max="6155" width="19.375" style="534" customWidth="1"/>
    <col min="6156" max="6156" width="23.25" style="534" customWidth="1"/>
    <col min="6157" max="6400" width="9" style="534"/>
    <col min="6401" max="6401" width="6.75" style="534" customWidth="1"/>
    <col min="6402" max="6402" width="32.875" style="534" customWidth="1"/>
    <col min="6403" max="6403" width="9" style="534"/>
    <col min="6404" max="6404" width="9.25" style="534" customWidth="1"/>
    <col min="6405" max="6407" width="13.25" style="534" customWidth="1"/>
    <col min="6408" max="6408" width="11.75" style="534" customWidth="1"/>
    <col min="6409" max="6410" width="17.875" style="534" customWidth="1"/>
    <col min="6411" max="6411" width="19.375" style="534" customWidth="1"/>
    <col min="6412" max="6412" width="23.25" style="534" customWidth="1"/>
    <col min="6413" max="6656" width="9" style="534"/>
    <col min="6657" max="6657" width="6.75" style="534" customWidth="1"/>
    <col min="6658" max="6658" width="32.875" style="534" customWidth="1"/>
    <col min="6659" max="6659" width="9" style="534"/>
    <col min="6660" max="6660" width="9.25" style="534" customWidth="1"/>
    <col min="6661" max="6663" width="13.25" style="534" customWidth="1"/>
    <col min="6664" max="6664" width="11.75" style="534" customWidth="1"/>
    <col min="6665" max="6666" width="17.875" style="534" customWidth="1"/>
    <col min="6667" max="6667" width="19.375" style="534" customWidth="1"/>
    <col min="6668" max="6668" width="23.25" style="534" customWidth="1"/>
    <col min="6669" max="6912" width="9" style="534"/>
    <col min="6913" max="6913" width="6.75" style="534" customWidth="1"/>
    <col min="6914" max="6914" width="32.875" style="534" customWidth="1"/>
    <col min="6915" max="6915" width="9" style="534"/>
    <col min="6916" max="6916" width="9.25" style="534" customWidth="1"/>
    <col min="6917" max="6919" width="13.25" style="534" customWidth="1"/>
    <col min="6920" max="6920" width="11.75" style="534" customWidth="1"/>
    <col min="6921" max="6922" width="17.875" style="534" customWidth="1"/>
    <col min="6923" max="6923" width="19.375" style="534" customWidth="1"/>
    <col min="6924" max="6924" width="23.25" style="534" customWidth="1"/>
    <col min="6925" max="7168" width="9" style="534"/>
    <col min="7169" max="7169" width="6.75" style="534" customWidth="1"/>
    <col min="7170" max="7170" width="32.875" style="534" customWidth="1"/>
    <col min="7171" max="7171" width="9" style="534"/>
    <col min="7172" max="7172" width="9.25" style="534" customWidth="1"/>
    <col min="7173" max="7175" width="13.25" style="534" customWidth="1"/>
    <col min="7176" max="7176" width="11.75" style="534" customWidth="1"/>
    <col min="7177" max="7178" width="17.875" style="534" customWidth="1"/>
    <col min="7179" max="7179" width="19.375" style="534" customWidth="1"/>
    <col min="7180" max="7180" width="23.25" style="534" customWidth="1"/>
    <col min="7181" max="7424" width="9" style="534"/>
    <col min="7425" max="7425" width="6.75" style="534" customWidth="1"/>
    <col min="7426" max="7426" width="32.875" style="534" customWidth="1"/>
    <col min="7427" max="7427" width="9" style="534"/>
    <col min="7428" max="7428" width="9.25" style="534" customWidth="1"/>
    <col min="7429" max="7431" width="13.25" style="534" customWidth="1"/>
    <col min="7432" max="7432" width="11.75" style="534" customWidth="1"/>
    <col min="7433" max="7434" width="17.875" style="534" customWidth="1"/>
    <col min="7435" max="7435" width="19.375" style="534" customWidth="1"/>
    <col min="7436" max="7436" width="23.25" style="534" customWidth="1"/>
    <col min="7437" max="7680" width="9" style="534"/>
    <col min="7681" max="7681" width="6.75" style="534" customWidth="1"/>
    <col min="7682" max="7682" width="32.875" style="534" customWidth="1"/>
    <col min="7683" max="7683" width="9" style="534"/>
    <col min="7684" max="7684" width="9.25" style="534" customWidth="1"/>
    <col min="7685" max="7687" width="13.25" style="534" customWidth="1"/>
    <col min="7688" max="7688" width="11.75" style="534" customWidth="1"/>
    <col min="7689" max="7690" width="17.875" style="534" customWidth="1"/>
    <col min="7691" max="7691" width="19.375" style="534" customWidth="1"/>
    <col min="7692" max="7692" width="23.25" style="534" customWidth="1"/>
    <col min="7693" max="7936" width="9" style="534"/>
    <col min="7937" max="7937" width="6.75" style="534" customWidth="1"/>
    <col min="7938" max="7938" width="32.875" style="534" customWidth="1"/>
    <col min="7939" max="7939" width="9" style="534"/>
    <col min="7940" max="7940" width="9.25" style="534" customWidth="1"/>
    <col min="7941" max="7943" width="13.25" style="534" customWidth="1"/>
    <col min="7944" max="7944" width="11.75" style="534" customWidth="1"/>
    <col min="7945" max="7946" width="17.875" style="534" customWidth="1"/>
    <col min="7947" max="7947" width="19.375" style="534" customWidth="1"/>
    <col min="7948" max="7948" width="23.25" style="534" customWidth="1"/>
    <col min="7949" max="8192" width="9" style="534"/>
    <col min="8193" max="8193" width="6.75" style="534" customWidth="1"/>
    <col min="8194" max="8194" width="32.875" style="534" customWidth="1"/>
    <col min="8195" max="8195" width="9" style="534"/>
    <col min="8196" max="8196" width="9.25" style="534" customWidth="1"/>
    <col min="8197" max="8199" width="13.25" style="534" customWidth="1"/>
    <col min="8200" max="8200" width="11.75" style="534" customWidth="1"/>
    <col min="8201" max="8202" width="17.875" style="534" customWidth="1"/>
    <col min="8203" max="8203" width="19.375" style="534" customWidth="1"/>
    <col min="8204" max="8204" width="23.25" style="534" customWidth="1"/>
    <col min="8205" max="8448" width="9" style="534"/>
    <col min="8449" max="8449" width="6.75" style="534" customWidth="1"/>
    <col min="8450" max="8450" width="32.875" style="534" customWidth="1"/>
    <col min="8451" max="8451" width="9" style="534"/>
    <col min="8452" max="8452" width="9.25" style="534" customWidth="1"/>
    <col min="8453" max="8455" width="13.25" style="534" customWidth="1"/>
    <col min="8456" max="8456" width="11.75" style="534" customWidth="1"/>
    <col min="8457" max="8458" width="17.875" style="534" customWidth="1"/>
    <col min="8459" max="8459" width="19.375" style="534" customWidth="1"/>
    <col min="8460" max="8460" width="23.25" style="534" customWidth="1"/>
    <col min="8461" max="8704" width="9" style="534"/>
    <col min="8705" max="8705" width="6.75" style="534" customWidth="1"/>
    <col min="8706" max="8706" width="32.875" style="534" customWidth="1"/>
    <col min="8707" max="8707" width="9" style="534"/>
    <col min="8708" max="8708" width="9.25" style="534" customWidth="1"/>
    <col min="8709" max="8711" width="13.25" style="534" customWidth="1"/>
    <col min="8712" max="8712" width="11.75" style="534" customWidth="1"/>
    <col min="8713" max="8714" width="17.875" style="534" customWidth="1"/>
    <col min="8715" max="8715" width="19.375" style="534" customWidth="1"/>
    <col min="8716" max="8716" width="23.25" style="534" customWidth="1"/>
    <col min="8717" max="8960" width="9" style="534"/>
    <col min="8961" max="8961" width="6.75" style="534" customWidth="1"/>
    <col min="8962" max="8962" width="32.875" style="534" customWidth="1"/>
    <col min="8963" max="8963" width="9" style="534"/>
    <col min="8964" max="8964" width="9.25" style="534" customWidth="1"/>
    <col min="8965" max="8967" width="13.25" style="534" customWidth="1"/>
    <col min="8968" max="8968" width="11.75" style="534" customWidth="1"/>
    <col min="8969" max="8970" width="17.875" style="534" customWidth="1"/>
    <col min="8971" max="8971" width="19.375" style="534" customWidth="1"/>
    <col min="8972" max="8972" width="23.25" style="534" customWidth="1"/>
    <col min="8973" max="9216" width="9" style="534"/>
    <col min="9217" max="9217" width="6.75" style="534" customWidth="1"/>
    <col min="9218" max="9218" width="32.875" style="534" customWidth="1"/>
    <col min="9219" max="9219" width="9" style="534"/>
    <col min="9220" max="9220" width="9.25" style="534" customWidth="1"/>
    <col min="9221" max="9223" width="13.25" style="534" customWidth="1"/>
    <col min="9224" max="9224" width="11.75" style="534" customWidth="1"/>
    <col min="9225" max="9226" width="17.875" style="534" customWidth="1"/>
    <col min="9227" max="9227" width="19.375" style="534" customWidth="1"/>
    <col min="9228" max="9228" width="23.25" style="534" customWidth="1"/>
    <col min="9229" max="9472" width="9" style="534"/>
    <col min="9473" max="9473" width="6.75" style="534" customWidth="1"/>
    <col min="9474" max="9474" width="32.875" style="534" customWidth="1"/>
    <col min="9475" max="9475" width="9" style="534"/>
    <col min="9476" max="9476" width="9.25" style="534" customWidth="1"/>
    <col min="9477" max="9479" width="13.25" style="534" customWidth="1"/>
    <col min="9480" max="9480" width="11.75" style="534" customWidth="1"/>
    <col min="9481" max="9482" width="17.875" style="534" customWidth="1"/>
    <col min="9483" max="9483" width="19.375" style="534" customWidth="1"/>
    <col min="9484" max="9484" width="23.25" style="534" customWidth="1"/>
    <col min="9485" max="9728" width="9" style="534"/>
    <col min="9729" max="9729" width="6.75" style="534" customWidth="1"/>
    <col min="9730" max="9730" width="32.875" style="534" customWidth="1"/>
    <col min="9731" max="9731" width="9" style="534"/>
    <col min="9732" max="9732" width="9.25" style="534" customWidth="1"/>
    <col min="9733" max="9735" width="13.25" style="534" customWidth="1"/>
    <col min="9736" max="9736" width="11.75" style="534" customWidth="1"/>
    <col min="9737" max="9738" width="17.875" style="534" customWidth="1"/>
    <col min="9739" max="9739" width="19.375" style="534" customWidth="1"/>
    <col min="9740" max="9740" width="23.25" style="534" customWidth="1"/>
    <col min="9741" max="9984" width="9" style="534"/>
    <col min="9985" max="9985" width="6.75" style="534" customWidth="1"/>
    <col min="9986" max="9986" width="32.875" style="534" customWidth="1"/>
    <col min="9987" max="9987" width="9" style="534"/>
    <col min="9988" max="9988" width="9.25" style="534" customWidth="1"/>
    <col min="9989" max="9991" width="13.25" style="534" customWidth="1"/>
    <col min="9992" max="9992" width="11.75" style="534" customWidth="1"/>
    <col min="9993" max="9994" width="17.875" style="534" customWidth="1"/>
    <col min="9995" max="9995" width="19.375" style="534" customWidth="1"/>
    <col min="9996" max="9996" width="23.25" style="534" customWidth="1"/>
    <col min="9997" max="10240" width="9" style="534"/>
    <col min="10241" max="10241" width="6.75" style="534" customWidth="1"/>
    <col min="10242" max="10242" width="32.875" style="534" customWidth="1"/>
    <col min="10243" max="10243" width="9" style="534"/>
    <col min="10244" max="10244" width="9.25" style="534" customWidth="1"/>
    <col min="10245" max="10247" width="13.25" style="534" customWidth="1"/>
    <col min="10248" max="10248" width="11.75" style="534" customWidth="1"/>
    <col min="10249" max="10250" width="17.875" style="534" customWidth="1"/>
    <col min="10251" max="10251" width="19.375" style="534" customWidth="1"/>
    <col min="10252" max="10252" width="23.25" style="534" customWidth="1"/>
    <col min="10253" max="10496" width="9" style="534"/>
    <col min="10497" max="10497" width="6.75" style="534" customWidth="1"/>
    <col min="10498" max="10498" width="32.875" style="534" customWidth="1"/>
    <col min="10499" max="10499" width="9" style="534"/>
    <col min="10500" max="10500" width="9.25" style="534" customWidth="1"/>
    <col min="10501" max="10503" width="13.25" style="534" customWidth="1"/>
    <col min="10504" max="10504" width="11.75" style="534" customWidth="1"/>
    <col min="10505" max="10506" width="17.875" style="534" customWidth="1"/>
    <col min="10507" max="10507" width="19.375" style="534" customWidth="1"/>
    <col min="10508" max="10508" width="23.25" style="534" customWidth="1"/>
    <col min="10509" max="10752" width="9" style="534"/>
    <col min="10753" max="10753" width="6.75" style="534" customWidth="1"/>
    <col min="10754" max="10754" width="32.875" style="534" customWidth="1"/>
    <col min="10755" max="10755" width="9" style="534"/>
    <col min="10756" max="10756" width="9.25" style="534" customWidth="1"/>
    <col min="10757" max="10759" width="13.25" style="534" customWidth="1"/>
    <col min="10760" max="10760" width="11.75" style="534" customWidth="1"/>
    <col min="10761" max="10762" width="17.875" style="534" customWidth="1"/>
    <col min="10763" max="10763" width="19.375" style="534" customWidth="1"/>
    <col min="10764" max="10764" width="23.25" style="534" customWidth="1"/>
    <col min="10765" max="11008" width="9" style="534"/>
    <col min="11009" max="11009" width="6.75" style="534" customWidth="1"/>
    <col min="11010" max="11010" width="32.875" style="534" customWidth="1"/>
    <col min="11011" max="11011" width="9" style="534"/>
    <col min="11012" max="11012" width="9.25" style="534" customWidth="1"/>
    <col min="11013" max="11015" width="13.25" style="534" customWidth="1"/>
    <col min="11016" max="11016" width="11.75" style="534" customWidth="1"/>
    <col min="11017" max="11018" width="17.875" style="534" customWidth="1"/>
    <col min="11019" max="11019" width="19.375" style="534" customWidth="1"/>
    <col min="11020" max="11020" width="23.25" style="534" customWidth="1"/>
    <col min="11021" max="11264" width="9" style="534"/>
    <col min="11265" max="11265" width="6.75" style="534" customWidth="1"/>
    <col min="11266" max="11266" width="32.875" style="534" customWidth="1"/>
    <col min="11267" max="11267" width="9" style="534"/>
    <col min="11268" max="11268" width="9.25" style="534" customWidth="1"/>
    <col min="11269" max="11271" width="13.25" style="534" customWidth="1"/>
    <col min="11272" max="11272" width="11.75" style="534" customWidth="1"/>
    <col min="11273" max="11274" width="17.875" style="534" customWidth="1"/>
    <col min="11275" max="11275" width="19.375" style="534" customWidth="1"/>
    <col min="11276" max="11276" width="23.25" style="534" customWidth="1"/>
    <col min="11277" max="11520" width="9" style="534"/>
    <col min="11521" max="11521" width="6.75" style="534" customWidth="1"/>
    <col min="11522" max="11522" width="32.875" style="534" customWidth="1"/>
    <col min="11523" max="11523" width="9" style="534"/>
    <col min="11524" max="11524" width="9.25" style="534" customWidth="1"/>
    <col min="11525" max="11527" width="13.25" style="534" customWidth="1"/>
    <col min="11528" max="11528" width="11.75" style="534" customWidth="1"/>
    <col min="11529" max="11530" width="17.875" style="534" customWidth="1"/>
    <col min="11531" max="11531" width="19.375" style="534" customWidth="1"/>
    <col min="11532" max="11532" width="23.25" style="534" customWidth="1"/>
    <col min="11533" max="11776" width="9" style="534"/>
    <col min="11777" max="11777" width="6.75" style="534" customWidth="1"/>
    <col min="11778" max="11778" width="32.875" style="534" customWidth="1"/>
    <col min="11779" max="11779" width="9" style="534"/>
    <col min="11780" max="11780" width="9.25" style="534" customWidth="1"/>
    <col min="11781" max="11783" width="13.25" style="534" customWidth="1"/>
    <col min="11784" max="11784" width="11.75" style="534" customWidth="1"/>
    <col min="11785" max="11786" width="17.875" style="534" customWidth="1"/>
    <col min="11787" max="11787" width="19.375" style="534" customWidth="1"/>
    <col min="11788" max="11788" width="23.25" style="534" customWidth="1"/>
    <col min="11789" max="12032" width="9" style="534"/>
    <col min="12033" max="12033" width="6.75" style="534" customWidth="1"/>
    <col min="12034" max="12034" width="32.875" style="534" customWidth="1"/>
    <col min="12035" max="12035" width="9" style="534"/>
    <col min="12036" max="12036" width="9.25" style="534" customWidth="1"/>
    <col min="12037" max="12039" width="13.25" style="534" customWidth="1"/>
    <col min="12040" max="12040" width="11.75" style="534" customWidth="1"/>
    <col min="12041" max="12042" width="17.875" style="534" customWidth="1"/>
    <col min="12043" max="12043" width="19.375" style="534" customWidth="1"/>
    <col min="12044" max="12044" width="23.25" style="534" customWidth="1"/>
    <col min="12045" max="12288" width="9" style="534"/>
    <col min="12289" max="12289" width="6.75" style="534" customWidth="1"/>
    <col min="12290" max="12290" width="32.875" style="534" customWidth="1"/>
    <col min="12291" max="12291" width="9" style="534"/>
    <col min="12292" max="12292" width="9.25" style="534" customWidth="1"/>
    <col min="12293" max="12295" width="13.25" style="534" customWidth="1"/>
    <col min="12296" max="12296" width="11.75" style="534" customWidth="1"/>
    <col min="12297" max="12298" width="17.875" style="534" customWidth="1"/>
    <col min="12299" max="12299" width="19.375" style="534" customWidth="1"/>
    <col min="12300" max="12300" width="23.25" style="534" customWidth="1"/>
    <col min="12301" max="12544" width="9" style="534"/>
    <col min="12545" max="12545" width="6.75" style="534" customWidth="1"/>
    <col min="12546" max="12546" width="32.875" style="534" customWidth="1"/>
    <col min="12547" max="12547" width="9" style="534"/>
    <col min="12548" max="12548" width="9.25" style="534" customWidth="1"/>
    <col min="12549" max="12551" width="13.25" style="534" customWidth="1"/>
    <col min="12552" max="12552" width="11.75" style="534" customWidth="1"/>
    <col min="12553" max="12554" width="17.875" style="534" customWidth="1"/>
    <col min="12555" max="12555" width="19.375" style="534" customWidth="1"/>
    <col min="12556" max="12556" width="23.25" style="534" customWidth="1"/>
    <col min="12557" max="12800" width="9" style="534"/>
    <col min="12801" max="12801" width="6.75" style="534" customWidth="1"/>
    <col min="12802" max="12802" width="32.875" style="534" customWidth="1"/>
    <col min="12803" max="12803" width="9" style="534"/>
    <col min="12804" max="12804" width="9.25" style="534" customWidth="1"/>
    <col min="12805" max="12807" width="13.25" style="534" customWidth="1"/>
    <col min="12808" max="12808" width="11.75" style="534" customWidth="1"/>
    <col min="12809" max="12810" width="17.875" style="534" customWidth="1"/>
    <col min="12811" max="12811" width="19.375" style="534" customWidth="1"/>
    <col min="12812" max="12812" width="23.25" style="534" customWidth="1"/>
    <col min="12813" max="13056" width="9" style="534"/>
    <col min="13057" max="13057" width="6.75" style="534" customWidth="1"/>
    <col min="13058" max="13058" width="32.875" style="534" customWidth="1"/>
    <col min="13059" max="13059" width="9" style="534"/>
    <col min="13060" max="13060" width="9.25" style="534" customWidth="1"/>
    <col min="13061" max="13063" width="13.25" style="534" customWidth="1"/>
    <col min="13064" max="13064" width="11.75" style="534" customWidth="1"/>
    <col min="13065" max="13066" width="17.875" style="534" customWidth="1"/>
    <col min="13067" max="13067" width="19.375" style="534" customWidth="1"/>
    <col min="13068" max="13068" width="23.25" style="534" customWidth="1"/>
    <col min="13069" max="13312" width="9" style="534"/>
    <col min="13313" max="13313" width="6.75" style="534" customWidth="1"/>
    <col min="13314" max="13314" width="32.875" style="534" customWidth="1"/>
    <col min="13315" max="13315" width="9" style="534"/>
    <col min="13316" max="13316" width="9.25" style="534" customWidth="1"/>
    <col min="13317" max="13319" width="13.25" style="534" customWidth="1"/>
    <col min="13320" max="13320" width="11.75" style="534" customWidth="1"/>
    <col min="13321" max="13322" width="17.875" style="534" customWidth="1"/>
    <col min="13323" max="13323" width="19.375" style="534" customWidth="1"/>
    <col min="13324" max="13324" width="23.25" style="534" customWidth="1"/>
    <col min="13325" max="13568" width="9" style="534"/>
    <col min="13569" max="13569" width="6.75" style="534" customWidth="1"/>
    <col min="13570" max="13570" width="32.875" style="534" customWidth="1"/>
    <col min="13571" max="13571" width="9" style="534"/>
    <col min="13572" max="13572" width="9.25" style="534" customWidth="1"/>
    <col min="13573" max="13575" width="13.25" style="534" customWidth="1"/>
    <col min="13576" max="13576" width="11.75" style="534" customWidth="1"/>
    <col min="13577" max="13578" width="17.875" style="534" customWidth="1"/>
    <col min="13579" max="13579" width="19.375" style="534" customWidth="1"/>
    <col min="13580" max="13580" width="23.25" style="534" customWidth="1"/>
    <col min="13581" max="13824" width="9" style="534"/>
    <col min="13825" max="13825" width="6.75" style="534" customWidth="1"/>
    <col min="13826" max="13826" width="32.875" style="534" customWidth="1"/>
    <col min="13827" max="13827" width="9" style="534"/>
    <col min="13828" max="13828" width="9.25" style="534" customWidth="1"/>
    <col min="13829" max="13831" width="13.25" style="534" customWidth="1"/>
    <col min="13832" max="13832" width="11.75" style="534" customWidth="1"/>
    <col min="13833" max="13834" width="17.875" style="534" customWidth="1"/>
    <col min="13835" max="13835" width="19.375" style="534" customWidth="1"/>
    <col min="13836" max="13836" width="23.25" style="534" customWidth="1"/>
    <col min="13837" max="14080" width="9" style="534"/>
    <col min="14081" max="14081" width="6.75" style="534" customWidth="1"/>
    <col min="14082" max="14082" width="32.875" style="534" customWidth="1"/>
    <col min="14083" max="14083" width="9" style="534"/>
    <col min="14084" max="14084" width="9.25" style="534" customWidth="1"/>
    <col min="14085" max="14087" width="13.25" style="534" customWidth="1"/>
    <col min="14088" max="14088" width="11.75" style="534" customWidth="1"/>
    <col min="14089" max="14090" width="17.875" style="534" customWidth="1"/>
    <col min="14091" max="14091" width="19.375" style="534" customWidth="1"/>
    <col min="14092" max="14092" width="23.25" style="534" customWidth="1"/>
    <col min="14093" max="14336" width="9" style="534"/>
    <col min="14337" max="14337" width="6.75" style="534" customWidth="1"/>
    <col min="14338" max="14338" width="32.875" style="534" customWidth="1"/>
    <col min="14339" max="14339" width="9" style="534"/>
    <col min="14340" max="14340" width="9.25" style="534" customWidth="1"/>
    <col min="14341" max="14343" width="13.25" style="534" customWidth="1"/>
    <col min="14344" max="14344" width="11.75" style="534" customWidth="1"/>
    <col min="14345" max="14346" width="17.875" style="534" customWidth="1"/>
    <col min="14347" max="14347" width="19.375" style="534" customWidth="1"/>
    <col min="14348" max="14348" width="23.25" style="534" customWidth="1"/>
    <col min="14349" max="14592" width="9" style="534"/>
    <col min="14593" max="14593" width="6.75" style="534" customWidth="1"/>
    <col min="14594" max="14594" width="32.875" style="534" customWidth="1"/>
    <col min="14595" max="14595" width="9" style="534"/>
    <col min="14596" max="14596" width="9.25" style="534" customWidth="1"/>
    <col min="14597" max="14599" width="13.25" style="534" customWidth="1"/>
    <col min="14600" max="14600" width="11.75" style="534" customWidth="1"/>
    <col min="14601" max="14602" width="17.875" style="534" customWidth="1"/>
    <col min="14603" max="14603" width="19.375" style="534" customWidth="1"/>
    <col min="14604" max="14604" width="23.25" style="534" customWidth="1"/>
    <col min="14605" max="14848" width="9" style="534"/>
    <col min="14849" max="14849" width="6.75" style="534" customWidth="1"/>
    <col min="14850" max="14850" width="32.875" style="534" customWidth="1"/>
    <col min="14851" max="14851" width="9" style="534"/>
    <col min="14852" max="14852" width="9.25" style="534" customWidth="1"/>
    <col min="14853" max="14855" width="13.25" style="534" customWidth="1"/>
    <col min="14856" max="14856" width="11.75" style="534" customWidth="1"/>
    <col min="14857" max="14858" width="17.875" style="534" customWidth="1"/>
    <col min="14859" max="14859" width="19.375" style="534" customWidth="1"/>
    <col min="14860" max="14860" width="23.25" style="534" customWidth="1"/>
    <col min="14861" max="15104" width="9" style="534"/>
    <col min="15105" max="15105" width="6.75" style="534" customWidth="1"/>
    <col min="15106" max="15106" width="32.875" style="534" customWidth="1"/>
    <col min="15107" max="15107" width="9" style="534"/>
    <col min="15108" max="15108" width="9.25" style="534" customWidth="1"/>
    <col min="15109" max="15111" width="13.25" style="534" customWidth="1"/>
    <col min="15112" max="15112" width="11.75" style="534" customWidth="1"/>
    <col min="15113" max="15114" width="17.875" style="534" customWidth="1"/>
    <col min="15115" max="15115" width="19.375" style="534" customWidth="1"/>
    <col min="15116" max="15116" width="23.25" style="534" customWidth="1"/>
    <col min="15117" max="15360" width="9" style="534"/>
    <col min="15361" max="15361" width="6.75" style="534" customWidth="1"/>
    <col min="15362" max="15362" width="32.875" style="534" customWidth="1"/>
    <col min="15363" max="15363" width="9" style="534"/>
    <col min="15364" max="15364" width="9.25" style="534" customWidth="1"/>
    <col min="15365" max="15367" width="13.25" style="534" customWidth="1"/>
    <col min="15368" max="15368" width="11.75" style="534" customWidth="1"/>
    <col min="15369" max="15370" width="17.875" style="534" customWidth="1"/>
    <col min="15371" max="15371" width="19.375" style="534" customWidth="1"/>
    <col min="15372" max="15372" width="23.25" style="534" customWidth="1"/>
    <col min="15373" max="15616" width="9" style="534"/>
    <col min="15617" max="15617" width="6.75" style="534" customWidth="1"/>
    <col min="15618" max="15618" width="32.875" style="534" customWidth="1"/>
    <col min="15619" max="15619" width="9" style="534"/>
    <col min="15620" max="15620" width="9.25" style="534" customWidth="1"/>
    <col min="15621" max="15623" width="13.25" style="534" customWidth="1"/>
    <col min="15624" max="15624" width="11.75" style="534" customWidth="1"/>
    <col min="15625" max="15626" width="17.875" style="534" customWidth="1"/>
    <col min="15627" max="15627" width="19.375" style="534" customWidth="1"/>
    <col min="15628" max="15628" width="23.25" style="534" customWidth="1"/>
    <col min="15629" max="15872" width="9" style="534"/>
    <col min="15873" max="15873" width="6.75" style="534" customWidth="1"/>
    <col min="15874" max="15874" width="32.875" style="534" customWidth="1"/>
    <col min="15875" max="15875" width="9" style="534"/>
    <col min="15876" max="15876" width="9.25" style="534" customWidth="1"/>
    <col min="15877" max="15879" width="13.25" style="534" customWidth="1"/>
    <col min="15880" max="15880" width="11.75" style="534" customWidth="1"/>
    <col min="15881" max="15882" width="17.875" style="534" customWidth="1"/>
    <col min="15883" max="15883" width="19.375" style="534" customWidth="1"/>
    <col min="15884" max="15884" width="23.25" style="534" customWidth="1"/>
    <col min="15885" max="16128" width="9" style="534"/>
    <col min="16129" max="16129" width="6.75" style="534" customWidth="1"/>
    <col min="16130" max="16130" width="32.875" style="534" customWidth="1"/>
    <col min="16131" max="16131" width="9" style="534"/>
    <col min="16132" max="16132" width="9.25" style="534" customWidth="1"/>
    <col min="16133" max="16135" width="13.25" style="534" customWidth="1"/>
    <col min="16136" max="16136" width="11.75" style="534" customWidth="1"/>
    <col min="16137" max="16138" width="17.875" style="534" customWidth="1"/>
    <col min="16139" max="16139" width="19.375" style="534" customWidth="1"/>
    <col min="16140" max="16140" width="23.25" style="534" customWidth="1"/>
    <col min="16141" max="16384" width="9" style="534"/>
  </cols>
  <sheetData>
    <row r="1" spans="1:22" s="533" customFormat="1" hidden="1">
      <c r="B1" s="533" t="s">
        <v>316</v>
      </c>
    </row>
    <row r="2" spans="1:22" s="533" customFormat="1" hidden="1">
      <c r="B2" s="533" t="s">
        <v>351</v>
      </c>
    </row>
    <row r="3" spans="1:22" s="533" customFormat="1" hidden="1">
      <c r="B3" s="533" t="s">
        <v>352</v>
      </c>
    </row>
    <row r="4" spans="1:22" s="533" customFormat="1" hidden="1">
      <c r="B4" s="533" t="s">
        <v>372</v>
      </c>
      <c r="N4" s="823"/>
      <c r="O4" s="823"/>
      <c r="P4" s="823"/>
      <c r="Q4" s="823"/>
      <c r="R4" s="823"/>
      <c r="S4" s="823"/>
      <c r="T4" s="823"/>
      <c r="U4" s="823"/>
      <c r="V4" s="824"/>
    </row>
    <row r="5" spans="1:22" s="533" customFormat="1" hidden="1">
      <c r="B5" s="533" t="s">
        <v>373</v>
      </c>
      <c r="N5" s="823"/>
      <c r="O5" s="823"/>
      <c r="P5" s="823"/>
      <c r="Q5" s="823"/>
      <c r="R5" s="823"/>
      <c r="S5" s="823"/>
      <c r="T5" s="823"/>
      <c r="U5" s="823"/>
      <c r="V5" s="824"/>
    </row>
    <row r="6" spans="1:22" ht="20.25">
      <c r="A6" s="825" t="s">
        <v>353</v>
      </c>
      <c r="B6" s="825"/>
      <c r="C6" s="825"/>
      <c r="D6" s="825"/>
      <c r="E6" s="825"/>
      <c r="F6" s="825"/>
      <c r="G6" s="825"/>
      <c r="H6" s="825"/>
      <c r="I6" s="825"/>
      <c r="J6" s="825"/>
      <c r="K6" s="825"/>
      <c r="L6" s="825"/>
    </row>
    <row r="7" spans="1:22">
      <c r="A7" s="826" t="s">
        <v>354</v>
      </c>
      <c r="B7" s="826"/>
      <c r="C7" s="826"/>
      <c r="D7" s="826"/>
      <c r="E7" s="826"/>
      <c r="F7" s="826"/>
      <c r="G7" s="826"/>
      <c r="H7" s="826"/>
      <c r="I7" s="826"/>
      <c r="J7" s="826"/>
      <c r="K7" s="826"/>
      <c r="L7" s="826"/>
    </row>
    <row r="8" spans="1:22">
      <c r="K8" s="534" t="s">
        <v>355</v>
      </c>
      <c r="L8" s="535" t="s">
        <v>375</v>
      </c>
    </row>
    <row r="9" spans="1:22">
      <c r="K9" s="534" t="s">
        <v>9</v>
      </c>
    </row>
    <row r="10" spans="1:22" s="537" customFormat="1">
      <c r="A10" s="827" t="s">
        <v>0</v>
      </c>
      <c r="B10" s="829" t="s">
        <v>6</v>
      </c>
      <c r="C10" s="827" t="s">
        <v>19</v>
      </c>
      <c r="D10" s="827" t="s">
        <v>50</v>
      </c>
      <c r="E10" s="831" t="s">
        <v>54</v>
      </c>
      <c r="F10" s="832"/>
      <c r="G10" s="833"/>
      <c r="H10" s="536" t="s">
        <v>50</v>
      </c>
      <c r="I10" s="536" t="s">
        <v>356</v>
      </c>
      <c r="J10" s="536"/>
      <c r="K10" s="536"/>
      <c r="L10" s="536" t="s">
        <v>2</v>
      </c>
    </row>
    <row r="11" spans="1:22" s="537" customFormat="1">
      <c r="A11" s="828"/>
      <c r="B11" s="830"/>
      <c r="C11" s="828"/>
      <c r="D11" s="828"/>
      <c r="E11" s="536" t="s">
        <v>357</v>
      </c>
      <c r="F11" s="536" t="s">
        <v>16</v>
      </c>
      <c r="G11" s="536" t="s">
        <v>358</v>
      </c>
      <c r="H11" s="536" t="s">
        <v>359</v>
      </c>
      <c r="I11" s="536" t="s">
        <v>357</v>
      </c>
      <c r="J11" s="536" t="s">
        <v>16</v>
      </c>
      <c r="K11" s="536" t="s">
        <v>358</v>
      </c>
      <c r="L11" s="536"/>
    </row>
    <row r="12" spans="1:22" s="537" customFormat="1">
      <c r="A12" s="536" t="s">
        <v>38</v>
      </c>
      <c r="B12" s="547" t="s">
        <v>360</v>
      </c>
      <c r="C12" s="536"/>
      <c r="D12" s="536"/>
      <c r="E12" s="538"/>
      <c r="F12" s="538"/>
      <c r="G12" s="538"/>
      <c r="H12" s="538"/>
      <c r="I12" s="538">
        <f>+SUBTOTAL(9,I13:I23)</f>
        <v>44735952.520000003</v>
      </c>
      <c r="J12" s="538">
        <f>+SUBTOTAL(9,J13:J20)</f>
        <v>0</v>
      </c>
      <c r="K12" s="538">
        <f>+SUBTOTAL(9,K13:K23)</f>
        <v>44735952.520000003</v>
      </c>
      <c r="L12" s="536"/>
    </row>
    <row r="13" spans="1:22" s="537" customFormat="1">
      <c r="A13" s="536" t="s">
        <v>361</v>
      </c>
      <c r="B13" s="548" t="s">
        <v>362</v>
      </c>
      <c r="C13" s="536"/>
      <c r="D13" s="536"/>
      <c r="E13" s="538"/>
      <c r="F13" s="538"/>
      <c r="G13" s="538"/>
      <c r="H13" s="538"/>
      <c r="I13" s="538">
        <f>+SUBTOTAL(9,I14:I16)</f>
        <v>14310000</v>
      </c>
      <c r="J13" s="538">
        <f>+SUBTOTAL(9,J14:J16)</f>
        <v>0</v>
      </c>
      <c r="K13" s="538">
        <f>+SUBTOTAL(9,K14:K16)</f>
        <v>14310000</v>
      </c>
      <c r="L13" s="536"/>
    </row>
    <row r="14" spans="1:22">
      <c r="A14" s="539">
        <v>1</v>
      </c>
      <c r="B14" s="541" t="s">
        <v>364</v>
      </c>
      <c r="C14" s="539" t="s">
        <v>363</v>
      </c>
      <c r="D14" s="539"/>
      <c r="E14" s="540">
        <v>2160000</v>
      </c>
      <c r="F14" s="540"/>
      <c r="G14" s="672">
        <f>+E14+F14</f>
        <v>2160000</v>
      </c>
      <c r="H14" s="540"/>
      <c r="I14" s="540">
        <f>+E14</f>
        <v>2160000</v>
      </c>
      <c r="J14" s="540"/>
      <c r="K14" s="540">
        <f t="shared" ref="K14:K16" si="0">+I14+J14</f>
        <v>2160000</v>
      </c>
      <c r="L14" s="539"/>
    </row>
    <row r="15" spans="1:22">
      <c r="A15" s="539">
        <v>2</v>
      </c>
      <c r="B15" s="541" t="s">
        <v>365</v>
      </c>
      <c r="C15" s="539" t="s">
        <v>363</v>
      </c>
      <c r="D15" s="539"/>
      <c r="E15" s="540">
        <v>6750000</v>
      </c>
      <c r="F15" s="540"/>
      <c r="G15" s="672">
        <f t="shared" ref="G15:G25" si="1">+E15+F15</f>
        <v>6750000</v>
      </c>
      <c r="H15" s="540"/>
      <c r="I15" s="540">
        <f t="shared" ref="I15:I19" si="2">+E15</f>
        <v>6750000</v>
      </c>
      <c r="J15" s="540"/>
      <c r="K15" s="540">
        <f t="shared" si="0"/>
        <v>6750000</v>
      </c>
      <c r="L15" s="539"/>
    </row>
    <row r="16" spans="1:22">
      <c r="A16" s="539">
        <v>3</v>
      </c>
      <c r="B16" s="541" t="s">
        <v>374</v>
      </c>
      <c r="C16" s="539" t="s">
        <v>363</v>
      </c>
      <c r="D16" s="539"/>
      <c r="E16" s="540">
        <v>5400000</v>
      </c>
      <c r="F16" s="540"/>
      <c r="G16" s="672">
        <f t="shared" si="1"/>
        <v>5400000</v>
      </c>
      <c r="H16" s="540"/>
      <c r="I16" s="540">
        <f t="shared" si="2"/>
        <v>5400000</v>
      </c>
      <c r="J16" s="540"/>
      <c r="K16" s="540">
        <f t="shared" si="0"/>
        <v>5400000</v>
      </c>
      <c r="L16" s="539"/>
    </row>
    <row r="17" spans="1:12" s="537" customFormat="1">
      <c r="A17" s="536" t="s">
        <v>98</v>
      </c>
      <c r="B17" s="548" t="s">
        <v>366</v>
      </c>
      <c r="C17" s="536"/>
      <c r="D17" s="536"/>
      <c r="E17" s="538"/>
      <c r="F17" s="538"/>
      <c r="G17" s="672">
        <f t="shared" si="1"/>
        <v>0</v>
      </c>
      <c r="H17" s="538"/>
      <c r="I17" s="538">
        <f>+SUBTOTAL(9,I18:I20)</f>
        <v>28800000</v>
      </c>
      <c r="J17" s="538">
        <f>+SUBTOTAL(9,J18:J20)</f>
        <v>0</v>
      </c>
      <c r="K17" s="538">
        <f>+SUBTOTAL(9,K18:K20)</f>
        <v>28800000</v>
      </c>
      <c r="L17" s="536"/>
    </row>
    <row r="18" spans="1:12">
      <c r="A18" s="539">
        <v>1</v>
      </c>
      <c r="B18" s="541" t="s">
        <v>380</v>
      </c>
      <c r="C18" s="539" t="s">
        <v>363</v>
      </c>
      <c r="D18" s="539"/>
      <c r="E18" s="540">
        <v>2700000</v>
      </c>
      <c r="F18" s="540"/>
      <c r="G18" s="672">
        <f t="shared" si="1"/>
        <v>2700000</v>
      </c>
      <c r="H18" s="540"/>
      <c r="I18" s="540">
        <f t="shared" si="2"/>
        <v>2700000</v>
      </c>
      <c r="J18" s="540"/>
      <c r="K18" s="540">
        <f t="shared" ref="K18:K20" si="3">+I18+J18</f>
        <v>2700000</v>
      </c>
      <c r="L18" s="539"/>
    </row>
    <row r="19" spans="1:12">
      <c r="A19" s="539">
        <v>2</v>
      </c>
      <c r="B19" s="541" t="s">
        <v>380</v>
      </c>
      <c r="C19" s="539" t="s">
        <v>363</v>
      </c>
      <c r="D19" s="539"/>
      <c r="E19" s="540">
        <v>8100000</v>
      </c>
      <c r="F19" s="540"/>
      <c r="G19" s="672">
        <f t="shared" si="1"/>
        <v>8100000</v>
      </c>
      <c r="H19" s="540"/>
      <c r="I19" s="540">
        <f t="shared" si="2"/>
        <v>8100000</v>
      </c>
      <c r="J19" s="540"/>
      <c r="K19" s="540">
        <f t="shared" ref="K19" si="4">+I19+J19</f>
        <v>8100000</v>
      </c>
      <c r="L19" s="539"/>
    </row>
    <row r="20" spans="1:12" ht="37.5">
      <c r="A20" s="539">
        <v>3</v>
      </c>
      <c r="B20" s="541" t="s">
        <v>381</v>
      </c>
      <c r="C20" s="539" t="s">
        <v>382</v>
      </c>
      <c r="D20" s="539"/>
      <c r="E20" s="540">
        <v>36</v>
      </c>
      <c r="F20" s="540"/>
      <c r="G20" s="672">
        <f t="shared" si="1"/>
        <v>36</v>
      </c>
      <c r="H20" s="540">
        <v>500000</v>
      </c>
      <c r="I20" s="540">
        <f>E20*H20</f>
        <v>18000000</v>
      </c>
      <c r="J20" s="540"/>
      <c r="K20" s="540">
        <f t="shared" si="3"/>
        <v>18000000</v>
      </c>
      <c r="L20" s="539"/>
    </row>
    <row r="21" spans="1:12" s="537" customFormat="1">
      <c r="A21" s="536" t="s">
        <v>100</v>
      </c>
      <c r="B21" s="548" t="s">
        <v>367</v>
      </c>
      <c r="C21" s="536"/>
      <c r="D21" s="536"/>
      <c r="E21" s="538"/>
      <c r="F21" s="538"/>
      <c r="G21" s="673">
        <f t="shared" si="1"/>
        <v>0</v>
      </c>
      <c r="H21" s="538"/>
      <c r="I21" s="538">
        <f>+SUBTOTAL(9,I22:I23)</f>
        <v>1625952.52</v>
      </c>
      <c r="J21" s="538">
        <f>+SUBTOTAL(9,J22:J23)</f>
        <v>0</v>
      </c>
      <c r="K21" s="538">
        <f>+SUBTOTAL(9,K22:K23)</f>
        <v>1625952.52</v>
      </c>
      <c r="L21" s="536"/>
    </row>
    <row r="22" spans="1:12">
      <c r="A22" s="539">
        <v>1</v>
      </c>
      <c r="B22" s="541" t="s">
        <v>376</v>
      </c>
      <c r="C22" s="539" t="s">
        <v>105</v>
      </c>
      <c r="D22" s="539"/>
      <c r="E22" s="542">
        <v>1.37</v>
      </c>
      <c r="F22" s="542"/>
      <c r="G22" s="673">
        <f t="shared" si="1"/>
        <v>1.37</v>
      </c>
      <c r="H22" s="540">
        <f>+I22/E22</f>
        <v>1122327.00729927</v>
      </c>
      <c r="I22" s="540">
        <v>1537588</v>
      </c>
      <c r="J22" s="540"/>
      <c r="K22" s="540">
        <f>+I22+J22</f>
        <v>1537588</v>
      </c>
      <c r="L22" s="543" t="s">
        <v>378</v>
      </c>
    </row>
    <row r="23" spans="1:12" ht="37.5">
      <c r="A23" s="539">
        <v>2</v>
      </c>
      <c r="B23" s="541" t="s">
        <v>377</v>
      </c>
      <c r="C23" s="539" t="s">
        <v>105</v>
      </c>
      <c r="D23" s="539"/>
      <c r="E23" s="542">
        <v>3</v>
      </c>
      <c r="F23" s="542"/>
      <c r="G23" s="673">
        <f t="shared" si="1"/>
        <v>3</v>
      </c>
      <c r="H23" s="540">
        <f>+I23/E23</f>
        <v>29454.84</v>
      </c>
      <c r="I23" s="540">
        <v>88364.52</v>
      </c>
      <c r="J23" s="540"/>
      <c r="K23" s="540">
        <f t="shared" ref="K23:K25" si="5">I23+J23</f>
        <v>88364.52</v>
      </c>
      <c r="L23" s="543" t="s">
        <v>379</v>
      </c>
    </row>
    <row r="24" spans="1:12" s="537" customFormat="1">
      <c r="A24" s="536" t="s">
        <v>157</v>
      </c>
      <c r="B24" s="548" t="s">
        <v>368</v>
      </c>
      <c r="C24" s="536"/>
      <c r="D24" s="536"/>
      <c r="E24" s="538"/>
      <c r="F24" s="538"/>
      <c r="G24" s="673">
        <f t="shared" si="1"/>
        <v>0</v>
      </c>
      <c r="H24" s="538"/>
      <c r="I24" s="538">
        <f>+SUBTOTAL(9,I25:I25)</f>
        <v>26876935.379365876</v>
      </c>
      <c r="J24" s="538">
        <f>+SUBTOTAL(9,J25:J25)</f>
        <v>19363984</v>
      </c>
      <c r="K24" s="538">
        <f>+SUBTOTAL(9,K25:K25)</f>
        <v>46240919.379365876</v>
      </c>
      <c r="L24" s="536"/>
    </row>
    <row r="25" spans="1:12">
      <c r="A25" s="539">
        <v>1</v>
      </c>
      <c r="B25" s="541" t="s">
        <v>369</v>
      </c>
      <c r="C25" s="539" t="s">
        <v>107</v>
      </c>
      <c r="D25" s="539"/>
      <c r="E25" s="545">
        <v>1854.34906715647</v>
      </c>
      <c r="F25" s="540">
        <f>921+415</f>
        <v>1336</v>
      </c>
      <c r="G25" s="672">
        <f t="shared" si="1"/>
        <v>3190.34906715647</v>
      </c>
      <c r="H25" s="540">
        <v>14494</v>
      </c>
      <c r="I25" s="544">
        <f>E25*H25</f>
        <v>26876935.379365876</v>
      </c>
      <c r="J25" s="540">
        <f>F25*H25</f>
        <v>19363984</v>
      </c>
      <c r="K25" s="540">
        <f t="shared" si="5"/>
        <v>46240919.379365876</v>
      </c>
      <c r="L25" s="543" t="s">
        <v>370</v>
      </c>
    </row>
    <row r="26" spans="1:12" s="537" customFormat="1">
      <c r="A26" s="536"/>
      <c r="B26" s="548" t="s">
        <v>371</v>
      </c>
      <c r="C26" s="536"/>
      <c r="D26" s="536"/>
      <c r="E26" s="538"/>
      <c r="F26" s="538"/>
      <c r="G26" s="538"/>
      <c r="H26" s="538"/>
      <c r="I26" s="538">
        <f>+SUBTOTAL(9,I14:I25)</f>
        <v>71612887.899365872</v>
      </c>
      <c r="J26" s="538">
        <f>+SUBTOTAL(9,J14:J25)</f>
        <v>19363984</v>
      </c>
      <c r="K26" s="538">
        <f>+SUBTOTAL(9,K14:K25)</f>
        <v>90976871.899365872</v>
      </c>
      <c r="L26" s="536"/>
    </row>
    <row r="28" spans="1:12" s="537" customFormat="1">
      <c r="B28" s="822" t="s">
        <v>83</v>
      </c>
      <c r="C28" s="822"/>
      <c r="D28" s="822"/>
      <c r="E28" s="822"/>
      <c r="F28" s="822"/>
      <c r="H28" s="822" t="s">
        <v>82</v>
      </c>
      <c r="I28" s="822"/>
      <c r="J28" s="822"/>
      <c r="K28" s="822"/>
      <c r="L28" s="822"/>
    </row>
  </sheetData>
  <mergeCells count="11">
    <mergeCell ref="B28:F28"/>
    <mergeCell ref="H28:L28"/>
    <mergeCell ref="N4:V4"/>
    <mergeCell ref="N5:V5"/>
    <mergeCell ref="A6:L6"/>
    <mergeCell ref="A7:L7"/>
    <mergeCell ref="A10:A11"/>
    <mergeCell ref="B10:B11"/>
    <mergeCell ref="C10:C11"/>
    <mergeCell ref="D10:D11"/>
    <mergeCell ref="E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961E-B351-49BD-A82A-8DF059E70F0D}">
  <sheetPr codeName="Sheet10">
    <pageSetUpPr fitToPage="1"/>
  </sheetPr>
  <dimension ref="A1:Z492"/>
  <sheetViews>
    <sheetView view="pageBreakPreview" zoomScale="85" zoomScaleNormal="80" zoomScaleSheetLayoutView="85" workbookViewId="0">
      <pane xSplit="1" ySplit="7" topLeftCell="B464" activePane="bottomRight" state="frozen"/>
      <selection pane="topRight" activeCell="B1" sqref="B1"/>
      <selection pane="bottomLeft" activeCell="A8" sqref="A8"/>
      <selection pane="bottomRight" activeCell="A473" sqref="A473"/>
    </sheetView>
  </sheetViews>
  <sheetFormatPr defaultColWidth="9" defaultRowHeight="14.25"/>
  <cols>
    <col min="1" max="1" width="24.375" style="451" customWidth="1"/>
    <col min="2" max="2" width="6.125" style="451" customWidth="1"/>
    <col min="3" max="3" width="4.125" style="451" customWidth="1"/>
    <col min="4" max="4" width="13.125" style="452" customWidth="1"/>
    <col min="5" max="5" width="5" style="452" customWidth="1"/>
    <col min="6" max="6" width="6.125" style="452" customWidth="1"/>
    <col min="7" max="10" width="11.5" style="451" customWidth="1"/>
    <col min="11" max="11" width="9.375" style="453" customWidth="1"/>
    <col min="12" max="12" width="8.125" style="453" customWidth="1"/>
    <col min="13" max="13" width="9.25" style="454" customWidth="1"/>
    <col min="14" max="14" width="10.375" style="455" customWidth="1"/>
    <col min="15" max="15" width="12.75" style="530" customWidth="1"/>
    <col min="16" max="16" width="16.625" style="457" customWidth="1"/>
    <col min="17" max="17" width="10.625" style="458" customWidth="1"/>
    <col min="18" max="18" width="13.25" style="458" customWidth="1"/>
    <col min="19" max="16384" width="9" style="458"/>
  </cols>
  <sheetData>
    <row r="1" spans="1:26" s="429" customFormat="1" ht="26.25" customHeight="1">
      <c r="A1" s="844" t="s">
        <v>742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524"/>
      <c r="P4" s="400"/>
      <c r="Q4" s="414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57" t="s">
        <v>490</v>
      </c>
      <c r="I5" s="857" t="s">
        <v>491</v>
      </c>
      <c r="J5" s="857" t="s">
        <v>492</v>
      </c>
      <c r="K5" s="859" t="s">
        <v>344</v>
      </c>
      <c r="L5" s="860" t="s">
        <v>345</v>
      </c>
      <c r="M5" s="863" t="s">
        <v>114</v>
      </c>
      <c r="N5" s="861" t="s">
        <v>115</v>
      </c>
      <c r="O5" s="865" t="s">
        <v>320</v>
      </c>
      <c r="P5" s="861" t="s">
        <v>2</v>
      </c>
      <c r="Q5" s="414"/>
      <c r="R5" s="430">
        <v>6</v>
      </c>
      <c r="S5" s="430">
        <v>8</v>
      </c>
      <c r="T5" s="430">
        <v>10</v>
      </c>
      <c r="U5" s="430">
        <v>12</v>
      </c>
      <c r="V5" s="430">
        <v>14</v>
      </c>
      <c r="W5" s="430">
        <v>16</v>
      </c>
      <c r="X5" s="430">
        <v>18</v>
      </c>
      <c r="Y5" s="430">
        <v>20</v>
      </c>
      <c r="Z5" s="43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58"/>
      <c r="I6" s="858"/>
      <c r="J6" s="858"/>
      <c r="K6" s="859"/>
      <c r="L6" s="860"/>
      <c r="M6" s="864"/>
      <c r="N6" s="862"/>
      <c r="O6" s="866"/>
      <c r="P6" s="862"/>
      <c r="Q6" s="414"/>
      <c r="R6" s="430">
        <v>0.222</v>
      </c>
      <c r="S6" s="430">
        <v>0.39500000000000002</v>
      </c>
      <c r="T6" s="430">
        <v>0.61699999999999999</v>
      </c>
      <c r="U6" s="430">
        <v>0.88800000000000001</v>
      </c>
      <c r="V6" s="430">
        <v>1.21</v>
      </c>
      <c r="W6" s="430">
        <v>1.58</v>
      </c>
      <c r="X6" s="430">
        <v>2</v>
      </c>
      <c r="Y6" s="430">
        <v>2.4700000000000002</v>
      </c>
      <c r="Z6" s="43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/>
      <c r="I7" s="508"/>
      <c r="J7" s="508"/>
      <c r="K7" s="508" t="s">
        <v>28</v>
      </c>
      <c r="L7" s="508" t="s">
        <v>29</v>
      </c>
      <c r="M7" s="505" t="s">
        <v>30</v>
      </c>
      <c r="N7" s="505" t="s">
        <v>31</v>
      </c>
      <c r="O7" s="525" t="s">
        <v>326</v>
      </c>
      <c r="P7" s="505" t="s">
        <v>328</v>
      </c>
      <c r="Q7" s="414"/>
    </row>
    <row r="8" spans="1:26" s="430" customFormat="1" ht="25.15" customHeight="1">
      <c r="A8" s="588" t="s">
        <v>488</v>
      </c>
      <c r="B8" s="589"/>
      <c r="C8" s="590"/>
      <c r="D8" s="591"/>
      <c r="E8" s="589"/>
      <c r="F8" s="592"/>
      <c r="G8" s="593"/>
      <c r="H8" s="593"/>
      <c r="I8" s="593"/>
      <c r="J8" s="593"/>
      <c r="K8" s="593"/>
      <c r="L8" s="593"/>
      <c r="M8" s="594"/>
      <c r="N8" s="595"/>
      <c r="O8" s="595"/>
      <c r="P8" s="596"/>
    </row>
    <row r="9" spans="1:26" s="430" customFormat="1" ht="25.15" customHeight="1">
      <c r="A9" s="870" t="s">
        <v>489</v>
      </c>
      <c r="B9" s="674"/>
      <c r="C9" s="675" t="s">
        <v>321</v>
      </c>
      <c r="D9" s="676">
        <v>1960</v>
      </c>
      <c r="E9" s="677" t="s">
        <v>322</v>
      </c>
      <c r="F9" s="678"/>
      <c r="G9" s="679"/>
      <c r="H9" s="679"/>
      <c r="I9" s="679"/>
      <c r="J9" s="679"/>
      <c r="K9" s="680"/>
      <c r="L9" s="680"/>
      <c r="M9" s="681"/>
      <c r="N9" s="682"/>
      <c r="O9" s="682"/>
      <c r="P9" s="683"/>
      <c r="Q9" s="414"/>
    </row>
    <row r="10" spans="1:26" s="430" customFormat="1" ht="25.15" customHeight="1">
      <c r="A10" s="871"/>
      <c r="B10" s="674">
        <v>1</v>
      </c>
      <c r="C10" s="684">
        <v>200</v>
      </c>
      <c r="D10" s="685">
        <f>D9+200+150</f>
        <v>2310</v>
      </c>
      <c r="E10" s="674">
        <f>250</f>
        <v>250</v>
      </c>
      <c r="F10" s="678">
        <v>10</v>
      </c>
      <c r="G10" s="679">
        <f>C10+D10+E10</f>
        <v>2760</v>
      </c>
      <c r="H10" s="679">
        <v>0</v>
      </c>
      <c r="I10" s="679">
        <f>F10*45</f>
        <v>450</v>
      </c>
      <c r="J10" s="679">
        <f>G10+I10*H10</f>
        <v>2760</v>
      </c>
      <c r="K10" s="680">
        <v>2</v>
      </c>
      <c r="L10" s="680">
        <v>1</v>
      </c>
      <c r="M10" s="681">
        <f>J10*K10*L10/1000</f>
        <v>5.52</v>
      </c>
      <c r="N10" s="682">
        <f t="shared" ref="N10:N13" si="0">_xlfn.XLOOKUP(F10,$R$5:$Z$5,$R$6:$Z$6,"NOT_FOUND",0)</f>
        <v>0.61699999999999999</v>
      </c>
      <c r="O10" s="682">
        <f>M10*N10</f>
        <v>3.4058399999999995</v>
      </c>
      <c r="P10" s="683"/>
    </row>
    <row r="11" spans="1:26" s="430" customFormat="1" ht="25.15" customHeight="1">
      <c r="A11" s="871"/>
      <c r="B11" s="674">
        <v>2</v>
      </c>
      <c r="C11" s="684">
        <v>100</v>
      </c>
      <c r="D11" s="685">
        <f>D9+200+170</f>
        <v>2330</v>
      </c>
      <c r="E11" s="674">
        <v>130</v>
      </c>
      <c r="F11" s="678">
        <v>10</v>
      </c>
      <c r="G11" s="679">
        <f>C11+D11+E11</f>
        <v>2560</v>
      </c>
      <c r="H11" s="679">
        <v>0</v>
      </c>
      <c r="I11" s="679">
        <f t="shared" ref="I11:I13" si="1">F11*45</f>
        <v>450</v>
      </c>
      <c r="J11" s="679">
        <f t="shared" ref="J11:J13" si="2">G11+I11*H11</f>
        <v>2560</v>
      </c>
      <c r="K11" s="680">
        <v>2</v>
      </c>
      <c r="L11" s="680">
        <v>1</v>
      </c>
      <c r="M11" s="681">
        <f t="shared" ref="M11:M13" si="3">J11*K11*L11/1000</f>
        <v>5.12</v>
      </c>
      <c r="N11" s="682">
        <f t="shared" si="0"/>
        <v>0.61699999999999999</v>
      </c>
      <c r="O11" s="682">
        <f>M11*N11</f>
        <v>3.1590400000000001</v>
      </c>
      <c r="P11" s="683"/>
    </row>
    <row r="12" spans="1:26" s="430" customFormat="1" ht="25.15" customHeight="1">
      <c r="A12" s="871"/>
      <c r="B12" s="674">
        <v>3</v>
      </c>
      <c r="C12" s="684">
        <v>240</v>
      </c>
      <c r="D12" s="686">
        <v>160</v>
      </c>
      <c r="E12" s="674">
        <v>60</v>
      </c>
      <c r="F12" s="678">
        <v>6</v>
      </c>
      <c r="G12" s="679">
        <f>(C12+D12+E12)*2</f>
        <v>920</v>
      </c>
      <c r="H12" s="679">
        <v>0</v>
      </c>
      <c r="I12" s="679">
        <f t="shared" si="1"/>
        <v>270</v>
      </c>
      <c r="J12" s="679">
        <f t="shared" si="2"/>
        <v>920</v>
      </c>
      <c r="K12" s="680">
        <f>+ROUND(D9/200,0)</f>
        <v>10</v>
      </c>
      <c r="L12" s="680">
        <v>1</v>
      </c>
      <c r="M12" s="681">
        <f t="shared" si="3"/>
        <v>9.1999999999999993</v>
      </c>
      <c r="N12" s="682">
        <f t="shared" si="0"/>
        <v>0.222</v>
      </c>
      <c r="O12" s="682">
        <f t="shared" ref="O12:O13" si="4">M12*N12</f>
        <v>2.0423999999999998</v>
      </c>
      <c r="P12" s="683"/>
    </row>
    <row r="13" spans="1:26" s="430" customFormat="1" ht="25.15" customHeight="1">
      <c r="A13" s="872"/>
      <c r="B13" s="674" t="s">
        <v>158</v>
      </c>
      <c r="C13" s="684">
        <v>100</v>
      </c>
      <c r="D13" s="686">
        <v>200</v>
      </c>
      <c r="E13" s="674"/>
      <c r="F13" s="678">
        <v>10</v>
      </c>
      <c r="G13" s="679">
        <f>C13+D13</f>
        <v>300</v>
      </c>
      <c r="H13" s="679">
        <v>0</v>
      </c>
      <c r="I13" s="679">
        <f t="shared" si="1"/>
        <v>450</v>
      </c>
      <c r="J13" s="679">
        <f t="shared" si="2"/>
        <v>300</v>
      </c>
      <c r="K13" s="680">
        <f>+ROUND(D9/600,0)</f>
        <v>3</v>
      </c>
      <c r="L13" s="680">
        <v>1</v>
      </c>
      <c r="M13" s="681">
        <f t="shared" si="3"/>
        <v>0.9</v>
      </c>
      <c r="N13" s="682">
        <f t="shared" si="0"/>
        <v>0.61699999999999999</v>
      </c>
      <c r="O13" s="682">
        <f t="shared" si="4"/>
        <v>0.55530000000000002</v>
      </c>
      <c r="P13" s="683" t="s">
        <v>347</v>
      </c>
    </row>
    <row r="14" spans="1:26" s="430" customFormat="1" ht="25.15" customHeight="1">
      <c r="A14" s="834" t="s">
        <v>489</v>
      </c>
      <c r="B14" s="401"/>
      <c r="C14" s="402" t="s">
        <v>321</v>
      </c>
      <c r="D14" s="403">
        <v>2005</v>
      </c>
      <c r="E14" s="404" t="s">
        <v>322</v>
      </c>
      <c r="F14" s="431"/>
      <c r="G14" s="432"/>
      <c r="H14" s="432"/>
      <c r="I14" s="432"/>
      <c r="J14" s="432"/>
      <c r="K14" s="433"/>
      <c r="L14" s="433"/>
      <c r="M14" s="503"/>
      <c r="N14" s="435"/>
      <c r="O14" s="435"/>
      <c r="P14" s="407"/>
      <c r="Q14" s="414"/>
    </row>
    <row r="15" spans="1:26" s="430" customFormat="1" ht="25.15" customHeight="1">
      <c r="A15" s="835"/>
      <c r="B15" s="401">
        <v>1</v>
      </c>
      <c r="C15" s="405">
        <v>200</v>
      </c>
      <c r="D15" s="459">
        <f>D14+200+150</f>
        <v>2355</v>
      </c>
      <c r="E15" s="401">
        <f>250</f>
        <v>250</v>
      </c>
      <c r="F15" s="431">
        <v>10</v>
      </c>
      <c r="G15" s="432">
        <f>C15+D15+E15</f>
        <v>2805</v>
      </c>
      <c r="H15" s="432">
        <v>0</v>
      </c>
      <c r="I15" s="432">
        <f>F15*45</f>
        <v>450</v>
      </c>
      <c r="J15" s="432">
        <f>G15+I15*H15</f>
        <v>2805</v>
      </c>
      <c r="K15" s="433">
        <v>2</v>
      </c>
      <c r="L15" s="433">
        <v>1</v>
      </c>
      <c r="M15" s="503">
        <f t="shared" ref="M15:M18" si="5">J15*K15*L15/1000</f>
        <v>5.61</v>
      </c>
      <c r="N15" s="435">
        <f t="shared" ref="N15:N18" si="6">_xlfn.XLOOKUP(F15,$R$5:$Z$5,$R$6:$Z$6,"NOT_FOUND",0)</f>
        <v>0.61699999999999999</v>
      </c>
      <c r="O15" s="435">
        <f t="shared" ref="O15:O18" si="7">M15*N15</f>
        <v>3.4613700000000001</v>
      </c>
      <c r="P15" s="407"/>
    </row>
    <row r="16" spans="1:26" s="430" customFormat="1" ht="25.15" customHeight="1">
      <c r="A16" s="835"/>
      <c r="B16" s="401">
        <v>2</v>
      </c>
      <c r="C16" s="405">
        <v>100</v>
      </c>
      <c r="D16" s="459">
        <f>D14+200+170</f>
        <v>2375</v>
      </c>
      <c r="E16" s="401">
        <v>130</v>
      </c>
      <c r="F16" s="431">
        <v>10</v>
      </c>
      <c r="G16" s="432">
        <f>C16+D16+E16</f>
        <v>2605</v>
      </c>
      <c r="H16" s="432">
        <v>0</v>
      </c>
      <c r="I16" s="432">
        <f t="shared" ref="I16:I18" si="8">F16*45</f>
        <v>450</v>
      </c>
      <c r="J16" s="432">
        <f t="shared" ref="J16:J18" si="9">G16+I16*H16</f>
        <v>2605</v>
      </c>
      <c r="K16" s="433">
        <v>2</v>
      </c>
      <c r="L16" s="433">
        <v>1</v>
      </c>
      <c r="M16" s="503">
        <f t="shared" si="5"/>
        <v>5.21</v>
      </c>
      <c r="N16" s="435">
        <f t="shared" si="6"/>
        <v>0.61699999999999999</v>
      </c>
      <c r="O16" s="435">
        <f t="shared" si="7"/>
        <v>3.2145700000000001</v>
      </c>
      <c r="P16" s="407"/>
    </row>
    <row r="17" spans="1:17" s="430" customFormat="1" ht="25.15" customHeight="1">
      <c r="A17" s="835"/>
      <c r="B17" s="401">
        <v>3</v>
      </c>
      <c r="C17" s="405">
        <v>240</v>
      </c>
      <c r="D17" s="406">
        <v>160</v>
      </c>
      <c r="E17" s="401">
        <v>60</v>
      </c>
      <c r="F17" s="431">
        <v>6</v>
      </c>
      <c r="G17" s="432">
        <f>(C17+D17+E17)*2</f>
        <v>920</v>
      </c>
      <c r="H17" s="432">
        <v>0</v>
      </c>
      <c r="I17" s="432">
        <f t="shared" si="8"/>
        <v>270</v>
      </c>
      <c r="J17" s="432">
        <f t="shared" si="9"/>
        <v>920</v>
      </c>
      <c r="K17" s="680">
        <f>+ROUND(D14/200,0)</f>
        <v>10</v>
      </c>
      <c r="L17" s="433">
        <v>1</v>
      </c>
      <c r="M17" s="503">
        <f t="shared" si="5"/>
        <v>9.1999999999999993</v>
      </c>
      <c r="N17" s="435">
        <f t="shared" si="6"/>
        <v>0.222</v>
      </c>
      <c r="O17" s="435">
        <f t="shared" si="7"/>
        <v>2.0423999999999998</v>
      </c>
      <c r="P17" s="407"/>
    </row>
    <row r="18" spans="1:17" s="430" customFormat="1" ht="25.15" customHeight="1">
      <c r="A18" s="836"/>
      <c r="B18" s="401" t="s">
        <v>158</v>
      </c>
      <c r="C18" s="405">
        <v>100</v>
      </c>
      <c r="D18" s="406">
        <v>200</v>
      </c>
      <c r="E18" s="401"/>
      <c r="F18" s="431">
        <v>10</v>
      </c>
      <c r="G18" s="432">
        <f>C18+D18</f>
        <v>300</v>
      </c>
      <c r="H18" s="432">
        <v>0</v>
      </c>
      <c r="I18" s="432">
        <f t="shared" si="8"/>
        <v>450</v>
      </c>
      <c r="J18" s="432">
        <f t="shared" si="9"/>
        <v>300</v>
      </c>
      <c r="K18" s="680">
        <f>+ROUND(D14/600,0)</f>
        <v>3</v>
      </c>
      <c r="L18" s="433">
        <v>1</v>
      </c>
      <c r="M18" s="503">
        <f t="shared" si="5"/>
        <v>0.9</v>
      </c>
      <c r="N18" s="435">
        <f t="shared" si="6"/>
        <v>0.61699999999999999</v>
      </c>
      <c r="O18" s="435">
        <f t="shared" si="7"/>
        <v>0.55530000000000002</v>
      </c>
      <c r="P18" s="407" t="s">
        <v>347</v>
      </c>
    </row>
    <row r="19" spans="1:17" s="430" customFormat="1" ht="25.15" customHeight="1">
      <c r="A19" s="834" t="s">
        <v>489</v>
      </c>
      <c r="B19" s="401"/>
      <c r="C19" s="402" t="s">
        <v>321</v>
      </c>
      <c r="D19" s="403">
        <v>2050</v>
      </c>
      <c r="E19" s="404" t="s">
        <v>322</v>
      </c>
      <c r="F19" s="431"/>
      <c r="G19" s="432"/>
      <c r="H19" s="432"/>
      <c r="I19" s="432"/>
      <c r="J19" s="432"/>
      <c r="K19" s="433"/>
      <c r="L19" s="433"/>
      <c r="M19" s="503"/>
      <c r="N19" s="435"/>
      <c r="O19" s="435"/>
      <c r="P19" s="407"/>
      <c r="Q19" s="414"/>
    </row>
    <row r="20" spans="1:17" s="430" customFormat="1" ht="25.15" customHeight="1">
      <c r="A20" s="835"/>
      <c r="B20" s="401">
        <v>1</v>
      </c>
      <c r="C20" s="405">
        <v>200</v>
      </c>
      <c r="D20" s="459">
        <f>D19+200+150</f>
        <v>2400</v>
      </c>
      <c r="E20" s="401">
        <f>250</f>
        <v>250</v>
      </c>
      <c r="F20" s="431">
        <v>10</v>
      </c>
      <c r="G20" s="432">
        <f>C20+D20+E20</f>
        <v>2850</v>
      </c>
      <c r="H20" s="432">
        <v>0</v>
      </c>
      <c r="I20" s="432">
        <f>F20*45</f>
        <v>450</v>
      </c>
      <c r="J20" s="432">
        <f>G20+I20*H20</f>
        <v>2850</v>
      </c>
      <c r="K20" s="433">
        <v>2</v>
      </c>
      <c r="L20" s="433">
        <v>1</v>
      </c>
      <c r="M20" s="503">
        <f t="shared" ref="M20:M23" si="10">J20*K20*L20/1000</f>
        <v>5.7</v>
      </c>
      <c r="N20" s="435">
        <f t="shared" ref="N20:N23" si="11">_xlfn.XLOOKUP(F20,$R$5:$Z$5,$R$6:$Z$6,"NOT_FOUND",0)</f>
        <v>0.61699999999999999</v>
      </c>
      <c r="O20" s="435">
        <f t="shared" ref="O20:O23" si="12">M20*N20</f>
        <v>3.5169000000000001</v>
      </c>
      <c r="P20" s="407"/>
    </row>
    <row r="21" spans="1:17" s="430" customFormat="1" ht="25.15" customHeight="1">
      <c r="A21" s="835"/>
      <c r="B21" s="401">
        <v>2</v>
      </c>
      <c r="C21" s="405">
        <v>100</v>
      </c>
      <c r="D21" s="459">
        <f>D19+200+170</f>
        <v>2420</v>
      </c>
      <c r="E21" s="401">
        <v>130</v>
      </c>
      <c r="F21" s="431">
        <v>10</v>
      </c>
      <c r="G21" s="432">
        <f>C21+D21+E21</f>
        <v>2650</v>
      </c>
      <c r="H21" s="432">
        <v>0</v>
      </c>
      <c r="I21" s="432">
        <f t="shared" ref="I21:I23" si="13">F21*45</f>
        <v>450</v>
      </c>
      <c r="J21" s="432">
        <f t="shared" ref="J21:J23" si="14">G21+I21*H21</f>
        <v>2650</v>
      </c>
      <c r="K21" s="433">
        <v>2</v>
      </c>
      <c r="L21" s="433">
        <v>1</v>
      </c>
      <c r="M21" s="503">
        <f t="shared" si="10"/>
        <v>5.3</v>
      </c>
      <c r="N21" s="435">
        <f t="shared" si="11"/>
        <v>0.61699999999999999</v>
      </c>
      <c r="O21" s="435">
        <f t="shared" si="12"/>
        <v>3.2700999999999998</v>
      </c>
      <c r="P21" s="407"/>
    </row>
    <row r="22" spans="1:17" s="430" customFormat="1" ht="25.15" customHeight="1">
      <c r="A22" s="835"/>
      <c r="B22" s="401">
        <v>3</v>
      </c>
      <c r="C22" s="405">
        <v>240</v>
      </c>
      <c r="D22" s="406">
        <v>160</v>
      </c>
      <c r="E22" s="401">
        <v>60</v>
      </c>
      <c r="F22" s="431">
        <v>6</v>
      </c>
      <c r="G22" s="432">
        <f>(C22+D22+E22)*2</f>
        <v>920</v>
      </c>
      <c r="H22" s="432">
        <v>0</v>
      </c>
      <c r="I22" s="432">
        <f t="shared" si="13"/>
        <v>270</v>
      </c>
      <c r="J22" s="432">
        <f t="shared" si="14"/>
        <v>920</v>
      </c>
      <c r="K22" s="680">
        <f>+ROUND(D19/200,0)</f>
        <v>10</v>
      </c>
      <c r="L22" s="433">
        <v>1</v>
      </c>
      <c r="M22" s="503">
        <f t="shared" si="10"/>
        <v>9.1999999999999993</v>
      </c>
      <c r="N22" s="435">
        <f t="shared" si="11"/>
        <v>0.222</v>
      </c>
      <c r="O22" s="435">
        <f t="shared" si="12"/>
        <v>2.0423999999999998</v>
      </c>
      <c r="P22" s="407"/>
    </row>
    <row r="23" spans="1:17" s="430" customFormat="1" ht="25.15" customHeight="1">
      <c r="A23" s="836"/>
      <c r="B23" s="401" t="s">
        <v>158</v>
      </c>
      <c r="C23" s="405">
        <v>100</v>
      </c>
      <c r="D23" s="406">
        <v>200</v>
      </c>
      <c r="E23" s="401"/>
      <c r="F23" s="431">
        <v>10</v>
      </c>
      <c r="G23" s="432">
        <f>C23+D23</f>
        <v>300</v>
      </c>
      <c r="H23" s="432">
        <v>0</v>
      </c>
      <c r="I23" s="432">
        <f t="shared" si="13"/>
        <v>450</v>
      </c>
      <c r="J23" s="432">
        <f t="shared" si="14"/>
        <v>300</v>
      </c>
      <c r="K23" s="680">
        <f>+ROUND(D19/600,0)</f>
        <v>3</v>
      </c>
      <c r="L23" s="433">
        <v>1</v>
      </c>
      <c r="M23" s="503">
        <f t="shared" si="10"/>
        <v>0.9</v>
      </c>
      <c r="N23" s="435">
        <f t="shared" si="11"/>
        <v>0.61699999999999999</v>
      </c>
      <c r="O23" s="435">
        <f t="shared" si="12"/>
        <v>0.55530000000000002</v>
      </c>
      <c r="P23" s="407" t="s">
        <v>347</v>
      </c>
    </row>
    <row r="24" spans="1:17" s="430" customFormat="1" ht="25.15" customHeight="1">
      <c r="A24" s="834" t="s">
        <v>489</v>
      </c>
      <c r="B24" s="401"/>
      <c r="C24" s="402" t="s">
        <v>321</v>
      </c>
      <c r="D24" s="403">
        <v>2070</v>
      </c>
      <c r="E24" s="404" t="s">
        <v>322</v>
      </c>
      <c r="F24" s="431"/>
      <c r="G24" s="432"/>
      <c r="H24" s="432"/>
      <c r="I24" s="432"/>
      <c r="J24" s="432"/>
      <c r="K24" s="433"/>
      <c r="L24" s="433"/>
      <c r="M24" s="503"/>
      <c r="N24" s="435"/>
      <c r="O24" s="435"/>
      <c r="P24" s="407"/>
      <c r="Q24" s="414"/>
    </row>
    <row r="25" spans="1:17" s="430" customFormat="1" ht="25.15" customHeight="1">
      <c r="A25" s="835"/>
      <c r="B25" s="401">
        <v>1</v>
      </c>
      <c r="C25" s="405">
        <v>200</v>
      </c>
      <c r="D25" s="459">
        <f>D24+200+150</f>
        <v>2420</v>
      </c>
      <c r="E25" s="401">
        <f>250</f>
        <v>250</v>
      </c>
      <c r="F25" s="431">
        <v>10</v>
      </c>
      <c r="G25" s="432">
        <f>C25+D25+E25</f>
        <v>2870</v>
      </c>
      <c r="H25" s="432">
        <v>0</v>
      </c>
      <c r="I25" s="432">
        <f>F25*45</f>
        <v>450</v>
      </c>
      <c r="J25" s="432">
        <f>G25+I25*H25</f>
        <v>2870</v>
      </c>
      <c r="K25" s="433">
        <v>2</v>
      </c>
      <c r="L25" s="433">
        <v>1</v>
      </c>
      <c r="M25" s="503">
        <f t="shared" ref="M25:M28" si="15">J25*K25*L25/1000</f>
        <v>5.74</v>
      </c>
      <c r="N25" s="435">
        <f t="shared" ref="N25:N28" si="16">_xlfn.XLOOKUP(F25,$R$5:$Z$5,$R$6:$Z$6,"NOT_FOUND",0)</f>
        <v>0.61699999999999999</v>
      </c>
      <c r="O25" s="435">
        <f t="shared" ref="O25:O28" si="17">M25*N25</f>
        <v>3.5415800000000002</v>
      </c>
      <c r="P25" s="407"/>
    </row>
    <row r="26" spans="1:17" s="430" customFormat="1" ht="25.15" customHeight="1">
      <c r="A26" s="835"/>
      <c r="B26" s="401">
        <v>2</v>
      </c>
      <c r="C26" s="405">
        <v>100</v>
      </c>
      <c r="D26" s="459">
        <f>D24+200+170</f>
        <v>2440</v>
      </c>
      <c r="E26" s="401">
        <v>130</v>
      </c>
      <c r="F26" s="431">
        <v>10</v>
      </c>
      <c r="G26" s="432">
        <f>C26+D26+E26</f>
        <v>2670</v>
      </c>
      <c r="H26" s="432">
        <v>0</v>
      </c>
      <c r="I26" s="432">
        <f t="shared" ref="I26:I28" si="18">F26*45</f>
        <v>450</v>
      </c>
      <c r="J26" s="432">
        <f t="shared" ref="J26:J28" si="19">G26+I26*H26</f>
        <v>2670</v>
      </c>
      <c r="K26" s="433">
        <v>2</v>
      </c>
      <c r="L26" s="433">
        <v>1</v>
      </c>
      <c r="M26" s="503">
        <f t="shared" si="15"/>
        <v>5.34</v>
      </c>
      <c r="N26" s="435">
        <f t="shared" si="16"/>
        <v>0.61699999999999999</v>
      </c>
      <c r="O26" s="435">
        <f t="shared" si="17"/>
        <v>3.2947799999999998</v>
      </c>
      <c r="P26" s="407"/>
    </row>
    <row r="27" spans="1:17" s="430" customFormat="1" ht="25.15" customHeight="1">
      <c r="A27" s="835"/>
      <c r="B27" s="401">
        <v>3</v>
      </c>
      <c r="C27" s="405">
        <v>240</v>
      </c>
      <c r="D27" s="406">
        <v>160</v>
      </c>
      <c r="E27" s="401">
        <v>60</v>
      </c>
      <c r="F27" s="431">
        <v>6</v>
      </c>
      <c r="G27" s="432">
        <f>(C27+D27+E27)*2</f>
        <v>920</v>
      </c>
      <c r="H27" s="432">
        <v>0</v>
      </c>
      <c r="I27" s="432">
        <f t="shared" si="18"/>
        <v>270</v>
      </c>
      <c r="J27" s="432">
        <f t="shared" si="19"/>
        <v>920</v>
      </c>
      <c r="K27" s="680">
        <f>+ROUND(D24/200,0)</f>
        <v>10</v>
      </c>
      <c r="L27" s="433">
        <v>1</v>
      </c>
      <c r="M27" s="503">
        <f t="shared" si="15"/>
        <v>9.1999999999999993</v>
      </c>
      <c r="N27" s="435">
        <f t="shared" si="16"/>
        <v>0.222</v>
      </c>
      <c r="O27" s="435">
        <f t="shared" si="17"/>
        <v>2.0423999999999998</v>
      </c>
      <c r="P27" s="407"/>
    </row>
    <row r="28" spans="1:17" s="430" customFormat="1" ht="25.15" customHeight="1">
      <c r="A28" s="836"/>
      <c r="B28" s="401" t="s">
        <v>158</v>
      </c>
      <c r="C28" s="405">
        <v>100</v>
      </c>
      <c r="D28" s="406">
        <v>200</v>
      </c>
      <c r="E28" s="401"/>
      <c r="F28" s="431">
        <v>10</v>
      </c>
      <c r="G28" s="432">
        <f>C28+D28</f>
        <v>300</v>
      </c>
      <c r="H28" s="432">
        <v>0</v>
      </c>
      <c r="I28" s="432">
        <f t="shared" si="18"/>
        <v>450</v>
      </c>
      <c r="J28" s="432">
        <f t="shared" si="19"/>
        <v>300</v>
      </c>
      <c r="K28" s="680">
        <f>+ROUND(D24/600,0)</f>
        <v>3</v>
      </c>
      <c r="L28" s="433">
        <v>1</v>
      </c>
      <c r="M28" s="503">
        <f t="shared" si="15"/>
        <v>0.9</v>
      </c>
      <c r="N28" s="435">
        <f t="shared" si="16"/>
        <v>0.61699999999999999</v>
      </c>
      <c r="O28" s="435">
        <f t="shared" si="17"/>
        <v>0.55530000000000002</v>
      </c>
      <c r="P28" s="407" t="s">
        <v>347</v>
      </c>
    </row>
    <row r="29" spans="1:17" s="430" customFormat="1" ht="25.15" customHeight="1">
      <c r="A29" s="588" t="s">
        <v>493</v>
      </c>
      <c r="B29" s="589"/>
      <c r="C29" s="590"/>
      <c r="D29" s="591"/>
      <c r="E29" s="589"/>
      <c r="F29" s="592"/>
      <c r="G29" s="593"/>
      <c r="H29" s="593"/>
      <c r="I29" s="593"/>
      <c r="J29" s="593"/>
      <c r="K29" s="593"/>
      <c r="L29" s="593"/>
      <c r="M29" s="594"/>
      <c r="N29" s="595"/>
      <c r="O29" s="595"/>
      <c r="P29" s="596"/>
    </row>
    <row r="30" spans="1:17" s="430" customFormat="1" ht="25.15" customHeight="1">
      <c r="A30" s="834" t="s">
        <v>489</v>
      </c>
      <c r="B30" s="401"/>
      <c r="C30" s="402" t="s">
        <v>321</v>
      </c>
      <c r="D30" s="403">
        <v>2055</v>
      </c>
      <c r="E30" s="404" t="s">
        <v>322</v>
      </c>
      <c r="F30" s="431"/>
      <c r="G30" s="432"/>
      <c r="H30" s="432"/>
      <c r="I30" s="432"/>
      <c r="J30" s="432"/>
      <c r="K30" s="433"/>
      <c r="L30" s="433"/>
      <c r="M30" s="503"/>
      <c r="N30" s="435"/>
      <c r="O30" s="435"/>
      <c r="P30" s="407"/>
      <c r="Q30" s="414"/>
    </row>
    <row r="31" spans="1:17" s="430" customFormat="1" ht="25.15" customHeight="1">
      <c r="A31" s="835"/>
      <c r="B31" s="401">
        <v>1</v>
      </c>
      <c r="C31" s="405">
        <v>200</v>
      </c>
      <c r="D31" s="459">
        <f>D30+200+150</f>
        <v>2405</v>
      </c>
      <c r="E31" s="401">
        <f>250</f>
        <v>250</v>
      </c>
      <c r="F31" s="431">
        <v>10</v>
      </c>
      <c r="G31" s="432">
        <f>C31+D31+E31</f>
        <v>2855</v>
      </c>
      <c r="H31" s="432">
        <v>0</v>
      </c>
      <c r="I31" s="432">
        <f>F31*45</f>
        <v>450</v>
      </c>
      <c r="J31" s="432">
        <f>G31+I31*H31</f>
        <v>2855</v>
      </c>
      <c r="K31" s="433">
        <v>2</v>
      </c>
      <c r="L31" s="433">
        <v>1</v>
      </c>
      <c r="M31" s="503">
        <f>J31*K31*L31/1000</f>
        <v>5.71</v>
      </c>
      <c r="N31" s="435">
        <f t="shared" ref="N31:N34" si="20">_xlfn.XLOOKUP(F31,$R$5:$Z$5,$R$6:$Z$6,"NOT_FOUND",0)</f>
        <v>0.61699999999999999</v>
      </c>
      <c r="O31" s="435">
        <f t="shared" ref="O31:O34" si="21">M31*N31</f>
        <v>3.5230700000000001</v>
      </c>
      <c r="P31" s="407"/>
    </row>
    <row r="32" spans="1:17" s="430" customFormat="1" ht="25.15" customHeight="1">
      <c r="A32" s="835"/>
      <c r="B32" s="401">
        <v>2</v>
      </c>
      <c r="C32" s="405">
        <v>100</v>
      </c>
      <c r="D32" s="459">
        <f>D30+200+170</f>
        <v>2425</v>
      </c>
      <c r="E32" s="401">
        <v>130</v>
      </c>
      <c r="F32" s="431">
        <v>10</v>
      </c>
      <c r="G32" s="432">
        <f>C32+D32+E32</f>
        <v>2655</v>
      </c>
      <c r="H32" s="432">
        <v>0</v>
      </c>
      <c r="I32" s="432">
        <f t="shared" ref="I32:I34" si="22">F32*45</f>
        <v>450</v>
      </c>
      <c r="J32" s="432">
        <f t="shared" ref="J32:J34" si="23">G32+I32*H32</f>
        <v>2655</v>
      </c>
      <c r="K32" s="433">
        <v>2</v>
      </c>
      <c r="L32" s="433">
        <v>1</v>
      </c>
      <c r="M32" s="503">
        <f t="shared" ref="M32:M34" si="24">J32*K32*L32/1000</f>
        <v>5.31</v>
      </c>
      <c r="N32" s="435">
        <f t="shared" si="20"/>
        <v>0.61699999999999999</v>
      </c>
      <c r="O32" s="435">
        <f t="shared" si="21"/>
        <v>3.2762699999999998</v>
      </c>
      <c r="P32" s="407"/>
    </row>
    <row r="33" spans="1:17" s="430" customFormat="1" ht="25.15" customHeight="1">
      <c r="A33" s="835"/>
      <c r="B33" s="401">
        <v>3</v>
      </c>
      <c r="C33" s="405">
        <v>240</v>
      </c>
      <c r="D33" s="406">
        <v>160</v>
      </c>
      <c r="E33" s="401">
        <v>60</v>
      </c>
      <c r="F33" s="431">
        <v>6</v>
      </c>
      <c r="G33" s="432">
        <f>(C33+D33+E33)*2</f>
        <v>920</v>
      </c>
      <c r="H33" s="432">
        <v>0</v>
      </c>
      <c r="I33" s="432">
        <f t="shared" si="22"/>
        <v>270</v>
      </c>
      <c r="J33" s="432">
        <f t="shared" si="23"/>
        <v>920</v>
      </c>
      <c r="K33" s="680">
        <f>+ROUND(D30/200,0)</f>
        <v>10</v>
      </c>
      <c r="L33" s="433">
        <v>1</v>
      </c>
      <c r="M33" s="503">
        <f t="shared" si="24"/>
        <v>9.1999999999999993</v>
      </c>
      <c r="N33" s="435">
        <f t="shared" si="20"/>
        <v>0.222</v>
      </c>
      <c r="O33" s="435">
        <f t="shared" si="21"/>
        <v>2.0423999999999998</v>
      </c>
      <c r="P33" s="407"/>
    </row>
    <row r="34" spans="1:17" s="430" customFormat="1" ht="25.15" customHeight="1">
      <c r="A34" s="836"/>
      <c r="B34" s="401" t="s">
        <v>158</v>
      </c>
      <c r="C34" s="405">
        <v>100</v>
      </c>
      <c r="D34" s="406">
        <v>200</v>
      </c>
      <c r="E34" s="401"/>
      <c r="F34" s="431">
        <v>10</v>
      </c>
      <c r="G34" s="432">
        <f>C34+D34</f>
        <v>300</v>
      </c>
      <c r="H34" s="432">
        <v>0</v>
      </c>
      <c r="I34" s="432">
        <f t="shared" si="22"/>
        <v>450</v>
      </c>
      <c r="J34" s="432">
        <f t="shared" si="23"/>
        <v>300</v>
      </c>
      <c r="K34" s="680">
        <f>+ROUND(D30/600,0)</f>
        <v>3</v>
      </c>
      <c r="L34" s="433">
        <v>1</v>
      </c>
      <c r="M34" s="503">
        <f t="shared" si="24"/>
        <v>0.9</v>
      </c>
      <c r="N34" s="435">
        <f t="shared" si="20"/>
        <v>0.61699999999999999</v>
      </c>
      <c r="O34" s="435">
        <f t="shared" si="21"/>
        <v>0.55530000000000002</v>
      </c>
      <c r="P34" s="407" t="s">
        <v>347</v>
      </c>
    </row>
    <row r="35" spans="1:17" s="430" customFormat="1" ht="25.15" customHeight="1">
      <c r="A35" s="834" t="s">
        <v>489</v>
      </c>
      <c r="B35" s="401"/>
      <c r="C35" s="402" t="s">
        <v>321</v>
      </c>
      <c r="D35" s="403">
        <v>2020</v>
      </c>
      <c r="E35" s="404" t="s">
        <v>322</v>
      </c>
      <c r="F35" s="431"/>
      <c r="G35" s="432"/>
      <c r="H35" s="432"/>
      <c r="I35" s="432"/>
      <c r="J35" s="432"/>
      <c r="K35" s="433"/>
      <c r="L35" s="433"/>
      <c r="M35" s="503"/>
      <c r="N35" s="435"/>
      <c r="O35" s="435"/>
      <c r="P35" s="407"/>
      <c r="Q35" s="414"/>
    </row>
    <row r="36" spans="1:17" s="430" customFormat="1" ht="25.15" customHeight="1">
      <c r="A36" s="835"/>
      <c r="B36" s="401">
        <v>1</v>
      </c>
      <c r="C36" s="405">
        <v>200</v>
      </c>
      <c r="D36" s="459">
        <f>D35+200+150</f>
        <v>2370</v>
      </c>
      <c r="E36" s="401">
        <f>250</f>
        <v>250</v>
      </c>
      <c r="F36" s="431">
        <v>10</v>
      </c>
      <c r="G36" s="432">
        <f>C36+D36+E36</f>
        <v>2820</v>
      </c>
      <c r="H36" s="432">
        <v>0</v>
      </c>
      <c r="I36" s="432">
        <f>F36*45</f>
        <v>450</v>
      </c>
      <c r="J36" s="432">
        <f>G36+I36*H36</f>
        <v>2820</v>
      </c>
      <c r="K36" s="433">
        <v>2</v>
      </c>
      <c r="L36" s="433">
        <v>1</v>
      </c>
      <c r="M36" s="503">
        <f t="shared" ref="M36:M39" si="25">J36*K36*L36/1000</f>
        <v>5.64</v>
      </c>
      <c r="N36" s="435">
        <f t="shared" ref="N36:N39" si="26">_xlfn.XLOOKUP(F36,$R$5:$Z$5,$R$6:$Z$6,"NOT_FOUND",0)</f>
        <v>0.61699999999999999</v>
      </c>
      <c r="O36" s="435">
        <f t="shared" ref="O36:O39" si="27">M36*N36</f>
        <v>3.4798799999999996</v>
      </c>
      <c r="P36" s="407"/>
    </row>
    <row r="37" spans="1:17" s="430" customFormat="1" ht="25.15" customHeight="1">
      <c r="A37" s="835"/>
      <c r="B37" s="401">
        <v>2</v>
      </c>
      <c r="C37" s="405">
        <v>100</v>
      </c>
      <c r="D37" s="459">
        <f>D35+200+170</f>
        <v>2390</v>
      </c>
      <c r="E37" s="401">
        <v>130</v>
      </c>
      <c r="F37" s="431">
        <v>10</v>
      </c>
      <c r="G37" s="432">
        <f>C37+D37+E37</f>
        <v>2620</v>
      </c>
      <c r="H37" s="432">
        <v>0</v>
      </c>
      <c r="I37" s="432">
        <f t="shared" ref="I37:I39" si="28">F37*45</f>
        <v>450</v>
      </c>
      <c r="J37" s="432">
        <f t="shared" ref="J37:J39" si="29">G37+I37*H37</f>
        <v>2620</v>
      </c>
      <c r="K37" s="433">
        <v>2</v>
      </c>
      <c r="L37" s="433">
        <v>1</v>
      </c>
      <c r="M37" s="503">
        <f t="shared" si="25"/>
        <v>5.24</v>
      </c>
      <c r="N37" s="435">
        <f t="shared" si="26"/>
        <v>0.61699999999999999</v>
      </c>
      <c r="O37" s="435">
        <f t="shared" si="27"/>
        <v>3.2330800000000002</v>
      </c>
      <c r="P37" s="407"/>
    </row>
    <row r="38" spans="1:17" s="430" customFormat="1" ht="25.15" customHeight="1">
      <c r="A38" s="835"/>
      <c r="B38" s="401">
        <v>3</v>
      </c>
      <c r="C38" s="405">
        <v>240</v>
      </c>
      <c r="D38" s="406">
        <v>160</v>
      </c>
      <c r="E38" s="401">
        <v>60</v>
      </c>
      <c r="F38" s="431">
        <v>6</v>
      </c>
      <c r="G38" s="432">
        <f>(C38+D38+E38)*2</f>
        <v>920</v>
      </c>
      <c r="H38" s="432">
        <v>0</v>
      </c>
      <c r="I38" s="432">
        <f t="shared" si="28"/>
        <v>270</v>
      </c>
      <c r="J38" s="432">
        <f t="shared" si="29"/>
        <v>920</v>
      </c>
      <c r="K38" s="680">
        <f>+ROUND(D35/200,0)</f>
        <v>10</v>
      </c>
      <c r="L38" s="433">
        <v>1</v>
      </c>
      <c r="M38" s="503">
        <f t="shared" si="25"/>
        <v>9.1999999999999993</v>
      </c>
      <c r="N38" s="435">
        <f t="shared" si="26"/>
        <v>0.222</v>
      </c>
      <c r="O38" s="435">
        <f t="shared" si="27"/>
        <v>2.0423999999999998</v>
      </c>
      <c r="P38" s="407"/>
    </row>
    <row r="39" spans="1:17" s="430" customFormat="1" ht="25.15" customHeight="1">
      <c r="A39" s="836"/>
      <c r="B39" s="401" t="s">
        <v>158</v>
      </c>
      <c r="C39" s="405">
        <v>100</v>
      </c>
      <c r="D39" s="406">
        <v>200</v>
      </c>
      <c r="E39" s="401"/>
      <c r="F39" s="431">
        <v>10</v>
      </c>
      <c r="G39" s="432">
        <f>C39+D39</f>
        <v>300</v>
      </c>
      <c r="H39" s="432">
        <v>0</v>
      </c>
      <c r="I39" s="432">
        <f t="shared" si="28"/>
        <v>450</v>
      </c>
      <c r="J39" s="432">
        <f t="shared" si="29"/>
        <v>300</v>
      </c>
      <c r="K39" s="680">
        <f>+ROUND(D35/600,0)</f>
        <v>3</v>
      </c>
      <c r="L39" s="433">
        <v>1</v>
      </c>
      <c r="M39" s="503">
        <f t="shared" si="25"/>
        <v>0.9</v>
      </c>
      <c r="N39" s="435">
        <f t="shared" si="26"/>
        <v>0.61699999999999999</v>
      </c>
      <c r="O39" s="435">
        <f t="shared" si="27"/>
        <v>0.55530000000000002</v>
      </c>
      <c r="P39" s="407" t="s">
        <v>347</v>
      </c>
    </row>
    <row r="40" spans="1:17" s="430" customFormat="1" ht="25.15" customHeight="1">
      <c r="A40" s="588" t="s">
        <v>494</v>
      </c>
      <c r="B40" s="589"/>
      <c r="C40" s="590"/>
      <c r="D40" s="591"/>
      <c r="E40" s="589"/>
      <c r="F40" s="592"/>
      <c r="G40" s="593"/>
      <c r="H40" s="593"/>
      <c r="I40" s="593"/>
      <c r="J40" s="593"/>
      <c r="K40" s="593"/>
      <c r="L40" s="593"/>
      <c r="M40" s="594"/>
      <c r="N40" s="595"/>
      <c r="O40" s="595"/>
      <c r="P40" s="596"/>
    </row>
    <row r="41" spans="1:17" s="430" customFormat="1" ht="25.15" customHeight="1">
      <c r="A41" s="834" t="s">
        <v>489</v>
      </c>
      <c r="B41" s="401"/>
      <c r="C41" s="402" t="s">
        <v>321</v>
      </c>
      <c r="D41" s="403">
        <v>1960</v>
      </c>
      <c r="E41" s="404" t="s">
        <v>322</v>
      </c>
      <c r="F41" s="431"/>
      <c r="G41" s="432"/>
      <c r="H41" s="432"/>
      <c r="I41" s="432"/>
      <c r="J41" s="432"/>
      <c r="K41" s="433"/>
      <c r="L41" s="433"/>
      <c r="M41" s="503"/>
      <c r="N41" s="435"/>
      <c r="O41" s="435"/>
      <c r="P41" s="407"/>
      <c r="Q41" s="414"/>
    </row>
    <row r="42" spans="1:17" s="430" customFormat="1" ht="25.15" customHeight="1">
      <c r="A42" s="835"/>
      <c r="B42" s="401">
        <v>1</v>
      </c>
      <c r="C42" s="405">
        <v>200</v>
      </c>
      <c r="D42" s="459">
        <f>D41+200+150</f>
        <v>2310</v>
      </c>
      <c r="E42" s="401">
        <f>250</f>
        <v>250</v>
      </c>
      <c r="F42" s="431">
        <v>10</v>
      </c>
      <c r="G42" s="432">
        <f>C42+D42+E42</f>
        <v>2760</v>
      </c>
      <c r="H42" s="432">
        <v>0</v>
      </c>
      <c r="I42" s="432">
        <f>F42*45</f>
        <v>450</v>
      </c>
      <c r="J42" s="432">
        <f>G42+I42*H42</f>
        <v>2760</v>
      </c>
      <c r="K42" s="433">
        <v>2</v>
      </c>
      <c r="L42" s="433">
        <v>1</v>
      </c>
      <c r="M42" s="503">
        <f t="shared" ref="M42:M45" si="30">J42*K42*L42/1000</f>
        <v>5.52</v>
      </c>
      <c r="N42" s="435">
        <f t="shared" ref="N42:N45" si="31">_xlfn.XLOOKUP(F42,$R$5:$Z$5,$R$6:$Z$6,"NOT_FOUND",0)</f>
        <v>0.61699999999999999</v>
      </c>
      <c r="O42" s="435">
        <f t="shared" ref="O42:O45" si="32">M42*N42</f>
        <v>3.4058399999999995</v>
      </c>
      <c r="P42" s="407"/>
    </row>
    <row r="43" spans="1:17" s="430" customFormat="1" ht="25.15" customHeight="1">
      <c r="A43" s="835"/>
      <c r="B43" s="401">
        <v>2</v>
      </c>
      <c r="C43" s="405">
        <v>100</v>
      </c>
      <c r="D43" s="459">
        <f>D41+200+170</f>
        <v>2330</v>
      </c>
      <c r="E43" s="401">
        <v>130</v>
      </c>
      <c r="F43" s="431">
        <v>10</v>
      </c>
      <c r="G43" s="432">
        <f>C43+D43+E43</f>
        <v>2560</v>
      </c>
      <c r="H43" s="432">
        <v>0</v>
      </c>
      <c r="I43" s="432">
        <f t="shared" ref="I43:I45" si="33">F43*45</f>
        <v>450</v>
      </c>
      <c r="J43" s="432">
        <f t="shared" ref="J43:J45" si="34">G43+I43*H43</f>
        <v>2560</v>
      </c>
      <c r="K43" s="433">
        <v>2</v>
      </c>
      <c r="L43" s="433">
        <v>1</v>
      </c>
      <c r="M43" s="503">
        <f t="shared" si="30"/>
        <v>5.12</v>
      </c>
      <c r="N43" s="435">
        <f t="shared" si="31"/>
        <v>0.61699999999999999</v>
      </c>
      <c r="O43" s="435">
        <f t="shared" si="32"/>
        <v>3.1590400000000001</v>
      </c>
      <c r="P43" s="407"/>
    </row>
    <row r="44" spans="1:17" s="430" customFormat="1" ht="25.15" customHeight="1">
      <c r="A44" s="835"/>
      <c r="B44" s="401">
        <v>3</v>
      </c>
      <c r="C44" s="405">
        <v>240</v>
      </c>
      <c r="D44" s="406">
        <v>160</v>
      </c>
      <c r="E44" s="401">
        <v>60</v>
      </c>
      <c r="F44" s="431">
        <v>6</v>
      </c>
      <c r="G44" s="432">
        <f>(C44+D44+E44)*2</f>
        <v>920</v>
      </c>
      <c r="H44" s="432">
        <v>0</v>
      </c>
      <c r="I44" s="432">
        <f t="shared" si="33"/>
        <v>270</v>
      </c>
      <c r="J44" s="432">
        <f t="shared" si="34"/>
        <v>920</v>
      </c>
      <c r="K44" s="680">
        <f>+ROUND(D41/200,0)</f>
        <v>10</v>
      </c>
      <c r="L44" s="433">
        <v>1</v>
      </c>
      <c r="M44" s="503">
        <f t="shared" si="30"/>
        <v>9.1999999999999993</v>
      </c>
      <c r="N44" s="435">
        <f t="shared" si="31"/>
        <v>0.222</v>
      </c>
      <c r="O44" s="435">
        <f t="shared" si="32"/>
        <v>2.0423999999999998</v>
      </c>
      <c r="P44" s="407"/>
    </row>
    <row r="45" spans="1:17" s="430" customFormat="1" ht="25.15" customHeight="1">
      <c r="A45" s="836"/>
      <c r="B45" s="401" t="s">
        <v>158</v>
      </c>
      <c r="C45" s="405">
        <v>100</v>
      </c>
      <c r="D45" s="406">
        <v>200</v>
      </c>
      <c r="E45" s="401"/>
      <c r="F45" s="431">
        <v>10</v>
      </c>
      <c r="G45" s="432">
        <f>C45+D45</f>
        <v>300</v>
      </c>
      <c r="H45" s="432">
        <v>0</v>
      </c>
      <c r="I45" s="432">
        <f t="shared" si="33"/>
        <v>450</v>
      </c>
      <c r="J45" s="432">
        <f t="shared" si="34"/>
        <v>300</v>
      </c>
      <c r="K45" s="680">
        <f>+ROUND(D41/600,0)</f>
        <v>3</v>
      </c>
      <c r="L45" s="433">
        <v>1</v>
      </c>
      <c r="M45" s="503">
        <f t="shared" si="30"/>
        <v>0.9</v>
      </c>
      <c r="N45" s="435">
        <f t="shared" si="31"/>
        <v>0.61699999999999999</v>
      </c>
      <c r="O45" s="435">
        <f t="shared" si="32"/>
        <v>0.55530000000000002</v>
      </c>
      <c r="P45" s="407" t="s">
        <v>347</v>
      </c>
    </row>
    <row r="46" spans="1:17" s="430" customFormat="1" ht="25.15" customHeight="1">
      <c r="A46" s="834" t="s">
        <v>489</v>
      </c>
      <c r="B46" s="401"/>
      <c r="C46" s="402" t="s">
        <v>321</v>
      </c>
      <c r="D46" s="403">
        <v>1935</v>
      </c>
      <c r="E46" s="404" t="s">
        <v>322</v>
      </c>
      <c r="F46" s="431"/>
      <c r="G46" s="432"/>
      <c r="H46" s="432"/>
      <c r="I46" s="432"/>
      <c r="J46" s="432"/>
      <c r="K46" s="433"/>
      <c r="L46" s="433"/>
      <c r="M46" s="503"/>
      <c r="N46" s="435"/>
      <c r="O46" s="435"/>
      <c r="P46" s="407"/>
      <c r="Q46" s="414"/>
    </row>
    <row r="47" spans="1:17" s="430" customFormat="1" ht="25.15" customHeight="1">
      <c r="A47" s="835"/>
      <c r="B47" s="401">
        <v>1</v>
      </c>
      <c r="C47" s="405">
        <v>200</v>
      </c>
      <c r="D47" s="459">
        <f>D46+200+150</f>
        <v>2285</v>
      </c>
      <c r="E47" s="401">
        <f>250</f>
        <v>250</v>
      </c>
      <c r="F47" s="431">
        <v>10</v>
      </c>
      <c r="G47" s="432">
        <f>C47+D47+E47</f>
        <v>2735</v>
      </c>
      <c r="H47" s="432">
        <v>0</v>
      </c>
      <c r="I47" s="432">
        <f>F47*45</f>
        <v>450</v>
      </c>
      <c r="J47" s="432">
        <f>G47+I47*H47</f>
        <v>2735</v>
      </c>
      <c r="K47" s="433">
        <v>2</v>
      </c>
      <c r="L47" s="433">
        <v>1</v>
      </c>
      <c r="M47" s="503">
        <f t="shared" ref="M47:M50" si="35">J47*K47*L47/1000</f>
        <v>5.47</v>
      </c>
      <c r="N47" s="435">
        <f t="shared" ref="N47:N50" si="36">_xlfn.XLOOKUP(F47,$R$5:$Z$5,$R$6:$Z$6,"NOT_FOUND",0)</f>
        <v>0.61699999999999999</v>
      </c>
      <c r="O47" s="435">
        <f t="shared" ref="O47:O50" si="37">M47*N47</f>
        <v>3.3749899999999999</v>
      </c>
      <c r="P47" s="407"/>
    </row>
    <row r="48" spans="1:17" s="430" customFormat="1" ht="25.15" customHeight="1">
      <c r="A48" s="835"/>
      <c r="B48" s="401">
        <v>2</v>
      </c>
      <c r="C48" s="405">
        <v>100</v>
      </c>
      <c r="D48" s="459">
        <f>D46+200+170</f>
        <v>2305</v>
      </c>
      <c r="E48" s="401">
        <v>130</v>
      </c>
      <c r="F48" s="431">
        <v>10</v>
      </c>
      <c r="G48" s="432">
        <f>C48+D48+E48</f>
        <v>2535</v>
      </c>
      <c r="H48" s="432">
        <v>0</v>
      </c>
      <c r="I48" s="432">
        <f t="shared" ref="I48:I50" si="38">F48*45</f>
        <v>450</v>
      </c>
      <c r="J48" s="432">
        <f t="shared" ref="J48:J50" si="39">G48+I48*H48</f>
        <v>2535</v>
      </c>
      <c r="K48" s="433">
        <v>2</v>
      </c>
      <c r="L48" s="433">
        <v>1</v>
      </c>
      <c r="M48" s="503">
        <f t="shared" si="35"/>
        <v>5.07</v>
      </c>
      <c r="N48" s="435">
        <f t="shared" si="36"/>
        <v>0.61699999999999999</v>
      </c>
      <c r="O48" s="435">
        <f t="shared" si="37"/>
        <v>3.12819</v>
      </c>
      <c r="P48" s="407"/>
    </row>
    <row r="49" spans="1:17" s="430" customFormat="1" ht="25.15" customHeight="1">
      <c r="A49" s="835"/>
      <c r="B49" s="401">
        <v>3</v>
      </c>
      <c r="C49" s="405">
        <v>240</v>
      </c>
      <c r="D49" s="406">
        <v>160</v>
      </c>
      <c r="E49" s="401">
        <v>60</v>
      </c>
      <c r="F49" s="431">
        <v>6</v>
      </c>
      <c r="G49" s="432">
        <f>(C49+D49+E49)*2</f>
        <v>920</v>
      </c>
      <c r="H49" s="432">
        <v>0</v>
      </c>
      <c r="I49" s="432">
        <f t="shared" si="38"/>
        <v>270</v>
      </c>
      <c r="J49" s="432">
        <f t="shared" si="39"/>
        <v>920</v>
      </c>
      <c r="K49" s="680">
        <f>+ROUND(D46/200,0)</f>
        <v>10</v>
      </c>
      <c r="L49" s="433">
        <v>1</v>
      </c>
      <c r="M49" s="503">
        <f t="shared" si="35"/>
        <v>9.1999999999999993</v>
      </c>
      <c r="N49" s="435">
        <f t="shared" si="36"/>
        <v>0.222</v>
      </c>
      <c r="O49" s="435">
        <f t="shared" si="37"/>
        <v>2.0423999999999998</v>
      </c>
      <c r="P49" s="407"/>
    </row>
    <row r="50" spans="1:17" s="430" customFormat="1" ht="25.15" customHeight="1">
      <c r="A50" s="836"/>
      <c r="B50" s="401" t="s">
        <v>158</v>
      </c>
      <c r="C50" s="405">
        <v>100</v>
      </c>
      <c r="D50" s="406">
        <v>200</v>
      </c>
      <c r="E50" s="401"/>
      <c r="F50" s="431">
        <v>10</v>
      </c>
      <c r="G50" s="432">
        <f>C50+D50</f>
        <v>300</v>
      </c>
      <c r="H50" s="432">
        <v>0</v>
      </c>
      <c r="I50" s="432">
        <f t="shared" si="38"/>
        <v>450</v>
      </c>
      <c r="J50" s="432">
        <f t="shared" si="39"/>
        <v>300</v>
      </c>
      <c r="K50" s="680">
        <f>+ROUND(D46/600,0)</f>
        <v>3</v>
      </c>
      <c r="L50" s="433">
        <v>1</v>
      </c>
      <c r="M50" s="503">
        <f t="shared" si="35"/>
        <v>0.9</v>
      </c>
      <c r="N50" s="435">
        <f t="shared" si="36"/>
        <v>0.61699999999999999</v>
      </c>
      <c r="O50" s="435">
        <f t="shared" si="37"/>
        <v>0.55530000000000002</v>
      </c>
      <c r="P50" s="407" t="s">
        <v>347</v>
      </c>
    </row>
    <row r="51" spans="1:17" s="430" customFormat="1" ht="25.15" customHeight="1">
      <c r="A51" s="834" t="s">
        <v>489</v>
      </c>
      <c r="B51" s="401"/>
      <c r="C51" s="402" t="s">
        <v>321</v>
      </c>
      <c r="D51" s="403">
        <v>1905</v>
      </c>
      <c r="E51" s="404" t="s">
        <v>322</v>
      </c>
      <c r="F51" s="431"/>
      <c r="G51" s="432"/>
      <c r="H51" s="432"/>
      <c r="I51" s="432"/>
      <c r="J51" s="432"/>
      <c r="K51" s="433"/>
      <c r="L51" s="433"/>
      <c r="M51" s="503"/>
      <c r="N51" s="435"/>
      <c r="O51" s="435"/>
      <c r="P51" s="407"/>
      <c r="Q51" s="414"/>
    </row>
    <row r="52" spans="1:17" s="430" customFormat="1" ht="25.15" customHeight="1">
      <c r="A52" s="835"/>
      <c r="B52" s="401">
        <v>1</v>
      </c>
      <c r="C52" s="405">
        <v>200</v>
      </c>
      <c r="D52" s="459">
        <f>D51+200+150</f>
        <v>2255</v>
      </c>
      <c r="E52" s="401">
        <f>250</f>
        <v>250</v>
      </c>
      <c r="F52" s="431">
        <v>10</v>
      </c>
      <c r="G52" s="432">
        <f>C52+D52+E52</f>
        <v>2705</v>
      </c>
      <c r="H52" s="432">
        <v>0</v>
      </c>
      <c r="I52" s="432">
        <f>F52*45</f>
        <v>450</v>
      </c>
      <c r="J52" s="432">
        <f>G52+I52*H52</f>
        <v>2705</v>
      </c>
      <c r="K52" s="433">
        <v>2</v>
      </c>
      <c r="L52" s="433">
        <v>1</v>
      </c>
      <c r="M52" s="503">
        <f t="shared" ref="M52:M55" si="40">J52*K52*L52/1000</f>
        <v>5.41</v>
      </c>
      <c r="N52" s="435">
        <f t="shared" ref="N52:N55" si="41">_xlfn.XLOOKUP(F52,$R$5:$Z$5,$R$6:$Z$6,"NOT_FOUND",0)</f>
        <v>0.61699999999999999</v>
      </c>
      <c r="O52" s="435">
        <f t="shared" ref="O52:O55" si="42">M52*N52</f>
        <v>3.3379699999999999</v>
      </c>
      <c r="P52" s="407"/>
    </row>
    <row r="53" spans="1:17" s="430" customFormat="1" ht="25.15" customHeight="1">
      <c r="A53" s="835"/>
      <c r="B53" s="401">
        <v>2</v>
      </c>
      <c r="C53" s="405">
        <v>100</v>
      </c>
      <c r="D53" s="459">
        <f>D51+200+170</f>
        <v>2275</v>
      </c>
      <c r="E53" s="401">
        <v>130</v>
      </c>
      <c r="F53" s="431">
        <v>10</v>
      </c>
      <c r="G53" s="432">
        <f>C53+D53+E53</f>
        <v>2505</v>
      </c>
      <c r="H53" s="432">
        <v>0</v>
      </c>
      <c r="I53" s="432">
        <f t="shared" ref="I53:I55" si="43">F53*45</f>
        <v>450</v>
      </c>
      <c r="J53" s="432">
        <f t="shared" ref="J53:J55" si="44">G53+I53*H53</f>
        <v>2505</v>
      </c>
      <c r="K53" s="433">
        <v>2</v>
      </c>
      <c r="L53" s="433">
        <v>1</v>
      </c>
      <c r="M53" s="503">
        <f t="shared" si="40"/>
        <v>5.01</v>
      </c>
      <c r="N53" s="435">
        <f t="shared" si="41"/>
        <v>0.61699999999999999</v>
      </c>
      <c r="O53" s="435">
        <f t="shared" si="42"/>
        <v>3.09117</v>
      </c>
      <c r="P53" s="407"/>
    </row>
    <row r="54" spans="1:17" s="430" customFormat="1" ht="25.15" customHeight="1">
      <c r="A54" s="835"/>
      <c r="B54" s="401">
        <v>3</v>
      </c>
      <c r="C54" s="405">
        <v>240</v>
      </c>
      <c r="D54" s="406">
        <v>160</v>
      </c>
      <c r="E54" s="401">
        <v>60</v>
      </c>
      <c r="F54" s="431">
        <v>6</v>
      </c>
      <c r="G54" s="432">
        <f>(C54+D54+E54)*2</f>
        <v>920</v>
      </c>
      <c r="H54" s="432">
        <v>0</v>
      </c>
      <c r="I54" s="432">
        <f t="shared" si="43"/>
        <v>270</v>
      </c>
      <c r="J54" s="432">
        <f t="shared" si="44"/>
        <v>920</v>
      </c>
      <c r="K54" s="680">
        <f>+ROUND(D51/200,0)</f>
        <v>10</v>
      </c>
      <c r="L54" s="433">
        <v>1</v>
      </c>
      <c r="M54" s="503">
        <f t="shared" si="40"/>
        <v>9.1999999999999993</v>
      </c>
      <c r="N54" s="435">
        <f t="shared" si="41"/>
        <v>0.222</v>
      </c>
      <c r="O54" s="435">
        <f t="shared" si="42"/>
        <v>2.0423999999999998</v>
      </c>
      <c r="P54" s="407"/>
    </row>
    <row r="55" spans="1:17" s="430" customFormat="1" ht="25.15" customHeight="1">
      <c r="A55" s="836"/>
      <c r="B55" s="401" t="s">
        <v>158</v>
      </c>
      <c r="C55" s="405">
        <v>100</v>
      </c>
      <c r="D55" s="406">
        <v>200</v>
      </c>
      <c r="E55" s="401"/>
      <c r="F55" s="431">
        <v>10</v>
      </c>
      <c r="G55" s="432">
        <f>C55+D55</f>
        <v>300</v>
      </c>
      <c r="H55" s="432">
        <v>0</v>
      </c>
      <c r="I55" s="432">
        <f t="shared" si="43"/>
        <v>450</v>
      </c>
      <c r="J55" s="432">
        <f t="shared" si="44"/>
        <v>300</v>
      </c>
      <c r="K55" s="680">
        <f>+ROUND(D51/600,0)</f>
        <v>3</v>
      </c>
      <c r="L55" s="433">
        <v>1</v>
      </c>
      <c r="M55" s="503">
        <f t="shared" si="40"/>
        <v>0.9</v>
      </c>
      <c r="N55" s="435">
        <f t="shared" si="41"/>
        <v>0.61699999999999999</v>
      </c>
      <c r="O55" s="435">
        <f t="shared" si="42"/>
        <v>0.55530000000000002</v>
      </c>
      <c r="P55" s="407" t="s">
        <v>347</v>
      </c>
    </row>
    <row r="56" spans="1:17" s="430" customFormat="1" ht="25.15" customHeight="1">
      <c r="A56" s="687" t="s">
        <v>748</v>
      </c>
      <c r="B56" s="688"/>
      <c r="C56" s="689"/>
      <c r="D56" s="690"/>
      <c r="E56" s="688"/>
      <c r="F56" s="691"/>
      <c r="G56" s="692"/>
      <c r="H56" s="692"/>
      <c r="I56" s="692"/>
      <c r="J56" s="692"/>
      <c r="K56" s="692"/>
      <c r="L56" s="692"/>
      <c r="M56" s="693"/>
      <c r="N56" s="694"/>
      <c r="O56" s="694"/>
      <c r="P56" s="695"/>
    </row>
    <row r="57" spans="1:17" s="430" customFormat="1" ht="25.15" customHeight="1">
      <c r="A57" s="837" t="s">
        <v>489</v>
      </c>
      <c r="B57" s="696"/>
      <c r="C57" s="697" t="s">
        <v>321</v>
      </c>
      <c r="D57" s="698">
        <v>1885</v>
      </c>
      <c r="E57" s="699" t="s">
        <v>322</v>
      </c>
      <c r="F57" s="601"/>
      <c r="G57" s="700"/>
      <c r="H57" s="700"/>
      <c r="I57" s="700"/>
      <c r="J57" s="700"/>
      <c r="K57" s="597"/>
      <c r="L57" s="597"/>
      <c r="M57" s="701"/>
      <c r="N57" s="702"/>
      <c r="O57" s="702"/>
      <c r="P57" s="703"/>
      <c r="Q57" s="414"/>
    </row>
    <row r="58" spans="1:17" s="430" customFormat="1" ht="25.15" customHeight="1">
      <c r="A58" s="838"/>
      <c r="B58" s="696">
        <v>1</v>
      </c>
      <c r="C58" s="704">
        <v>200</v>
      </c>
      <c r="D58" s="705">
        <f>D57+200+150</f>
        <v>2235</v>
      </c>
      <c r="E58" s="696">
        <f>250</f>
        <v>250</v>
      </c>
      <c r="F58" s="601">
        <v>10</v>
      </c>
      <c r="G58" s="700">
        <f>C58+D58+E58</f>
        <v>2685</v>
      </c>
      <c r="H58" s="700">
        <v>0</v>
      </c>
      <c r="I58" s="700">
        <f>F58*45</f>
        <v>450</v>
      </c>
      <c r="J58" s="700">
        <f>G58+I58*H58</f>
        <v>2685</v>
      </c>
      <c r="K58" s="597">
        <v>2</v>
      </c>
      <c r="L58" s="597">
        <v>1</v>
      </c>
      <c r="M58" s="701">
        <f t="shared" ref="M58:M61" si="45">J58*K58*L58/1000</f>
        <v>5.37</v>
      </c>
      <c r="N58" s="702">
        <f t="shared" ref="N58:N61" si="46">_xlfn.XLOOKUP(F58,$R$5:$Z$5,$R$6:$Z$6,"NOT_FOUND",0)</f>
        <v>0.61699999999999999</v>
      </c>
      <c r="O58" s="702">
        <f t="shared" ref="O58:O61" si="47">M58*N58</f>
        <v>3.3132899999999998</v>
      </c>
      <c r="P58" s="703"/>
    </row>
    <row r="59" spans="1:17" s="430" customFormat="1" ht="25.15" customHeight="1">
      <c r="A59" s="838"/>
      <c r="B59" s="696">
        <v>2</v>
      </c>
      <c r="C59" s="704">
        <v>100</v>
      </c>
      <c r="D59" s="705">
        <f>D57+200+170</f>
        <v>2255</v>
      </c>
      <c r="E59" s="696">
        <v>130</v>
      </c>
      <c r="F59" s="601">
        <v>10</v>
      </c>
      <c r="G59" s="700">
        <f>C59+D59+E59</f>
        <v>2485</v>
      </c>
      <c r="H59" s="700">
        <v>0</v>
      </c>
      <c r="I59" s="700">
        <f t="shared" ref="I59:I61" si="48">F59*45</f>
        <v>450</v>
      </c>
      <c r="J59" s="700">
        <f t="shared" ref="J59:J61" si="49">G59+I59*H59</f>
        <v>2485</v>
      </c>
      <c r="K59" s="597">
        <v>2</v>
      </c>
      <c r="L59" s="597">
        <v>1</v>
      </c>
      <c r="M59" s="701">
        <f t="shared" si="45"/>
        <v>4.97</v>
      </c>
      <c r="N59" s="702">
        <f t="shared" si="46"/>
        <v>0.61699999999999999</v>
      </c>
      <c r="O59" s="702">
        <f t="shared" si="47"/>
        <v>3.0664899999999999</v>
      </c>
      <c r="P59" s="703"/>
    </row>
    <row r="60" spans="1:17" s="430" customFormat="1" ht="25.15" customHeight="1">
      <c r="A60" s="838"/>
      <c r="B60" s="696">
        <v>3</v>
      </c>
      <c r="C60" s="704">
        <v>240</v>
      </c>
      <c r="D60" s="598">
        <v>160</v>
      </c>
      <c r="E60" s="696">
        <v>60</v>
      </c>
      <c r="F60" s="601">
        <v>6</v>
      </c>
      <c r="G60" s="700">
        <f>(C60+D60+E60)*2</f>
        <v>920</v>
      </c>
      <c r="H60" s="700">
        <v>0</v>
      </c>
      <c r="I60" s="700">
        <f t="shared" si="48"/>
        <v>270</v>
      </c>
      <c r="J60" s="700">
        <f t="shared" si="49"/>
        <v>920</v>
      </c>
      <c r="K60" s="597">
        <f>+ROUND(D57/200,0)</f>
        <v>9</v>
      </c>
      <c r="L60" s="597">
        <v>1</v>
      </c>
      <c r="M60" s="701">
        <f t="shared" si="45"/>
        <v>8.2799999999999994</v>
      </c>
      <c r="N60" s="702">
        <f t="shared" si="46"/>
        <v>0.222</v>
      </c>
      <c r="O60" s="702">
        <f t="shared" si="47"/>
        <v>1.8381599999999998</v>
      </c>
      <c r="P60" s="703"/>
    </row>
    <row r="61" spans="1:17" s="430" customFormat="1" ht="25.15" customHeight="1">
      <c r="A61" s="839"/>
      <c r="B61" s="696" t="s">
        <v>158</v>
      </c>
      <c r="C61" s="704">
        <v>100</v>
      </c>
      <c r="D61" s="598">
        <v>200</v>
      </c>
      <c r="E61" s="696"/>
      <c r="F61" s="601">
        <v>10</v>
      </c>
      <c r="G61" s="700">
        <f>C61+D61</f>
        <v>300</v>
      </c>
      <c r="H61" s="700">
        <v>0</v>
      </c>
      <c r="I61" s="700">
        <f t="shared" si="48"/>
        <v>450</v>
      </c>
      <c r="J61" s="700">
        <f t="shared" si="49"/>
        <v>300</v>
      </c>
      <c r="K61" s="597">
        <f>+ROUND(D57/600,0)</f>
        <v>3</v>
      </c>
      <c r="L61" s="597">
        <v>1</v>
      </c>
      <c r="M61" s="701">
        <f t="shared" si="45"/>
        <v>0.9</v>
      </c>
      <c r="N61" s="702">
        <f t="shared" si="46"/>
        <v>0.61699999999999999</v>
      </c>
      <c r="O61" s="702">
        <f t="shared" si="47"/>
        <v>0.55530000000000002</v>
      </c>
      <c r="P61" s="703" t="s">
        <v>347</v>
      </c>
    </row>
    <row r="62" spans="1:17" s="430" customFormat="1" ht="25.15" customHeight="1">
      <c r="A62" s="837" t="s">
        <v>489</v>
      </c>
      <c r="B62" s="696"/>
      <c r="C62" s="697" t="s">
        <v>321</v>
      </c>
      <c r="D62" s="698">
        <v>1875</v>
      </c>
      <c r="E62" s="699" t="s">
        <v>322</v>
      </c>
      <c r="F62" s="601"/>
      <c r="G62" s="700"/>
      <c r="H62" s="700"/>
      <c r="I62" s="700"/>
      <c r="J62" s="700"/>
      <c r="K62" s="597"/>
      <c r="L62" s="597"/>
      <c r="M62" s="701"/>
      <c r="N62" s="702"/>
      <c r="O62" s="702"/>
      <c r="P62" s="703"/>
      <c r="Q62" s="414"/>
    </row>
    <row r="63" spans="1:17" s="430" customFormat="1" ht="25.15" customHeight="1">
      <c r="A63" s="838"/>
      <c r="B63" s="696">
        <v>1</v>
      </c>
      <c r="C63" s="704">
        <v>200</v>
      </c>
      <c r="D63" s="705">
        <f>D62+200+150</f>
        <v>2225</v>
      </c>
      <c r="E63" s="696">
        <f>250</f>
        <v>250</v>
      </c>
      <c r="F63" s="601">
        <v>10</v>
      </c>
      <c r="G63" s="700">
        <f>C63+D63+E63</f>
        <v>2675</v>
      </c>
      <c r="H63" s="700">
        <v>0</v>
      </c>
      <c r="I63" s="700">
        <f>F63*45</f>
        <v>450</v>
      </c>
      <c r="J63" s="700">
        <f>G63+I63*H63</f>
        <v>2675</v>
      </c>
      <c r="K63" s="597">
        <v>2</v>
      </c>
      <c r="L63" s="597">
        <v>1</v>
      </c>
      <c r="M63" s="701">
        <f t="shared" ref="M63:M66" si="50">J63*K63*L63/1000</f>
        <v>5.35</v>
      </c>
      <c r="N63" s="702">
        <f t="shared" ref="N63:N66" si="51">_xlfn.XLOOKUP(F63,$R$5:$Z$5,$R$6:$Z$6,"NOT_FOUND",0)</f>
        <v>0.61699999999999999</v>
      </c>
      <c r="O63" s="702">
        <f t="shared" ref="O63:O66" si="52">M63*N63</f>
        <v>3.3009499999999998</v>
      </c>
      <c r="P63" s="703"/>
    </row>
    <row r="64" spans="1:17" s="430" customFormat="1" ht="25.15" customHeight="1">
      <c r="A64" s="838"/>
      <c r="B64" s="696">
        <v>2</v>
      </c>
      <c r="C64" s="704">
        <v>100</v>
      </c>
      <c r="D64" s="705">
        <f>D62+200+170</f>
        <v>2245</v>
      </c>
      <c r="E64" s="696">
        <v>130</v>
      </c>
      <c r="F64" s="601">
        <v>10</v>
      </c>
      <c r="G64" s="700">
        <f>C64+D64+E64</f>
        <v>2475</v>
      </c>
      <c r="H64" s="700">
        <v>0</v>
      </c>
      <c r="I64" s="700">
        <f t="shared" ref="I64:I66" si="53">F64*45</f>
        <v>450</v>
      </c>
      <c r="J64" s="700">
        <f t="shared" ref="J64:J66" si="54">G64+I64*H64</f>
        <v>2475</v>
      </c>
      <c r="K64" s="597">
        <v>2</v>
      </c>
      <c r="L64" s="597">
        <v>1</v>
      </c>
      <c r="M64" s="701">
        <f t="shared" si="50"/>
        <v>4.95</v>
      </c>
      <c r="N64" s="702">
        <f t="shared" si="51"/>
        <v>0.61699999999999999</v>
      </c>
      <c r="O64" s="702">
        <f t="shared" si="52"/>
        <v>3.0541499999999999</v>
      </c>
      <c r="P64" s="703"/>
    </row>
    <row r="65" spans="1:17" s="430" customFormat="1" ht="25.15" customHeight="1">
      <c r="A65" s="838"/>
      <c r="B65" s="696">
        <v>3</v>
      </c>
      <c r="C65" s="704">
        <v>240</v>
      </c>
      <c r="D65" s="598">
        <v>160</v>
      </c>
      <c r="E65" s="696">
        <v>60</v>
      </c>
      <c r="F65" s="601">
        <v>6</v>
      </c>
      <c r="G65" s="700">
        <f>(C65+D65+E65)*2</f>
        <v>920</v>
      </c>
      <c r="H65" s="700">
        <v>0</v>
      </c>
      <c r="I65" s="700">
        <f t="shared" si="53"/>
        <v>270</v>
      </c>
      <c r="J65" s="700">
        <f t="shared" si="54"/>
        <v>920</v>
      </c>
      <c r="K65" s="597">
        <f>+ROUND(D62/200,0)</f>
        <v>9</v>
      </c>
      <c r="L65" s="597">
        <v>1</v>
      </c>
      <c r="M65" s="701">
        <f t="shared" si="50"/>
        <v>8.2799999999999994</v>
      </c>
      <c r="N65" s="702">
        <f t="shared" si="51"/>
        <v>0.222</v>
      </c>
      <c r="O65" s="702">
        <f t="shared" si="52"/>
        <v>1.8381599999999998</v>
      </c>
      <c r="P65" s="703"/>
    </row>
    <row r="66" spans="1:17" s="430" customFormat="1" ht="25.15" customHeight="1">
      <c r="A66" s="839"/>
      <c r="B66" s="696" t="s">
        <v>158</v>
      </c>
      <c r="C66" s="704">
        <v>100</v>
      </c>
      <c r="D66" s="598">
        <v>200</v>
      </c>
      <c r="E66" s="696"/>
      <c r="F66" s="601">
        <v>10</v>
      </c>
      <c r="G66" s="700">
        <f>C66+D66</f>
        <v>300</v>
      </c>
      <c r="H66" s="700">
        <v>0</v>
      </c>
      <c r="I66" s="700">
        <f t="shared" si="53"/>
        <v>450</v>
      </c>
      <c r="J66" s="700">
        <f t="shared" si="54"/>
        <v>300</v>
      </c>
      <c r="K66" s="597">
        <f>+ROUND(D62/600,0)</f>
        <v>3</v>
      </c>
      <c r="L66" s="597">
        <v>1</v>
      </c>
      <c r="M66" s="701">
        <f t="shared" si="50"/>
        <v>0.9</v>
      </c>
      <c r="N66" s="702">
        <f t="shared" si="51"/>
        <v>0.61699999999999999</v>
      </c>
      <c r="O66" s="702">
        <f t="shared" si="52"/>
        <v>0.55530000000000002</v>
      </c>
      <c r="P66" s="703" t="s">
        <v>347</v>
      </c>
    </row>
    <row r="67" spans="1:17" s="430" customFormat="1" ht="25.15" customHeight="1">
      <c r="A67" s="837" t="s">
        <v>489</v>
      </c>
      <c r="B67" s="696"/>
      <c r="C67" s="697" t="s">
        <v>321</v>
      </c>
      <c r="D67" s="698">
        <v>1875</v>
      </c>
      <c r="E67" s="699" t="s">
        <v>322</v>
      </c>
      <c r="F67" s="601"/>
      <c r="G67" s="700"/>
      <c r="H67" s="700"/>
      <c r="I67" s="700"/>
      <c r="J67" s="700"/>
      <c r="K67" s="597"/>
      <c r="L67" s="597"/>
      <c r="M67" s="701"/>
      <c r="N67" s="702"/>
      <c r="O67" s="702"/>
      <c r="P67" s="703"/>
      <c r="Q67" s="414"/>
    </row>
    <row r="68" spans="1:17" s="430" customFormat="1" ht="25.15" customHeight="1">
      <c r="A68" s="838"/>
      <c r="B68" s="696">
        <v>1</v>
      </c>
      <c r="C68" s="704">
        <v>200</v>
      </c>
      <c r="D68" s="705">
        <f>D67+200+150</f>
        <v>2225</v>
      </c>
      <c r="E68" s="696">
        <f>250</f>
        <v>250</v>
      </c>
      <c r="F68" s="601">
        <v>10</v>
      </c>
      <c r="G68" s="700">
        <f>C68+D68+E68</f>
        <v>2675</v>
      </c>
      <c r="H68" s="700">
        <v>0</v>
      </c>
      <c r="I68" s="700">
        <f>F68*45</f>
        <v>450</v>
      </c>
      <c r="J68" s="700">
        <f>G68+I68*H68</f>
        <v>2675</v>
      </c>
      <c r="K68" s="597">
        <v>2</v>
      </c>
      <c r="L68" s="597">
        <v>1</v>
      </c>
      <c r="M68" s="701">
        <f t="shared" ref="M68:M71" si="55">J68*K68*L68/1000</f>
        <v>5.35</v>
      </c>
      <c r="N68" s="702">
        <f t="shared" ref="N68:N71" si="56">_xlfn.XLOOKUP(F68,$R$5:$Z$5,$R$6:$Z$6,"NOT_FOUND",0)</f>
        <v>0.61699999999999999</v>
      </c>
      <c r="O68" s="702">
        <f t="shared" ref="O68:O71" si="57">M68*N68</f>
        <v>3.3009499999999998</v>
      </c>
      <c r="P68" s="703"/>
    </row>
    <row r="69" spans="1:17" s="430" customFormat="1" ht="25.15" customHeight="1">
      <c r="A69" s="838"/>
      <c r="B69" s="696">
        <v>2</v>
      </c>
      <c r="C69" s="704">
        <v>100</v>
      </c>
      <c r="D69" s="705">
        <f>D67+200+170</f>
        <v>2245</v>
      </c>
      <c r="E69" s="696">
        <v>130</v>
      </c>
      <c r="F69" s="601">
        <v>10</v>
      </c>
      <c r="G69" s="700">
        <f>C69+D69+E69</f>
        <v>2475</v>
      </c>
      <c r="H69" s="700">
        <v>0</v>
      </c>
      <c r="I69" s="700">
        <f t="shared" ref="I69:I71" si="58">F69*45</f>
        <v>450</v>
      </c>
      <c r="J69" s="700">
        <f t="shared" ref="J69:J71" si="59">G69+I69*H69</f>
        <v>2475</v>
      </c>
      <c r="K69" s="597">
        <v>2</v>
      </c>
      <c r="L69" s="597">
        <v>1</v>
      </c>
      <c r="M69" s="701">
        <f t="shared" si="55"/>
        <v>4.95</v>
      </c>
      <c r="N69" s="702">
        <f t="shared" si="56"/>
        <v>0.61699999999999999</v>
      </c>
      <c r="O69" s="702">
        <f t="shared" si="57"/>
        <v>3.0541499999999999</v>
      </c>
      <c r="P69" s="703"/>
    </row>
    <row r="70" spans="1:17" s="430" customFormat="1" ht="25.15" customHeight="1">
      <c r="A70" s="838"/>
      <c r="B70" s="696">
        <v>3</v>
      </c>
      <c r="C70" s="704">
        <v>240</v>
      </c>
      <c r="D70" s="598">
        <v>160</v>
      </c>
      <c r="E70" s="696">
        <v>60</v>
      </c>
      <c r="F70" s="601">
        <v>6</v>
      </c>
      <c r="G70" s="700">
        <f>(C70+D70+E70)*2</f>
        <v>920</v>
      </c>
      <c r="H70" s="700">
        <v>0</v>
      </c>
      <c r="I70" s="700">
        <f t="shared" si="58"/>
        <v>270</v>
      </c>
      <c r="J70" s="700">
        <f t="shared" si="59"/>
        <v>920</v>
      </c>
      <c r="K70" s="597">
        <f>+ROUND(D67/200,0)</f>
        <v>9</v>
      </c>
      <c r="L70" s="597">
        <v>1</v>
      </c>
      <c r="M70" s="701">
        <f t="shared" si="55"/>
        <v>8.2799999999999994</v>
      </c>
      <c r="N70" s="702">
        <f t="shared" si="56"/>
        <v>0.222</v>
      </c>
      <c r="O70" s="702">
        <f t="shared" si="57"/>
        <v>1.8381599999999998</v>
      </c>
      <c r="P70" s="703"/>
    </row>
    <row r="71" spans="1:17" s="430" customFormat="1" ht="25.15" customHeight="1">
      <c r="A71" s="839"/>
      <c r="B71" s="696" t="s">
        <v>158</v>
      </c>
      <c r="C71" s="704">
        <v>100</v>
      </c>
      <c r="D71" s="598">
        <v>200</v>
      </c>
      <c r="E71" s="696"/>
      <c r="F71" s="601">
        <v>10</v>
      </c>
      <c r="G71" s="700">
        <f>C71+D71</f>
        <v>300</v>
      </c>
      <c r="H71" s="700">
        <v>0</v>
      </c>
      <c r="I71" s="700">
        <f t="shared" si="58"/>
        <v>450</v>
      </c>
      <c r="J71" s="700">
        <f t="shared" si="59"/>
        <v>300</v>
      </c>
      <c r="K71" s="597">
        <f>+ROUND(D67/600,0)</f>
        <v>3</v>
      </c>
      <c r="L71" s="597">
        <v>1</v>
      </c>
      <c r="M71" s="701">
        <f t="shared" si="55"/>
        <v>0.9</v>
      </c>
      <c r="N71" s="702">
        <f t="shared" si="56"/>
        <v>0.61699999999999999</v>
      </c>
      <c r="O71" s="702">
        <f t="shared" si="57"/>
        <v>0.55530000000000002</v>
      </c>
      <c r="P71" s="703" t="s">
        <v>347</v>
      </c>
    </row>
    <row r="72" spans="1:17" s="430" customFormat="1" ht="25.15" customHeight="1">
      <c r="A72" s="687" t="s">
        <v>749</v>
      </c>
      <c r="B72" s="688"/>
      <c r="C72" s="689"/>
      <c r="D72" s="690"/>
      <c r="E72" s="688"/>
      <c r="F72" s="691"/>
      <c r="G72" s="692"/>
      <c r="H72" s="692"/>
      <c r="I72" s="692"/>
      <c r="J72" s="692"/>
      <c r="K72" s="692"/>
      <c r="L72" s="692"/>
      <c r="M72" s="693"/>
      <c r="N72" s="694"/>
      <c r="O72" s="694"/>
      <c r="P72" s="695"/>
    </row>
    <row r="73" spans="1:17" s="430" customFormat="1" ht="25.15" customHeight="1">
      <c r="A73" s="837" t="s">
        <v>489</v>
      </c>
      <c r="B73" s="696"/>
      <c r="C73" s="697" t="s">
        <v>321</v>
      </c>
      <c r="D73" s="698">
        <v>1875</v>
      </c>
      <c r="E73" s="699" t="s">
        <v>322</v>
      </c>
      <c r="F73" s="601"/>
      <c r="G73" s="700"/>
      <c r="H73" s="700"/>
      <c r="I73" s="700"/>
      <c r="J73" s="700"/>
      <c r="K73" s="597"/>
      <c r="L73" s="597"/>
      <c r="M73" s="701"/>
      <c r="N73" s="702"/>
      <c r="O73" s="702"/>
      <c r="P73" s="703"/>
      <c r="Q73" s="414"/>
    </row>
    <row r="74" spans="1:17" s="430" customFormat="1" ht="25.15" customHeight="1">
      <c r="A74" s="838"/>
      <c r="B74" s="696">
        <v>1</v>
      </c>
      <c r="C74" s="704">
        <v>200</v>
      </c>
      <c r="D74" s="705">
        <f>D73+200+150</f>
        <v>2225</v>
      </c>
      <c r="E74" s="696">
        <f>250</f>
        <v>250</v>
      </c>
      <c r="F74" s="601">
        <v>10</v>
      </c>
      <c r="G74" s="700">
        <f>C74+D74+E74</f>
        <v>2675</v>
      </c>
      <c r="H74" s="700">
        <v>0</v>
      </c>
      <c r="I74" s="700">
        <f>F74*45</f>
        <v>450</v>
      </c>
      <c r="J74" s="700">
        <f>G74+I74*H74</f>
        <v>2675</v>
      </c>
      <c r="K74" s="597">
        <v>2</v>
      </c>
      <c r="L74" s="597">
        <v>1</v>
      </c>
      <c r="M74" s="701">
        <f t="shared" ref="M74:M77" si="60">J74*K74*L74/1000</f>
        <v>5.35</v>
      </c>
      <c r="N74" s="702">
        <f t="shared" ref="N74:N77" si="61">_xlfn.XLOOKUP(F74,$R$5:$Z$5,$R$6:$Z$6,"NOT_FOUND",0)</f>
        <v>0.61699999999999999</v>
      </c>
      <c r="O74" s="702">
        <f t="shared" ref="O74:O77" si="62">M74*N74</f>
        <v>3.3009499999999998</v>
      </c>
      <c r="P74" s="703"/>
    </row>
    <row r="75" spans="1:17" s="430" customFormat="1" ht="25.15" customHeight="1">
      <c r="A75" s="838"/>
      <c r="B75" s="696">
        <v>2</v>
      </c>
      <c r="C75" s="704">
        <v>100</v>
      </c>
      <c r="D75" s="705">
        <f>D73+200+170</f>
        <v>2245</v>
      </c>
      <c r="E75" s="696">
        <v>130</v>
      </c>
      <c r="F75" s="601">
        <v>10</v>
      </c>
      <c r="G75" s="700">
        <f>C75+D75+E75</f>
        <v>2475</v>
      </c>
      <c r="H75" s="700">
        <v>0</v>
      </c>
      <c r="I75" s="700">
        <f t="shared" ref="I75:I77" si="63">F75*45</f>
        <v>450</v>
      </c>
      <c r="J75" s="700">
        <f t="shared" ref="J75:J77" si="64">G75+I75*H75</f>
        <v>2475</v>
      </c>
      <c r="K75" s="597">
        <v>2</v>
      </c>
      <c r="L75" s="597">
        <v>1</v>
      </c>
      <c r="M75" s="701">
        <f t="shared" si="60"/>
        <v>4.95</v>
      </c>
      <c r="N75" s="702">
        <f t="shared" si="61"/>
        <v>0.61699999999999999</v>
      </c>
      <c r="O75" s="702">
        <f t="shared" si="62"/>
        <v>3.0541499999999999</v>
      </c>
      <c r="P75" s="703"/>
    </row>
    <row r="76" spans="1:17" s="430" customFormat="1" ht="25.15" customHeight="1">
      <c r="A76" s="838"/>
      <c r="B76" s="696">
        <v>3</v>
      </c>
      <c r="C76" s="704">
        <v>240</v>
      </c>
      <c r="D76" s="598">
        <v>160</v>
      </c>
      <c r="E76" s="696">
        <v>60</v>
      </c>
      <c r="F76" s="601">
        <v>6</v>
      </c>
      <c r="G76" s="700">
        <f>(C76+D76+E76)*2</f>
        <v>920</v>
      </c>
      <c r="H76" s="700">
        <v>0</v>
      </c>
      <c r="I76" s="700">
        <f t="shared" si="63"/>
        <v>270</v>
      </c>
      <c r="J76" s="700">
        <f t="shared" si="64"/>
        <v>920</v>
      </c>
      <c r="K76" s="597">
        <f>+ROUND(D73/200,0)</f>
        <v>9</v>
      </c>
      <c r="L76" s="597">
        <v>1</v>
      </c>
      <c r="M76" s="701">
        <f t="shared" si="60"/>
        <v>8.2799999999999994</v>
      </c>
      <c r="N76" s="702">
        <f t="shared" si="61"/>
        <v>0.222</v>
      </c>
      <c r="O76" s="702">
        <f t="shared" si="62"/>
        <v>1.8381599999999998</v>
      </c>
      <c r="P76" s="703"/>
    </row>
    <row r="77" spans="1:17" s="430" customFormat="1" ht="25.15" customHeight="1">
      <c r="A77" s="839"/>
      <c r="B77" s="696" t="s">
        <v>158</v>
      </c>
      <c r="C77" s="704">
        <v>100</v>
      </c>
      <c r="D77" s="598">
        <v>200</v>
      </c>
      <c r="E77" s="696"/>
      <c r="F77" s="601">
        <v>10</v>
      </c>
      <c r="G77" s="700">
        <f>C77+D77</f>
        <v>300</v>
      </c>
      <c r="H77" s="700">
        <v>0</v>
      </c>
      <c r="I77" s="700">
        <f t="shared" si="63"/>
        <v>450</v>
      </c>
      <c r="J77" s="700">
        <f t="shared" si="64"/>
        <v>300</v>
      </c>
      <c r="K77" s="597">
        <f>+ROUND(D73/600,0)</f>
        <v>3</v>
      </c>
      <c r="L77" s="597">
        <v>1</v>
      </c>
      <c r="M77" s="701">
        <f t="shared" si="60"/>
        <v>0.9</v>
      </c>
      <c r="N77" s="702">
        <f t="shared" si="61"/>
        <v>0.61699999999999999</v>
      </c>
      <c r="O77" s="702">
        <f t="shared" si="62"/>
        <v>0.55530000000000002</v>
      </c>
      <c r="P77" s="703" t="s">
        <v>347</v>
      </c>
    </row>
    <row r="78" spans="1:17" s="430" customFormat="1" ht="25.15" customHeight="1">
      <c r="A78" s="837" t="s">
        <v>489</v>
      </c>
      <c r="B78" s="696"/>
      <c r="C78" s="697" t="s">
        <v>321</v>
      </c>
      <c r="D78" s="698">
        <v>2050</v>
      </c>
      <c r="E78" s="699" t="s">
        <v>322</v>
      </c>
      <c r="F78" s="601"/>
      <c r="G78" s="700"/>
      <c r="H78" s="700"/>
      <c r="I78" s="700"/>
      <c r="J78" s="700"/>
      <c r="K78" s="597"/>
      <c r="L78" s="597"/>
      <c r="M78" s="701"/>
      <c r="N78" s="702"/>
      <c r="O78" s="702"/>
      <c r="P78" s="703"/>
      <c r="Q78" s="414"/>
    </row>
    <row r="79" spans="1:17" s="430" customFormat="1" ht="25.15" customHeight="1">
      <c r="A79" s="838"/>
      <c r="B79" s="696">
        <v>1</v>
      </c>
      <c r="C79" s="704">
        <v>200</v>
      </c>
      <c r="D79" s="705">
        <f>D78+200+150</f>
        <v>2400</v>
      </c>
      <c r="E79" s="696">
        <f>250</f>
        <v>250</v>
      </c>
      <c r="F79" s="601">
        <v>10</v>
      </c>
      <c r="G79" s="700">
        <f>C79+D79+E79</f>
        <v>2850</v>
      </c>
      <c r="H79" s="700">
        <v>0</v>
      </c>
      <c r="I79" s="700">
        <f>F79*45</f>
        <v>450</v>
      </c>
      <c r="J79" s="700">
        <f>G79+I79*H79</f>
        <v>2850</v>
      </c>
      <c r="K79" s="597">
        <v>2</v>
      </c>
      <c r="L79" s="597">
        <v>1</v>
      </c>
      <c r="M79" s="701">
        <f t="shared" ref="M79:M82" si="65">J79*K79*L79/1000</f>
        <v>5.7</v>
      </c>
      <c r="N79" s="702">
        <f t="shared" ref="N79:N82" si="66">_xlfn.XLOOKUP(F79,$R$5:$Z$5,$R$6:$Z$6,"NOT_FOUND",0)</f>
        <v>0.61699999999999999</v>
      </c>
      <c r="O79" s="702">
        <f t="shared" ref="O79:O82" si="67">M79*N79</f>
        <v>3.5169000000000001</v>
      </c>
      <c r="P79" s="703"/>
    </row>
    <row r="80" spans="1:17" s="430" customFormat="1" ht="25.15" customHeight="1">
      <c r="A80" s="838"/>
      <c r="B80" s="696">
        <v>2</v>
      </c>
      <c r="C80" s="704">
        <v>100</v>
      </c>
      <c r="D80" s="705">
        <f>D78+200+170</f>
        <v>2420</v>
      </c>
      <c r="E80" s="696">
        <v>130</v>
      </c>
      <c r="F80" s="601">
        <v>10</v>
      </c>
      <c r="G80" s="700">
        <f>C80+D80+E80</f>
        <v>2650</v>
      </c>
      <c r="H80" s="700">
        <v>0</v>
      </c>
      <c r="I80" s="700">
        <f t="shared" ref="I80:I82" si="68">F80*45</f>
        <v>450</v>
      </c>
      <c r="J80" s="700">
        <f t="shared" ref="J80:J82" si="69">G80+I80*H80</f>
        <v>2650</v>
      </c>
      <c r="K80" s="597">
        <v>2</v>
      </c>
      <c r="L80" s="597">
        <v>1</v>
      </c>
      <c r="M80" s="701">
        <f t="shared" si="65"/>
        <v>5.3</v>
      </c>
      <c r="N80" s="702">
        <f t="shared" si="66"/>
        <v>0.61699999999999999</v>
      </c>
      <c r="O80" s="702">
        <f t="shared" si="67"/>
        <v>3.2700999999999998</v>
      </c>
      <c r="P80" s="703"/>
    </row>
    <row r="81" spans="1:17" s="430" customFormat="1" ht="25.15" customHeight="1">
      <c r="A81" s="838"/>
      <c r="B81" s="696">
        <v>3</v>
      </c>
      <c r="C81" s="704">
        <v>240</v>
      </c>
      <c r="D81" s="598">
        <v>160</v>
      </c>
      <c r="E81" s="696">
        <v>60</v>
      </c>
      <c r="F81" s="601">
        <v>6</v>
      </c>
      <c r="G81" s="700">
        <f>(C81+D81+E81)*2</f>
        <v>920</v>
      </c>
      <c r="H81" s="700">
        <v>0</v>
      </c>
      <c r="I81" s="700">
        <f t="shared" si="68"/>
        <v>270</v>
      </c>
      <c r="J81" s="700">
        <f t="shared" si="69"/>
        <v>920</v>
      </c>
      <c r="K81" s="597">
        <f>+ROUND(D78/200,0)</f>
        <v>10</v>
      </c>
      <c r="L81" s="597">
        <v>1</v>
      </c>
      <c r="M81" s="701">
        <f t="shared" si="65"/>
        <v>9.1999999999999993</v>
      </c>
      <c r="N81" s="702">
        <f t="shared" si="66"/>
        <v>0.222</v>
      </c>
      <c r="O81" s="702">
        <f t="shared" si="67"/>
        <v>2.0423999999999998</v>
      </c>
      <c r="P81" s="703"/>
    </row>
    <row r="82" spans="1:17" s="430" customFormat="1" ht="25.15" customHeight="1">
      <c r="A82" s="839"/>
      <c r="B82" s="696" t="s">
        <v>158</v>
      </c>
      <c r="C82" s="704">
        <v>100</v>
      </c>
      <c r="D82" s="598">
        <v>200</v>
      </c>
      <c r="E82" s="696"/>
      <c r="F82" s="601">
        <v>10</v>
      </c>
      <c r="G82" s="700">
        <f>C82+D82</f>
        <v>300</v>
      </c>
      <c r="H82" s="700">
        <v>0</v>
      </c>
      <c r="I82" s="700">
        <f t="shared" si="68"/>
        <v>450</v>
      </c>
      <c r="J82" s="700">
        <f t="shared" si="69"/>
        <v>300</v>
      </c>
      <c r="K82" s="597">
        <f>+ROUND(D78/600,0)</f>
        <v>3</v>
      </c>
      <c r="L82" s="597">
        <v>1</v>
      </c>
      <c r="M82" s="701">
        <f t="shared" si="65"/>
        <v>0.9</v>
      </c>
      <c r="N82" s="702">
        <f t="shared" si="66"/>
        <v>0.61699999999999999</v>
      </c>
      <c r="O82" s="702">
        <f t="shared" si="67"/>
        <v>0.55530000000000002</v>
      </c>
      <c r="P82" s="703" t="s">
        <v>347</v>
      </c>
    </row>
    <row r="83" spans="1:17" s="430" customFormat="1" ht="25.15" customHeight="1">
      <c r="A83" s="588" t="s">
        <v>495</v>
      </c>
      <c r="B83" s="589"/>
      <c r="C83" s="590"/>
      <c r="D83" s="591"/>
      <c r="E83" s="589"/>
      <c r="F83" s="592"/>
      <c r="G83" s="593"/>
      <c r="H83" s="593"/>
      <c r="I83" s="593"/>
      <c r="J83" s="593"/>
      <c r="K83" s="593"/>
      <c r="L83" s="593"/>
      <c r="M83" s="594"/>
      <c r="N83" s="595"/>
      <c r="O83" s="595"/>
      <c r="P83" s="596"/>
    </row>
    <row r="84" spans="1:17" s="430" customFormat="1" ht="25.15" customHeight="1">
      <c r="A84" s="834" t="s">
        <v>489</v>
      </c>
      <c r="B84" s="401"/>
      <c r="C84" s="402" t="s">
        <v>321</v>
      </c>
      <c r="D84" s="403">
        <v>1225</v>
      </c>
      <c r="E84" s="404" t="s">
        <v>322</v>
      </c>
      <c r="F84" s="431"/>
      <c r="G84" s="432"/>
      <c r="H84" s="432"/>
      <c r="I84" s="432"/>
      <c r="J84" s="432"/>
      <c r="K84" s="433"/>
      <c r="L84" s="433"/>
      <c r="M84" s="503"/>
      <c r="N84" s="435"/>
      <c r="O84" s="435"/>
      <c r="P84" s="407"/>
      <c r="Q84" s="414"/>
    </row>
    <row r="85" spans="1:17" s="430" customFormat="1" ht="25.15" customHeight="1">
      <c r="A85" s="835"/>
      <c r="B85" s="401">
        <v>1</v>
      </c>
      <c r="C85" s="405">
        <v>200</v>
      </c>
      <c r="D85" s="459">
        <f>D84+200+150</f>
        <v>1575</v>
      </c>
      <c r="E85" s="401">
        <f>250</f>
        <v>250</v>
      </c>
      <c r="F85" s="431">
        <v>10</v>
      </c>
      <c r="G85" s="432">
        <f>C85+D85+E85</f>
        <v>2025</v>
      </c>
      <c r="H85" s="432">
        <v>0</v>
      </c>
      <c r="I85" s="432">
        <f>F85*45</f>
        <v>450</v>
      </c>
      <c r="J85" s="432">
        <f>G85+I85*H85</f>
        <v>2025</v>
      </c>
      <c r="K85" s="433">
        <v>2</v>
      </c>
      <c r="L85" s="433">
        <v>1</v>
      </c>
      <c r="M85" s="503">
        <f t="shared" ref="M85:M88" si="70">J85*K85*L85/1000</f>
        <v>4.05</v>
      </c>
      <c r="N85" s="435">
        <f t="shared" ref="N85:N88" si="71">_xlfn.XLOOKUP(F85,$R$5:$Z$5,$R$6:$Z$6,"NOT_FOUND",0)</f>
        <v>0.61699999999999999</v>
      </c>
      <c r="O85" s="435">
        <f t="shared" ref="O85:O88" si="72">M85*N85</f>
        <v>2.49885</v>
      </c>
      <c r="P85" s="407"/>
    </row>
    <row r="86" spans="1:17" s="430" customFormat="1" ht="25.15" customHeight="1">
      <c r="A86" s="835"/>
      <c r="B86" s="401">
        <v>2</v>
      </c>
      <c r="C86" s="405">
        <v>100</v>
      </c>
      <c r="D86" s="459">
        <f>D84+200+170</f>
        <v>1595</v>
      </c>
      <c r="E86" s="401">
        <v>130</v>
      </c>
      <c r="F86" s="431">
        <v>10</v>
      </c>
      <c r="G86" s="432">
        <f>C86+D86+E86</f>
        <v>1825</v>
      </c>
      <c r="H86" s="432">
        <v>0</v>
      </c>
      <c r="I86" s="432">
        <f t="shared" ref="I86:I88" si="73">F86*45</f>
        <v>450</v>
      </c>
      <c r="J86" s="432">
        <f t="shared" ref="J86:J88" si="74">G86+I86*H86</f>
        <v>1825</v>
      </c>
      <c r="K86" s="433">
        <v>2</v>
      </c>
      <c r="L86" s="433">
        <v>1</v>
      </c>
      <c r="M86" s="503">
        <f t="shared" si="70"/>
        <v>3.65</v>
      </c>
      <c r="N86" s="435">
        <f t="shared" si="71"/>
        <v>0.61699999999999999</v>
      </c>
      <c r="O86" s="435">
        <f t="shared" si="72"/>
        <v>2.2520500000000001</v>
      </c>
      <c r="P86" s="407"/>
    </row>
    <row r="87" spans="1:17" s="430" customFormat="1" ht="25.15" customHeight="1">
      <c r="A87" s="835"/>
      <c r="B87" s="401">
        <v>3</v>
      </c>
      <c r="C87" s="405">
        <v>240</v>
      </c>
      <c r="D87" s="406">
        <v>160</v>
      </c>
      <c r="E87" s="401">
        <v>60</v>
      </c>
      <c r="F87" s="431">
        <v>6</v>
      </c>
      <c r="G87" s="432">
        <f>(C87+D87+E87)*2</f>
        <v>920</v>
      </c>
      <c r="H87" s="432">
        <v>0</v>
      </c>
      <c r="I87" s="432">
        <f t="shared" si="73"/>
        <v>270</v>
      </c>
      <c r="J87" s="432">
        <f t="shared" si="74"/>
        <v>920</v>
      </c>
      <c r="K87" s="680">
        <f>+ROUND(D84/200,0)</f>
        <v>6</v>
      </c>
      <c r="L87" s="433">
        <v>1</v>
      </c>
      <c r="M87" s="503">
        <f t="shared" si="70"/>
        <v>5.52</v>
      </c>
      <c r="N87" s="435">
        <f t="shared" si="71"/>
        <v>0.222</v>
      </c>
      <c r="O87" s="435">
        <f t="shared" si="72"/>
        <v>1.2254399999999999</v>
      </c>
      <c r="P87" s="407"/>
    </row>
    <row r="88" spans="1:17" s="430" customFormat="1" ht="25.15" customHeight="1">
      <c r="A88" s="836"/>
      <c r="B88" s="401" t="s">
        <v>158</v>
      </c>
      <c r="C88" s="405">
        <v>100</v>
      </c>
      <c r="D88" s="406">
        <v>200</v>
      </c>
      <c r="E88" s="401"/>
      <c r="F88" s="431">
        <v>10</v>
      </c>
      <c r="G88" s="432">
        <f>C88+D88</f>
        <v>300</v>
      </c>
      <c r="H88" s="432">
        <v>0</v>
      </c>
      <c r="I88" s="432">
        <f t="shared" si="73"/>
        <v>450</v>
      </c>
      <c r="J88" s="432">
        <f t="shared" si="74"/>
        <v>300</v>
      </c>
      <c r="K88" s="680">
        <f>+ROUND(D84/600,0)</f>
        <v>2</v>
      </c>
      <c r="L88" s="433">
        <v>1</v>
      </c>
      <c r="M88" s="503">
        <f t="shared" si="70"/>
        <v>0.6</v>
      </c>
      <c r="N88" s="435">
        <f t="shared" si="71"/>
        <v>0.61699999999999999</v>
      </c>
      <c r="O88" s="435">
        <f t="shared" si="72"/>
        <v>0.37019999999999997</v>
      </c>
      <c r="P88" s="407" t="s">
        <v>347</v>
      </c>
    </row>
    <row r="89" spans="1:17" s="430" customFormat="1" ht="25.15" customHeight="1">
      <c r="A89" s="834" t="s">
        <v>489</v>
      </c>
      <c r="B89" s="401"/>
      <c r="C89" s="402" t="s">
        <v>321</v>
      </c>
      <c r="D89" s="403">
        <v>4430</v>
      </c>
      <c r="E89" s="404" t="s">
        <v>322</v>
      </c>
      <c r="F89" s="431"/>
      <c r="G89" s="432"/>
      <c r="H89" s="432"/>
      <c r="I89" s="432"/>
      <c r="J89" s="432"/>
      <c r="K89" s="433"/>
      <c r="L89" s="433"/>
      <c r="M89" s="503"/>
      <c r="N89" s="435"/>
      <c r="O89" s="435"/>
      <c r="P89" s="407"/>
      <c r="Q89" s="414"/>
    </row>
    <row r="90" spans="1:17" s="430" customFormat="1" ht="25.15" customHeight="1">
      <c r="A90" s="835"/>
      <c r="B90" s="401">
        <v>1</v>
      </c>
      <c r="C90" s="405">
        <v>200</v>
      </c>
      <c r="D90" s="459">
        <f>D89+200+150</f>
        <v>4780</v>
      </c>
      <c r="E90" s="401">
        <f>250</f>
        <v>250</v>
      </c>
      <c r="F90" s="431">
        <v>10</v>
      </c>
      <c r="G90" s="432">
        <f>C90+D90+E90</f>
        <v>5230</v>
      </c>
      <c r="H90" s="432">
        <v>0</v>
      </c>
      <c r="I90" s="432">
        <f>F90*45</f>
        <v>450</v>
      </c>
      <c r="J90" s="432">
        <f>G90+I90*H90</f>
        <v>5230</v>
      </c>
      <c r="K90" s="433">
        <v>2</v>
      </c>
      <c r="L90" s="433">
        <v>1</v>
      </c>
      <c r="M90" s="503">
        <f t="shared" ref="M90:M93" si="75">J90*K90*L90/1000</f>
        <v>10.46</v>
      </c>
      <c r="N90" s="435">
        <f t="shared" ref="N90:N93" si="76">_xlfn.XLOOKUP(F90,$R$5:$Z$5,$R$6:$Z$6,"NOT_FOUND",0)</f>
        <v>0.61699999999999999</v>
      </c>
      <c r="O90" s="435">
        <f t="shared" ref="O90:O93" si="77">M90*N90</f>
        <v>6.4538200000000003</v>
      </c>
      <c r="P90" s="407"/>
    </row>
    <row r="91" spans="1:17" s="430" customFormat="1" ht="25.15" customHeight="1">
      <c r="A91" s="835"/>
      <c r="B91" s="401">
        <v>2</v>
      </c>
      <c r="C91" s="405">
        <v>100</v>
      </c>
      <c r="D91" s="459">
        <f>D89+200+170</f>
        <v>4800</v>
      </c>
      <c r="E91" s="401">
        <v>130</v>
      </c>
      <c r="F91" s="431">
        <v>10</v>
      </c>
      <c r="G91" s="432">
        <f>C91+D91+E91</f>
        <v>5030</v>
      </c>
      <c r="H91" s="432">
        <v>0</v>
      </c>
      <c r="I91" s="432">
        <f t="shared" ref="I91:I93" si="78">F91*45</f>
        <v>450</v>
      </c>
      <c r="J91" s="432">
        <f t="shared" ref="J91:J93" si="79">G91+I91*H91</f>
        <v>5030</v>
      </c>
      <c r="K91" s="433">
        <v>2</v>
      </c>
      <c r="L91" s="433">
        <v>1</v>
      </c>
      <c r="M91" s="503">
        <f t="shared" si="75"/>
        <v>10.06</v>
      </c>
      <c r="N91" s="435">
        <f t="shared" si="76"/>
        <v>0.61699999999999999</v>
      </c>
      <c r="O91" s="435">
        <f t="shared" si="77"/>
        <v>6.20702</v>
      </c>
      <c r="P91" s="407"/>
    </row>
    <row r="92" spans="1:17" s="430" customFormat="1" ht="25.15" customHeight="1">
      <c r="A92" s="835"/>
      <c r="B92" s="401">
        <v>3</v>
      </c>
      <c r="C92" s="405">
        <v>240</v>
      </c>
      <c r="D92" s="406">
        <v>160</v>
      </c>
      <c r="E92" s="401">
        <v>60</v>
      </c>
      <c r="F92" s="431">
        <v>6</v>
      </c>
      <c r="G92" s="432">
        <f>(C92+D92+E92)*2</f>
        <v>920</v>
      </c>
      <c r="H92" s="432">
        <v>0</v>
      </c>
      <c r="I92" s="432">
        <f t="shared" si="78"/>
        <v>270</v>
      </c>
      <c r="J92" s="432">
        <f t="shared" si="79"/>
        <v>920</v>
      </c>
      <c r="K92" s="680">
        <f>+ROUND(D89/200,0)</f>
        <v>22</v>
      </c>
      <c r="L92" s="433">
        <v>1</v>
      </c>
      <c r="M92" s="503">
        <f t="shared" si="75"/>
        <v>20.239999999999998</v>
      </c>
      <c r="N92" s="435">
        <f t="shared" si="76"/>
        <v>0.222</v>
      </c>
      <c r="O92" s="435">
        <f t="shared" si="77"/>
        <v>4.4932799999999995</v>
      </c>
      <c r="P92" s="407"/>
    </row>
    <row r="93" spans="1:17" s="430" customFormat="1" ht="25.15" customHeight="1">
      <c r="A93" s="836"/>
      <c r="B93" s="401" t="s">
        <v>158</v>
      </c>
      <c r="C93" s="405">
        <v>100</v>
      </c>
      <c r="D93" s="406">
        <v>200</v>
      </c>
      <c r="E93" s="401"/>
      <c r="F93" s="431">
        <v>10</v>
      </c>
      <c r="G93" s="432">
        <f>C93+D93</f>
        <v>300</v>
      </c>
      <c r="H93" s="432">
        <v>0</v>
      </c>
      <c r="I93" s="432">
        <f t="shared" si="78"/>
        <v>450</v>
      </c>
      <c r="J93" s="432">
        <f t="shared" si="79"/>
        <v>300</v>
      </c>
      <c r="K93" s="680">
        <f>+ROUND(D89/600,0)</f>
        <v>7</v>
      </c>
      <c r="L93" s="433">
        <v>1</v>
      </c>
      <c r="M93" s="503">
        <f t="shared" si="75"/>
        <v>2.1</v>
      </c>
      <c r="N93" s="435">
        <f t="shared" si="76"/>
        <v>0.61699999999999999</v>
      </c>
      <c r="O93" s="435">
        <f t="shared" si="77"/>
        <v>1.2957000000000001</v>
      </c>
      <c r="P93" s="407" t="s">
        <v>347</v>
      </c>
    </row>
    <row r="94" spans="1:17" s="430" customFormat="1" ht="25.15" customHeight="1">
      <c r="A94" s="834" t="s">
        <v>489</v>
      </c>
      <c r="B94" s="401"/>
      <c r="C94" s="402" t="s">
        <v>321</v>
      </c>
      <c r="D94" s="403">
        <v>4765</v>
      </c>
      <c r="E94" s="404" t="s">
        <v>322</v>
      </c>
      <c r="F94" s="431"/>
      <c r="G94" s="432"/>
      <c r="H94" s="432"/>
      <c r="I94" s="432"/>
      <c r="J94" s="432"/>
      <c r="K94" s="433"/>
      <c r="L94" s="433"/>
      <c r="M94" s="503"/>
      <c r="N94" s="435"/>
      <c r="O94" s="435"/>
      <c r="P94" s="407"/>
      <c r="Q94" s="414"/>
    </row>
    <row r="95" spans="1:17" s="430" customFormat="1" ht="25.15" customHeight="1">
      <c r="A95" s="835"/>
      <c r="B95" s="401">
        <v>1</v>
      </c>
      <c r="C95" s="405">
        <v>200</v>
      </c>
      <c r="D95" s="459">
        <f>D94+200+150</f>
        <v>5115</v>
      </c>
      <c r="E95" s="401">
        <f>250</f>
        <v>250</v>
      </c>
      <c r="F95" s="431">
        <v>10</v>
      </c>
      <c r="G95" s="432">
        <f>C95+D95+E95</f>
        <v>5565</v>
      </c>
      <c r="H95" s="432">
        <v>0</v>
      </c>
      <c r="I95" s="432">
        <f>F95*45</f>
        <v>450</v>
      </c>
      <c r="J95" s="432">
        <f>G95+I95*H95</f>
        <v>5565</v>
      </c>
      <c r="K95" s="433">
        <v>2</v>
      </c>
      <c r="L95" s="433">
        <v>1</v>
      </c>
      <c r="M95" s="503">
        <f t="shared" ref="M95:M98" si="80">J95*K95*L95/1000</f>
        <v>11.13</v>
      </c>
      <c r="N95" s="435">
        <f t="shared" ref="N95:N98" si="81">_xlfn.XLOOKUP(F95,$R$5:$Z$5,$R$6:$Z$6,"NOT_FOUND",0)</f>
        <v>0.61699999999999999</v>
      </c>
      <c r="O95" s="435">
        <f t="shared" ref="O95:O98" si="82">M95*N95</f>
        <v>6.86721</v>
      </c>
      <c r="P95" s="407"/>
    </row>
    <row r="96" spans="1:17" s="430" customFormat="1" ht="25.15" customHeight="1">
      <c r="A96" s="835"/>
      <c r="B96" s="401">
        <v>2</v>
      </c>
      <c r="C96" s="405">
        <v>100</v>
      </c>
      <c r="D96" s="459">
        <f>D94+200+170</f>
        <v>5135</v>
      </c>
      <c r="E96" s="401">
        <v>130</v>
      </c>
      <c r="F96" s="431">
        <v>10</v>
      </c>
      <c r="G96" s="432">
        <f>C96+D96+E96</f>
        <v>5365</v>
      </c>
      <c r="H96" s="432">
        <v>0</v>
      </c>
      <c r="I96" s="432">
        <f t="shared" ref="I96:I98" si="83">F96*45</f>
        <v>450</v>
      </c>
      <c r="J96" s="432">
        <f t="shared" ref="J96:J98" si="84">G96+I96*H96</f>
        <v>5365</v>
      </c>
      <c r="K96" s="433">
        <v>2</v>
      </c>
      <c r="L96" s="433">
        <v>1</v>
      </c>
      <c r="M96" s="503">
        <f t="shared" si="80"/>
        <v>10.73</v>
      </c>
      <c r="N96" s="435">
        <f t="shared" si="81"/>
        <v>0.61699999999999999</v>
      </c>
      <c r="O96" s="435">
        <f t="shared" si="82"/>
        <v>6.6204100000000006</v>
      </c>
      <c r="P96" s="407"/>
    </row>
    <row r="97" spans="1:17" s="430" customFormat="1" ht="25.15" customHeight="1">
      <c r="A97" s="835"/>
      <c r="B97" s="401">
        <v>3</v>
      </c>
      <c r="C97" s="405">
        <v>240</v>
      </c>
      <c r="D97" s="406">
        <v>160</v>
      </c>
      <c r="E97" s="401">
        <v>60</v>
      </c>
      <c r="F97" s="431">
        <v>6</v>
      </c>
      <c r="G97" s="432">
        <f>(C97+D97+E97)*2</f>
        <v>920</v>
      </c>
      <c r="H97" s="432">
        <v>0</v>
      </c>
      <c r="I97" s="432">
        <f t="shared" si="83"/>
        <v>270</v>
      </c>
      <c r="J97" s="432">
        <f t="shared" si="84"/>
        <v>920</v>
      </c>
      <c r="K97" s="680">
        <f>+ROUND(D94/200,0)</f>
        <v>24</v>
      </c>
      <c r="L97" s="433">
        <v>1</v>
      </c>
      <c r="M97" s="503">
        <f t="shared" si="80"/>
        <v>22.08</v>
      </c>
      <c r="N97" s="435">
        <f t="shared" si="81"/>
        <v>0.222</v>
      </c>
      <c r="O97" s="435">
        <f t="shared" si="82"/>
        <v>4.9017599999999995</v>
      </c>
      <c r="P97" s="407"/>
    </row>
    <row r="98" spans="1:17" s="430" customFormat="1" ht="25.15" customHeight="1">
      <c r="A98" s="836"/>
      <c r="B98" s="401" t="s">
        <v>158</v>
      </c>
      <c r="C98" s="405">
        <v>100</v>
      </c>
      <c r="D98" s="406">
        <v>200</v>
      </c>
      <c r="E98" s="401"/>
      <c r="F98" s="431">
        <v>10</v>
      </c>
      <c r="G98" s="432">
        <f>C98+D98</f>
        <v>300</v>
      </c>
      <c r="H98" s="432">
        <v>0</v>
      </c>
      <c r="I98" s="432">
        <f t="shared" si="83"/>
        <v>450</v>
      </c>
      <c r="J98" s="432">
        <f t="shared" si="84"/>
        <v>300</v>
      </c>
      <c r="K98" s="680">
        <f>+ROUND(D94/600,0)</f>
        <v>8</v>
      </c>
      <c r="L98" s="433">
        <v>1</v>
      </c>
      <c r="M98" s="503">
        <f t="shared" si="80"/>
        <v>2.4</v>
      </c>
      <c r="N98" s="435">
        <f t="shared" si="81"/>
        <v>0.61699999999999999</v>
      </c>
      <c r="O98" s="435">
        <f t="shared" si="82"/>
        <v>1.4807999999999999</v>
      </c>
      <c r="P98" s="407" t="s">
        <v>347</v>
      </c>
    </row>
    <row r="99" spans="1:17" s="430" customFormat="1" ht="25.15" customHeight="1">
      <c r="A99" s="588" t="s">
        <v>496</v>
      </c>
      <c r="B99" s="589"/>
      <c r="C99" s="590"/>
      <c r="D99" s="591"/>
      <c r="E99" s="589"/>
      <c r="F99" s="592"/>
      <c r="G99" s="593"/>
      <c r="H99" s="593"/>
      <c r="I99" s="593"/>
      <c r="J99" s="593"/>
      <c r="K99" s="593"/>
      <c r="L99" s="593"/>
      <c r="M99" s="594"/>
      <c r="N99" s="595"/>
      <c r="O99" s="595"/>
      <c r="P99" s="596"/>
    </row>
    <row r="100" spans="1:17" s="430" customFormat="1" ht="25.15" customHeight="1">
      <c r="A100" s="834" t="s">
        <v>489</v>
      </c>
      <c r="B100" s="401"/>
      <c r="C100" s="402" t="s">
        <v>321</v>
      </c>
      <c r="D100" s="403">
        <v>4855</v>
      </c>
      <c r="E100" s="404" t="s">
        <v>322</v>
      </c>
      <c r="F100" s="431"/>
      <c r="G100" s="432"/>
      <c r="H100" s="432"/>
      <c r="I100" s="432"/>
      <c r="J100" s="432"/>
      <c r="K100" s="433"/>
      <c r="L100" s="433"/>
      <c r="M100" s="503"/>
      <c r="N100" s="435"/>
      <c r="O100" s="435"/>
      <c r="P100" s="407"/>
      <c r="Q100" s="414"/>
    </row>
    <row r="101" spans="1:17" s="430" customFormat="1" ht="25.15" customHeight="1">
      <c r="A101" s="835"/>
      <c r="B101" s="401">
        <v>1</v>
      </c>
      <c r="C101" s="405">
        <v>200</v>
      </c>
      <c r="D101" s="459">
        <f>D100+200+150</f>
        <v>5205</v>
      </c>
      <c r="E101" s="401">
        <f>250</f>
        <v>250</v>
      </c>
      <c r="F101" s="431">
        <v>10</v>
      </c>
      <c r="G101" s="432">
        <f>C101+D101+E101</f>
        <v>5655</v>
      </c>
      <c r="H101" s="432">
        <v>0</v>
      </c>
      <c r="I101" s="432">
        <f>F101*45</f>
        <v>450</v>
      </c>
      <c r="J101" s="432">
        <f>G101+I101*H101</f>
        <v>5655</v>
      </c>
      <c r="K101" s="433">
        <v>2</v>
      </c>
      <c r="L101" s="433">
        <v>1</v>
      </c>
      <c r="M101" s="503">
        <f t="shared" ref="M101:M104" si="85">J101*K101*L101/1000</f>
        <v>11.31</v>
      </c>
      <c r="N101" s="435">
        <f t="shared" ref="N101:N104" si="86">_xlfn.XLOOKUP(F101,$R$5:$Z$5,$R$6:$Z$6,"NOT_FOUND",0)</f>
        <v>0.61699999999999999</v>
      </c>
      <c r="O101" s="435">
        <f t="shared" ref="O101:O104" si="87">M101*N101</f>
        <v>6.9782700000000002</v>
      </c>
      <c r="P101" s="407" t="s">
        <v>497</v>
      </c>
    </row>
    <row r="102" spans="1:17" s="430" customFormat="1" ht="25.15" customHeight="1">
      <c r="A102" s="835"/>
      <c r="B102" s="401">
        <v>2</v>
      </c>
      <c r="C102" s="405">
        <v>100</v>
      </c>
      <c r="D102" s="459">
        <f>D100+200+170</f>
        <v>5225</v>
      </c>
      <c r="E102" s="401">
        <v>130</v>
      </c>
      <c r="F102" s="431">
        <v>10</v>
      </c>
      <c r="G102" s="432">
        <f>C102+D102+E102</f>
        <v>5455</v>
      </c>
      <c r="H102" s="432">
        <v>0</v>
      </c>
      <c r="I102" s="432">
        <f t="shared" ref="I102:I104" si="88">F102*45</f>
        <v>450</v>
      </c>
      <c r="J102" s="432">
        <f t="shared" ref="J102:J104" si="89">G102+I102*H102</f>
        <v>5455</v>
      </c>
      <c r="K102" s="433">
        <v>2</v>
      </c>
      <c r="L102" s="433">
        <v>1</v>
      </c>
      <c r="M102" s="503">
        <f t="shared" si="85"/>
        <v>10.91</v>
      </c>
      <c r="N102" s="435">
        <f t="shared" si="86"/>
        <v>0.61699999999999999</v>
      </c>
      <c r="O102" s="435">
        <f t="shared" si="87"/>
        <v>6.7314699999999998</v>
      </c>
      <c r="P102" s="407"/>
    </row>
    <row r="103" spans="1:17" s="430" customFormat="1" ht="25.15" customHeight="1">
      <c r="A103" s="835"/>
      <c r="B103" s="401">
        <v>3</v>
      </c>
      <c r="C103" s="405">
        <v>240</v>
      </c>
      <c r="D103" s="406">
        <v>160</v>
      </c>
      <c r="E103" s="401">
        <v>60</v>
      </c>
      <c r="F103" s="431">
        <v>6</v>
      </c>
      <c r="G103" s="432">
        <f>(C103+D103+E103)*2</f>
        <v>920</v>
      </c>
      <c r="H103" s="432">
        <v>0</v>
      </c>
      <c r="I103" s="432">
        <f t="shared" si="88"/>
        <v>270</v>
      </c>
      <c r="J103" s="432">
        <f t="shared" si="89"/>
        <v>920</v>
      </c>
      <c r="K103" s="680">
        <f>+ROUND(D100/200,0)</f>
        <v>24</v>
      </c>
      <c r="L103" s="433">
        <v>1</v>
      </c>
      <c r="M103" s="503">
        <f t="shared" si="85"/>
        <v>22.08</v>
      </c>
      <c r="N103" s="435">
        <f t="shared" si="86"/>
        <v>0.222</v>
      </c>
      <c r="O103" s="435">
        <f t="shared" si="87"/>
        <v>4.9017599999999995</v>
      </c>
      <c r="P103" s="407"/>
    </row>
    <row r="104" spans="1:17" s="430" customFormat="1" ht="25.15" customHeight="1">
      <c r="A104" s="836"/>
      <c r="B104" s="401" t="s">
        <v>158</v>
      </c>
      <c r="C104" s="405">
        <v>100</v>
      </c>
      <c r="D104" s="406">
        <v>200</v>
      </c>
      <c r="E104" s="401"/>
      <c r="F104" s="431">
        <v>10</v>
      </c>
      <c r="G104" s="432">
        <f>C104+D104</f>
        <v>300</v>
      </c>
      <c r="H104" s="432">
        <v>0</v>
      </c>
      <c r="I104" s="432">
        <f t="shared" si="88"/>
        <v>450</v>
      </c>
      <c r="J104" s="432">
        <f t="shared" si="89"/>
        <v>300</v>
      </c>
      <c r="K104" s="680">
        <f>+ROUND(D100/600,0)</f>
        <v>8</v>
      </c>
      <c r="L104" s="433">
        <v>1</v>
      </c>
      <c r="M104" s="503">
        <f t="shared" si="85"/>
        <v>2.4</v>
      </c>
      <c r="N104" s="435">
        <f t="shared" si="86"/>
        <v>0.61699999999999999</v>
      </c>
      <c r="O104" s="435">
        <f t="shared" si="87"/>
        <v>1.4807999999999999</v>
      </c>
      <c r="P104" s="407" t="s">
        <v>347</v>
      </c>
    </row>
    <row r="105" spans="1:17" s="430" customFormat="1" ht="25.15" customHeight="1">
      <c r="A105" s="834" t="s">
        <v>489</v>
      </c>
      <c r="B105" s="401"/>
      <c r="C105" s="402" t="s">
        <v>321</v>
      </c>
      <c r="D105" s="403">
        <v>4625</v>
      </c>
      <c r="E105" s="404" t="s">
        <v>322</v>
      </c>
      <c r="F105" s="431"/>
      <c r="G105" s="432"/>
      <c r="H105" s="432"/>
      <c r="I105" s="432"/>
      <c r="J105" s="432"/>
      <c r="K105" s="433"/>
      <c r="L105" s="433"/>
      <c r="M105" s="503"/>
      <c r="N105" s="435"/>
      <c r="O105" s="435"/>
      <c r="P105" s="407"/>
      <c r="Q105" s="414"/>
    </row>
    <row r="106" spans="1:17" s="430" customFormat="1" ht="25.15" customHeight="1">
      <c r="A106" s="835"/>
      <c r="B106" s="401">
        <v>1</v>
      </c>
      <c r="C106" s="405">
        <v>200</v>
      </c>
      <c r="D106" s="459">
        <f>D105+200+150</f>
        <v>4975</v>
      </c>
      <c r="E106" s="401">
        <f>250</f>
        <v>250</v>
      </c>
      <c r="F106" s="431">
        <v>10</v>
      </c>
      <c r="G106" s="432">
        <f>C106+D106+E106</f>
        <v>5425</v>
      </c>
      <c r="H106" s="432">
        <v>0</v>
      </c>
      <c r="I106" s="432">
        <f>F106*45</f>
        <v>450</v>
      </c>
      <c r="J106" s="432">
        <f>G106+I106*H106</f>
        <v>5425</v>
      </c>
      <c r="K106" s="433">
        <v>2</v>
      </c>
      <c r="L106" s="433">
        <v>1</v>
      </c>
      <c r="M106" s="503">
        <f t="shared" ref="M106:M109" si="90">J106*K106*L106/1000</f>
        <v>10.85</v>
      </c>
      <c r="N106" s="435">
        <f t="shared" ref="N106:N109" si="91">_xlfn.XLOOKUP(F106,$R$5:$Z$5,$R$6:$Z$6,"NOT_FOUND",0)</f>
        <v>0.61699999999999999</v>
      </c>
      <c r="O106" s="435">
        <f t="shared" ref="O106:O109" si="92">M106*N106</f>
        <v>6.6944499999999998</v>
      </c>
      <c r="P106" s="407"/>
    </row>
    <row r="107" spans="1:17" s="430" customFormat="1" ht="25.15" customHeight="1">
      <c r="A107" s="835"/>
      <c r="B107" s="401">
        <v>2</v>
      </c>
      <c r="C107" s="405">
        <v>100</v>
      </c>
      <c r="D107" s="459">
        <f>D105+200+170</f>
        <v>4995</v>
      </c>
      <c r="E107" s="401">
        <v>130</v>
      </c>
      <c r="F107" s="431">
        <v>10</v>
      </c>
      <c r="G107" s="432">
        <f>C107+D107+E107</f>
        <v>5225</v>
      </c>
      <c r="H107" s="432">
        <v>0</v>
      </c>
      <c r="I107" s="432">
        <f t="shared" ref="I107:I109" si="93">F107*45</f>
        <v>450</v>
      </c>
      <c r="J107" s="432">
        <f t="shared" ref="J107:J109" si="94">G107+I107*H107</f>
        <v>5225</v>
      </c>
      <c r="K107" s="433">
        <v>2</v>
      </c>
      <c r="L107" s="433">
        <v>1</v>
      </c>
      <c r="M107" s="503">
        <f t="shared" si="90"/>
        <v>10.45</v>
      </c>
      <c r="N107" s="435">
        <f t="shared" si="91"/>
        <v>0.61699999999999999</v>
      </c>
      <c r="O107" s="435">
        <f t="shared" si="92"/>
        <v>6.4476499999999994</v>
      </c>
      <c r="P107" s="407"/>
    </row>
    <row r="108" spans="1:17" s="430" customFormat="1" ht="25.15" customHeight="1">
      <c r="A108" s="835"/>
      <c r="B108" s="401">
        <v>3</v>
      </c>
      <c r="C108" s="405">
        <v>240</v>
      </c>
      <c r="D108" s="406">
        <v>160</v>
      </c>
      <c r="E108" s="401">
        <v>60</v>
      </c>
      <c r="F108" s="431">
        <v>6</v>
      </c>
      <c r="G108" s="432">
        <f>(C108+D108+E108)*2</f>
        <v>920</v>
      </c>
      <c r="H108" s="432">
        <v>0</v>
      </c>
      <c r="I108" s="432">
        <f t="shared" si="93"/>
        <v>270</v>
      </c>
      <c r="J108" s="432">
        <f t="shared" si="94"/>
        <v>920</v>
      </c>
      <c r="K108" s="680">
        <f>+ROUND(D105/200,0)</f>
        <v>23</v>
      </c>
      <c r="L108" s="433">
        <v>1</v>
      </c>
      <c r="M108" s="503">
        <f t="shared" si="90"/>
        <v>21.16</v>
      </c>
      <c r="N108" s="435">
        <f t="shared" si="91"/>
        <v>0.222</v>
      </c>
      <c r="O108" s="435">
        <f t="shared" si="92"/>
        <v>4.6975199999999999</v>
      </c>
      <c r="P108" s="407"/>
    </row>
    <row r="109" spans="1:17" s="430" customFormat="1" ht="25.15" customHeight="1">
      <c r="A109" s="836"/>
      <c r="B109" s="401" t="s">
        <v>158</v>
      </c>
      <c r="C109" s="405">
        <v>100</v>
      </c>
      <c r="D109" s="406">
        <v>200</v>
      </c>
      <c r="E109" s="401"/>
      <c r="F109" s="431">
        <v>10</v>
      </c>
      <c r="G109" s="432">
        <f>C109+D109</f>
        <v>300</v>
      </c>
      <c r="H109" s="432">
        <v>0</v>
      </c>
      <c r="I109" s="432">
        <f t="shared" si="93"/>
        <v>450</v>
      </c>
      <c r="J109" s="432">
        <f t="shared" si="94"/>
        <v>300</v>
      </c>
      <c r="K109" s="680">
        <f>+ROUND(D105/600,0)</f>
        <v>8</v>
      </c>
      <c r="L109" s="433">
        <v>1</v>
      </c>
      <c r="M109" s="503">
        <f t="shared" si="90"/>
        <v>2.4</v>
      </c>
      <c r="N109" s="435">
        <f t="shared" si="91"/>
        <v>0.61699999999999999</v>
      </c>
      <c r="O109" s="435">
        <f t="shared" si="92"/>
        <v>1.4807999999999999</v>
      </c>
      <c r="P109" s="407" t="s">
        <v>347</v>
      </c>
    </row>
    <row r="110" spans="1:17" s="430" customFormat="1" ht="25.15" customHeight="1">
      <c r="A110" s="588" t="s">
        <v>498</v>
      </c>
      <c r="B110" s="589"/>
      <c r="C110" s="590"/>
      <c r="D110" s="591"/>
      <c r="E110" s="589"/>
      <c r="F110" s="592"/>
      <c r="G110" s="593"/>
      <c r="H110" s="593"/>
      <c r="I110" s="593"/>
      <c r="J110" s="593"/>
      <c r="K110" s="593"/>
      <c r="L110" s="593"/>
      <c r="M110" s="594"/>
      <c r="N110" s="595"/>
      <c r="O110" s="595"/>
      <c r="P110" s="596"/>
    </row>
    <row r="111" spans="1:17" s="430" customFormat="1" ht="25.15" customHeight="1">
      <c r="A111" s="834" t="s">
        <v>489</v>
      </c>
      <c r="B111" s="401"/>
      <c r="C111" s="402" t="s">
        <v>321</v>
      </c>
      <c r="D111" s="403">
        <v>1180</v>
      </c>
      <c r="E111" s="404" t="s">
        <v>322</v>
      </c>
      <c r="F111" s="431"/>
      <c r="G111" s="432"/>
      <c r="H111" s="432"/>
      <c r="I111" s="432"/>
      <c r="J111" s="432"/>
      <c r="K111" s="433"/>
      <c r="L111" s="433"/>
      <c r="M111" s="503"/>
      <c r="N111" s="435"/>
      <c r="O111" s="435"/>
      <c r="P111" s="407"/>
      <c r="Q111" s="414"/>
    </row>
    <row r="112" spans="1:17" s="430" customFormat="1" ht="25.15" customHeight="1">
      <c r="A112" s="835"/>
      <c r="B112" s="401">
        <v>1</v>
      </c>
      <c r="C112" s="405">
        <v>200</v>
      </c>
      <c r="D112" s="459">
        <f>D111+200+150</f>
        <v>1530</v>
      </c>
      <c r="E112" s="401">
        <f>250</f>
        <v>250</v>
      </c>
      <c r="F112" s="431">
        <v>10</v>
      </c>
      <c r="G112" s="432">
        <f>C112+D112+E112</f>
        <v>1980</v>
      </c>
      <c r="H112" s="432">
        <v>0</v>
      </c>
      <c r="I112" s="432">
        <f>F112*45</f>
        <v>450</v>
      </c>
      <c r="J112" s="432">
        <f>G112+I112*H112</f>
        <v>1980</v>
      </c>
      <c r="K112" s="433">
        <v>2</v>
      </c>
      <c r="L112" s="433">
        <v>1</v>
      </c>
      <c r="M112" s="503">
        <f t="shared" ref="M112:M115" si="95">J112*K112*L112/1000</f>
        <v>3.96</v>
      </c>
      <c r="N112" s="435">
        <f t="shared" ref="N112:N115" si="96">_xlfn.XLOOKUP(F112,$R$5:$Z$5,$R$6:$Z$6,"NOT_FOUND",0)</f>
        <v>0.61699999999999999</v>
      </c>
      <c r="O112" s="435">
        <f t="shared" ref="O112:O115" si="97">M112*N112</f>
        <v>2.4433199999999999</v>
      </c>
      <c r="P112" s="407" t="s">
        <v>497</v>
      </c>
    </row>
    <row r="113" spans="1:17" s="430" customFormat="1" ht="25.15" customHeight="1">
      <c r="A113" s="835"/>
      <c r="B113" s="401">
        <v>2</v>
      </c>
      <c r="C113" s="405">
        <v>100</v>
      </c>
      <c r="D113" s="459">
        <f>D111+200+170</f>
        <v>1550</v>
      </c>
      <c r="E113" s="401">
        <v>130</v>
      </c>
      <c r="F113" s="431">
        <v>10</v>
      </c>
      <c r="G113" s="432">
        <f>C113+D113+E113</f>
        <v>1780</v>
      </c>
      <c r="H113" s="432">
        <v>0</v>
      </c>
      <c r="I113" s="432">
        <f t="shared" ref="I113:I115" si="98">F113*45</f>
        <v>450</v>
      </c>
      <c r="J113" s="432">
        <f t="shared" ref="J113:J115" si="99">G113+I113*H113</f>
        <v>1780</v>
      </c>
      <c r="K113" s="433">
        <v>2</v>
      </c>
      <c r="L113" s="433">
        <v>1</v>
      </c>
      <c r="M113" s="503">
        <f t="shared" si="95"/>
        <v>3.56</v>
      </c>
      <c r="N113" s="435">
        <f t="shared" si="96"/>
        <v>0.61699999999999999</v>
      </c>
      <c r="O113" s="435">
        <f t="shared" si="97"/>
        <v>2.19652</v>
      </c>
      <c r="P113" s="407"/>
    </row>
    <row r="114" spans="1:17" s="430" customFormat="1" ht="25.15" customHeight="1">
      <c r="A114" s="835"/>
      <c r="B114" s="401">
        <v>3</v>
      </c>
      <c r="C114" s="405">
        <v>240</v>
      </c>
      <c r="D114" s="406">
        <v>160</v>
      </c>
      <c r="E114" s="401">
        <v>60</v>
      </c>
      <c r="F114" s="431">
        <v>6</v>
      </c>
      <c r="G114" s="432">
        <f>(C114+D114+E114)*2</f>
        <v>920</v>
      </c>
      <c r="H114" s="432">
        <v>0</v>
      </c>
      <c r="I114" s="432">
        <f t="shared" si="98"/>
        <v>270</v>
      </c>
      <c r="J114" s="432">
        <f t="shared" si="99"/>
        <v>920</v>
      </c>
      <c r="K114" s="680">
        <f>+ROUND(D111/200,0)</f>
        <v>6</v>
      </c>
      <c r="L114" s="433">
        <v>1</v>
      </c>
      <c r="M114" s="503">
        <f t="shared" si="95"/>
        <v>5.52</v>
      </c>
      <c r="N114" s="435">
        <f t="shared" si="96"/>
        <v>0.222</v>
      </c>
      <c r="O114" s="435">
        <f t="shared" si="97"/>
        <v>1.2254399999999999</v>
      </c>
      <c r="P114" s="407"/>
    </row>
    <row r="115" spans="1:17" s="430" customFormat="1" ht="25.15" customHeight="1">
      <c r="A115" s="836"/>
      <c r="B115" s="401" t="s">
        <v>158</v>
      </c>
      <c r="C115" s="405">
        <v>100</v>
      </c>
      <c r="D115" s="406">
        <v>200</v>
      </c>
      <c r="E115" s="401"/>
      <c r="F115" s="431">
        <v>10</v>
      </c>
      <c r="G115" s="432">
        <f>C115+D115</f>
        <v>300</v>
      </c>
      <c r="H115" s="432">
        <v>0</v>
      </c>
      <c r="I115" s="432">
        <f t="shared" si="98"/>
        <v>450</v>
      </c>
      <c r="J115" s="432">
        <f t="shared" si="99"/>
        <v>300</v>
      </c>
      <c r="K115" s="680">
        <f>+ROUND(D111/600,0)</f>
        <v>2</v>
      </c>
      <c r="L115" s="433">
        <v>1</v>
      </c>
      <c r="M115" s="503">
        <f t="shared" si="95"/>
        <v>0.6</v>
      </c>
      <c r="N115" s="435">
        <f t="shared" si="96"/>
        <v>0.61699999999999999</v>
      </c>
      <c r="O115" s="435">
        <f t="shared" si="97"/>
        <v>0.37019999999999997</v>
      </c>
      <c r="P115" s="407" t="s">
        <v>347</v>
      </c>
    </row>
    <row r="116" spans="1:17" s="430" customFormat="1" ht="25.15" customHeight="1">
      <c r="A116" s="834" t="s">
        <v>489</v>
      </c>
      <c r="B116" s="401"/>
      <c r="C116" s="402" t="s">
        <v>321</v>
      </c>
      <c r="D116" s="403">
        <v>310</v>
      </c>
      <c r="E116" s="404" t="s">
        <v>322</v>
      </c>
      <c r="F116" s="431"/>
      <c r="G116" s="432"/>
      <c r="H116" s="432"/>
      <c r="I116" s="432"/>
      <c r="J116" s="432"/>
      <c r="K116" s="433"/>
      <c r="L116" s="433"/>
      <c r="M116" s="503"/>
      <c r="N116" s="435"/>
      <c r="O116" s="435"/>
      <c r="P116" s="407"/>
      <c r="Q116" s="414"/>
    </row>
    <row r="117" spans="1:17" s="430" customFormat="1" ht="25.15" customHeight="1">
      <c r="A117" s="835"/>
      <c r="B117" s="401">
        <v>1</v>
      </c>
      <c r="C117" s="405">
        <v>200</v>
      </c>
      <c r="D117" s="459">
        <f>D116+200+150</f>
        <v>660</v>
      </c>
      <c r="E117" s="401">
        <f>250</f>
        <v>250</v>
      </c>
      <c r="F117" s="431">
        <v>10</v>
      </c>
      <c r="G117" s="432">
        <f>C117+D117+E117</f>
        <v>1110</v>
      </c>
      <c r="H117" s="432">
        <v>0</v>
      </c>
      <c r="I117" s="432">
        <f>F117*45</f>
        <v>450</v>
      </c>
      <c r="J117" s="432">
        <f>G117+I117*H117</f>
        <v>1110</v>
      </c>
      <c r="K117" s="433">
        <v>2</v>
      </c>
      <c r="L117" s="433">
        <v>1</v>
      </c>
      <c r="M117" s="503">
        <f t="shared" ref="M117:M120" si="100">J117*K117*L117/1000</f>
        <v>2.2200000000000002</v>
      </c>
      <c r="N117" s="435">
        <f t="shared" ref="N117:N120" si="101">_xlfn.XLOOKUP(F117,$R$5:$Z$5,$R$6:$Z$6,"NOT_FOUND",0)</f>
        <v>0.61699999999999999</v>
      </c>
      <c r="O117" s="435">
        <f t="shared" ref="O117:O120" si="102">M117*N117</f>
        <v>1.3697400000000002</v>
      </c>
      <c r="P117" s="407"/>
    </row>
    <row r="118" spans="1:17" s="430" customFormat="1" ht="25.15" customHeight="1">
      <c r="A118" s="835"/>
      <c r="B118" s="401">
        <v>2</v>
      </c>
      <c r="C118" s="405">
        <v>100</v>
      </c>
      <c r="D118" s="459">
        <f>D116+200+170</f>
        <v>680</v>
      </c>
      <c r="E118" s="401">
        <v>130</v>
      </c>
      <c r="F118" s="431">
        <v>10</v>
      </c>
      <c r="G118" s="432">
        <f>C118+D118+E118</f>
        <v>910</v>
      </c>
      <c r="H118" s="432">
        <v>0</v>
      </c>
      <c r="I118" s="432">
        <f t="shared" ref="I118:I120" si="103">F118*45</f>
        <v>450</v>
      </c>
      <c r="J118" s="432">
        <f t="shared" ref="J118:J120" si="104">G118+I118*H118</f>
        <v>910</v>
      </c>
      <c r="K118" s="433">
        <v>2</v>
      </c>
      <c r="L118" s="433">
        <v>1</v>
      </c>
      <c r="M118" s="503">
        <f t="shared" si="100"/>
        <v>1.82</v>
      </c>
      <c r="N118" s="435">
        <f t="shared" si="101"/>
        <v>0.61699999999999999</v>
      </c>
      <c r="O118" s="435">
        <f t="shared" si="102"/>
        <v>1.12294</v>
      </c>
      <c r="P118" s="407"/>
    </row>
    <row r="119" spans="1:17" s="430" customFormat="1" ht="25.15" customHeight="1">
      <c r="A119" s="835"/>
      <c r="B119" s="401">
        <v>3</v>
      </c>
      <c r="C119" s="405">
        <v>240</v>
      </c>
      <c r="D119" s="406">
        <v>160</v>
      </c>
      <c r="E119" s="401">
        <v>60</v>
      </c>
      <c r="F119" s="431">
        <v>6</v>
      </c>
      <c r="G119" s="432">
        <f>(C119+D119+E119)*2</f>
        <v>920</v>
      </c>
      <c r="H119" s="432">
        <v>0</v>
      </c>
      <c r="I119" s="432">
        <f t="shared" si="103"/>
        <v>270</v>
      </c>
      <c r="J119" s="432">
        <f t="shared" si="104"/>
        <v>920</v>
      </c>
      <c r="K119" s="680">
        <f>+ROUND(D116/200,0)</f>
        <v>2</v>
      </c>
      <c r="L119" s="433">
        <v>1</v>
      </c>
      <c r="M119" s="503">
        <f t="shared" si="100"/>
        <v>1.84</v>
      </c>
      <c r="N119" s="435">
        <f t="shared" si="101"/>
        <v>0.222</v>
      </c>
      <c r="O119" s="435">
        <f t="shared" si="102"/>
        <v>0.40848000000000001</v>
      </c>
      <c r="P119" s="407"/>
    </row>
    <row r="120" spans="1:17" s="430" customFormat="1" ht="25.15" customHeight="1">
      <c r="A120" s="836"/>
      <c r="B120" s="401" t="s">
        <v>158</v>
      </c>
      <c r="C120" s="405">
        <v>100</v>
      </c>
      <c r="D120" s="406">
        <v>200</v>
      </c>
      <c r="E120" s="401"/>
      <c r="F120" s="431">
        <v>10</v>
      </c>
      <c r="G120" s="432">
        <f>C120+D120</f>
        <v>300</v>
      </c>
      <c r="H120" s="432">
        <v>0</v>
      </c>
      <c r="I120" s="432">
        <f t="shared" si="103"/>
        <v>450</v>
      </c>
      <c r="J120" s="432">
        <f t="shared" si="104"/>
        <v>300</v>
      </c>
      <c r="K120" s="680">
        <f>+ROUND(D116/600,0)</f>
        <v>1</v>
      </c>
      <c r="L120" s="433">
        <v>1</v>
      </c>
      <c r="M120" s="503">
        <f t="shared" si="100"/>
        <v>0.3</v>
      </c>
      <c r="N120" s="435">
        <f t="shared" si="101"/>
        <v>0.61699999999999999</v>
      </c>
      <c r="O120" s="435">
        <f t="shared" si="102"/>
        <v>0.18509999999999999</v>
      </c>
      <c r="P120" s="407" t="s">
        <v>347</v>
      </c>
    </row>
    <row r="121" spans="1:17" s="430" customFormat="1" ht="25.15" customHeight="1">
      <c r="A121" s="834" t="s">
        <v>489</v>
      </c>
      <c r="B121" s="401"/>
      <c r="C121" s="402" t="s">
        <v>321</v>
      </c>
      <c r="D121" s="403">
        <v>2900</v>
      </c>
      <c r="E121" s="404" t="s">
        <v>322</v>
      </c>
      <c r="F121" s="431"/>
      <c r="G121" s="432"/>
      <c r="H121" s="432"/>
      <c r="I121" s="432"/>
      <c r="J121" s="432"/>
      <c r="K121" s="433"/>
      <c r="L121" s="433"/>
      <c r="M121" s="503"/>
      <c r="N121" s="435"/>
      <c r="O121" s="435"/>
      <c r="P121" s="407"/>
      <c r="Q121" s="414"/>
    </row>
    <row r="122" spans="1:17" s="430" customFormat="1" ht="25.15" customHeight="1">
      <c r="A122" s="835"/>
      <c r="B122" s="401">
        <v>1</v>
      </c>
      <c r="C122" s="405">
        <v>200</v>
      </c>
      <c r="D122" s="459">
        <f>D121+200+150</f>
        <v>3250</v>
      </c>
      <c r="E122" s="401">
        <f>250</f>
        <v>250</v>
      </c>
      <c r="F122" s="431">
        <v>10</v>
      </c>
      <c r="G122" s="432">
        <f>C122+D122+E122</f>
        <v>3700</v>
      </c>
      <c r="H122" s="432">
        <v>0</v>
      </c>
      <c r="I122" s="432">
        <f>F122*45</f>
        <v>450</v>
      </c>
      <c r="J122" s="432">
        <f>G122+I122*H122</f>
        <v>3700</v>
      </c>
      <c r="K122" s="433">
        <v>2</v>
      </c>
      <c r="L122" s="433">
        <v>1</v>
      </c>
      <c r="M122" s="503">
        <f t="shared" ref="M122:M125" si="105">J122*K122*L122/1000</f>
        <v>7.4</v>
      </c>
      <c r="N122" s="435">
        <f t="shared" ref="N122:N125" si="106">_xlfn.XLOOKUP(F122,$R$5:$Z$5,$R$6:$Z$6,"NOT_FOUND",0)</f>
        <v>0.61699999999999999</v>
      </c>
      <c r="O122" s="435">
        <f t="shared" ref="O122:O125" si="107">M122*N122</f>
        <v>4.5658000000000003</v>
      </c>
      <c r="P122" s="407"/>
    </row>
    <row r="123" spans="1:17" s="430" customFormat="1" ht="25.15" customHeight="1">
      <c r="A123" s="835"/>
      <c r="B123" s="401">
        <v>2</v>
      </c>
      <c r="C123" s="405">
        <v>100</v>
      </c>
      <c r="D123" s="459">
        <f>D121+200+170</f>
        <v>3270</v>
      </c>
      <c r="E123" s="401">
        <v>130</v>
      </c>
      <c r="F123" s="431">
        <v>10</v>
      </c>
      <c r="G123" s="432">
        <f>C123+D123+E123</f>
        <v>3500</v>
      </c>
      <c r="H123" s="432">
        <v>0</v>
      </c>
      <c r="I123" s="432">
        <f t="shared" ref="I123:I125" si="108">F123*45</f>
        <v>450</v>
      </c>
      <c r="J123" s="432">
        <f t="shared" ref="J123:J125" si="109">G123+I123*H123</f>
        <v>3500</v>
      </c>
      <c r="K123" s="433">
        <v>2</v>
      </c>
      <c r="L123" s="433">
        <v>1</v>
      </c>
      <c r="M123" s="503">
        <f t="shared" si="105"/>
        <v>7</v>
      </c>
      <c r="N123" s="435">
        <f t="shared" si="106"/>
        <v>0.61699999999999999</v>
      </c>
      <c r="O123" s="435">
        <f t="shared" si="107"/>
        <v>4.319</v>
      </c>
      <c r="P123" s="407"/>
    </row>
    <row r="124" spans="1:17" s="430" customFormat="1" ht="25.15" customHeight="1">
      <c r="A124" s="835"/>
      <c r="B124" s="401">
        <v>3</v>
      </c>
      <c r="C124" s="405">
        <v>240</v>
      </c>
      <c r="D124" s="406">
        <v>160</v>
      </c>
      <c r="E124" s="401">
        <v>60</v>
      </c>
      <c r="F124" s="431">
        <v>6</v>
      </c>
      <c r="G124" s="432">
        <f>(C124+D124+E124)*2</f>
        <v>920</v>
      </c>
      <c r="H124" s="432">
        <v>0</v>
      </c>
      <c r="I124" s="432">
        <f t="shared" si="108"/>
        <v>270</v>
      </c>
      <c r="J124" s="432">
        <f t="shared" si="109"/>
        <v>920</v>
      </c>
      <c r="K124" s="680">
        <f>+ROUND(D121/200,0)</f>
        <v>15</v>
      </c>
      <c r="L124" s="433">
        <v>1</v>
      </c>
      <c r="M124" s="503">
        <f t="shared" si="105"/>
        <v>13.8</v>
      </c>
      <c r="N124" s="435">
        <f t="shared" si="106"/>
        <v>0.222</v>
      </c>
      <c r="O124" s="435">
        <f t="shared" si="107"/>
        <v>3.0636000000000001</v>
      </c>
      <c r="P124" s="407"/>
    </row>
    <row r="125" spans="1:17" s="430" customFormat="1" ht="25.15" customHeight="1">
      <c r="A125" s="836"/>
      <c r="B125" s="401" t="s">
        <v>158</v>
      </c>
      <c r="C125" s="405">
        <v>100</v>
      </c>
      <c r="D125" s="406">
        <v>200</v>
      </c>
      <c r="E125" s="401"/>
      <c r="F125" s="431">
        <v>10</v>
      </c>
      <c r="G125" s="432">
        <f>C125+D125</f>
        <v>300</v>
      </c>
      <c r="H125" s="432">
        <v>0</v>
      </c>
      <c r="I125" s="432">
        <f t="shared" si="108"/>
        <v>450</v>
      </c>
      <c r="J125" s="432">
        <f t="shared" si="109"/>
        <v>300</v>
      </c>
      <c r="K125" s="680">
        <f>+ROUND(D121/600,0)</f>
        <v>5</v>
      </c>
      <c r="L125" s="433">
        <v>1</v>
      </c>
      <c r="M125" s="503">
        <f t="shared" si="105"/>
        <v>1.5</v>
      </c>
      <c r="N125" s="435">
        <f t="shared" si="106"/>
        <v>0.61699999999999999</v>
      </c>
      <c r="O125" s="435">
        <f t="shared" si="107"/>
        <v>0.92549999999999999</v>
      </c>
      <c r="P125" s="407" t="s">
        <v>347</v>
      </c>
    </row>
    <row r="126" spans="1:17" s="430" customFormat="1" ht="25.15" customHeight="1">
      <c r="A126" s="834" t="s">
        <v>489</v>
      </c>
      <c r="B126" s="401"/>
      <c r="C126" s="402" t="s">
        <v>321</v>
      </c>
      <c r="D126" s="403">
        <v>2260</v>
      </c>
      <c r="E126" s="404" t="s">
        <v>322</v>
      </c>
      <c r="F126" s="431"/>
      <c r="G126" s="432"/>
      <c r="H126" s="432"/>
      <c r="I126" s="432"/>
      <c r="J126" s="432"/>
      <c r="K126" s="433"/>
      <c r="L126" s="433"/>
      <c r="M126" s="503"/>
      <c r="N126" s="435"/>
      <c r="O126" s="435"/>
      <c r="P126" s="407"/>
      <c r="Q126" s="414"/>
    </row>
    <row r="127" spans="1:17" s="430" customFormat="1" ht="25.15" customHeight="1">
      <c r="A127" s="835"/>
      <c r="B127" s="401">
        <v>1</v>
      </c>
      <c r="C127" s="405">
        <v>200</v>
      </c>
      <c r="D127" s="459">
        <f>D126+200+150</f>
        <v>2610</v>
      </c>
      <c r="E127" s="401">
        <f>250</f>
        <v>250</v>
      </c>
      <c r="F127" s="431">
        <v>10</v>
      </c>
      <c r="G127" s="432">
        <f>C127+D127+E127</f>
        <v>3060</v>
      </c>
      <c r="H127" s="432">
        <v>0</v>
      </c>
      <c r="I127" s="432">
        <f>F127*45</f>
        <v>450</v>
      </c>
      <c r="J127" s="432">
        <f>G127+I127*H127</f>
        <v>3060</v>
      </c>
      <c r="K127" s="433">
        <v>2</v>
      </c>
      <c r="L127" s="433">
        <v>1</v>
      </c>
      <c r="M127" s="503">
        <f t="shared" ref="M127:M130" si="110">J127*K127*L127/1000</f>
        <v>6.12</v>
      </c>
      <c r="N127" s="435">
        <f t="shared" ref="N127:N130" si="111">_xlfn.XLOOKUP(F127,$R$5:$Z$5,$R$6:$Z$6,"NOT_FOUND",0)</f>
        <v>0.61699999999999999</v>
      </c>
      <c r="O127" s="435">
        <f t="shared" ref="O127:O130" si="112">M127*N127</f>
        <v>3.7760400000000001</v>
      </c>
      <c r="P127" s="407"/>
    </row>
    <row r="128" spans="1:17" s="430" customFormat="1" ht="25.15" customHeight="1">
      <c r="A128" s="835"/>
      <c r="B128" s="401">
        <v>2</v>
      </c>
      <c r="C128" s="405">
        <v>100</v>
      </c>
      <c r="D128" s="459">
        <f>D126+200+170</f>
        <v>2630</v>
      </c>
      <c r="E128" s="401">
        <v>130</v>
      </c>
      <c r="F128" s="431">
        <v>10</v>
      </c>
      <c r="G128" s="432">
        <f>C128+D128+E128</f>
        <v>2860</v>
      </c>
      <c r="H128" s="432">
        <v>0</v>
      </c>
      <c r="I128" s="432">
        <f t="shared" ref="I128:I130" si="113">F128*45</f>
        <v>450</v>
      </c>
      <c r="J128" s="432">
        <f t="shared" ref="J128:J130" si="114">G128+I128*H128</f>
        <v>2860</v>
      </c>
      <c r="K128" s="433">
        <v>2</v>
      </c>
      <c r="L128" s="433">
        <v>1</v>
      </c>
      <c r="M128" s="503">
        <f t="shared" si="110"/>
        <v>5.72</v>
      </c>
      <c r="N128" s="435">
        <f t="shared" si="111"/>
        <v>0.61699999999999999</v>
      </c>
      <c r="O128" s="435">
        <f t="shared" si="112"/>
        <v>3.5292399999999997</v>
      </c>
      <c r="P128" s="407"/>
    </row>
    <row r="129" spans="1:17" s="430" customFormat="1" ht="25.15" customHeight="1">
      <c r="A129" s="835"/>
      <c r="B129" s="401">
        <v>3</v>
      </c>
      <c r="C129" s="405">
        <v>240</v>
      </c>
      <c r="D129" s="406">
        <v>160</v>
      </c>
      <c r="E129" s="401">
        <v>60</v>
      </c>
      <c r="F129" s="431">
        <v>6</v>
      </c>
      <c r="G129" s="432">
        <f>(C129+D129+E129)*2</f>
        <v>920</v>
      </c>
      <c r="H129" s="432">
        <v>0</v>
      </c>
      <c r="I129" s="432">
        <f t="shared" si="113"/>
        <v>270</v>
      </c>
      <c r="J129" s="432">
        <f t="shared" si="114"/>
        <v>920</v>
      </c>
      <c r="K129" s="680">
        <f>+ROUND(D126/200,0)</f>
        <v>11</v>
      </c>
      <c r="L129" s="433">
        <v>1</v>
      </c>
      <c r="M129" s="503">
        <f t="shared" si="110"/>
        <v>10.119999999999999</v>
      </c>
      <c r="N129" s="435">
        <f t="shared" si="111"/>
        <v>0.222</v>
      </c>
      <c r="O129" s="435">
        <f t="shared" si="112"/>
        <v>2.2466399999999997</v>
      </c>
      <c r="P129" s="407"/>
    </row>
    <row r="130" spans="1:17" s="430" customFormat="1" ht="25.15" customHeight="1">
      <c r="A130" s="836"/>
      <c r="B130" s="401" t="s">
        <v>158</v>
      </c>
      <c r="C130" s="405">
        <v>100</v>
      </c>
      <c r="D130" s="406">
        <v>200</v>
      </c>
      <c r="E130" s="401"/>
      <c r="F130" s="431">
        <v>10</v>
      </c>
      <c r="G130" s="432">
        <f>C130+D130</f>
        <v>300</v>
      </c>
      <c r="H130" s="432">
        <v>0</v>
      </c>
      <c r="I130" s="432">
        <f t="shared" si="113"/>
        <v>450</v>
      </c>
      <c r="J130" s="432">
        <f t="shared" si="114"/>
        <v>300</v>
      </c>
      <c r="K130" s="680">
        <f>+ROUND(D126/600,0)</f>
        <v>4</v>
      </c>
      <c r="L130" s="433">
        <v>1</v>
      </c>
      <c r="M130" s="503">
        <f t="shared" si="110"/>
        <v>1.2</v>
      </c>
      <c r="N130" s="435">
        <f t="shared" si="111"/>
        <v>0.61699999999999999</v>
      </c>
      <c r="O130" s="435">
        <f t="shared" si="112"/>
        <v>0.74039999999999995</v>
      </c>
      <c r="P130" s="407" t="s">
        <v>347</v>
      </c>
    </row>
    <row r="131" spans="1:17" s="430" customFormat="1" ht="25.15" customHeight="1">
      <c r="A131" s="588" t="s">
        <v>499</v>
      </c>
      <c r="B131" s="589"/>
      <c r="C131" s="590"/>
      <c r="D131" s="591"/>
      <c r="E131" s="589"/>
      <c r="F131" s="592"/>
      <c r="G131" s="593"/>
      <c r="H131" s="593"/>
      <c r="I131" s="593"/>
      <c r="J131" s="593"/>
      <c r="K131" s="593"/>
      <c r="L131" s="593"/>
      <c r="M131" s="594"/>
      <c r="N131" s="595"/>
      <c r="O131" s="595"/>
      <c r="P131" s="596"/>
    </row>
    <row r="132" spans="1:17" s="430" customFormat="1" ht="25.15" customHeight="1">
      <c r="A132" s="834" t="s">
        <v>489</v>
      </c>
      <c r="B132" s="401"/>
      <c r="C132" s="402" t="s">
        <v>321</v>
      </c>
      <c r="D132" s="403">
        <v>1950</v>
      </c>
      <c r="E132" s="404" t="s">
        <v>322</v>
      </c>
      <c r="F132" s="431"/>
      <c r="G132" s="432"/>
      <c r="H132" s="432"/>
      <c r="I132" s="432"/>
      <c r="J132" s="432"/>
      <c r="K132" s="433"/>
      <c r="L132" s="433"/>
      <c r="M132" s="503"/>
      <c r="N132" s="435"/>
      <c r="O132" s="435"/>
      <c r="P132" s="407"/>
      <c r="Q132" s="414"/>
    </row>
    <row r="133" spans="1:17" s="430" customFormat="1" ht="25.15" customHeight="1">
      <c r="A133" s="835"/>
      <c r="B133" s="401">
        <v>1</v>
      </c>
      <c r="C133" s="405">
        <v>200</v>
      </c>
      <c r="D133" s="459">
        <f>D132+200+150</f>
        <v>2300</v>
      </c>
      <c r="E133" s="401">
        <f>250</f>
        <v>250</v>
      </c>
      <c r="F133" s="431">
        <v>10</v>
      </c>
      <c r="G133" s="432">
        <f>C133+D133+E133</f>
        <v>2750</v>
      </c>
      <c r="H133" s="432">
        <v>0</v>
      </c>
      <c r="I133" s="432">
        <f>F133*45</f>
        <v>450</v>
      </c>
      <c r="J133" s="432">
        <f>G133+I133*H133</f>
        <v>2750</v>
      </c>
      <c r="K133" s="433">
        <v>2</v>
      </c>
      <c r="L133" s="433">
        <v>1</v>
      </c>
      <c r="M133" s="503">
        <f t="shared" ref="M133:M136" si="115">J133*K133*L133/1000</f>
        <v>5.5</v>
      </c>
      <c r="N133" s="435">
        <f t="shared" ref="N133:N136" si="116">_xlfn.XLOOKUP(F133,$R$5:$Z$5,$R$6:$Z$6,"NOT_FOUND",0)</f>
        <v>0.61699999999999999</v>
      </c>
      <c r="O133" s="435">
        <f t="shared" ref="O133:O136" si="117">M133*N133</f>
        <v>3.3935</v>
      </c>
      <c r="P133" s="407"/>
    </row>
    <row r="134" spans="1:17" s="430" customFormat="1" ht="25.15" customHeight="1">
      <c r="A134" s="835"/>
      <c r="B134" s="401">
        <v>2</v>
      </c>
      <c r="C134" s="405">
        <v>100</v>
      </c>
      <c r="D134" s="459">
        <f>D132+200+170</f>
        <v>2320</v>
      </c>
      <c r="E134" s="401">
        <v>130</v>
      </c>
      <c r="F134" s="431">
        <v>10</v>
      </c>
      <c r="G134" s="432">
        <f>C134+D134+E134</f>
        <v>2550</v>
      </c>
      <c r="H134" s="432">
        <v>0</v>
      </c>
      <c r="I134" s="432">
        <f t="shared" ref="I134:I136" si="118">F134*45</f>
        <v>450</v>
      </c>
      <c r="J134" s="432">
        <f t="shared" ref="J134:J136" si="119">G134+I134*H134</f>
        <v>2550</v>
      </c>
      <c r="K134" s="433">
        <v>2</v>
      </c>
      <c r="L134" s="433">
        <v>1</v>
      </c>
      <c r="M134" s="503">
        <f t="shared" si="115"/>
        <v>5.0999999999999996</v>
      </c>
      <c r="N134" s="435">
        <f t="shared" si="116"/>
        <v>0.61699999999999999</v>
      </c>
      <c r="O134" s="435">
        <f t="shared" si="117"/>
        <v>3.1466999999999996</v>
      </c>
      <c r="P134" s="407"/>
    </row>
    <row r="135" spans="1:17" s="430" customFormat="1" ht="25.15" customHeight="1">
      <c r="A135" s="835"/>
      <c r="B135" s="401">
        <v>3</v>
      </c>
      <c r="C135" s="405">
        <v>240</v>
      </c>
      <c r="D135" s="406">
        <v>160</v>
      </c>
      <c r="E135" s="401">
        <v>60</v>
      </c>
      <c r="F135" s="431">
        <v>6</v>
      </c>
      <c r="G135" s="432">
        <f>(C135+D135+E135)*2</f>
        <v>920</v>
      </c>
      <c r="H135" s="432">
        <v>0</v>
      </c>
      <c r="I135" s="432">
        <f t="shared" si="118"/>
        <v>270</v>
      </c>
      <c r="J135" s="432">
        <f t="shared" si="119"/>
        <v>920</v>
      </c>
      <c r="K135" s="680">
        <f>+ROUND(D132/200,0)</f>
        <v>10</v>
      </c>
      <c r="L135" s="433">
        <v>1</v>
      </c>
      <c r="M135" s="503">
        <f t="shared" si="115"/>
        <v>9.1999999999999993</v>
      </c>
      <c r="N135" s="435">
        <f t="shared" si="116"/>
        <v>0.222</v>
      </c>
      <c r="O135" s="435">
        <f t="shared" si="117"/>
        <v>2.0423999999999998</v>
      </c>
      <c r="P135" s="407"/>
    </row>
    <row r="136" spans="1:17" s="430" customFormat="1" ht="25.15" customHeight="1">
      <c r="A136" s="836"/>
      <c r="B136" s="401" t="s">
        <v>158</v>
      </c>
      <c r="C136" s="405">
        <v>100</v>
      </c>
      <c r="D136" s="406">
        <v>200</v>
      </c>
      <c r="E136" s="401"/>
      <c r="F136" s="431">
        <v>10</v>
      </c>
      <c r="G136" s="432">
        <f>C136+D136</f>
        <v>300</v>
      </c>
      <c r="H136" s="432">
        <v>0</v>
      </c>
      <c r="I136" s="432">
        <f t="shared" si="118"/>
        <v>450</v>
      </c>
      <c r="J136" s="432">
        <f t="shared" si="119"/>
        <v>300</v>
      </c>
      <c r="K136" s="680">
        <f>+ROUND(D132/600,0)</f>
        <v>3</v>
      </c>
      <c r="L136" s="433">
        <v>1</v>
      </c>
      <c r="M136" s="503">
        <f t="shared" si="115"/>
        <v>0.9</v>
      </c>
      <c r="N136" s="435">
        <f t="shared" si="116"/>
        <v>0.61699999999999999</v>
      </c>
      <c r="O136" s="435">
        <f t="shared" si="117"/>
        <v>0.55530000000000002</v>
      </c>
      <c r="P136" s="407" t="s">
        <v>347</v>
      </c>
    </row>
    <row r="137" spans="1:17" s="430" customFormat="1" ht="25.15" customHeight="1">
      <c r="A137" s="834" t="s">
        <v>489</v>
      </c>
      <c r="B137" s="401"/>
      <c r="C137" s="402" t="s">
        <v>321</v>
      </c>
      <c r="D137" s="403">
        <v>1660</v>
      </c>
      <c r="E137" s="404" t="s">
        <v>322</v>
      </c>
      <c r="F137" s="431"/>
      <c r="G137" s="432"/>
      <c r="H137" s="432"/>
      <c r="I137" s="432"/>
      <c r="J137" s="432"/>
      <c r="K137" s="433"/>
      <c r="L137" s="433"/>
      <c r="M137" s="503"/>
      <c r="N137" s="435"/>
      <c r="O137" s="435"/>
      <c r="P137" s="407"/>
      <c r="Q137" s="414"/>
    </row>
    <row r="138" spans="1:17" s="430" customFormat="1" ht="25.15" customHeight="1">
      <c r="A138" s="835"/>
      <c r="B138" s="401">
        <v>1</v>
      </c>
      <c r="C138" s="405">
        <v>200</v>
      </c>
      <c r="D138" s="459">
        <f>D137+200+150</f>
        <v>2010</v>
      </c>
      <c r="E138" s="401">
        <f>250</f>
        <v>250</v>
      </c>
      <c r="F138" s="431">
        <v>10</v>
      </c>
      <c r="G138" s="432">
        <f>C138+D138+E138</f>
        <v>2460</v>
      </c>
      <c r="H138" s="432">
        <v>0</v>
      </c>
      <c r="I138" s="432">
        <f>F138*45</f>
        <v>450</v>
      </c>
      <c r="J138" s="432">
        <f>G138+I138*H138</f>
        <v>2460</v>
      </c>
      <c r="K138" s="433">
        <v>2</v>
      </c>
      <c r="L138" s="433">
        <v>1</v>
      </c>
      <c r="M138" s="503">
        <f t="shared" ref="M138:M141" si="120">J138*K138*L138/1000</f>
        <v>4.92</v>
      </c>
      <c r="N138" s="435">
        <f t="shared" ref="N138:N141" si="121">_xlfn.XLOOKUP(F138,$R$5:$Z$5,$R$6:$Z$6,"NOT_FOUND",0)</f>
        <v>0.61699999999999999</v>
      </c>
      <c r="O138" s="435">
        <f t="shared" ref="O138:O141" si="122">M138*N138</f>
        <v>3.0356399999999999</v>
      </c>
      <c r="P138" s="407"/>
    </row>
    <row r="139" spans="1:17" s="430" customFormat="1" ht="25.15" customHeight="1">
      <c r="A139" s="835"/>
      <c r="B139" s="401">
        <v>2</v>
      </c>
      <c r="C139" s="405">
        <v>100</v>
      </c>
      <c r="D139" s="459">
        <f>D137+200+170</f>
        <v>2030</v>
      </c>
      <c r="E139" s="401">
        <v>130</v>
      </c>
      <c r="F139" s="431">
        <v>10</v>
      </c>
      <c r="G139" s="432">
        <f>C139+D139+E139</f>
        <v>2260</v>
      </c>
      <c r="H139" s="432">
        <v>0</v>
      </c>
      <c r="I139" s="432">
        <f t="shared" ref="I139:I141" si="123">F139*45</f>
        <v>450</v>
      </c>
      <c r="J139" s="432">
        <f t="shared" ref="J139:J141" si="124">G139+I139*H139</f>
        <v>2260</v>
      </c>
      <c r="K139" s="433">
        <v>2</v>
      </c>
      <c r="L139" s="433">
        <v>1</v>
      </c>
      <c r="M139" s="503">
        <f t="shared" si="120"/>
        <v>4.5199999999999996</v>
      </c>
      <c r="N139" s="435">
        <f t="shared" si="121"/>
        <v>0.61699999999999999</v>
      </c>
      <c r="O139" s="435">
        <f t="shared" si="122"/>
        <v>2.7888399999999995</v>
      </c>
      <c r="P139" s="407"/>
    </row>
    <row r="140" spans="1:17" s="430" customFormat="1" ht="25.15" customHeight="1">
      <c r="A140" s="835"/>
      <c r="B140" s="401">
        <v>3</v>
      </c>
      <c r="C140" s="405">
        <v>240</v>
      </c>
      <c r="D140" s="406">
        <v>160</v>
      </c>
      <c r="E140" s="401">
        <v>60</v>
      </c>
      <c r="F140" s="431">
        <v>6</v>
      </c>
      <c r="G140" s="432">
        <f>(C140+D140+E140)*2</f>
        <v>920</v>
      </c>
      <c r="H140" s="432">
        <v>0</v>
      </c>
      <c r="I140" s="432">
        <f t="shared" si="123"/>
        <v>270</v>
      </c>
      <c r="J140" s="432">
        <f t="shared" si="124"/>
        <v>920</v>
      </c>
      <c r="K140" s="680">
        <f>+ROUND(D137/200,0)</f>
        <v>8</v>
      </c>
      <c r="L140" s="433">
        <v>1</v>
      </c>
      <c r="M140" s="503">
        <f t="shared" si="120"/>
        <v>7.36</v>
      </c>
      <c r="N140" s="435">
        <f t="shared" si="121"/>
        <v>0.222</v>
      </c>
      <c r="O140" s="435">
        <f t="shared" si="122"/>
        <v>1.63392</v>
      </c>
      <c r="P140" s="407"/>
    </row>
    <row r="141" spans="1:17" s="430" customFormat="1" ht="25.15" customHeight="1">
      <c r="A141" s="836"/>
      <c r="B141" s="401" t="s">
        <v>158</v>
      </c>
      <c r="C141" s="405">
        <v>100</v>
      </c>
      <c r="D141" s="406">
        <v>200</v>
      </c>
      <c r="E141" s="401"/>
      <c r="F141" s="431">
        <v>10</v>
      </c>
      <c r="G141" s="432">
        <f>C141+D141</f>
        <v>300</v>
      </c>
      <c r="H141" s="432">
        <v>0</v>
      </c>
      <c r="I141" s="432">
        <f t="shared" si="123"/>
        <v>450</v>
      </c>
      <c r="J141" s="432">
        <f t="shared" si="124"/>
        <v>300</v>
      </c>
      <c r="K141" s="680">
        <f>+ROUND(D137/600,0)</f>
        <v>3</v>
      </c>
      <c r="L141" s="433">
        <v>1</v>
      </c>
      <c r="M141" s="503">
        <f t="shared" si="120"/>
        <v>0.9</v>
      </c>
      <c r="N141" s="435">
        <f t="shared" si="121"/>
        <v>0.61699999999999999</v>
      </c>
      <c r="O141" s="435">
        <f t="shared" si="122"/>
        <v>0.55530000000000002</v>
      </c>
      <c r="P141" s="407" t="s">
        <v>347</v>
      </c>
    </row>
    <row r="142" spans="1:17" s="430" customFormat="1" ht="25.15" customHeight="1">
      <c r="A142" s="834" t="s">
        <v>489</v>
      </c>
      <c r="B142" s="401"/>
      <c r="C142" s="402" t="s">
        <v>321</v>
      </c>
      <c r="D142" s="403">
        <v>1585</v>
      </c>
      <c r="E142" s="404" t="s">
        <v>322</v>
      </c>
      <c r="F142" s="431"/>
      <c r="G142" s="432"/>
      <c r="H142" s="432"/>
      <c r="I142" s="432"/>
      <c r="J142" s="432"/>
      <c r="K142" s="433"/>
      <c r="L142" s="433"/>
      <c r="M142" s="503"/>
      <c r="N142" s="435"/>
      <c r="O142" s="435"/>
      <c r="P142" s="407"/>
      <c r="Q142" s="414"/>
    </row>
    <row r="143" spans="1:17" s="430" customFormat="1" ht="25.15" customHeight="1">
      <c r="A143" s="835"/>
      <c r="B143" s="401">
        <v>1</v>
      </c>
      <c r="C143" s="405">
        <v>200</v>
      </c>
      <c r="D143" s="459">
        <f>D142+200+150</f>
        <v>1935</v>
      </c>
      <c r="E143" s="401">
        <f>250</f>
        <v>250</v>
      </c>
      <c r="F143" s="431">
        <v>10</v>
      </c>
      <c r="G143" s="432">
        <f>C143+D143+E143</f>
        <v>2385</v>
      </c>
      <c r="H143" s="432">
        <v>0</v>
      </c>
      <c r="I143" s="432">
        <f>F143*45</f>
        <v>450</v>
      </c>
      <c r="J143" s="432">
        <f>G143+I143*H143</f>
        <v>2385</v>
      </c>
      <c r="K143" s="433">
        <v>2</v>
      </c>
      <c r="L143" s="433">
        <v>1</v>
      </c>
      <c r="M143" s="503">
        <f t="shared" ref="M143:M146" si="125">J143*K143*L143/1000</f>
        <v>4.7699999999999996</v>
      </c>
      <c r="N143" s="435">
        <f t="shared" ref="N143:N146" si="126">_xlfn.XLOOKUP(F143,$R$5:$Z$5,$R$6:$Z$6,"NOT_FOUND",0)</f>
        <v>0.61699999999999999</v>
      </c>
      <c r="O143" s="435">
        <f t="shared" ref="O143:O146" si="127">M143*N143</f>
        <v>2.9430899999999998</v>
      </c>
      <c r="P143" s="407"/>
    </row>
    <row r="144" spans="1:17" s="430" customFormat="1" ht="25.15" customHeight="1">
      <c r="A144" s="835"/>
      <c r="B144" s="401">
        <v>2</v>
      </c>
      <c r="C144" s="405">
        <v>100</v>
      </c>
      <c r="D144" s="459">
        <f>D142+200+170</f>
        <v>1955</v>
      </c>
      <c r="E144" s="401">
        <v>130</v>
      </c>
      <c r="F144" s="431">
        <v>10</v>
      </c>
      <c r="G144" s="432">
        <f>C144+D144+E144</f>
        <v>2185</v>
      </c>
      <c r="H144" s="432">
        <v>0</v>
      </c>
      <c r="I144" s="432">
        <f t="shared" ref="I144:I146" si="128">F144*45</f>
        <v>450</v>
      </c>
      <c r="J144" s="432">
        <f t="shared" ref="J144:J146" si="129">G144+I144*H144</f>
        <v>2185</v>
      </c>
      <c r="K144" s="433">
        <v>2</v>
      </c>
      <c r="L144" s="433">
        <v>1</v>
      </c>
      <c r="M144" s="503">
        <f t="shared" si="125"/>
        <v>4.37</v>
      </c>
      <c r="N144" s="435">
        <f t="shared" si="126"/>
        <v>0.61699999999999999</v>
      </c>
      <c r="O144" s="435">
        <f t="shared" si="127"/>
        <v>2.6962899999999999</v>
      </c>
      <c r="P144" s="407"/>
    </row>
    <row r="145" spans="1:17" s="430" customFormat="1" ht="25.15" customHeight="1">
      <c r="A145" s="835"/>
      <c r="B145" s="401">
        <v>3</v>
      </c>
      <c r="C145" s="405">
        <v>240</v>
      </c>
      <c r="D145" s="406">
        <v>160</v>
      </c>
      <c r="E145" s="401">
        <v>60</v>
      </c>
      <c r="F145" s="431">
        <v>6</v>
      </c>
      <c r="G145" s="432">
        <f>(C145+D145+E145)*2</f>
        <v>920</v>
      </c>
      <c r="H145" s="432">
        <v>0</v>
      </c>
      <c r="I145" s="432">
        <f t="shared" si="128"/>
        <v>270</v>
      </c>
      <c r="J145" s="432">
        <f t="shared" si="129"/>
        <v>920</v>
      </c>
      <c r="K145" s="680">
        <f>+ROUND(D142/200,0)</f>
        <v>8</v>
      </c>
      <c r="L145" s="433">
        <v>1</v>
      </c>
      <c r="M145" s="503">
        <f t="shared" si="125"/>
        <v>7.36</v>
      </c>
      <c r="N145" s="435">
        <f t="shared" si="126"/>
        <v>0.222</v>
      </c>
      <c r="O145" s="435">
        <f t="shared" si="127"/>
        <v>1.63392</v>
      </c>
      <c r="P145" s="407"/>
    </row>
    <row r="146" spans="1:17" s="430" customFormat="1" ht="25.15" customHeight="1">
      <c r="A146" s="836"/>
      <c r="B146" s="401" t="s">
        <v>158</v>
      </c>
      <c r="C146" s="405">
        <v>100</v>
      </c>
      <c r="D146" s="406">
        <v>200</v>
      </c>
      <c r="E146" s="401"/>
      <c r="F146" s="431">
        <v>10</v>
      </c>
      <c r="G146" s="432">
        <f>C146+D146</f>
        <v>300</v>
      </c>
      <c r="H146" s="432">
        <v>0</v>
      </c>
      <c r="I146" s="432">
        <f t="shared" si="128"/>
        <v>450</v>
      </c>
      <c r="J146" s="432">
        <f t="shared" si="129"/>
        <v>300</v>
      </c>
      <c r="K146" s="680">
        <f>+ROUND(D142/600,0)</f>
        <v>3</v>
      </c>
      <c r="L146" s="433">
        <v>1</v>
      </c>
      <c r="M146" s="503">
        <f t="shared" si="125"/>
        <v>0.9</v>
      </c>
      <c r="N146" s="435">
        <f t="shared" si="126"/>
        <v>0.61699999999999999</v>
      </c>
      <c r="O146" s="435">
        <f t="shared" si="127"/>
        <v>0.55530000000000002</v>
      </c>
      <c r="P146" s="407" t="s">
        <v>347</v>
      </c>
    </row>
    <row r="147" spans="1:17" s="430" customFormat="1" ht="25.15" customHeight="1">
      <c r="A147" s="588" t="s">
        <v>500</v>
      </c>
      <c r="B147" s="589"/>
      <c r="C147" s="590"/>
      <c r="D147" s="591"/>
      <c r="E147" s="589"/>
      <c r="F147" s="592"/>
      <c r="G147" s="593"/>
      <c r="H147" s="593"/>
      <c r="I147" s="593"/>
      <c r="J147" s="593"/>
      <c r="K147" s="593"/>
      <c r="L147" s="593"/>
      <c r="M147" s="594"/>
      <c r="N147" s="595"/>
      <c r="O147" s="595"/>
      <c r="P147" s="596"/>
    </row>
    <row r="148" spans="1:17" s="430" customFormat="1" ht="25.15" customHeight="1">
      <c r="A148" s="834" t="s">
        <v>489</v>
      </c>
      <c r="B148" s="401"/>
      <c r="C148" s="402" t="s">
        <v>321</v>
      </c>
      <c r="D148" s="403">
        <v>1660</v>
      </c>
      <c r="E148" s="404" t="s">
        <v>322</v>
      </c>
      <c r="F148" s="431"/>
      <c r="G148" s="432"/>
      <c r="H148" s="432"/>
      <c r="I148" s="432"/>
      <c r="J148" s="432"/>
      <c r="K148" s="433"/>
      <c r="L148" s="433"/>
      <c r="M148" s="503"/>
      <c r="N148" s="435"/>
      <c r="O148" s="435"/>
      <c r="P148" s="407"/>
      <c r="Q148" s="414"/>
    </row>
    <row r="149" spans="1:17" s="430" customFormat="1" ht="25.15" customHeight="1">
      <c r="A149" s="835"/>
      <c r="B149" s="401">
        <v>1</v>
      </c>
      <c r="C149" s="405">
        <v>200</v>
      </c>
      <c r="D149" s="459">
        <f>D148+200+150</f>
        <v>2010</v>
      </c>
      <c r="E149" s="401">
        <f>250</f>
        <v>250</v>
      </c>
      <c r="F149" s="431">
        <v>10</v>
      </c>
      <c r="G149" s="432">
        <f>C149+D149+E149</f>
        <v>2460</v>
      </c>
      <c r="H149" s="432">
        <v>0</v>
      </c>
      <c r="I149" s="432">
        <f>F149*45</f>
        <v>450</v>
      </c>
      <c r="J149" s="432">
        <f>G149+I149*H149</f>
        <v>2460</v>
      </c>
      <c r="K149" s="433">
        <v>2</v>
      </c>
      <c r="L149" s="433">
        <v>1</v>
      </c>
      <c r="M149" s="503">
        <f t="shared" ref="M149:M152" si="130">J149*K149*L149/1000</f>
        <v>4.92</v>
      </c>
      <c r="N149" s="435">
        <f t="shared" ref="N149:N152" si="131">_xlfn.XLOOKUP(F149,$R$5:$Z$5,$R$6:$Z$6,"NOT_FOUND",0)</f>
        <v>0.61699999999999999</v>
      </c>
      <c r="O149" s="435">
        <f t="shared" ref="O149:O152" si="132">M149*N149</f>
        <v>3.0356399999999999</v>
      </c>
      <c r="P149" s="407"/>
    </row>
    <row r="150" spans="1:17" s="430" customFormat="1" ht="25.15" customHeight="1">
      <c r="A150" s="835"/>
      <c r="B150" s="401">
        <v>2</v>
      </c>
      <c r="C150" s="405">
        <v>100</v>
      </c>
      <c r="D150" s="459">
        <f>D148+200+170</f>
        <v>2030</v>
      </c>
      <c r="E150" s="401">
        <v>130</v>
      </c>
      <c r="F150" s="431">
        <v>10</v>
      </c>
      <c r="G150" s="432">
        <f>C150+D150+E150</f>
        <v>2260</v>
      </c>
      <c r="H150" s="432">
        <v>0</v>
      </c>
      <c r="I150" s="432">
        <f t="shared" ref="I150:I152" si="133">F150*45</f>
        <v>450</v>
      </c>
      <c r="J150" s="432">
        <f t="shared" ref="J150:J152" si="134">G150+I150*H150</f>
        <v>2260</v>
      </c>
      <c r="K150" s="433">
        <v>2</v>
      </c>
      <c r="L150" s="433">
        <v>1</v>
      </c>
      <c r="M150" s="503">
        <f t="shared" si="130"/>
        <v>4.5199999999999996</v>
      </c>
      <c r="N150" s="435">
        <f t="shared" si="131"/>
        <v>0.61699999999999999</v>
      </c>
      <c r="O150" s="435">
        <f t="shared" si="132"/>
        <v>2.7888399999999995</v>
      </c>
      <c r="P150" s="407"/>
    </row>
    <row r="151" spans="1:17" s="430" customFormat="1" ht="25.15" customHeight="1">
      <c r="A151" s="835"/>
      <c r="B151" s="401">
        <v>3</v>
      </c>
      <c r="C151" s="405">
        <v>240</v>
      </c>
      <c r="D151" s="406">
        <v>160</v>
      </c>
      <c r="E151" s="401">
        <v>60</v>
      </c>
      <c r="F151" s="431">
        <v>6</v>
      </c>
      <c r="G151" s="432">
        <f>(C151+D151+E151)*2</f>
        <v>920</v>
      </c>
      <c r="H151" s="432">
        <v>0</v>
      </c>
      <c r="I151" s="432">
        <f t="shared" si="133"/>
        <v>270</v>
      </c>
      <c r="J151" s="432">
        <f t="shared" si="134"/>
        <v>920</v>
      </c>
      <c r="K151" s="680">
        <f>+ROUND(D148/200,0)</f>
        <v>8</v>
      </c>
      <c r="L151" s="433">
        <v>1</v>
      </c>
      <c r="M151" s="503">
        <f t="shared" si="130"/>
        <v>7.36</v>
      </c>
      <c r="N151" s="435">
        <f t="shared" si="131"/>
        <v>0.222</v>
      </c>
      <c r="O151" s="435">
        <f t="shared" si="132"/>
        <v>1.63392</v>
      </c>
      <c r="P151" s="407"/>
    </row>
    <row r="152" spans="1:17" s="430" customFormat="1" ht="25.15" customHeight="1">
      <c r="A152" s="836"/>
      <c r="B152" s="401" t="s">
        <v>158</v>
      </c>
      <c r="C152" s="405">
        <v>100</v>
      </c>
      <c r="D152" s="406">
        <v>200</v>
      </c>
      <c r="E152" s="401"/>
      <c r="F152" s="431">
        <v>10</v>
      </c>
      <c r="G152" s="432">
        <f>C152+D152</f>
        <v>300</v>
      </c>
      <c r="H152" s="432">
        <v>0</v>
      </c>
      <c r="I152" s="432">
        <f t="shared" si="133"/>
        <v>450</v>
      </c>
      <c r="J152" s="432">
        <f t="shared" si="134"/>
        <v>300</v>
      </c>
      <c r="K152" s="680">
        <f>+ROUND(D148/600,0)</f>
        <v>3</v>
      </c>
      <c r="L152" s="433">
        <v>1</v>
      </c>
      <c r="M152" s="503">
        <f t="shared" si="130"/>
        <v>0.9</v>
      </c>
      <c r="N152" s="435">
        <f t="shared" si="131"/>
        <v>0.61699999999999999</v>
      </c>
      <c r="O152" s="435">
        <f t="shared" si="132"/>
        <v>0.55530000000000002</v>
      </c>
      <c r="P152" s="407" t="s">
        <v>347</v>
      </c>
    </row>
    <row r="153" spans="1:17" s="430" customFormat="1" ht="25.15" customHeight="1">
      <c r="A153" s="834" t="s">
        <v>489</v>
      </c>
      <c r="B153" s="401"/>
      <c r="C153" s="402" t="s">
        <v>321</v>
      </c>
      <c r="D153" s="403">
        <v>1595</v>
      </c>
      <c r="E153" s="404" t="s">
        <v>322</v>
      </c>
      <c r="F153" s="431"/>
      <c r="G153" s="432"/>
      <c r="H153" s="432"/>
      <c r="I153" s="432"/>
      <c r="J153" s="432"/>
      <c r="K153" s="433"/>
      <c r="L153" s="433"/>
      <c r="M153" s="503"/>
      <c r="N153" s="435"/>
      <c r="O153" s="435"/>
      <c r="P153" s="407"/>
      <c r="Q153" s="414"/>
    </row>
    <row r="154" spans="1:17" s="430" customFormat="1" ht="25.15" customHeight="1">
      <c r="A154" s="835"/>
      <c r="B154" s="401">
        <v>1</v>
      </c>
      <c r="C154" s="405">
        <v>200</v>
      </c>
      <c r="D154" s="459">
        <f>D153+200+150</f>
        <v>1945</v>
      </c>
      <c r="E154" s="401">
        <f>250</f>
        <v>250</v>
      </c>
      <c r="F154" s="431">
        <v>10</v>
      </c>
      <c r="G154" s="432">
        <f>C154+D154+E154</f>
        <v>2395</v>
      </c>
      <c r="H154" s="432">
        <v>0</v>
      </c>
      <c r="I154" s="432">
        <f>F154*45</f>
        <v>450</v>
      </c>
      <c r="J154" s="432">
        <f>G154+I154*H154</f>
        <v>2395</v>
      </c>
      <c r="K154" s="433">
        <v>2</v>
      </c>
      <c r="L154" s="433">
        <v>1</v>
      </c>
      <c r="M154" s="503">
        <f t="shared" ref="M154:M157" si="135">J154*K154*L154/1000</f>
        <v>4.79</v>
      </c>
      <c r="N154" s="435">
        <f t="shared" ref="N154:N157" si="136">_xlfn.XLOOKUP(F154,$R$5:$Z$5,$R$6:$Z$6,"NOT_FOUND",0)</f>
        <v>0.61699999999999999</v>
      </c>
      <c r="O154" s="435">
        <f t="shared" ref="O154:O157" si="137">M154*N154</f>
        <v>2.9554299999999998</v>
      </c>
      <c r="P154" s="407"/>
    </row>
    <row r="155" spans="1:17" s="430" customFormat="1" ht="25.15" customHeight="1">
      <c r="A155" s="835"/>
      <c r="B155" s="401">
        <v>2</v>
      </c>
      <c r="C155" s="405">
        <v>100</v>
      </c>
      <c r="D155" s="459">
        <f>D153+200+170</f>
        <v>1965</v>
      </c>
      <c r="E155" s="401">
        <v>130</v>
      </c>
      <c r="F155" s="431">
        <v>10</v>
      </c>
      <c r="G155" s="432">
        <f>C155+D155+E155</f>
        <v>2195</v>
      </c>
      <c r="H155" s="432">
        <v>0</v>
      </c>
      <c r="I155" s="432">
        <f t="shared" ref="I155:I157" si="138">F155*45</f>
        <v>450</v>
      </c>
      <c r="J155" s="432">
        <f t="shared" ref="J155:J157" si="139">G155+I155*H155</f>
        <v>2195</v>
      </c>
      <c r="K155" s="433">
        <v>2</v>
      </c>
      <c r="L155" s="433">
        <v>1</v>
      </c>
      <c r="M155" s="503">
        <f t="shared" si="135"/>
        <v>4.3899999999999997</v>
      </c>
      <c r="N155" s="435">
        <f t="shared" si="136"/>
        <v>0.61699999999999999</v>
      </c>
      <c r="O155" s="435">
        <f t="shared" si="137"/>
        <v>2.7086299999999999</v>
      </c>
      <c r="P155" s="407"/>
    </row>
    <row r="156" spans="1:17" s="430" customFormat="1" ht="25.15" customHeight="1">
      <c r="A156" s="835"/>
      <c r="B156" s="401">
        <v>3</v>
      </c>
      <c r="C156" s="405">
        <v>240</v>
      </c>
      <c r="D156" s="406">
        <v>160</v>
      </c>
      <c r="E156" s="401">
        <v>60</v>
      </c>
      <c r="F156" s="431">
        <v>6</v>
      </c>
      <c r="G156" s="432">
        <f>(C156+D156+E156)*2</f>
        <v>920</v>
      </c>
      <c r="H156" s="432">
        <v>0</v>
      </c>
      <c r="I156" s="432">
        <f t="shared" si="138"/>
        <v>270</v>
      </c>
      <c r="J156" s="432">
        <f t="shared" si="139"/>
        <v>920</v>
      </c>
      <c r="K156" s="680">
        <f>+ROUND(D153/200,0)</f>
        <v>8</v>
      </c>
      <c r="L156" s="433">
        <v>1</v>
      </c>
      <c r="M156" s="503">
        <f t="shared" si="135"/>
        <v>7.36</v>
      </c>
      <c r="N156" s="435">
        <f t="shared" si="136"/>
        <v>0.222</v>
      </c>
      <c r="O156" s="435">
        <f t="shared" si="137"/>
        <v>1.63392</v>
      </c>
      <c r="P156" s="407"/>
    </row>
    <row r="157" spans="1:17" s="430" customFormat="1" ht="25.15" customHeight="1">
      <c r="A157" s="836"/>
      <c r="B157" s="401" t="s">
        <v>158</v>
      </c>
      <c r="C157" s="405">
        <v>100</v>
      </c>
      <c r="D157" s="406">
        <v>200</v>
      </c>
      <c r="E157" s="401"/>
      <c r="F157" s="431">
        <v>10</v>
      </c>
      <c r="G157" s="432">
        <f>C157+D157</f>
        <v>300</v>
      </c>
      <c r="H157" s="432">
        <v>0</v>
      </c>
      <c r="I157" s="432">
        <f t="shared" si="138"/>
        <v>450</v>
      </c>
      <c r="J157" s="432">
        <f t="shared" si="139"/>
        <v>300</v>
      </c>
      <c r="K157" s="680">
        <f>+ROUND(D153/600,0)</f>
        <v>3</v>
      </c>
      <c r="L157" s="433">
        <v>1</v>
      </c>
      <c r="M157" s="503">
        <f t="shared" si="135"/>
        <v>0.9</v>
      </c>
      <c r="N157" s="435">
        <f t="shared" si="136"/>
        <v>0.61699999999999999</v>
      </c>
      <c r="O157" s="435">
        <f t="shared" si="137"/>
        <v>0.55530000000000002</v>
      </c>
      <c r="P157" s="407" t="s">
        <v>347</v>
      </c>
    </row>
    <row r="158" spans="1:17" s="430" customFormat="1" ht="25.15" customHeight="1">
      <c r="A158" s="834" t="s">
        <v>501</v>
      </c>
      <c r="B158" s="401"/>
      <c r="C158" s="402" t="s">
        <v>321</v>
      </c>
      <c r="D158" s="403">
        <v>1280</v>
      </c>
      <c r="E158" s="404" t="s">
        <v>322</v>
      </c>
      <c r="F158" s="431"/>
      <c r="G158" s="432"/>
      <c r="H158" s="432"/>
      <c r="I158" s="432"/>
      <c r="J158" s="432"/>
      <c r="K158" s="433"/>
      <c r="L158" s="433"/>
      <c r="M158" s="503"/>
      <c r="N158" s="435"/>
      <c r="O158" s="435"/>
      <c r="P158" s="407"/>
      <c r="Q158" s="414"/>
    </row>
    <row r="159" spans="1:17" s="430" customFormat="1" ht="25.15" customHeight="1">
      <c r="A159" s="835"/>
      <c r="B159" s="401">
        <v>1</v>
      </c>
      <c r="C159" s="405">
        <v>150</v>
      </c>
      <c r="D159" s="459">
        <f>D158+200+150</f>
        <v>1630</v>
      </c>
      <c r="E159" s="401">
        <v>150</v>
      </c>
      <c r="F159" s="431">
        <v>10</v>
      </c>
      <c r="G159" s="432">
        <f>C159+D159+E159</f>
        <v>1930</v>
      </c>
      <c r="H159" s="432">
        <v>0</v>
      </c>
      <c r="I159" s="432">
        <f>F159*45</f>
        <v>450</v>
      </c>
      <c r="J159" s="432">
        <f>G159+I159*H159</f>
        <v>1930</v>
      </c>
      <c r="K159" s="433">
        <v>2</v>
      </c>
      <c r="L159" s="433">
        <v>1</v>
      </c>
      <c r="M159" s="503">
        <f t="shared" ref="M159:M162" si="140">J159*K159*L159/1000</f>
        <v>3.86</v>
      </c>
      <c r="N159" s="435">
        <f t="shared" ref="N159:N162" si="141">_xlfn.XLOOKUP(F159,$R$5:$Z$5,$R$6:$Z$6,"NOT_FOUND",0)</f>
        <v>0.61699999999999999</v>
      </c>
      <c r="O159" s="435">
        <f t="shared" ref="O159:O162" si="142">M159*N159</f>
        <v>2.3816199999999998</v>
      </c>
      <c r="P159" s="407"/>
    </row>
    <row r="160" spans="1:17" s="430" customFormat="1" ht="25.15" customHeight="1">
      <c r="A160" s="835"/>
      <c r="B160" s="401">
        <v>2</v>
      </c>
      <c r="C160" s="405">
        <v>100</v>
      </c>
      <c r="D160" s="459">
        <f>D158+200+150</f>
        <v>1630</v>
      </c>
      <c r="E160" s="401">
        <v>150</v>
      </c>
      <c r="F160" s="431">
        <v>10</v>
      </c>
      <c r="G160" s="432">
        <f>C160+D160+E160</f>
        <v>1880</v>
      </c>
      <c r="H160" s="432">
        <v>0</v>
      </c>
      <c r="I160" s="432">
        <f t="shared" ref="I160:I162" si="143">F160*45</f>
        <v>450</v>
      </c>
      <c r="J160" s="432">
        <f t="shared" ref="J160:J162" si="144">G160+I160*H160</f>
        <v>1880</v>
      </c>
      <c r="K160" s="433">
        <v>2</v>
      </c>
      <c r="L160" s="433">
        <v>1</v>
      </c>
      <c r="M160" s="503">
        <f t="shared" si="140"/>
        <v>3.76</v>
      </c>
      <c r="N160" s="435">
        <f t="shared" si="141"/>
        <v>0.61699999999999999</v>
      </c>
      <c r="O160" s="435">
        <f t="shared" si="142"/>
        <v>2.3199199999999998</v>
      </c>
      <c r="P160" s="407"/>
    </row>
    <row r="161" spans="1:17" s="430" customFormat="1" ht="25.15" customHeight="1">
      <c r="A161" s="835"/>
      <c r="B161" s="401">
        <v>3</v>
      </c>
      <c r="C161" s="405">
        <v>140</v>
      </c>
      <c r="D161" s="406">
        <v>160</v>
      </c>
      <c r="E161" s="401">
        <v>60</v>
      </c>
      <c r="F161" s="431">
        <v>6</v>
      </c>
      <c r="G161" s="432">
        <f>(C161+D161+E161)*2</f>
        <v>720</v>
      </c>
      <c r="H161" s="432">
        <v>0</v>
      </c>
      <c r="I161" s="432">
        <f t="shared" si="143"/>
        <v>270</v>
      </c>
      <c r="J161" s="432">
        <f t="shared" si="144"/>
        <v>720</v>
      </c>
      <c r="K161" s="680">
        <f>+ROUND(D158/200,0)</f>
        <v>6</v>
      </c>
      <c r="L161" s="433">
        <v>1</v>
      </c>
      <c r="M161" s="503">
        <f t="shared" si="140"/>
        <v>4.32</v>
      </c>
      <c r="N161" s="435">
        <f t="shared" si="141"/>
        <v>0.222</v>
      </c>
      <c r="O161" s="435">
        <f t="shared" si="142"/>
        <v>0.95904000000000011</v>
      </c>
      <c r="P161" s="407"/>
    </row>
    <row r="162" spans="1:17" s="430" customFormat="1" ht="25.15" customHeight="1">
      <c r="A162" s="836"/>
      <c r="B162" s="401" t="s">
        <v>158</v>
      </c>
      <c r="C162" s="405">
        <v>100</v>
      </c>
      <c r="D162" s="406">
        <v>200</v>
      </c>
      <c r="E162" s="401"/>
      <c r="F162" s="431">
        <v>10</v>
      </c>
      <c r="G162" s="432">
        <f>C162+D162</f>
        <v>300</v>
      </c>
      <c r="H162" s="432">
        <v>0</v>
      </c>
      <c r="I162" s="432">
        <f t="shared" si="143"/>
        <v>450</v>
      </c>
      <c r="J162" s="432">
        <f t="shared" si="144"/>
        <v>300</v>
      </c>
      <c r="K162" s="680">
        <f>+ROUND(D158/600,0)</f>
        <v>2</v>
      </c>
      <c r="L162" s="433">
        <v>1</v>
      </c>
      <c r="M162" s="503">
        <f t="shared" si="140"/>
        <v>0.6</v>
      </c>
      <c r="N162" s="435">
        <f t="shared" si="141"/>
        <v>0.61699999999999999</v>
      </c>
      <c r="O162" s="435">
        <f t="shared" si="142"/>
        <v>0.37019999999999997</v>
      </c>
      <c r="P162" s="407" t="s">
        <v>347</v>
      </c>
    </row>
    <row r="163" spans="1:17" s="430" customFormat="1" ht="25.15" customHeight="1">
      <c r="A163" s="588" t="s">
        <v>502</v>
      </c>
      <c r="B163" s="589"/>
      <c r="C163" s="590"/>
      <c r="D163" s="591"/>
      <c r="E163" s="589"/>
      <c r="F163" s="592"/>
      <c r="G163" s="593"/>
      <c r="H163" s="593"/>
      <c r="I163" s="593"/>
      <c r="J163" s="593"/>
      <c r="K163" s="593"/>
      <c r="L163" s="593"/>
      <c r="M163" s="594"/>
      <c r="N163" s="595"/>
      <c r="O163" s="595"/>
      <c r="P163" s="596"/>
    </row>
    <row r="164" spans="1:17" s="430" customFormat="1" ht="25.15" customHeight="1">
      <c r="A164" s="834" t="s">
        <v>501</v>
      </c>
      <c r="B164" s="401"/>
      <c r="C164" s="402" t="s">
        <v>321</v>
      </c>
      <c r="D164" s="403">
        <v>1490</v>
      </c>
      <c r="E164" s="404" t="s">
        <v>322</v>
      </c>
      <c r="F164" s="431"/>
      <c r="G164" s="432"/>
      <c r="H164" s="432"/>
      <c r="I164" s="432"/>
      <c r="J164" s="432"/>
      <c r="K164" s="433"/>
      <c r="L164" s="433"/>
      <c r="M164" s="503"/>
      <c r="N164" s="435"/>
      <c r="O164" s="435"/>
      <c r="P164" s="407"/>
      <c r="Q164" s="414"/>
    </row>
    <row r="165" spans="1:17" s="430" customFormat="1" ht="25.15" customHeight="1">
      <c r="A165" s="835"/>
      <c r="B165" s="401">
        <v>1</v>
      </c>
      <c r="C165" s="405">
        <v>150</v>
      </c>
      <c r="D165" s="459">
        <f>D164+200+150</f>
        <v>1840</v>
      </c>
      <c r="E165" s="401">
        <v>150</v>
      </c>
      <c r="F165" s="431">
        <v>10</v>
      </c>
      <c r="G165" s="432">
        <f>C165+D165+E165</f>
        <v>2140</v>
      </c>
      <c r="H165" s="432">
        <v>0</v>
      </c>
      <c r="I165" s="432">
        <f>F165*45</f>
        <v>450</v>
      </c>
      <c r="J165" s="432">
        <f>G165+I165*H165</f>
        <v>2140</v>
      </c>
      <c r="K165" s="433">
        <v>2</v>
      </c>
      <c r="L165" s="433">
        <v>1</v>
      </c>
      <c r="M165" s="503">
        <f t="shared" ref="M165:M168" si="145">J165*K165*L165/1000</f>
        <v>4.28</v>
      </c>
      <c r="N165" s="435">
        <f t="shared" ref="N165:N168" si="146">_xlfn.XLOOKUP(F165,$R$5:$Z$5,$R$6:$Z$6,"NOT_FOUND",0)</f>
        <v>0.61699999999999999</v>
      </c>
      <c r="O165" s="435">
        <f t="shared" ref="O165:O168" si="147">M165*N165</f>
        <v>2.6407600000000002</v>
      </c>
      <c r="P165" s="407"/>
    </row>
    <row r="166" spans="1:17" s="430" customFormat="1" ht="25.15" customHeight="1">
      <c r="A166" s="835"/>
      <c r="B166" s="401">
        <v>2</v>
      </c>
      <c r="C166" s="405">
        <v>100</v>
      </c>
      <c r="D166" s="459">
        <f>D164+200+150</f>
        <v>1840</v>
      </c>
      <c r="E166" s="401">
        <v>150</v>
      </c>
      <c r="F166" s="431">
        <v>10</v>
      </c>
      <c r="G166" s="432">
        <f>C166+D166+E166</f>
        <v>2090</v>
      </c>
      <c r="H166" s="432">
        <v>0</v>
      </c>
      <c r="I166" s="432">
        <f t="shared" ref="I166:I168" si="148">F166*45</f>
        <v>450</v>
      </c>
      <c r="J166" s="432">
        <f t="shared" ref="J166:J168" si="149">G166+I166*H166</f>
        <v>2090</v>
      </c>
      <c r="K166" s="433">
        <v>2</v>
      </c>
      <c r="L166" s="433">
        <v>1</v>
      </c>
      <c r="M166" s="503">
        <f t="shared" si="145"/>
        <v>4.18</v>
      </c>
      <c r="N166" s="435">
        <f t="shared" si="146"/>
        <v>0.61699999999999999</v>
      </c>
      <c r="O166" s="435">
        <f t="shared" si="147"/>
        <v>2.5790599999999997</v>
      </c>
      <c r="P166" s="407"/>
    </row>
    <row r="167" spans="1:17" s="430" customFormat="1" ht="25.15" customHeight="1">
      <c r="A167" s="835"/>
      <c r="B167" s="401">
        <v>3</v>
      </c>
      <c r="C167" s="405">
        <v>140</v>
      </c>
      <c r="D167" s="406">
        <v>160</v>
      </c>
      <c r="E167" s="401">
        <v>60</v>
      </c>
      <c r="F167" s="431">
        <v>6</v>
      </c>
      <c r="G167" s="432">
        <f>(C167+D167+E167)*2</f>
        <v>720</v>
      </c>
      <c r="H167" s="432">
        <v>0</v>
      </c>
      <c r="I167" s="432">
        <f t="shared" si="148"/>
        <v>270</v>
      </c>
      <c r="J167" s="432">
        <f t="shared" si="149"/>
        <v>720</v>
      </c>
      <c r="K167" s="680">
        <f>+ROUND(D164/200,0)</f>
        <v>7</v>
      </c>
      <c r="L167" s="433">
        <v>1</v>
      </c>
      <c r="M167" s="503">
        <f t="shared" si="145"/>
        <v>5.04</v>
      </c>
      <c r="N167" s="435">
        <f t="shared" si="146"/>
        <v>0.222</v>
      </c>
      <c r="O167" s="435">
        <f t="shared" si="147"/>
        <v>1.1188800000000001</v>
      </c>
      <c r="P167" s="407"/>
    </row>
    <row r="168" spans="1:17" s="430" customFormat="1" ht="25.15" customHeight="1">
      <c r="A168" s="836"/>
      <c r="B168" s="401" t="s">
        <v>158</v>
      </c>
      <c r="C168" s="405">
        <v>100</v>
      </c>
      <c r="D168" s="406">
        <v>200</v>
      </c>
      <c r="E168" s="401"/>
      <c r="F168" s="431">
        <v>10</v>
      </c>
      <c r="G168" s="432">
        <f>C168+D168</f>
        <v>300</v>
      </c>
      <c r="H168" s="432">
        <v>0</v>
      </c>
      <c r="I168" s="432">
        <f t="shared" si="148"/>
        <v>450</v>
      </c>
      <c r="J168" s="432">
        <f t="shared" si="149"/>
        <v>300</v>
      </c>
      <c r="K168" s="680">
        <f>+ROUND(D164/600,0)</f>
        <v>2</v>
      </c>
      <c r="L168" s="433">
        <v>1</v>
      </c>
      <c r="M168" s="503">
        <f t="shared" si="145"/>
        <v>0.6</v>
      </c>
      <c r="N168" s="435">
        <f t="shared" si="146"/>
        <v>0.61699999999999999</v>
      </c>
      <c r="O168" s="435">
        <f t="shared" si="147"/>
        <v>0.37019999999999997</v>
      </c>
      <c r="P168" s="407" t="s">
        <v>347</v>
      </c>
    </row>
    <row r="169" spans="1:17" s="430" customFormat="1" ht="25.15" customHeight="1">
      <c r="A169" s="834" t="s">
        <v>489</v>
      </c>
      <c r="B169" s="401"/>
      <c r="C169" s="402" t="s">
        <v>321</v>
      </c>
      <c r="D169" s="403">
        <v>2610</v>
      </c>
      <c r="E169" s="404" t="s">
        <v>322</v>
      </c>
      <c r="F169" s="431"/>
      <c r="G169" s="432"/>
      <c r="H169" s="432"/>
      <c r="I169" s="432"/>
      <c r="J169" s="432"/>
      <c r="K169" s="433"/>
      <c r="L169" s="433"/>
      <c r="M169" s="503"/>
      <c r="N169" s="435"/>
      <c r="O169" s="435"/>
      <c r="P169" s="407"/>
      <c r="Q169" s="414"/>
    </row>
    <row r="170" spans="1:17" s="430" customFormat="1" ht="25.15" customHeight="1">
      <c r="A170" s="835"/>
      <c r="B170" s="401">
        <v>1</v>
      </c>
      <c r="C170" s="405">
        <v>200</v>
      </c>
      <c r="D170" s="459">
        <f>D169+200+150</f>
        <v>2960</v>
      </c>
      <c r="E170" s="401">
        <f>250</f>
        <v>250</v>
      </c>
      <c r="F170" s="431">
        <v>10</v>
      </c>
      <c r="G170" s="432">
        <f>C170+D170+E170</f>
        <v>3410</v>
      </c>
      <c r="H170" s="432">
        <v>0</v>
      </c>
      <c r="I170" s="432">
        <f>F170*45</f>
        <v>450</v>
      </c>
      <c r="J170" s="432">
        <f>G170+I170*H170</f>
        <v>3410</v>
      </c>
      <c r="K170" s="433">
        <v>2</v>
      </c>
      <c r="L170" s="433">
        <v>1</v>
      </c>
      <c r="M170" s="503">
        <f t="shared" ref="M170:M173" si="150">J170*K170*L170/1000</f>
        <v>6.82</v>
      </c>
      <c r="N170" s="435">
        <f t="shared" ref="N170:N173" si="151">_xlfn.XLOOKUP(F170,$R$5:$Z$5,$R$6:$Z$6,"NOT_FOUND",0)</f>
        <v>0.61699999999999999</v>
      </c>
      <c r="O170" s="435">
        <f t="shared" ref="O170:O173" si="152">M170*N170</f>
        <v>4.2079399999999998</v>
      </c>
      <c r="P170" s="407"/>
    </row>
    <row r="171" spans="1:17" s="430" customFormat="1" ht="25.15" customHeight="1">
      <c r="A171" s="835"/>
      <c r="B171" s="401">
        <v>2</v>
      </c>
      <c r="C171" s="405">
        <v>100</v>
      </c>
      <c r="D171" s="459">
        <f>D169+200+170</f>
        <v>2980</v>
      </c>
      <c r="E171" s="401">
        <v>130</v>
      </c>
      <c r="F171" s="431">
        <v>10</v>
      </c>
      <c r="G171" s="432">
        <f>C171+D171+E171</f>
        <v>3210</v>
      </c>
      <c r="H171" s="432">
        <v>0</v>
      </c>
      <c r="I171" s="432">
        <f t="shared" ref="I171:I173" si="153">F171*45</f>
        <v>450</v>
      </c>
      <c r="J171" s="432">
        <f t="shared" ref="J171:J173" si="154">G171+I171*H171</f>
        <v>3210</v>
      </c>
      <c r="K171" s="433">
        <v>2</v>
      </c>
      <c r="L171" s="433">
        <v>1</v>
      </c>
      <c r="M171" s="503">
        <f t="shared" si="150"/>
        <v>6.42</v>
      </c>
      <c r="N171" s="435">
        <f t="shared" si="151"/>
        <v>0.61699999999999999</v>
      </c>
      <c r="O171" s="435">
        <f t="shared" si="152"/>
        <v>3.9611399999999999</v>
      </c>
      <c r="P171" s="407"/>
    </row>
    <row r="172" spans="1:17" s="430" customFormat="1" ht="25.15" customHeight="1">
      <c r="A172" s="835"/>
      <c r="B172" s="401">
        <v>3</v>
      </c>
      <c r="C172" s="405">
        <v>240</v>
      </c>
      <c r="D172" s="406">
        <v>160</v>
      </c>
      <c r="E172" s="401">
        <v>60</v>
      </c>
      <c r="F172" s="431">
        <v>6</v>
      </c>
      <c r="G172" s="432">
        <f>(C172+D172+E172)*2</f>
        <v>920</v>
      </c>
      <c r="H172" s="432">
        <v>0</v>
      </c>
      <c r="I172" s="432">
        <f t="shared" si="153"/>
        <v>270</v>
      </c>
      <c r="J172" s="432">
        <f t="shared" si="154"/>
        <v>920</v>
      </c>
      <c r="K172" s="680">
        <f>+ROUND(D169/200,0)</f>
        <v>13</v>
      </c>
      <c r="L172" s="433">
        <v>1</v>
      </c>
      <c r="M172" s="503">
        <f t="shared" si="150"/>
        <v>11.96</v>
      </c>
      <c r="N172" s="435">
        <f t="shared" si="151"/>
        <v>0.222</v>
      </c>
      <c r="O172" s="435">
        <f t="shared" si="152"/>
        <v>2.6551200000000001</v>
      </c>
      <c r="P172" s="407"/>
    </row>
    <row r="173" spans="1:17" s="430" customFormat="1" ht="25.15" customHeight="1">
      <c r="A173" s="836"/>
      <c r="B173" s="401" t="s">
        <v>158</v>
      </c>
      <c r="C173" s="405">
        <v>100</v>
      </c>
      <c r="D173" s="406">
        <v>200</v>
      </c>
      <c r="E173" s="401"/>
      <c r="F173" s="431">
        <v>10</v>
      </c>
      <c r="G173" s="432">
        <f>C173+D173</f>
        <v>300</v>
      </c>
      <c r="H173" s="432">
        <v>0</v>
      </c>
      <c r="I173" s="432">
        <f t="shared" si="153"/>
        <v>450</v>
      </c>
      <c r="J173" s="432">
        <f t="shared" si="154"/>
        <v>300</v>
      </c>
      <c r="K173" s="680">
        <f>+ROUND(D169/600,0)</f>
        <v>4</v>
      </c>
      <c r="L173" s="433">
        <v>1</v>
      </c>
      <c r="M173" s="503">
        <f t="shared" si="150"/>
        <v>1.2</v>
      </c>
      <c r="N173" s="435">
        <f t="shared" si="151"/>
        <v>0.61699999999999999</v>
      </c>
      <c r="O173" s="435">
        <f t="shared" si="152"/>
        <v>0.74039999999999995</v>
      </c>
      <c r="P173" s="407" t="s">
        <v>347</v>
      </c>
    </row>
    <row r="174" spans="1:17" s="430" customFormat="1" ht="25.15" customHeight="1">
      <c r="A174" s="588" t="s">
        <v>503</v>
      </c>
      <c r="B174" s="589"/>
      <c r="C174" s="590"/>
      <c r="D174" s="591"/>
      <c r="E174" s="589"/>
      <c r="F174" s="592"/>
      <c r="G174" s="593"/>
      <c r="H174" s="593"/>
      <c r="I174" s="593"/>
      <c r="J174" s="593"/>
      <c r="K174" s="593"/>
      <c r="L174" s="593"/>
      <c r="M174" s="594"/>
      <c r="N174" s="595"/>
      <c r="O174" s="595"/>
      <c r="P174" s="596"/>
    </row>
    <row r="175" spans="1:17" s="430" customFormat="1" ht="25.15" customHeight="1">
      <c r="A175" s="834" t="s">
        <v>489</v>
      </c>
      <c r="B175" s="401"/>
      <c r="C175" s="402" t="s">
        <v>321</v>
      </c>
      <c r="D175" s="403">
        <v>2625</v>
      </c>
      <c r="E175" s="404" t="s">
        <v>322</v>
      </c>
      <c r="F175" s="431"/>
      <c r="G175" s="432"/>
      <c r="H175" s="432"/>
      <c r="I175" s="432"/>
      <c r="J175" s="432"/>
      <c r="K175" s="433"/>
      <c r="L175" s="433"/>
      <c r="M175" s="503"/>
      <c r="N175" s="435"/>
      <c r="O175" s="435"/>
      <c r="P175" s="407"/>
      <c r="Q175" s="414"/>
    </row>
    <row r="176" spans="1:17" s="430" customFormat="1" ht="25.15" customHeight="1">
      <c r="A176" s="835"/>
      <c r="B176" s="401">
        <v>1</v>
      </c>
      <c r="C176" s="405">
        <v>200</v>
      </c>
      <c r="D176" s="459">
        <f>D175+200+150</f>
        <v>2975</v>
      </c>
      <c r="E176" s="401">
        <f>250</f>
        <v>250</v>
      </c>
      <c r="F176" s="431">
        <v>10</v>
      </c>
      <c r="G176" s="432">
        <f>C176+D176+E176</f>
        <v>3425</v>
      </c>
      <c r="H176" s="432">
        <v>0</v>
      </c>
      <c r="I176" s="432">
        <f>F176*45</f>
        <v>450</v>
      </c>
      <c r="J176" s="432">
        <f>G176+I176*H176</f>
        <v>3425</v>
      </c>
      <c r="K176" s="433">
        <v>2</v>
      </c>
      <c r="L176" s="433">
        <v>1</v>
      </c>
      <c r="M176" s="503">
        <f t="shared" ref="M176:M179" si="155">J176*K176*L176/1000</f>
        <v>6.85</v>
      </c>
      <c r="N176" s="435">
        <f t="shared" ref="N176:N179" si="156">_xlfn.XLOOKUP(F176,$R$5:$Z$5,$R$6:$Z$6,"NOT_FOUND",0)</f>
        <v>0.61699999999999999</v>
      </c>
      <c r="O176" s="435">
        <f t="shared" ref="O176:O179" si="157">M176*N176</f>
        <v>4.2264499999999998</v>
      </c>
      <c r="P176" s="407"/>
    </row>
    <row r="177" spans="1:17" s="430" customFormat="1" ht="25.15" customHeight="1">
      <c r="A177" s="835"/>
      <c r="B177" s="401">
        <v>2</v>
      </c>
      <c r="C177" s="405">
        <v>100</v>
      </c>
      <c r="D177" s="459">
        <f>D175+200+170</f>
        <v>2995</v>
      </c>
      <c r="E177" s="401">
        <v>130</v>
      </c>
      <c r="F177" s="431">
        <v>10</v>
      </c>
      <c r="G177" s="432">
        <f>C177+D177+E177</f>
        <v>3225</v>
      </c>
      <c r="H177" s="432">
        <v>0</v>
      </c>
      <c r="I177" s="432">
        <f t="shared" ref="I177:I179" si="158">F177*45</f>
        <v>450</v>
      </c>
      <c r="J177" s="432">
        <f t="shared" ref="J177:J179" si="159">G177+I177*H177</f>
        <v>3225</v>
      </c>
      <c r="K177" s="433">
        <v>2</v>
      </c>
      <c r="L177" s="433">
        <v>1</v>
      </c>
      <c r="M177" s="503">
        <f t="shared" si="155"/>
        <v>6.45</v>
      </c>
      <c r="N177" s="435">
        <f t="shared" si="156"/>
        <v>0.61699999999999999</v>
      </c>
      <c r="O177" s="435">
        <f t="shared" si="157"/>
        <v>3.9796499999999999</v>
      </c>
      <c r="P177" s="407"/>
    </row>
    <row r="178" spans="1:17" s="430" customFormat="1" ht="25.15" customHeight="1">
      <c r="A178" s="835"/>
      <c r="B178" s="401">
        <v>3</v>
      </c>
      <c r="C178" s="405">
        <v>240</v>
      </c>
      <c r="D178" s="406">
        <v>160</v>
      </c>
      <c r="E178" s="401">
        <v>60</v>
      </c>
      <c r="F178" s="431">
        <v>6</v>
      </c>
      <c r="G178" s="432">
        <f>(C178+D178+E178)*2</f>
        <v>920</v>
      </c>
      <c r="H178" s="432">
        <v>0</v>
      </c>
      <c r="I178" s="432">
        <f t="shared" si="158"/>
        <v>270</v>
      </c>
      <c r="J178" s="432">
        <f t="shared" si="159"/>
        <v>920</v>
      </c>
      <c r="K178" s="680">
        <f>+ROUND(D175/200,0)</f>
        <v>13</v>
      </c>
      <c r="L178" s="433">
        <v>1</v>
      </c>
      <c r="M178" s="503">
        <f t="shared" si="155"/>
        <v>11.96</v>
      </c>
      <c r="N178" s="435">
        <f t="shared" si="156"/>
        <v>0.222</v>
      </c>
      <c r="O178" s="435">
        <f t="shared" si="157"/>
        <v>2.6551200000000001</v>
      </c>
      <c r="P178" s="407"/>
    </row>
    <row r="179" spans="1:17" s="430" customFormat="1" ht="25.15" customHeight="1">
      <c r="A179" s="836"/>
      <c r="B179" s="401" t="s">
        <v>158</v>
      </c>
      <c r="C179" s="405">
        <v>100</v>
      </c>
      <c r="D179" s="406">
        <v>200</v>
      </c>
      <c r="E179" s="401"/>
      <c r="F179" s="431">
        <v>10</v>
      </c>
      <c r="G179" s="432">
        <f>C179+D179</f>
        <v>300</v>
      </c>
      <c r="H179" s="432">
        <v>0</v>
      </c>
      <c r="I179" s="432">
        <f t="shared" si="158"/>
        <v>450</v>
      </c>
      <c r="J179" s="432">
        <f t="shared" si="159"/>
        <v>300</v>
      </c>
      <c r="K179" s="680">
        <f>+ROUND(D175/600,0)</f>
        <v>4</v>
      </c>
      <c r="L179" s="433">
        <v>1</v>
      </c>
      <c r="M179" s="503">
        <f t="shared" si="155"/>
        <v>1.2</v>
      </c>
      <c r="N179" s="435">
        <f t="shared" si="156"/>
        <v>0.61699999999999999</v>
      </c>
      <c r="O179" s="435">
        <f t="shared" si="157"/>
        <v>0.74039999999999995</v>
      </c>
      <c r="P179" s="407" t="s">
        <v>347</v>
      </c>
    </row>
    <row r="180" spans="1:17" s="430" customFormat="1" ht="25.15" customHeight="1">
      <c r="A180" s="834" t="s">
        <v>489</v>
      </c>
      <c r="B180" s="401"/>
      <c r="C180" s="402" t="s">
        <v>321</v>
      </c>
      <c r="D180" s="403">
        <v>2585</v>
      </c>
      <c r="E180" s="404" t="s">
        <v>322</v>
      </c>
      <c r="F180" s="431"/>
      <c r="G180" s="432"/>
      <c r="H180" s="432"/>
      <c r="I180" s="432"/>
      <c r="J180" s="432"/>
      <c r="K180" s="433"/>
      <c r="L180" s="433"/>
      <c r="M180" s="503"/>
      <c r="N180" s="435"/>
      <c r="O180" s="435"/>
      <c r="P180" s="407"/>
      <c r="Q180" s="414"/>
    </row>
    <row r="181" spans="1:17" s="430" customFormat="1" ht="25.15" customHeight="1">
      <c r="A181" s="835"/>
      <c r="B181" s="401">
        <v>1</v>
      </c>
      <c r="C181" s="405">
        <v>200</v>
      </c>
      <c r="D181" s="459">
        <f>D180+200+150</f>
        <v>2935</v>
      </c>
      <c r="E181" s="401">
        <f>250</f>
        <v>250</v>
      </c>
      <c r="F181" s="431">
        <v>10</v>
      </c>
      <c r="G181" s="432">
        <f>C181+D181+E181</f>
        <v>3385</v>
      </c>
      <c r="H181" s="432">
        <v>0</v>
      </c>
      <c r="I181" s="432">
        <f>F181*45</f>
        <v>450</v>
      </c>
      <c r="J181" s="432">
        <f>G181+I181*H181</f>
        <v>3385</v>
      </c>
      <c r="K181" s="433">
        <v>2</v>
      </c>
      <c r="L181" s="433">
        <v>1</v>
      </c>
      <c r="M181" s="503">
        <f t="shared" ref="M181:M184" si="160">J181*K181*L181/1000</f>
        <v>6.77</v>
      </c>
      <c r="N181" s="435">
        <f t="shared" ref="N181:N184" si="161">_xlfn.XLOOKUP(F181,$R$5:$Z$5,$R$6:$Z$6,"NOT_FOUND",0)</f>
        <v>0.61699999999999999</v>
      </c>
      <c r="O181" s="435">
        <f t="shared" ref="O181:O184" si="162">M181*N181</f>
        <v>4.1770899999999997</v>
      </c>
      <c r="P181" s="407"/>
    </row>
    <row r="182" spans="1:17" s="430" customFormat="1" ht="25.15" customHeight="1">
      <c r="A182" s="835"/>
      <c r="B182" s="401">
        <v>2</v>
      </c>
      <c r="C182" s="405">
        <v>100</v>
      </c>
      <c r="D182" s="459">
        <f>D180+200+170</f>
        <v>2955</v>
      </c>
      <c r="E182" s="401">
        <v>130</v>
      </c>
      <c r="F182" s="431">
        <v>10</v>
      </c>
      <c r="G182" s="432">
        <f>C182+D182+E182</f>
        <v>3185</v>
      </c>
      <c r="H182" s="432">
        <v>0</v>
      </c>
      <c r="I182" s="432">
        <f t="shared" ref="I182:I184" si="163">F182*45</f>
        <v>450</v>
      </c>
      <c r="J182" s="432">
        <f t="shared" ref="J182:J184" si="164">G182+I182*H182</f>
        <v>3185</v>
      </c>
      <c r="K182" s="433">
        <v>2</v>
      </c>
      <c r="L182" s="433">
        <v>1</v>
      </c>
      <c r="M182" s="503">
        <f t="shared" si="160"/>
        <v>6.37</v>
      </c>
      <c r="N182" s="435">
        <f t="shared" si="161"/>
        <v>0.61699999999999999</v>
      </c>
      <c r="O182" s="435">
        <f t="shared" si="162"/>
        <v>3.9302899999999998</v>
      </c>
      <c r="P182" s="407"/>
    </row>
    <row r="183" spans="1:17" s="430" customFormat="1" ht="25.15" customHeight="1">
      <c r="A183" s="835"/>
      <c r="B183" s="401">
        <v>3</v>
      </c>
      <c r="C183" s="405">
        <v>240</v>
      </c>
      <c r="D183" s="406">
        <v>160</v>
      </c>
      <c r="E183" s="401">
        <v>60</v>
      </c>
      <c r="F183" s="431">
        <v>6</v>
      </c>
      <c r="G183" s="432">
        <f>(C183+D183+E183)*2</f>
        <v>920</v>
      </c>
      <c r="H183" s="432">
        <v>0</v>
      </c>
      <c r="I183" s="432">
        <f t="shared" si="163"/>
        <v>270</v>
      </c>
      <c r="J183" s="432">
        <f t="shared" si="164"/>
        <v>920</v>
      </c>
      <c r="K183" s="680">
        <f>+ROUND(D180/200,0)</f>
        <v>13</v>
      </c>
      <c r="L183" s="433">
        <v>1</v>
      </c>
      <c r="M183" s="503">
        <f t="shared" si="160"/>
        <v>11.96</v>
      </c>
      <c r="N183" s="435">
        <f t="shared" si="161"/>
        <v>0.222</v>
      </c>
      <c r="O183" s="435">
        <f t="shared" si="162"/>
        <v>2.6551200000000001</v>
      </c>
      <c r="P183" s="407"/>
    </row>
    <row r="184" spans="1:17" s="430" customFormat="1" ht="25.15" customHeight="1">
      <c r="A184" s="836"/>
      <c r="B184" s="401" t="s">
        <v>158</v>
      </c>
      <c r="C184" s="405">
        <v>100</v>
      </c>
      <c r="D184" s="406">
        <v>200</v>
      </c>
      <c r="E184" s="401"/>
      <c r="F184" s="431">
        <v>10</v>
      </c>
      <c r="G184" s="432">
        <f>C184+D184</f>
        <v>300</v>
      </c>
      <c r="H184" s="432">
        <v>0</v>
      </c>
      <c r="I184" s="432">
        <f t="shared" si="163"/>
        <v>450</v>
      </c>
      <c r="J184" s="432">
        <f t="shared" si="164"/>
        <v>300</v>
      </c>
      <c r="K184" s="680">
        <f>+ROUND(D180/600,0)</f>
        <v>4</v>
      </c>
      <c r="L184" s="433">
        <v>1</v>
      </c>
      <c r="M184" s="503">
        <f t="shared" si="160"/>
        <v>1.2</v>
      </c>
      <c r="N184" s="435">
        <f t="shared" si="161"/>
        <v>0.61699999999999999</v>
      </c>
      <c r="O184" s="435">
        <f t="shared" si="162"/>
        <v>0.74039999999999995</v>
      </c>
      <c r="P184" s="407" t="s">
        <v>347</v>
      </c>
    </row>
    <row r="185" spans="1:17" s="430" customFormat="1" ht="25.15" customHeight="1">
      <c r="A185" s="834" t="s">
        <v>489</v>
      </c>
      <c r="B185" s="401"/>
      <c r="C185" s="402" t="s">
        <v>321</v>
      </c>
      <c r="D185" s="403">
        <v>2535</v>
      </c>
      <c r="E185" s="404" t="s">
        <v>322</v>
      </c>
      <c r="F185" s="431"/>
      <c r="G185" s="432"/>
      <c r="H185" s="432"/>
      <c r="I185" s="432"/>
      <c r="J185" s="432"/>
      <c r="K185" s="433"/>
      <c r="L185" s="433"/>
      <c r="M185" s="503"/>
      <c r="N185" s="435"/>
      <c r="O185" s="435"/>
      <c r="P185" s="407"/>
      <c r="Q185" s="414"/>
    </row>
    <row r="186" spans="1:17" s="430" customFormat="1" ht="25.15" customHeight="1">
      <c r="A186" s="835"/>
      <c r="B186" s="401">
        <v>1</v>
      </c>
      <c r="C186" s="405">
        <v>200</v>
      </c>
      <c r="D186" s="459">
        <f>D185+200+150</f>
        <v>2885</v>
      </c>
      <c r="E186" s="401">
        <f>250</f>
        <v>250</v>
      </c>
      <c r="F186" s="431">
        <v>10</v>
      </c>
      <c r="G186" s="432">
        <f>C186+D186+E186</f>
        <v>3335</v>
      </c>
      <c r="H186" s="432">
        <v>0</v>
      </c>
      <c r="I186" s="432">
        <f>F186*45</f>
        <v>450</v>
      </c>
      <c r="J186" s="432">
        <f>G186+I186*H186</f>
        <v>3335</v>
      </c>
      <c r="K186" s="433">
        <v>2</v>
      </c>
      <c r="L186" s="433">
        <v>1</v>
      </c>
      <c r="M186" s="503">
        <f t="shared" ref="M186:M189" si="165">J186*K186*L186/1000</f>
        <v>6.67</v>
      </c>
      <c r="N186" s="435">
        <f t="shared" ref="N186:N189" si="166">_xlfn.XLOOKUP(F186,$R$5:$Z$5,$R$6:$Z$6,"NOT_FOUND",0)</f>
        <v>0.61699999999999999</v>
      </c>
      <c r="O186" s="435">
        <f t="shared" ref="O186:O189" si="167">M186*N186</f>
        <v>4.1153899999999997</v>
      </c>
      <c r="P186" s="407"/>
    </row>
    <row r="187" spans="1:17" s="430" customFormat="1" ht="25.15" customHeight="1">
      <c r="A187" s="835"/>
      <c r="B187" s="401">
        <v>2</v>
      </c>
      <c r="C187" s="405">
        <v>100</v>
      </c>
      <c r="D187" s="459">
        <f>D185+200+170</f>
        <v>2905</v>
      </c>
      <c r="E187" s="401">
        <v>130</v>
      </c>
      <c r="F187" s="431">
        <v>10</v>
      </c>
      <c r="G187" s="432">
        <f>C187+D187+E187</f>
        <v>3135</v>
      </c>
      <c r="H187" s="432">
        <v>0</v>
      </c>
      <c r="I187" s="432">
        <f t="shared" ref="I187:I189" si="168">F187*45</f>
        <v>450</v>
      </c>
      <c r="J187" s="432">
        <f t="shared" ref="J187:J189" si="169">G187+I187*H187</f>
        <v>3135</v>
      </c>
      <c r="K187" s="433">
        <v>2</v>
      </c>
      <c r="L187" s="433">
        <v>1</v>
      </c>
      <c r="M187" s="503">
        <f t="shared" si="165"/>
        <v>6.27</v>
      </c>
      <c r="N187" s="435">
        <f t="shared" si="166"/>
        <v>0.61699999999999999</v>
      </c>
      <c r="O187" s="435">
        <f t="shared" si="167"/>
        <v>3.8685899999999998</v>
      </c>
      <c r="P187" s="407"/>
    </row>
    <row r="188" spans="1:17" s="430" customFormat="1" ht="25.15" customHeight="1">
      <c r="A188" s="835"/>
      <c r="B188" s="401">
        <v>3</v>
      </c>
      <c r="C188" s="405">
        <v>240</v>
      </c>
      <c r="D188" s="406">
        <v>160</v>
      </c>
      <c r="E188" s="401">
        <v>60</v>
      </c>
      <c r="F188" s="431">
        <v>6</v>
      </c>
      <c r="G188" s="432">
        <f>(C188+D188+E188)*2</f>
        <v>920</v>
      </c>
      <c r="H188" s="432">
        <v>0</v>
      </c>
      <c r="I188" s="432">
        <f t="shared" si="168"/>
        <v>270</v>
      </c>
      <c r="J188" s="432">
        <f t="shared" si="169"/>
        <v>920</v>
      </c>
      <c r="K188" s="680">
        <f>+ROUND(D185/200,0)</f>
        <v>13</v>
      </c>
      <c r="L188" s="433">
        <v>1</v>
      </c>
      <c r="M188" s="503">
        <f t="shared" si="165"/>
        <v>11.96</v>
      </c>
      <c r="N188" s="435">
        <f t="shared" si="166"/>
        <v>0.222</v>
      </c>
      <c r="O188" s="435">
        <f t="shared" si="167"/>
        <v>2.6551200000000001</v>
      </c>
      <c r="P188" s="407"/>
    </row>
    <row r="189" spans="1:17" s="430" customFormat="1" ht="25.15" customHeight="1">
      <c r="A189" s="836"/>
      <c r="B189" s="401" t="s">
        <v>158</v>
      </c>
      <c r="C189" s="405">
        <v>100</v>
      </c>
      <c r="D189" s="406">
        <v>200</v>
      </c>
      <c r="E189" s="401"/>
      <c r="F189" s="431">
        <v>10</v>
      </c>
      <c r="G189" s="432">
        <f>C189+D189</f>
        <v>300</v>
      </c>
      <c r="H189" s="432">
        <v>0</v>
      </c>
      <c r="I189" s="432">
        <f t="shared" si="168"/>
        <v>450</v>
      </c>
      <c r="J189" s="432">
        <f t="shared" si="169"/>
        <v>300</v>
      </c>
      <c r="K189" s="680">
        <f>+ROUND(D185/600,0)</f>
        <v>4</v>
      </c>
      <c r="L189" s="433">
        <v>1</v>
      </c>
      <c r="M189" s="503">
        <f t="shared" si="165"/>
        <v>1.2</v>
      </c>
      <c r="N189" s="435">
        <f t="shared" si="166"/>
        <v>0.61699999999999999</v>
      </c>
      <c r="O189" s="435">
        <f t="shared" si="167"/>
        <v>0.74039999999999995</v>
      </c>
      <c r="P189" s="407" t="s">
        <v>347</v>
      </c>
    </row>
    <row r="190" spans="1:17" s="430" customFormat="1" ht="25.15" customHeight="1">
      <c r="A190" s="588" t="s">
        <v>504</v>
      </c>
      <c r="B190" s="589"/>
      <c r="C190" s="590"/>
      <c r="D190" s="591"/>
      <c r="E190" s="589"/>
      <c r="F190" s="592"/>
      <c r="G190" s="593"/>
      <c r="H190" s="593"/>
      <c r="I190" s="593"/>
      <c r="J190" s="593"/>
      <c r="K190" s="593"/>
      <c r="L190" s="593"/>
      <c r="M190" s="594"/>
      <c r="N190" s="595"/>
      <c r="O190" s="595"/>
      <c r="P190" s="596"/>
    </row>
    <row r="191" spans="1:17" s="430" customFormat="1" ht="25.15" customHeight="1">
      <c r="A191" s="834" t="s">
        <v>489</v>
      </c>
      <c r="B191" s="401"/>
      <c r="C191" s="402" t="s">
        <v>321</v>
      </c>
      <c r="D191" s="403">
        <v>2360</v>
      </c>
      <c r="E191" s="404" t="s">
        <v>322</v>
      </c>
      <c r="F191" s="431"/>
      <c r="G191" s="432"/>
      <c r="H191" s="432"/>
      <c r="I191" s="432"/>
      <c r="J191" s="432"/>
      <c r="K191" s="433"/>
      <c r="L191" s="433"/>
      <c r="M191" s="503"/>
      <c r="N191" s="435"/>
      <c r="O191" s="435"/>
      <c r="P191" s="407"/>
      <c r="Q191" s="414"/>
    </row>
    <row r="192" spans="1:17" s="430" customFormat="1" ht="25.15" customHeight="1">
      <c r="A192" s="835"/>
      <c r="B192" s="401">
        <v>1</v>
      </c>
      <c r="C192" s="405">
        <v>200</v>
      </c>
      <c r="D192" s="459">
        <f>D191+200+150</f>
        <v>2710</v>
      </c>
      <c r="E192" s="401">
        <f>250</f>
        <v>250</v>
      </c>
      <c r="F192" s="431">
        <v>10</v>
      </c>
      <c r="G192" s="432">
        <f>C192+D192+E192</f>
        <v>3160</v>
      </c>
      <c r="H192" s="432">
        <v>0</v>
      </c>
      <c r="I192" s="432">
        <f>F192*45</f>
        <v>450</v>
      </c>
      <c r="J192" s="432">
        <f>G192+I192*H192</f>
        <v>3160</v>
      </c>
      <c r="K192" s="433">
        <v>2</v>
      </c>
      <c r="L192" s="433">
        <v>1</v>
      </c>
      <c r="M192" s="503">
        <f t="shared" ref="M192:M195" si="170">J192*K192*L192/1000</f>
        <v>6.32</v>
      </c>
      <c r="N192" s="435">
        <f t="shared" ref="N192:N195" si="171">_xlfn.XLOOKUP(F192,$R$5:$Z$5,$R$6:$Z$6,"NOT_FOUND",0)</f>
        <v>0.61699999999999999</v>
      </c>
      <c r="O192" s="435">
        <f t="shared" ref="O192:O195" si="172">M192*N192</f>
        <v>3.8994400000000002</v>
      </c>
      <c r="P192" s="407"/>
    </row>
    <row r="193" spans="1:17" s="430" customFormat="1" ht="25.15" customHeight="1">
      <c r="A193" s="835"/>
      <c r="B193" s="401">
        <v>2</v>
      </c>
      <c r="C193" s="405">
        <v>100</v>
      </c>
      <c r="D193" s="459">
        <f>D191+200+170</f>
        <v>2730</v>
      </c>
      <c r="E193" s="401">
        <v>130</v>
      </c>
      <c r="F193" s="431">
        <v>10</v>
      </c>
      <c r="G193" s="432">
        <f>C193+D193+E193</f>
        <v>2960</v>
      </c>
      <c r="H193" s="432">
        <v>0</v>
      </c>
      <c r="I193" s="432">
        <f t="shared" ref="I193:I195" si="173">F193*45</f>
        <v>450</v>
      </c>
      <c r="J193" s="432">
        <f t="shared" ref="J193:J195" si="174">G193+I193*H193</f>
        <v>2960</v>
      </c>
      <c r="K193" s="433">
        <v>2</v>
      </c>
      <c r="L193" s="433">
        <v>1</v>
      </c>
      <c r="M193" s="503">
        <f t="shared" si="170"/>
        <v>5.92</v>
      </c>
      <c r="N193" s="435">
        <f t="shared" si="171"/>
        <v>0.61699999999999999</v>
      </c>
      <c r="O193" s="435">
        <f t="shared" si="172"/>
        <v>3.6526399999999999</v>
      </c>
      <c r="P193" s="407"/>
    </row>
    <row r="194" spans="1:17" s="430" customFormat="1" ht="25.15" customHeight="1">
      <c r="A194" s="835"/>
      <c r="B194" s="401">
        <v>3</v>
      </c>
      <c r="C194" s="405">
        <v>240</v>
      </c>
      <c r="D194" s="406">
        <v>160</v>
      </c>
      <c r="E194" s="401">
        <v>60</v>
      </c>
      <c r="F194" s="431">
        <v>6</v>
      </c>
      <c r="G194" s="432">
        <f>(C194+D194+E194)*2</f>
        <v>920</v>
      </c>
      <c r="H194" s="432">
        <v>0</v>
      </c>
      <c r="I194" s="432">
        <f t="shared" si="173"/>
        <v>270</v>
      </c>
      <c r="J194" s="432">
        <f t="shared" si="174"/>
        <v>920</v>
      </c>
      <c r="K194" s="680">
        <f>+ROUND(D191/200,0)</f>
        <v>12</v>
      </c>
      <c r="L194" s="433">
        <v>1</v>
      </c>
      <c r="M194" s="503">
        <f t="shared" si="170"/>
        <v>11.04</v>
      </c>
      <c r="N194" s="435">
        <f t="shared" si="171"/>
        <v>0.222</v>
      </c>
      <c r="O194" s="435">
        <f t="shared" si="172"/>
        <v>2.4508799999999997</v>
      </c>
      <c r="P194" s="407"/>
    </row>
    <row r="195" spans="1:17" s="430" customFormat="1" ht="25.15" customHeight="1">
      <c r="A195" s="836"/>
      <c r="B195" s="401" t="s">
        <v>158</v>
      </c>
      <c r="C195" s="405">
        <v>100</v>
      </c>
      <c r="D195" s="406">
        <v>200</v>
      </c>
      <c r="E195" s="401"/>
      <c r="F195" s="431">
        <v>10</v>
      </c>
      <c r="G195" s="432">
        <f>C195+D195</f>
        <v>300</v>
      </c>
      <c r="H195" s="432">
        <v>0</v>
      </c>
      <c r="I195" s="432">
        <f t="shared" si="173"/>
        <v>450</v>
      </c>
      <c r="J195" s="432">
        <f t="shared" si="174"/>
        <v>300</v>
      </c>
      <c r="K195" s="680">
        <f>+ROUND(D191/600,0)</f>
        <v>4</v>
      </c>
      <c r="L195" s="433">
        <v>1</v>
      </c>
      <c r="M195" s="503">
        <f t="shared" si="170"/>
        <v>1.2</v>
      </c>
      <c r="N195" s="435">
        <f t="shared" si="171"/>
        <v>0.61699999999999999</v>
      </c>
      <c r="O195" s="435">
        <f t="shared" si="172"/>
        <v>0.74039999999999995</v>
      </c>
      <c r="P195" s="407" t="s">
        <v>347</v>
      </c>
    </row>
    <row r="196" spans="1:17" s="430" customFormat="1" ht="25.15" customHeight="1">
      <c r="A196" s="834" t="s">
        <v>489</v>
      </c>
      <c r="B196" s="401"/>
      <c r="C196" s="402" t="s">
        <v>321</v>
      </c>
      <c r="D196" s="403">
        <v>2215</v>
      </c>
      <c r="E196" s="404" t="s">
        <v>322</v>
      </c>
      <c r="F196" s="431"/>
      <c r="G196" s="432"/>
      <c r="H196" s="432"/>
      <c r="I196" s="432"/>
      <c r="J196" s="432"/>
      <c r="K196" s="433"/>
      <c r="L196" s="433"/>
      <c r="M196" s="503"/>
      <c r="N196" s="435"/>
      <c r="O196" s="435"/>
      <c r="P196" s="407"/>
      <c r="Q196" s="414"/>
    </row>
    <row r="197" spans="1:17" s="430" customFormat="1" ht="25.15" customHeight="1">
      <c r="A197" s="835"/>
      <c r="B197" s="401">
        <v>1</v>
      </c>
      <c r="C197" s="405">
        <v>200</v>
      </c>
      <c r="D197" s="459">
        <f>D196+200+150</f>
        <v>2565</v>
      </c>
      <c r="E197" s="401">
        <f>250</f>
        <v>250</v>
      </c>
      <c r="F197" s="431">
        <v>10</v>
      </c>
      <c r="G197" s="432">
        <f>C197+D197+E197</f>
        <v>3015</v>
      </c>
      <c r="H197" s="432">
        <v>0</v>
      </c>
      <c r="I197" s="432">
        <f>F197*45</f>
        <v>450</v>
      </c>
      <c r="J197" s="432">
        <f>G197+I197*H197</f>
        <v>3015</v>
      </c>
      <c r="K197" s="433">
        <v>2</v>
      </c>
      <c r="L197" s="433">
        <v>1</v>
      </c>
      <c r="M197" s="503">
        <f t="shared" ref="M197:M200" si="175">J197*K197*L197/1000</f>
        <v>6.03</v>
      </c>
      <c r="N197" s="435">
        <f t="shared" ref="N197:N200" si="176">_xlfn.XLOOKUP(F197,$R$5:$Z$5,$R$6:$Z$6,"NOT_FOUND",0)</f>
        <v>0.61699999999999999</v>
      </c>
      <c r="O197" s="435">
        <f t="shared" ref="O197:O200" si="177">M197*N197</f>
        <v>3.72051</v>
      </c>
      <c r="P197" s="407"/>
    </row>
    <row r="198" spans="1:17" s="430" customFormat="1" ht="25.15" customHeight="1">
      <c r="A198" s="835"/>
      <c r="B198" s="401">
        <v>2</v>
      </c>
      <c r="C198" s="405">
        <v>100</v>
      </c>
      <c r="D198" s="459">
        <f>D196+200+170</f>
        <v>2585</v>
      </c>
      <c r="E198" s="401">
        <v>130</v>
      </c>
      <c r="F198" s="431">
        <v>10</v>
      </c>
      <c r="G198" s="432">
        <f>C198+D198+E198</f>
        <v>2815</v>
      </c>
      <c r="H198" s="432">
        <v>0</v>
      </c>
      <c r="I198" s="432">
        <f t="shared" ref="I198:I200" si="178">F198*45</f>
        <v>450</v>
      </c>
      <c r="J198" s="432">
        <f t="shared" ref="J198:J200" si="179">G198+I198*H198</f>
        <v>2815</v>
      </c>
      <c r="K198" s="433">
        <v>2</v>
      </c>
      <c r="L198" s="433">
        <v>1</v>
      </c>
      <c r="M198" s="503">
        <f t="shared" si="175"/>
        <v>5.63</v>
      </c>
      <c r="N198" s="435">
        <f t="shared" si="176"/>
        <v>0.61699999999999999</v>
      </c>
      <c r="O198" s="435">
        <f t="shared" si="177"/>
        <v>3.4737100000000001</v>
      </c>
      <c r="P198" s="407"/>
    </row>
    <row r="199" spans="1:17" s="430" customFormat="1" ht="25.15" customHeight="1">
      <c r="A199" s="835"/>
      <c r="B199" s="401">
        <v>3</v>
      </c>
      <c r="C199" s="405">
        <v>240</v>
      </c>
      <c r="D199" s="406">
        <v>160</v>
      </c>
      <c r="E199" s="401">
        <v>60</v>
      </c>
      <c r="F199" s="431">
        <v>6</v>
      </c>
      <c r="G199" s="432">
        <f>(C199+D199+E199)*2</f>
        <v>920</v>
      </c>
      <c r="H199" s="432">
        <v>0</v>
      </c>
      <c r="I199" s="432">
        <f t="shared" si="178"/>
        <v>270</v>
      </c>
      <c r="J199" s="432">
        <f t="shared" si="179"/>
        <v>920</v>
      </c>
      <c r="K199" s="680">
        <f>+ROUND(D196/200,0)</f>
        <v>11</v>
      </c>
      <c r="L199" s="433">
        <v>1</v>
      </c>
      <c r="M199" s="503">
        <f t="shared" si="175"/>
        <v>10.119999999999999</v>
      </c>
      <c r="N199" s="435">
        <f t="shared" si="176"/>
        <v>0.222</v>
      </c>
      <c r="O199" s="435">
        <f t="shared" si="177"/>
        <v>2.2466399999999997</v>
      </c>
      <c r="P199" s="407"/>
    </row>
    <row r="200" spans="1:17" s="430" customFormat="1" ht="25.15" customHeight="1">
      <c r="A200" s="836"/>
      <c r="B200" s="401" t="s">
        <v>158</v>
      </c>
      <c r="C200" s="405">
        <v>100</v>
      </c>
      <c r="D200" s="406">
        <v>200</v>
      </c>
      <c r="E200" s="401"/>
      <c r="F200" s="431">
        <v>10</v>
      </c>
      <c r="G200" s="432">
        <f>C200+D200</f>
        <v>300</v>
      </c>
      <c r="H200" s="432">
        <v>0</v>
      </c>
      <c r="I200" s="432">
        <f t="shared" si="178"/>
        <v>450</v>
      </c>
      <c r="J200" s="432">
        <f t="shared" si="179"/>
        <v>300</v>
      </c>
      <c r="K200" s="680">
        <f>+ROUND(D196/600,0)</f>
        <v>4</v>
      </c>
      <c r="L200" s="433">
        <v>1</v>
      </c>
      <c r="M200" s="503">
        <f t="shared" si="175"/>
        <v>1.2</v>
      </c>
      <c r="N200" s="435">
        <f t="shared" si="176"/>
        <v>0.61699999999999999</v>
      </c>
      <c r="O200" s="435">
        <f t="shared" si="177"/>
        <v>0.74039999999999995</v>
      </c>
      <c r="P200" s="407" t="s">
        <v>347</v>
      </c>
    </row>
    <row r="201" spans="1:17" s="430" customFormat="1" ht="25.15" customHeight="1">
      <c r="A201" s="834" t="s">
        <v>489</v>
      </c>
      <c r="B201" s="401"/>
      <c r="C201" s="402" t="s">
        <v>321</v>
      </c>
      <c r="D201" s="403">
        <v>1895</v>
      </c>
      <c r="E201" s="404" t="s">
        <v>322</v>
      </c>
      <c r="F201" s="431"/>
      <c r="G201" s="432"/>
      <c r="H201" s="432"/>
      <c r="I201" s="432"/>
      <c r="J201" s="432"/>
      <c r="K201" s="433"/>
      <c r="L201" s="433"/>
      <c r="M201" s="503"/>
      <c r="N201" s="435"/>
      <c r="O201" s="435"/>
      <c r="P201" s="407"/>
      <c r="Q201" s="414"/>
    </row>
    <row r="202" spans="1:17" s="430" customFormat="1" ht="25.15" customHeight="1">
      <c r="A202" s="835"/>
      <c r="B202" s="401">
        <v>1</v>
      </c>
      <c r="C202" s="405">
        <v>200</v>
      </c>
      <c r="D202" s="459">
        <f>D201+200+150</f>
        <v>2245</v>
      </c>
      <c r="E202" s="401">
        <f>250</f>
        <v>250</v>
      </c>
      <c r="F202" s="431">
        <v>10</v>
      </c>
      <c r="G202" s="432">
        <f>C202+D202+E202</f>
        <v>2695</v>
      </c>
      <c r="H202" s="432">
        <v>0</v>
      </c>
      <c r="I202" s="432">
        <f>F202*45</f>
        <v>450</v>
      </c>
      <c r="J202" s="432">
        <f>G202+I202*H202</f>
        <v>2695</v>
      </c>
      <c r="K202" s="433">
        <v>2</v>
      </c>
      <c r="L202" s="433">
        <v>1</v>
      </c>
      <c r="M202" s="503">
        <f t="shared" ref="M202:M205" si="180">J202*K202*L202/1000</f>
        <v>5.39</v>
      </c>
      <c r="N202" s="435">
        <f t="shared" ref="N202:N205" si="181">_xlfn.XLOOKUP(F202,$R$5:$Z$5,$R$6:$Z$6,"NOT_FOUND",0)</f>
        <v>0.61699999999999999</v>
      </c>
      <c r="O202" s="435">
        <f t="shared" ref="O202:O205" si="182">M202*N202</f>
        <v>3.3256299999999999</v>
      </c>
      <c r="P202" s="407"/>
    </row>
    <row r="203" spans="1:17" s="430" customFormat="1" ht="25.15" customHeight="1">
      <c r="A203" s="835"/>
      <c r="B203" s="401">
        <v>2</v>
      </c>
      <c r="C203" s="405">
        <v>100</v>
      </c>
      <c r="D203" s="459">
        <f>D201+200+170</f>
        <v>2265</v>
      </c>
      <c r="E203" s="401">
        <v>130</v>
      </c>
      <c r="F203" s="431">
        <v>10</v>
      </c>
      <c r="G203" s="432">
        <f>C203+D203+E203</f>
        <v>2495</v>
      </c>
      <c r="H203" s="432">
        <v>0</v>
      </c>
      <c r="I203" s="432">
        <f t="shared" ref="I203:I205" si="183">F203*45</f>
        <v>450</v>
      </c>
      <c r="J203" s="432">
        <f t="shared" ref="J203:J205" si="184">G203+I203*H203</f>
        <v>2495</v>
      </c>
      <c r="K203" s="433">
        <v>2</v>
      </c>
      <c r="L203" s="433">
        <v>1</v>
      </c>
      <c r="M203" s="503">
        <f t="shared" si="180"/>
        <v>4.99</v>
      </c>
      <c r="N203" s="435">
        <f t="shared" si="181"/>
        <v>0.61699999999999999</v>
      </c>
      <c r="O203" s="435">
        <f t="shared" si="182"/>
        <v>3.07883</v>
      </c>
      <c r="P203" s="407"/>
    </row>
    <row r="204" spans="1:17" s="430" customFormat="1" ht="25.15" customHeight="1">
      <c r="A204" s="835"/>
      <c r="B204" s="401">
        <v>3</v>
      </c>
      <c r="C204" s="405">
        <v>240</v>
      </c>
      <c r="D204" s="406">
        <v>160</v>
      </c>
      <c r="E204" s="401">
        <v>60</v>
      </c>
      <c r="F204" s="431">
        <v>6</v>
      </c>
      <c r="G204" s="432">
        <f>(C204+D204+E204)*2</f>
        <v>920</v>
      </c>
      <c r="H204" s="432">
        <v>0</v>
      </c>
      <c r="I204" s="432">
        <f t="shared" si="183"/>
        <v>270</v>
      </c>
      <c r="J204" s="432">
        <f t="shared" si="184"/>
        <v>920</v>
      </c>
      <c r="K204" s="680">
        <f>+ROUND(D201/200,0)</f>
        <v>9</v>
      </c>
      <c r="L204" s="433">
        <v>1</v>
      </c>
      <c r="M204" s="503">
        <f t="shared" si="180"/>
        <v>8.2799999999999994</v>
      </c>
      <c r="N204" s="435">
        <f t="shared" si="181"/>
        <v>0.222</v>
      </c>
      <c r="O204" s="435">
        <f t="shared" si="182"/>
        <v>1.8381599999999998</v>
      </c>
      <c r="P204" s="407"/>
    </row>
    <row r="205" spans="1:17" s="430" customFormat="1" ht="25.15" customHeight="1">
      <c r="A205" s="836"/>
      <c r="B205" s="401" t="s">
        <v>158</v>
      </c>
      <c r="C205" s="405">
        <v>100</v>
      </c>
      <c r="D205" s="406">
        <v>200</v>
      </c>
      <c r="E205" s="401"/>
      <c r="F205" s="431">
        <v>10</v>
      </c>
      <c r="G205" s="432">
        <f>C205+D205</f>
        <v>300</v>
      </c>
      <c r="H205" s="432">
        <v>0</v>
      </c>
      <c r="I205" s="432">
        <f t="shared" si="183"/>
        <v>450</v>
      </c>
      <c r="J205" s="432">
        <f t="shared" si="184"/>
        <v>300</v>
      </c>
      <c r="K205" s="680">
        <f>+ROUND(D201/600,0)</f>
        <v>3</v>
      </c>
      <c r="L205" s="433">
        <v>1</v>
      </c>
      <c r="M205" s="503">
        <f t="shared" si="180"/>
        <v>0.9</v>
      </c>
      <c r="N205" s="435">
        <f t="shared" si="181"/>
        <v>0.61699999999999999</v>
      </c>
      <c r="O205" s="435">
        <f t="shared" si="182"/>
        <v>0.55530000000000002</v>
      </c>
      <c r="P205" s="407" t="s">
        <v>347</v>
      </c>
    </row>
    <row r="206" spans="1:17" s="430" customFormat="1" ht="25.15" customHeight="1">
      <c r="A206" s="834" t="s">
        <v>489</v>
      </c>
      <c r="B206" s="401"/>
      <c r="C206" s="402" t="s">
        <v>321</v>
      </c>
      <c r="D206" s="403">
        <v>1660</v>
      </c>
      <c r="E206" s="404" t="s">
        <v>322</v>
      </c>
      <c r="F206" s="431"/>
      <c r="G206" s="432"/>
      <c r="H206" s="432"/>
      <c r="I206" s="432"/>
      <c r="J206" s="432"/>
      <c r="K206" s="433"/>
      <c r="L206" s="433"/>
      <c r="M206" s="503"/>
      <c r="N206" s="435"/>
      <c r="O206" s="435"/>
      <c r="P206" s="407"/>
      <c r="Q206" s="414"/>
    </row>
    <row r="207" spans="1:17" s="430" customFormat="1" ht="25.15" customHeight="1">
      <c r="A207" s="835"/>
      <c r="B207" s="401">
        <v>1</v>
      </c>
      <c r="C207" s="405">
        <v>200</v>
      </c>
      <c r="D207" s="459">
        <f>D206+200+150</f>
        <v>2010</v>
      </c>
      <c r="E207" s="401">
        <f>250</f>
        <v>250</v>
      </c>
      <c r="F207" s="431">
        <v>10</v>
      </c>
      <c r="G207" s="432">
        <f>C207+D207+E207</f>
        <v>2460</v>
      </c>
      <c r="H207" s="432">
        <v>0</v>
      </c>
      <c r="I207" s="432">
        <f>F207*45</f>
        <v>450</v>
      </c>
      <c r="J207" s="432">
        <f>G207+I207*H207</f>
        <v>2460</v>
      </c>
      <c r="K207" s="433">
        <v>2</v>
      </c>
      <c r="L207" s="433">
        <v>1</v>
      </c>
      <c r="M207" s="503">
        <f t="shared" ref="M207:M210" si="185">J207*K207*L207/1000</f>
        <v>4.92</v>
      </c>
      <c r="N207" s="435">
        <f t="shared" ref="N207:N210" si="186">_xlfn.XLOOKUP(F207,$R$5:$Z$5,$R$6:$Z$6,"NOT_FOUND",0)</f>
        <v>0.61699999999999999</v>
      </c>
      <c r="O207" s="435">
        <f t="shared" ref="O207:O210" si="187">M207*N207</f>
        <v>3.0356399999999999</v>
      </c>
      <c r="P207" s="407"/>
    </row>
    <row r="208" spans="1:17" s="430" customFormat="1" ht="25.15" customHeight="1">
      <c r="A208" s="835"/>
      <c r="B208" s="401">
        <v>2</v>
      </c>
      <c r="C208" s="405">
        <v>100</v>
      </c>
      <c r="D208" s="459">
        <f>D206+200+170</f>
        <v>2030</v>
      </c>
      <c r="E208" s="401">
        <v>130</v>
      </c>
      <c r="F208" s="431">
        <v>10</v>
      </c>
      <c r="G208" s="432">
        <f>C208+D208+E208</f>
        <v>2260</v>
      </c>
      <c r="H208" s="432">
        <v>0</v>
      </c>
      <c r="I208" s="432">
        <f t="shared" ref="I208:I210" si="188">F208*45</f>
        <v>450</v>
      </c>
      <c r="J208" s="432">
        <f t="shared" ref="J208:J210" si="189">G208+I208*H208</f>
        <v>2260</v>
      </c>
      <c r="K208" s="433">
        <v>2</v>
      </c>
      <c r="L208" s="433">
        <v>1</v>
      </c>
      <c r="M208" s="503">
        <f t="shared" si="185"/>
        <v>4.5199999999999996</v>
      </c>
      <c r="N208" s="435">
        <f t="shared" si="186"/>
        <v>0.61699999999999999</v>
      </c>
      <c r="O208" s="435">
        <f t="shared" si="187"/>
        <v>2.7888399999999995</v>
      </c>
      <c r="P208" s="407"/>
    </row>
    <row r="209" spans="1:17" s="430" customFormat="1" ht="25.15" customHeight="1">
      <c r="A209" s="835"/>
      <c r="B209" s="401">
        <v>3</v>
      </c>
      <c r="C209" s="405">
        <v>240</v>
      </c>
      <c r="D209" s="406">
        <v>160</v>
      </c>
      <c r="E209" s="401">
        <v>60</v>
      </c>
      <c r="F209" s="431">
        <v>6</v>
      </c>
      <c r="G209" s="432">
        <f>(C209+D209+E209)*2</f>
        <v>920</v>
      </c>
      <c r="H209" s="432">
        <v>0</v>
      </c>
      <c r="I209" s="432">
        <f t="shared" si="188"/>
        <v>270</v>
      </c>
      <c r="J209" s="432">
        <f t="shared" si="189"/>
        <v>920</v>
      </c>
      <c r="K209" s="680">
        <f>+ROUND(D206/200,0)</f>
        <v>8</v>
      </c>
      <c r="L209" s="433">
        <v>1</v>
      </c>
      <c r="M209" s="503">
        <f t="shared" si="185"/>
        <v>7.36</v>
      </c>
      <c r="N209" s="435">
        <f t="shared" si="186"/>
        <v>0.222</v>
      </c>
      <c r="O209" s="435">
        <f t="shared" si="187"/>
        <v>1.63392</v>
      </c>
      <c r="P209" s="407"/>
    </row>
    <row r="210" spans="1:17" s="430" customFormat="1" ht="25.15" customHeight="1">
      <c r="A210" s="836"/>
      <c r="B210" s="401" t="s">
        <v>158</v>
      </c>
      <c r="C210" s="405">
        <v>100</v>
      </c>
      <c r="D210" s="406">
        <v>200</v>
      </c>
      <c r="E210" s="401"/>
      <c r="F210" s="431">
        <v>10</v>
      </c>
      <c r="G210" s="432">
        <f>C210+D210</f>
        <v>300</v>
      </c>
      <c r="H210" s="432">
        <v>0</v>
      </c>
      <c r="I210" s="432">
        <f t="shared" si="188"/>
        <v>450</v>
      </c>
      <c r="J210" s="432">
        <f t="shared" si="189"/>
        <v>300</v>
      </c>
      <c r="K210" s="680">
        <f>+ROUND(D206/600,0)</f>
        <v>3</v>
      </c>
      <c r="L210" s="433">
        <v>1</v>
      </c>
      <c r="M210" s="503">
        <f t="shared" si="185"/>
        <v>0.9</v>
      </c>
      <c r="N210" s="435">
        <f t="shared" si="186"/>
        <v>0.61699999999999999</v>
      </c>
      <c r="O210" s="435">
        <f t="shared" si="187"/>
        <v>0.55530000000000002</v>
      </c>
      <c r="P210" s="407" t="s">
        <v>347</v>
      </c>
    </row>
    <row r="211" spans="1:17" s="430" customFormat="1" ht="25.15" customHeight="1">
      <c r="A211" s="588" t="s">
        <v>505</v>
      </c>
      <c r="B211" s="589"/>
      <c r="C211" s="590"/>
      <c r="D211" s="591"/>
      <c r="E211" s="589"/>
      <c r="F211" s="592"/>
      <c r="G211" s="593"/>
      <c r="H211" s="593"/>
      <c r="I211" s="593"/>
      <c r="J211" s="593"/>
      <c r="K211" s="593"/>
      <c r="L211" s="593"/>
      <c r="M211" s="594"/>
      <c r="N211" s="595"/>
      <c r="O211" s="595"/>
      <c r="P211" s="596"/>
    </row>
    <row r="212" spans="1:17" s="430" customFormat="1" ht="25.15" customHeight="1">
      <c r="A212" s="834" t="s">
        <v>489</v>
      </c>
      <c r="B212" s="401"/>
      <c r="C212" s="402" t="s">
        <v>321</v>
      </c>
      <c r="D212" s="403">
        <v>1570</v>
      </c>
      <c r="E212" s="404" t="s">
        <v>322</v>
      </c>
      <c r="F212" s="431"/>
      <c r="G212" s="432"/>
      <c r="H212" s="432"/>
      <c r="I212" s="432"/>
      <c r="J212" s="432"/>
      <c r="K212" s="433"/>
      <c r="L212" s="433"/>
      <c r="M212" s="503"/>
      <c r="N212" s="435"/>
      <c r="O212" s="435"/>
      <c r="P212" s="407"/>
      <c r="Q212" s="414"/>
    </row>
    <row r="213" spans="1:17" s="430" customFormat="1" ht="25.15" customHeight="1">
      <c r="A213" s="835"/>
      <c r="B213" s="401">
        <v>1</v>
      </c>
      <c r="C213" s="405">
        <v>200</v>
      </c>
      <c r="D213" s="459">
        <f>D212+200+150</f>
        <v>1920</v>
      </c>
      <c r="E213" s="401">
        <f>250</f>
        <v>250</v>
      </c>
      <c r="F213" s="431">
        <v>10</v>
      </c>
      <c r="G213" s="432">
        <f>C213+D213+E213</f>
        <v>2370</v>
      </c>
      <c r="H213" s="432">
        <v>0</v>
      </c>
      <c r="I213" s="432">
        <f>F213*45</f>
        <v>450</v>
      </c>
      <c r="J213" s="432">
        <f>G213+I213*H213</f>
        <v>2370</v>
      </c>
      <c r="K213" s="433">
        <v>2</v>
      </c>
      <c r="L213" s="433">
        <v>1</v>
      </c>
      <c r="M213" s="503">
        <f t="shared" ref="M213:M216" si="190">J213*K213*L213/1000</f>
        <v>4.74</v>
      </c>
      <c r="N213" s="435">
        <f t="shared" ref="N213:N216" si="191">_xlfn.XLOOKUP(F213,$R$5:$Z$5,$R$6:$Z$6,"NOT_FOUND",0)</f>
        <v>0.61699999999999999</v>
      </c>
      <c r="O213" s="435">
        <f t="shared" ref="O213:O216" si="192">M213*N213</f>
        <v>2.9245800000000002</v>
      </c>
      <c r="P213" s="407"/>
    </row>
    <row r="214" spans="1:17" s="430" customFormat="1" ht="25.15" customHeight="1">
      <c r="A214" s="835"/>
      <c r="B214" s="401">
        <v>2</v>
      </c>
      <c r="C214" s="405">
        <v>100</v>
      </c>
      <c r="D214" s="459">
        <f>D212+200+170</f>
        <v>1940</v>
      </c>
      <c r="E214" s="401">
        <v>130</v>
      </c>
      <c r="F214" s="431">
        <v>10</v>
      </c>
      <c r="G214" s="432">
        <f>C214+D214+E214</f>
        <v>2170</v>
      </c>
      <c r="H214" s="432">
        <v>0</v>
      </c>
      <c r="I214" s="432">
        <f t="shared" ref="I214:I216" si="193">F214*45</f>
        <v>450</v>
      </c>
      <c r="J214" s="432">
        <f t="shared" ref="J214:J216" si="194">G214+I214*H214</f>
        <v>2170</v>
      </c>
      <c r="K214" s="433">
        <v>2</v>
      </c>
      <c r="L214" s="433">
        <v>1</v>
      </c>
      <c r="M214" s="503">
        <f t="shared" si="190"/>
        <v>4.34</v>
      </c>
      <c r="N214" s="435">
        <f t="shared" si="191"/>
        <v>0.61699999999999999</v>
      </c>
      <c r="O214" s="435">
        <f t="shared" si="192"/>
        <v>2.6777799999999998</v>
      </c>
      <c r="P214" s="407"/>
    </row>
    <row r="215" spans="1:17" s="430" customFormat="1" ht="25.15" customHeight="1">
      <c r="A215" s="835"/>
      <c r="B215" s="401">
        <v>3</v>
      </c>
      <c r="C215" s="405">
        <v>240</v>
      </c>
      <c r="D215" s="406">
        <v>160</v>
      </c>
      <c r="E215" s="401">
        <v>60</v>
      </c>
      <c r="F215" s="431">
        <v>6</v>
      </c>
      <c r="G215" s="432">
        <f>(C215+D215+E215)*2</f>
        <v>920</v>
      </c>
      <c r="H215" s="432">
        <v>0</v>
      </c>
      <c r="I215" s="432">
        <f t="shared" si="193"/>
        <v>270</v>
      </c>
      <c r="J215" s="432">
        <f t="shared" si="194"/>
        <v>920</v>
      </c>
      <c r="K215" s="680">
        <f>+ROUND(D212/200,0)</f>
        <v>8</v>
      </c>
      <c r="L215" s="433">
        <v>1</v>
      </c>
      <c r="M215" s="503">
        <f t="shared" si="190"/>
        <v>7.36</v>
      </c>
      <c r="N215" s="435">
        <f t="shared" si="191"/>
        <v>0.222</v>
      </c>
      <c r="O215" s="435">
        <f t="shared" si="192"/>
        <v>1.63392</v>
      </c>
      <c r="P215" s="407"/>
    </row>
    <row r="216" spans="1:17" s="430" customFormat="1" ht="25.15" customHeight="1">
      <c r="A216" s="836"/>
      <c r="B216" s="401" t="s">
        <v>158</v>
      </c>
      <c r="C216" s="405">
        <v>100</v>
      </c>
      <c r="D216" s="406">
        <v>200</v>
      </c>
      <c r="E216" s="401"/>
      <c r="F216" s="431">
        <v>10</v>
      </c>
      <c r="G216" s="432">
        <f>C216+D216</f>
        <v>300</v>
      </c>
      <c r="H216" s="432">
        <v>0</v>
      </c>
      <c r="I216" s="432">
        <f t="shared" si="193"/>
        <v>450</v>
      </c>
      <c r="J216" s="432">
        <f t="shared" si="194"/>
        <v>300</v>
      </c>
      <c r="K216" s="680">
        <f>+ROUND(D212/600,0)</f>
        <v>3</v>
      </c>
      <c r="L216" s="433">
        <v>1</v>
      </c>
      <c r="M216" s="503">
        <f t="shared" si="190"/>
        <v>0.9</v>
      </c>
      <c r="N216" s="435">
        <f t="shared" si="191"/>
        <v>0.61699999999999999</v>
      </c>
      <c r="O216" s="435">
        <f t="shared" si="192"/>
        <v>0.55530000000000002</v>
      </c>
      <c r="P216" s="407" t="s">
        <v>347</v>
      </c>
    </row>
    <row r="217" spans="1:17" s="430" customFormat="1" ht="25.15" customHeight="1">
      <c r="A217" s="834" t="s">
        <v>489</v>
      </c>
      <c r="B217" s="401"/>
      <c r="C217" s="402" t="s">
        <v>321</v>
      </c>
      <c r="D217" s="403">
        <v>1755</v>
      </c>
      <c r="E217" s="404" t="s">
        <v>322</v>
      </c>
      <c r="F217" s="431"/>
      <c r="G217" s="432"/>
      <c r="H217" s="432"/>
      <c r="I217" s="432"/>
      <c r="J217" s="432"/>
      <c r="K217" s="433"/>
      <c r="L217" s="433"/>
      <c r="M217" s="503"/>
      <c r="N217" s="435"/>
      <c r="O217" s="435"/>
      <c r="P217" s="407"/>
      <c r="Q217" s="414"/>
    </row>
    <row r="218" spans="1:17" s="430" customFormat="1" ht="25.15" customHeight="1">
      <c r="A218" s="835"/>
      <c r="B218" s="401">
        <v>1</v>
      </c>
      <c r="C218" s="405">
        <v>200</v>
      </c>
      <c r="D218" s="459">
        <f>D217+200+150</f>
        <v>2105</v>
      </c>
      <c r="E218" s="401">
        <f>250</f>
        <v>250</v>
      </c>
      <c r="F218" s="431">
        <v>10</v>
      </c>
      <c r="G218" s="432">
        <f>C218+D218+E218</f>
        <v>2555</v>
      </c>
      <c r="H218" s="432">
        <v>0</v>
      </c>
      <c r="I218" s="432">
        <f>F218*45</f>
        <v>450</v>
      </c>
      <c r="J218" s="432">
        <f>G218+I218*H218</f>
        <v>2555</v>
      </c>
      <c r="K218" s="433">
        <v>2</v>
      </c>
      <c r="L218" s="433">
        <v>1</v>
      </c>
      <c r="M218" s="503">
        <f t="shared" ref="M218:M221" si="195">J218*K218*L218/1000</f>
        <v>5.1100000000000003</v>
      </c>
      <c r="N218" s="435">
        <f t="shared" ref="N218:N221" si="196">_xlfn.XLOOKUP(F218,$R$5:$Z$5,$R$6:$Z$6,"NOT_FOUND",0)</f>
        <v>0.61699999999999999</v>
      </c>
      <c r="O218" s="435">
        <f t="shared" ref="O218:O221" si="197">M218*N218</f>
        <v>3.1528700000000001</v>
      </c>
      <c r="P218" s="407"/>
    </row>
    <row r="219" spans="1:17" s="430" customFormat="1" ht="25.15" customHeight="1">
      <c r="A219" s="835"/>
      <c r="B219" s="401">
        <v>2</v>
      </c>
      <c r="C219" s="405">
        <v>100</v>
      </c>
      <c r="D219" s="459">
        <f>D217+200+170</f>
        <v>2125</v>
      </c>
      <c r="E219" s="401">
        <v>130</v>
      </c>
      <c r="F219" s="431">
        <v>10</v>
      </c>
      <c r="G219" s="432">
        <f>C219+D219+E219</f>
        <v>2355</v>
      </c>
      <c r="H219" s="432">
        <v>0</v>
      </c>
      <c r="I219" s="432">
        <f t="shared" ref="I219:I221" si="198">F219*45</f>
        <v>450</v>
      </c>
      <c r="J219" s="432">
        <f t="shared" ref="J219:J221" si="199">G219+I219*H219</f>
        <v>2355</v>
      </c>
      <c r="K219" s="433">
        <v>2</v>
      </c>
      <c r="L219" s="433">
        <v>1</v>
      </c>
      <c r="M219" s="503">
        <f t="shared" si="195"/>
        <v>4.71</v>
      </c>
      <c r="N219" s="435">
        <f t="shared" si="196"/>
        <v>0.61699999999999999</v>
      </c>
      <c r="O219" s="435">
        <f t="shared" si="197"/>
        <v>2.9060700000000002</v>
      </c>
      <c r="P219" s="407"/>
    </row>
    <row r="220" spans="1:17" s="430" customFormat="1" ht="25.15" customHeight="1">
      <c r="A220" s="835"/>
      <c r="B220" s="401">
        <v>3</v>
      </c>
      <c r="C220" s="405">
        <v>240</v>
      </c>
      <c r="D220" s="406">
        <v>160</v>
      </c>
      <c r="E220" s="401">
        <v>60</v>
      </c>
      <c r="F220" s="431">
        <v>6</v>
      </c>
      <c r="G220" s="432">
        <f>(C220+D220+E220)*2</f>
        <v>920</v>
      </c>
      <c r="H220" s="432">
        <v>0</v>
      </c>
      <c r="I220" s="432">
        <f t="shared" si="198"/>
        <v>270</v>
      </c>
      <c r="J220" s="432">
        <f t="shared" si="199"/>
        <v>920</v>
      </c>
      <c r="K220" s="680">
        <f>+ROUND(D217/200,0)</f>
        <v>9</v>
      </c>
      <c r="L220" s="433">
        <v>1</v>
      </c>
      <c r="M220" s="503">
        <f t="shared" si="195"/>
        <v>8.2799999999999994</v>
      </c>
      <c r="N220" s="435">
        <f t="shared" si="196"/>
        <v>0.222</v>
      </c>
      <c r="O220" s="435">
        <f t="shared" si="197"/>
        <v>1.8381599999999998</v>
      </c>
      <c r="P220" s="407"/>
    </row>
    <row r="221" spans="1:17" s="430" customFormat="1" ht="25.15" customHeight="1">
      <c r="A221" s="836"/>
      <c r="B221" s="401" t="s">
        <v>158</v>
      </c>
      <c r="C221" s="405">
        <v>100</v>
      </c>
      <c r="D221" s="406">
        <v>200</v>
      </c>
      <c r="E221" s="401"/>
      <c r="F221" s="431">
        <v>10</v>
      </c>
      <c r="G221" s="432">
        <f>C221+D221</f>
        <v>300</v>
      </c>
      <c r="H221" s="432">
        <v>0</v>
      </c>
      <c r="I221" s="432">
        <f t="shared" si="198"/>
        <v>450</v>
      </c>
      <c r="J221" s="432">
        <f t="shared" si="199"/>
        <v>300</v>
      </c>
      <c r="K221" s="680">
        <f>+ROUND(D217/600,0)</f>
        <v>3</v>
      </c>
      <c r="L221" s="433">
        <v>1</v>
      </c>
      <c r="M221" s="503">
        <f t="shared" si="195"/>
        <v>0.9</v>
      </c>
      <c r="N221" s="435">
        <f t="shared" si="196"/>
        <v>0.61699999999999999</v>
      </c>
      <c r="O221" s="435">
        <f t="shared" si="197"/>
        <v>0.55530000000000002</v>
      </c>
      <c r="P221" s="407" t="s">
        <v>347</v>
      </c>
    </row>
    <row r="222" spans="1:17" s="430" customFormat="1" ht="25.15" customHeight="1">
      <c r="A222" s="834" t="s">
        <v>489</v>
      </c>
      <c r="B222" s="401"/>
      <c r="C222" s="402" t="s">
        <v>321</v>
      </c>
      <c r="D222" s="403">
        <v>2425</v>
      </c>
      <c r="E222" s="404" t="s">
        <v>322</v>
      </c>
      <c r="F222" s="431"/>
      <c r="G222" s="432"/>
      <c r="H222" s="432"/>
      <c r="I222" s="432"/>
      <c r="J222" s="432"/>
      <c r="K222" s="433"/>
      <c r="L222" s="433"/>
      <c r="M222" s="503"/>
      <c r="N222" s="435"/>
      <c r="O222" s="435"/>
      <c r="P222" s="407"/>
      <c r="Q222" s="414"/>
    </row>
    <row r="223" spans="1:17" s="430" customFormat="1" ht="25.15" customHeight="1">
      <c r="A223" s="835"/>
      <c r="B223" s="401">
        <v>1</v>
      </c>
      <c r="C223" s="405">
        <v>200</v>
      </c>
      <c r="D223" s="459">
        <f>D222+200+150</f>
        <v>2775</v>
      </c>
      <c r="E223" s="401">
        <f>250</f>
        <v>250</v>
      </c>
      <c r="F223" s="431">
        <v>10</v>
      </c>
      <c r="G223" s="432">
        <f>C223+D223+E223</f>
        <v>3225</v>
      </c>
      <c r="H223" s="432">
        <v>0</v>
      </c>
      <c r="I223" s="432">
        <f>F223*45</f>
        <v>450</v>
      </c>
      <c r="J223" s="432">
        <f>G223+I223*H223</f>
        <v>3225</v>
      </c>
      <c r="K223" s="433">
        <v>2</v>
      </c>
      <c r="L223" s="433">
        <v>1</v>
      </c>
      <c r="M223" s="503">
        <f t="shared" ref="M223:M226" si="200">J223*K223*L223/1000</f>
        <v>6.45</v>
      </c>
      <c r="N223" s="435">
        <f t="shared" ref="N223:N226" si="201">_xlfn.XLOOKUP(F223,$R$5:$Z$5,$R$6:$Z$6,"NOT_FOUND",0)</f>
        <v>0.61699999999999999</v>
      </c>
      <c r="O223" s="435">
        <f t="shared" ref="O223:O226" si="202">M223*N223</f>
        <v>3.9796499999999999</v>
      </c>
      <c r="P223" s="407"/>
    </row>
    <row r="224" spans="1:17" s="430" customFormat="1" ht="25.15" customHeight="1">
      <c r="A224" s="835"/>
      <c r="B224" s="401">
        <v>2</v>
      </c>
      <c r="C224" s="405">
        <v>100</v>
      </c>
      <c r="D224" s="459">
        <f>D222+200+170</f>
        <v>2795</v>
      </c>
      <c r="E224" s="401">
        <v>130</v>
      </c>
      <c r="F224" s="431">
        <v>10</v>
      </c>
      <c r="G224" s="432">
        <f>C224+D224+E224</f>
        <v>3025</v>
      </c>
      <c r="H224" s="432">
        <v>0</v>
      </c>
      <c r="I224" s="432">
        <f t="shared" ref="I224:I226" si="203">F224*45</f>
        <v>450</v>
      </c>
      <c r="J224" s="432">
        <f t="shared" ref="J224:J226" si="204">G224+I224*H224</f>
        <v>3025</v>
      </c>
      <c r="K224" s="433">
        <v>2</v>
      </c>
      <c r="L224" s="433">
        <v>1</v>
      </c>
      <c r="M224" s="503">
        <f t="shared" si="200"/>
        <v>6.05</v>
      </c>
      <c r="N224" s="435">
        <f t="shared" si="201"/>
        <v>0.61699999999999999</v>
      </c>
      <c r="O224" s="435">
        <f t="shared" si="202"/>
        <v>3.73285</v>
      </c>
      <c r="P224" s="407"/>
    </row>
    <row r="225" spans="1:17" s="430" customFormat="1" ht="25.15" customHeight="1">
      <c r="A225" s="835"/>
      <c r="B225" s="401">
        <v>3</v>
      </c>
      <c r="C225" s="405">
        <v>240</v>
      </c>
      <c r="D225" s="406">
        <v>160</v>
      </c>
      <c r="E225" s="401">
        <v>60</v>
      </c>
      <c r="F225" s="431">
        <v>6</v>
      </c>
      <c r="G225" s="432">
        <f>(C225+D225+E225)*2</f>
        <v>920</v>
      </c>
      <c r="H225" s="432">
        <v>0</v>
      </c>
      <c r="I225" s="432">
        <f t="shared" si="203"/>
        <v>270</v>
      </c>
      <c r="J225" s="432">
        <f t="shared" si="204"/>
        <v>920</v>
      </c>
      <c r="K225" s="680">
        <f>+ROUND(D222/200,0)</f>
        <v>12</v>
      </c>
      <c r="L225" s="433">
        <v>1</v>
      </c>
      <c r="M225" s="503">
        <f t="shared" si="200"/>
        <v>11.04</v>
      </c>
      <c r="N225" s="435">
        <f t="shared" si="201"/>
        <v>0.222</v>
      </c>
      <c r="O225" s="435">
        <f t="shared" si="202"/>
        <v>2.4508799999999997</v>
      </c>
      <c r="P225" s="407"/>
    </row>
    <row r="226" spans="1:17" s="430" customFormat="1" ht="25.15" customHeight="1">
      <c r="A226" s="836"/>
      <c r="B226" s="401" t="s">
        <v>158</v>
      </c>
      <c r="C226" s="405">
        <v>100</v>
      </c>
      <c r="D226" s="406">
        <v>200</v>
      </c>
      <c r="E226" s="401"/>
      <c r="F226" s="431">
        <v>10</v>
      </c>
      <c r="G226" s="432">
        <f>C226+D226</f>
        <v>300</v>
      </c>
      <c r="H226" s="432">
        <v>0</v>
      </c>
      <c r="I226" s="432">
        <f t="shared" si="203"/>
        <v>450</v>
      </c>
      <c r="J226" s="432">
        <f t="shared" si="204"/>
        <v>300</v>
      </c>
      <c r="K226" s="680">
        <f>+ROUND(D222/600,0)</f>
        <v>4</v>
      </c>
      <c r="L226" s="433">
        <v>1</v>
      </c>
      <c r="M226" s="503">
        <f t="shared" si="200"/>
        <v>1.2</v>
      </c>
      <c r="N226" s="435">
        <f t="shared" si="201"/>
        <v>0.61699999999999999</v>
      </c>
      <c r="O226" s="435">
        <f t="shared" si="202"/>
        <v>0.74039999999999995</v>
      </c>
      <c r="P226" s="407" t="s">
        <v>347</v>
      </c>
    </row>
    <row r="227" spans="1:17" s="430" customFormat="1" ht="25.15" customHeight="1">
      <c r="A227" s="834" t="s">
        <v>489</v>
      </c>
      <c r="B227" s="401"/>
      <c r="C227" s="402" t="s">
        <v>321</v>
      </c>
      <c r="D227" s="403">
        <v>3030</v>
      </c>
      <c r="E227" s="404" t="s">
        <v>322</v>
      </c>
      <c r="F227" s="431"/>
      <c r="G227" s="432"/>
      <c r="H227" s="432"/>
      <c r="I227" s="432"/>
      <c r="J227" s="432"/>
      <c r="K227" s="433"/>
      <c r="L227" s="433"/>
      <c r="M227" s="503"/>
      <c r="N227" s="435"/>
      <c r="O227" s="435"/>
      <c r="P227" s="407"/>
      <c r="Q227" s="414"/>
    </row>
    <row r="228" spans="1:17" s="430" customFormat="1" ht="25.15" customHeight="1">
      <c r="A228" s="835"/>
      <c r="B228" s="401">
        <v>1</v>
      </c>
      <c r="C228" s="405">
        <v>200</v>
      </c>
      <c r="D228" s="459">
        <f>D227+200+150</f>
        <v>3380</v>
      </c>
      <c r="E228" s="401">
        <f>250</f>
        <v>250</v>
      </c>
      <c r="F228" s="431">
        <v>10</v>
      </c>
      <c r="G228" s="432">
        <f>C228+D228+E228</f>
        <v>3830</v>
      </c>
      <c r="H228" s="432">
        <v>0</v>
      </c>
      <c r="I228" s="432">
        <f>F228*45</f>
        <v>450</v>
      </c>
      <c r="J228" s="432">
        <f>G228+I228*H228</f>
        <v>3830</v>
      </c>
      <c r="K228" s="433">
        <v>2</v>
      </c>
      <c r="L228" s="433">
        <v>1</v>
      </c>
      <c r="M228" s="503">
        <f t="shared" ref="M228:M231" si="205">J228*K228*L228/1000</f>
        <v>7.66</v>
      </c>
      <c r="N228" s="435">
        <f t="shared" ref="N228:N231" si="206">_xlfn.XLOOKUP(F228,$R$5:$Z$5,$R$6:$Z$6,"NOT_FOUND",0)</f>
        <v>0.61699999999999999</v>
      </c>
      <c r="O228" s="435">
        <f t="shared" ref="O228:O231" si="207">M228*N228</f>
        <v>4.7262199999999996</v>
      </c>
      <c r="P228" s="407"/>
    </row>
    <row r="229" spans="1:17" s="430" customFormat="1" ht="25.15" customHeight="1">
      <c r="A229" s="835"/>
      <c r="B229" s="401">
        <v>2</v>
      </c>
      <c r="C229" s="405">
        <v>100</v>
      </c>
      <c r="D229" s="459">
        <f>D227+200+170</f>
        <v>3400</v>
      </c>
      <c r="E229" s="401">
        <v>130</v>
      </c>
      <c r="F229" s="431">
        <v>10</v>
      </c>
      <c r="G229" s="432">
        <f>C229+D229+E229</f>
        <v>3630</v>
      </c>
      <c r="H229" s="432">
        <v>0</v>
      </c>
      <c r="I229" s="432">
        <f t="shared" ref="I229:I231" si="208">F229*45</f>
        <v>450</v>
      </c>
      <c r="J229" s="432">
        <f t="shared" ref="J229:J231" si="209">G229+I229*H229</f>
        <v>3630</v>
      </c>
      <c r="K229" s="433">
        <v>2</v>
      </c>
      <c r="L229" s="433">
        <v>1</v>
      </c>
      <c r="M229" s="503">
        <f t="shared" si="205"/>
        <v>7.26</v>
      </c>
      <c r="N229" s="435">
        <f t="shared" si="206"/>
        <v>0.61699999999999999</v>
      </c>
      <c r="O229" s="435">
        <f t="shared" si="207"/>
        <v>4.4794200000000002</v>
      </c>
      <c r="P229" s="407"/>
    </row>
    <row r="230" spans="1:17" s="430" customFormat="1" ht="25.15" customHeight="1">
      <c r="A230" s="835"/>
      <c r="B230" s="401">
        <v>3</v>
      </c>
      <c r="C230" s="405">
        <v>240</v>
      </c>
      <c r="D230" s="406">
        <v>160</v>
      </c>
      <c r="E230" s="401">
        <v>60</v>
      </c>
      <c r="F230" s="431">
        <v>6</v>
      </c>
      <c r="G230" s="432">
        <f>(C230+D230+E230)*2</f>
        <v>920</v>
      </c>
      <c r="H230" s="432">
        <v>0</v>
      </c>
      <c r="I230" s="432">
        <f t="shared" si="208"/>
        <v>270</v>
      </c>
      <c r="J230" s="432">
        <f t="shared" si="209"/>
        <v>920</v>
      </c>
      <c r="K230" s="680">
        <f>+ROUND(D227/200,0)</f>
        <v>15</v>
      </c>
      <c r="L230" s="433">
        <v>1</v>
      </c>
      <c r="M230" s="503">
        <f t="shared" si="205"/>
        <v>13.8</v>
      </c>
      <c r="N230" s="435">
        <f t="shared" si="206"/>
        <v>0.222</v>
      </c>
      <c r="O230" s="435">
        <f t="shared" si="207"/>
        <v>3.0636000000000001</v>
      </c>
      <c r="P230" s="407"/>
    </row>
    <row r="231" spans="1:17" s="430" customFormat="1" ht="25.15" customHeight="1">
      <c r="A231" s="836"/>
      <c r="B231" s="401" t="s">
        <v>158</v>
      </c>
      <c r="C231" s="405">
        <v>100</v>
      </c>
      <c r="D231" s="406">
        <v>200</v>
      </c>
      <c r="E231" s="401"/>
      <c r="F231" s="431">
        <v>10</v>
      </c>
      <c r="G231" s="432">
        <f>C231+D231</f>
        <v>300</v>
      </c>
      <c r="H231" s="432">
        <v>0</v>
      </c>
      <c r="I231" s="432">
        <f t="shared" si="208"/>
        <v>450</v>
      </c>
      <c r="J231" s="432">
        <f t="shared" si="209"/>
        <v>300</v>
      </c>
      <c r="K231" s="680">
        <f>+ROUND(D227/600,0)</f>
        <v>5</v>
      </c>
      <c r="L231" s="433">
        <v>1</v>
      </c>
      <c r="M231" s="503">
        <f t="shared" si="205"/>
        <v>1.5</v>
      </c>
      <c r="N231" s="435">
        <f t="shared" si="206"/>
        <v>0.61699999999999999</v>
      </c>
      <c r="O231" s="435">
        <f t="shared" si="207"/>
        <v>0.92549999999999999</v>
      </c>
      <c r="P231" s="407" t="s">
        <v>347</v>
      </c>
    </row>
    <row r="232" spans="1:17" s="430" customFormat="1" ht="25.15" customHeight="1">
      <c r="A232" s="588" t="s">
        <v>506</v>
      </c>
      <c r="B232" s="589"/>
      <c r="C232" s="590"/>
      <c r="D232" s="591"/>
      <c r="E232" s="589"/>
      <c r="F232" s="592"/>
      <c r="G232" s="593"/>
      <c r="H232" s="593"/>
      <c r="I232" s="593"/>
      <c r="J232" s="593"/>
      <c r="K232" s="593"/>
      <c r="L232" s="593"/>
      <c r="M232" s="594"/>
      <c r="N232" s="595"/>
      <c r="O232" s="595"/>
      <c r="P232" s="596"/>
    </row>
    <row r="233" spans="1:17" s="430" customFormat="1" ht="25.15" customHeight="1">
      <c r="A233" s="834" t="s">
        <v>489</v>
      </c>
      <c r="B233" s="401"/>
      <c r="C233" s="402" t="s">
        <v>321</v>
      </c>
      <c r="D233" s="403">
        <v>3595</v>
      </c>
      <c r="E233" s="404" t="s">
        <v>322</v>
      </c>
      <c r="F233" s="431"/>
      <c r="G233" s="432"/>
      <c r="H233" s="432"/>
      <c r="I233" s="432"/>
      <c r="J233" s="432"/>
      <c r="K233" s="433"/>
      <c r="L233" s="433"/>
      <c r="M233" s="503"/>
      <c r="N233" s="435"/>
      <c r="O233" s="435"/>
      <c r="P233" s="407"/>
      <c r="Q233" s="414"/>
    </row>
    <row r="234" spans="1:17" s="430" customFormat="1" ht="25.15" customHeight="1">
      <c r="A234" s="835"/>
      <c r="B234" s="401">
        <v>1</v>
      </c>
      <c r="C234" s="405">
        <v>200</v>
      </c>
      <c r="D234" s="459">
        <f>D233+200+150</f>
        <v>3945</v>
      </c>
      <c r="E234" s="401">
        <f>250</f>
        <v>250</v>
      </c>
      <c r="F234" s="431">
        <v>10</v>
      </c>
      <c r="G234" s="432">
        <f>C234+D234+E234</f>
        <v>4395</v>
      </c>
      <c r="H234" s="432">
        <v>0</v>
      </c>
      <c r="I234" s="432">
        <f>F234*45</f>
        <v>450</v>
      </c>
      <c r="J234" s="432">
        <f>G234+I234*H234</f>
        <v>4395</v>
      </c>
      <c r="K234" s="433">
        <v>2</v>
      </c>
      <c r="L234" s="433">
        <v>1</v>
      </c>
      <c r="M234" s="503">
        <f t="shared" ref="M234:M237" si="210">J234*K234*L234/1000</f>
        <v>8.7899999999999991</v>
      </c>
      <c r="N234" s="435">
        <f t="shared" ref="N234:N237" si="211">_xlfn.XLOOKUP(F234,$R$5:$Z$5,$R$6:$Z$6,"NOT_FOUND",0)</f>
        <v>0.61699999999999999</v>
      </c>
      <c r="O234" s="435">
        <f t="shared" ref="O234:O237" si="212">M234*N234</f>
        <v>5.4234299999999998</v>
      </c>
      <c r="P234" s="407"/>
    </row>
    <row r="235" spans="1:17" s="430" customFormat="1" ht="25.15" customHeight="1">
      <c r="A235" s="835"/>
      <c r="B235" s="401">
        <v>2</v>
      </c>
      <c r="C235" s="405">
        <v>100</v>
      </c>
      <c r="D235" s="459">
        <f>D233+200+170</f>
        <v>3965</v>
      </c>
      <c r="E235" s="401">
        <v>130</v>
      </c>
      <c r="F235" s="431">
        <v>10</v>
      </c>
      <c r="G235" s="432">
        <f>C235+D235+E235</f>
        <v>4195</v>
      </c>
      <c r="H235" s="432">
        <v>0</v>
      </c>
      <c r="I235" s="432">
        <f t="shared" ref="I235:I237" si="213">F235*45</f>
        <v>450</v>
      </c>
      <c r="J235" s="432">
        <f t="shared" ref="J235:J237" si="214">G235+I235*H235</f>
        <v>4195</v>
      </c>
      <c r="K235" s="433">
        <v>2</v>
      </c>
      <c r="L235" s="433">
        <v>1</v>
      </c>
      <c r="M235" s="503">
        <f t="shared" si="210"/>
        <v>8.39</v>
      </c>
      <c r="N235" s="435">
        <f t="shared" si="211"/>
        <v>0.61699999999999999</v>
      </c>
      <c r="O235" s="435">
        <f t="shared" si="212"/>
        <v>5.1766300000000003</v>
      </c>
      <c r="P235" s="407"/>
    </row>
    <row r="236" spans="1:17" s="430" customFormat="1" ht="25.15" customHeight="1">
      <c r="A236" s="835"/>
      <c r="B236" s="401">
        <v>3</v>
      </c>
      <c r="C236" s="405">
        <v>240</v>
      </c>
      <c r="D236" s="406">
        <v>160</v>
      </c>
      <c r="E236" s="401">
        <v>60</v>
      </c>
      <c r="F236" s="431">
        <v>6</v>
      </c>
      <c r="G236" s="432">
        <f>(C236+D236+E236)*2</f>
        <v>920</v>
      </c>
      <c r="H236" s="432">
        <v>0</v>
      </c>
      <c r="I236" s="432">
        <f t="shared" si="213"/>
        <v>270</v>
      </c>
      <c r="J236" s="432">
        <f t="shared" si="214"/>
        <v>920</v>
      </c>
      <c r="K236" s="680">
        <f>+ROUND(D233/200,0)</f>
        <v>18</v>
      </c>
      <c r="L236" s="433">
        <v>1</v>
      </c>
      <c r="M236" s="503">
        <f t="shared" si="210"/>
        <v>16.559999999999999</v>
      </c>
      <c r="N236" s="435">
        <f t="shared" si="211"/>
        <v>0.222</v>
      </c>
      <c r="O236" s="435">
        <f t="shared" si="212"/>
        <v>3.6763199999999996</v>
      </c>
      <c r="P236" s="407"/>
    </row>
    <row r="237" spans="1:17" s="430" customFormat="1" ht="25.15" customHeight="1">
      <c r="A237" s="836"/>
      <c r="B237" s="401" t="s">
        <v>158</v>
      </c>
      <c r="C237" s="405">
        <v>100</v>
      </c>
      <c r="D237" s="406">
        <v>200</v>
      </c>
      <c r="E237" s="401"/>
      <c r="F237" s="431">
        <v>10</v>
      </c>
      <c r="G237" s="432">
        <f>C237+D237</f>
        <v>300</v>
      </c>
      <c r="H237" s="432">
        <v>0</v>
      </c>
      <c r="I237" s="432">
        <f t="shared" si="213"/>
        <v>450</v>
      </c>
      <c r="J237" s="432">
        <f t="shared" si="214"/>
        <v>300</v>
      </c>
      <c r="K237" s="680">
        <f>+ROUND(D233/600,0)</f>
        <v>6</v>
      </c>
      <c r="L237" s="433">
        <v>1</v>
      </c>
      <c r="M237" s="503">
        <f t="shared" si="210"/>
        <v>1.8</v>
      </c>
      <c r="N237" s="435">
        <f t="shared" si="211"/>
        <v>0.61699999999999999</v>
      </c>
      <c r="O237" s="435">
        <f t="shared" si="212"/>
        <v>1.1106</v>
      </c>
      <c r="P237" s="407" t="s">
        <v>347</v>
      </c>
    </row>
    <row r="238" spans="1:17" s="430" customFormat="1" ht="25.15" customHeight="1">
      <c r="A238" s="834" t="s">
        <v>489</v>
      </c>
      <c r="B238" s="401"/>
      <c r="C238" s="402" t="s">
        <v>321</v>
      </c>
      <c r="D238" s="403">
        <v>3160</v>
      </c>
      <c r="E238" s="404" t="s">
        <v>322</v>
      </c>
      <c r="F238" s="431"/>
      <c r="G238" s="432"/>
      <c r="H238" s="432"/>
      <c r="I238" s="432"/>
      <c r="J238" s="432"/>
      <c r="K238" s="433"/>
      <c r="L238" s="433"/>
      <c r="M238" s="503"/>
      <c r="N238" s="435"/>
      <c r="O238" s="435"/>
      <c r="P238" s="407"/>
      <c r="Q238" s="414"/>
    </row>
    <row r="239" spans="1:17" s="430" customFormat="1" ht="25.15" customHeight="1">
      <c r="A239" s="835"/>
      <c r="B239" s="401">
        <v>1</v>
      </c>
      <c r="C239" s="405">
        <v>200</v>
      </c>
      <c r="D239" s="459">
        <f>D238+200+150</f>
        <v>3510</v>
      </c>
      <c r="E239" s="401">
        <f>250</f>
        <v>250</v>
      </c>
      <c r="F239" s="431">
        <v>10</v>
      </c>
      <c r="G239" s="432">
        <f>C239+D239+E239</f>
        <v>3960</v>
      </c>
      <c r="H239" s="432">
        <v>0</v>
      </c>
      <c r="I239" s="432">
        <f>F239*45</f>
        <v>450</v>
      </c>
      <c r="J239" s="432">
        <f>G239+I239*H239</f>
        <v>3960</v>
      </c>
      <c r="K239" s="433">
        <v>2</v>
      </c>
      <c r="L239" s="433">
        <v>1</v>
      </c>
      <c r="M239" s="503">
        <f t="shared" ref="M239:M242" si="215">J239*K239*L239/1000</f>
        <v>7.92</v>
      </c>
      <c r="N239" s="435">
        <f t="shared" ref="N239:N242" si="216">_xlfn.XLOOKUP(F239,$R$5:$Z$5,$R$6:$Z$6,"NOT_FOUND",0)</f>
        <v>0.61699999999999999</v>
      </c>
      <c r="O239" s="435">
        <f t="shared" ref="O239:O242" si="217">M239*N239</f>
        <v>4.8866399999999999</v>
      </c>
      <c r="P239" s="407"/>
    </row>
    <row r="240" spans="1:17" s="430" customFormat="1" ht="25.15" customHeight="1">
      <c r="A240" s="835"/>
      <c r="B240" s="401">
        <v>2</v>
      </c>
      <c r="C240" s="405">
        <v>100</v>
      </c>
      <c r="D240" s="459">
        <f>D238+200+170</f>
        <v>3530</v>
      </c>
      <c r="E240" s="401">
        <v>130</v>
      </c>
      <c r="F240" s="431">
        <v>10</v>
      </c>
      <c r="G240" s="432">
        <f>C240+D240+E240</f>
        <v>3760</v>
      </c>
      <c r="H240" s="432">
        <v>0</v>
      </c>
      <c r="I240" s="432">
        <f t="shared" ref="I240:I242" si="218">F240*45</f>
        <v>450</v>
      </c>
      <c r="J240" s="432">
        <f t="shared" ref="J240:J242" si="219">G240+I240*H240</f>
        <v>3760</v>
      </c>
      <c r="K240" s="433">
        <v>2</v>
      </c>
      <c r="L240" s="433">
        <v>1</v>
      </c>
      <c r="M240" s="503">
        <f t="shared" si="215"/>
        <v>7.52</v>
      </c>
      <c r="N240" s="435">
        <f t="shared" si="216"/>
        <v>0.61699999999999999</v>
      </c>
      <c r="O240" s="435">
        <f t="shared" si="217"/>
        <v>4.6398399999999995</v>
      </c>
      <c r="P240" s="407"/>
    </row>
    <row r="241" spans="1:17" s="430" customFormat="1" ht="25.15" customHeight="1">
      <c r="A241" s="835"/>
      <c r="B241" s="401">
        <v>3</v>
      </c>
      <c r="C241" s="405">
        <v>240</v>
      </c>
      <c r="D241" s="406">
        <v>160</v>
      </c>
      <c r="E241" s="401">
        <v>60</v>
      </c>
      <c r="F241" s="431">
        <v>6</v>
      </c>
      <c r="G241" s="432">
        <f>(C241+D241+E241)*2</f>
        <v>920</v>
      </c>
      <c r="H241" s="432">
        <v>0</v>
      </c>
      <c r="I241" s="432">
        <f t="shared" si="218"/>
        <v>270</v>
      </c>
      <c r="J241" s="432">
        <f t="shared" si="219"/>
        <v>920</v>
      </c>
      <c r="K241" s="680">
        <f>+ROUND(D238/200,0)</f>
        <v>16</v>
      </c>
      <c r="L241" s="433">
        <v>1</v>
      </c>
      <c r="M241" s="503">
        <f t="shared" si="215"/>
        <v>14.72</v>
      </c>
      <c r="N241" s="435">
        <f t="shared" si="216"/>
        <v>0.222</v>
      </c>
      <c r="O241" s="435">
        <f t="shared" si="217"/>
        <v>3.2678400000000001</v>
      </c>
      <c r="P241" s="407"/>
    </row>
    <row r="242" spans="1:17" s="430" customFormat="1" ht="25.15" customHeight="1">
      <c r="A242" s="836"/>
      <c r="B242" s="401" t="s">
        <v>158</v>
      </c>
      <c r="C242" s="405">
        <v>100</v>
      </c>
      <c r="D242" s="406">
        <v>200</v>
      </c>
      <c r="E242" s="401"/>
      <c r="F242" s="431">
        <v>10</v>
      </c>
      <c r="G242" s="432">
        <f>C242+D242</f>
        <v>300</v>
      </c>
      <c r="H242" s="432">
        <v>0</v>
      </c>
      <c r="I242" s="432">
        <f t="shared" si="218"/>
        <v>450</v>
      </c>
      <c r="J242" s="432">
        <f t="shared" si="219"/>
        <v>300</v>
      </c>
      <c r="K242" s="680">
        <f>+ROUND(D238/600,0)</f>
        <v>5</v>
      </c>
      <c r="L242" s="433">
        <v>1</v>
      </c>
      <c r="M242" s="503">
        <f t="shared" si="215"/>
        <v>1.5</v>
      </c>
      <c r="N242" s="435">
        <f t="shared" si="216"/>
        <v>0.61699999999999999</v>
      </c>
      <c r="O242" s="435">
        <f t="shared" si="217"/>
        <v>0.92549999999999999</v>
      </c>
      <c r="P242" s="407" t="s">
        <v>347</v>
      </c>
    </row>
    <row r="243" spans="1:17" s="430" customFormat="1" ht="25.15" customHeight="1">
      <c r="A243" s="834" t="s">
        <v>501</v>
      </c>
      <c r="B243" s="401"/>
      <c r="C243" s="402" t="s">
        <v>321</v>
      </c>
      <c r="D243" s="403">
        <v>1385</v>
      </c>
      <c r="E243" s="404" t="s">
        <v>322</v>
      </c>
      <c r="F243" s="431"/>
      <c r="G243" s="432"/>
      <c r="H243" s="432"/>
      <c r="I243" s="432"/>
      <c r="J243" s="432"/>
      <c r="K243" s="433"/>
      <c r="L243" s="433"/>
      <c r="M243" s="503"/>
      <c r="N243" s="435"/>
      <c r="O243" s="435"/>
      <c r="P243" s="407"/>
      <c r="Q243" s="414"/>
    </row>
    <row r="244" spans="1:17" s="430" customFormat="1" ht="25.15" customHeight="1">
      <c r="A244" s="835"/>
      <c r="B244" s="401">
        <v>1</v>
      </c>
      <c r="C244" s="405">
        <v>150</v>
      </c>
      <c r="D244" s="459">
        <f>D243+200+150</f>
        <v>1735</v>
      </c>
      <c r="E244" s="401">
        <v>150</v>
      </c>
      <c r="F244" s="431">
        <v>10</v>
      </c>
      <c r="G244" s="432">
        <f>C244+D244+E244</f>
        <v>2035</v>
      </c>
      <c r="H244" s="432">
        <v>0</v>
      </c>
      <c r="I244" s="432">
        <f>F244*45</f>
        <v>450</v>
      </c>
      <c r="J244" s="432">
        <f>G244+I244*H244</f>
        <v>2035</v>
      </c>
      <c r="K244" s="433">
        <v>2</v>
      </c>
      <c r="L244" s="433">
        <v>1</v>
      </c>
      <c r="M244" s="503">
        <f t="shared" ref="M244:M247" si="220">J244*K244*L244/1000</f>
        <v>4.07</v>
      </c>
      <c r="N244" s="435">
        <f t="shared" ref="N244:N247" si="221">_xlfn.XLOOKUP(F244,$R$5:$Z$5,$R$6:$Z$6,"NOT_FOUND",0)</f>
        <v>0.61699999999999999</v>
      </c>
      <c r="O244" s="435">
        <f t="shared" ref="O244:O247" si="222">M244*N244</f>
        <v>2.51119</v>
      </c>
      <c r="P244" s="407"/>
    </row>
    <row r="245" spans="1:17" s="430" customFormat="1" ht="25.15" customHeight="1">
      <c r="A245" s="835"/>
      <c r="B245" s="401">
        <v>2</v>
      </c>
      <c r="C245" s="405">
        <v>100</v>
      </c>
      <c r="D245" s="459">
        <f>D243+200+150</f>
        <v>1735</v>
      </c>
      <c r="E245" s="401">
        <v>150</v>
      </c>
      <c r="F245" s="431">
        <v>10</v>
      </c>
      <c r="G245" s="432">
        <f>C245+D245+E245</f>
        <v>1985</v>
      </c>
      <c r="H245" s="432">
        <v>0</v>
      </c>
      <c r="I245" s="432">
        <f t="shared" ref="I245:I247" si="223">F245*45</f>
        <v>450</v>
      </c>
      <c r="J245" s="432">
        <f t="shared" ref="J245:J247" si="224">G245+I245*H245</f>
        <v>1985</v>
      </c>
      <c r="K245" s="433">
        <v>2</v>
      </c>
      <c r="L245" s="433">
        <v>1</v>
      </c>
      <c r="M245" s="503">
        <f t="shared" si="220"/>
        <v>3.97</v>
      </c>
      <c r="N245" s="435">
        <f t="shared" si="221"/>
        <v>0.61699999999999999</v>
      </c>
      <c r="O245" s="435">
        <f t="shared" si="222"/>
        <v>2.4494899999999999</v>
      </c>
      <c r="P245" s="407"/>
    </row>
    <row r="246" spans="1:17" s="430" customFormat="1" ht="25.15" customHeight="1">
      <c r="A246" s="835"/>
      <c r="B246" s="401">
        <v>3</v>
      </c>
      <c r="C246" s="405">
        <v>140</v>
      </c>
      <c r="D246" s="406">
        <v>160</v>
      </c>
      <c r="E246" s="401">
        <v>60</v>
      </c>
      <c r="F246" s="431">
        <v>6</v>
      </c>
      <c r="G246" s="432">
        <f>(C246+D246+E246)*2</f>
        <v>720</v>
      </c>
      <c r="H246" s="432">
        <v>0</v>
      </c>
      <c r="I246" s="432">
        <f t="shared" si="223"/>
        <v>270</v>
      </c>
      <c r="J246" s="432">
        <f t="shared" si="224"/>
        <v>720</v>
      </c>
      <c r="K246" s="680">
        <f>+ROUND(D243/200,0)</f>
        <v>7</v>
      </c>
      <c r="L246" s="433">
        <v>1</v>
      </c>
      <c r="M246" s="503">
        <f t="shared" si="220"/>
        <v>5.04</v>
      </c>
      <c r="N246" s="435">
        <f t="shared" si="221"/>
        <v>0.222</v>
      </c>
      <c r="O246" s="435">
        <f t="shared" si="222"/>
        <v>1.1188800000000001</v>
      </c>
      <c r="P246" s="407"/>
    </row>
    <row r="247" spans="1:17" s="430" customFormat="1" ht="25.15" customHeight="1">
      <c r="A247" s="836"/>
      <c r="B247" s="401" t="s">
        <v>158</v>
      </c>
      <c r="C247" s="405">
        <v>100</v>
      </c>
      <c r="D247" s="406">
        <v>200</v>
      </c>
      <c r="E247" s="401"/>
      <c r="F247" s="431">
        <v>10</v>
      </c>
      <c r="G247" s="432">
        <f>C247+D247</f>
        <v>300</v>
      </c>
      <c r="H247" s="432">
        <v>0</v>
      </c>
      <c r="I247" s="432">
        <f t="shared" si="223"/>
        <v>450</v>
      </c>
      <c r="J247" s="432">
        <f t="shared" si="224"/>
        <v>300</v>
      </c>
      <c r="K247" s="680">
        <f>+ROUND(D243/600,0)</f>
        <v>2</v>
      </c>
      <c r="L247" s="433">
        <v>1</v>
      </c>
      <c r="M247" s="503">
        <f t="shared" si="220"/>
        <v>0.6</v>
      </c>
      <c r="N247" s="435">
        <f t="shared" si="221"/>
        <v>0.61699999999999999</v>
      </c>
      <c r="O247" s="435">
        <f t="shared" si="222"/>
        <v>0.37019999999999997</v>
      </c>
      <c r="P247" s="407" t="s">
        <v>347</v>
      </c>
    </row>
    <row r="248" spans="1:17" s="430" customFormat="1" ht="25.15" customHeight="1">
      <c r="A248" s="834" t="s">
        <v>489</v>
      </c>
      <c r="B248" s="401"/>
      <c r="C248" s="402" t="s">
        <v>321</v>
      </c>
      <c r="D248" s="403">
        <v>2755</v>
      </c>
      <c r="E248" s="404" t="s">
        <v>322</v>
      </c>
      <c r="F248" s="431"/>
      <c r="G248" s="432"/>
      <c r="H248" s="432"/>
      <c r="I248" s="432"/>
      <c r="J248" s="432"/>
      <c r="K248" s="433"/>
      <c r="L248" s="433"/>
      <c r="M248" s="503"/>
      <c r="N248" s="435"/>
      <c r="O248" s="435"/>
      <c r="P248" s="407"/>
      <c r="Q248" s="414"/>
    </row>
    <row r="249" spans="1:17" s="430" customFormat="1" ht="25.15" customHeight="1">
      <c r="A249" s="835"/>
      <c r="B249" s="401">
        <v>1</v>
      </c>
      <c r="C249" s="405">
        <v>200</v>
      </c>
      <c r="D249" s="459">
        <f>D248+200+150</f>
        <v>3105</v>
      </c>
      <c r="E249" s="401">
        <f>250</f>
        <v>250</v>
      </c>
      <c r="F249" s="431">
        <v>10</v>
      </c>
      <c r="G249" s="432">
        <f>C249+D249+E249</f>
        <v>3555</v>
      </c>
      <c r="H249" s="432">
        <v>0</v>
      </c>
      <c r="I249" s="432">
        <f>F249*45</f>
        <v>450</v>
      </c>
      <c r="J249" s="432">
        <f>G249+I249*H249</f>
        <v>3555</v>
      </c>
      <c r="K249" s="433">
        <v>2</v>
      </c>
      <c r="L249" s="433">
        <v>1</v>
      </c>
      <c r="M249" s="503">
        <f t="shared" ref="M249:M252" si="225">J249*K249*L249/1000</f>
        <v>7.11</v>
      </c>
      <c r="N249" s="435">
        <f t="shared" ref="N249:N252" si="226">_xlfn.XLOOKUP(F249,$R$5:$Z$5,$R$6:$Z$6,"NOT_FOUND",0)</f>
        <v>0.61699999999999999</v>
      </c>
      <c r="O249" s="435">
        <f t="shared" ref="O249:O252" si="227">M249*N249</f>
        <v>4.38687</v>
      </c>
      <c r="P249" s="407"/>
    </row>
    <row r="250" spans="1:17" s="430" customFormat="1" ht="25.15" customHeight="1">
      <c r="A250" s="835"/>
      <c r="B250" s="401">
        <v>2</v>
      </c>
      <c r="C250" s="405">
        <v>100</v>
      </c>
      <c r="D250" s="459">
        <f>D248+200+170</f>
        <v>3125</v>
      </c>
      <c r="E250" s="401">
        <v>130</v>
      </c>
      <c r="F250" s="431">
        <v>10</v>
      </c>
      <c r="G250" s="432">
        <f>C250+D250+E250</f>
        <v>3355</v>
      </c>
      <c r="H250" s="432">
        <v>0</v>
      </c>
      <c r="I250" s="432">
        <f t="shared" ref="I250:I252" si="228">F250*45</f>
        <v>450</v>
      </c>
      <c r="J250" s="432">
        <f t="shared" ref="J250:J252" si="229">G250+I250*H250</f>
        <v>3355</v>
      </c>
      <c r="K250" s="433">
        <v>2</v>
      </c>
      <c r="L250" s="433">
        <v>1</v>
      </c>
      <c r="M250" s="503">
        <f t="shared" si="225"/>
        <v>6.71</v>
      </c>
      <c r="N250" s="435">
        <f t="shared" si="226"/>
        <v>0.61699999999999999</v>
      </c>
      <c r="O250" s="435">
        <f t="shared" si="227"/>
        <v>4.1400699999999997</v>
      </c>
      <c r="P250" s="407"/>
    </row>
    <row r="251" spans="1:17" s="430" customFormat="1" ht="25.15" customHeight="1">
      <c r="A251" s="835"/>
      <c r="B251" s="401">
        <v>3</v>
      </c>
      <c r="C251" s="405">
        <v>240</v>
      </c>
      <c r="D251" s="406">
        <v>160</v>
      </c>
      <c r="E251" s="401">
        <v>60</v>
      </c>
      <c r="F251" s="431">
        <v>6</v>
      </c>
      <c r="G251" s="432">
        <f>(C251+D251+E251)*2</f>
        <v>920</v>
      </c>
      <c r="H251" s="432">
        <v>0</v>
      </c>
      <c r="I251" s="432">
        <f t="shared" si="228"/>
        <v>270</v>
      </c>
      <c r="J251" s="432">
        <f t="shared" si="229"/>
        <v>920</v>
      </c>
      <c r="K251" s="680">
        <f>+ROUND(D248/200,0)</f>
        <v>14</v>
      </c>
      <c r="L251" s="433">
        <v>1</v>
      </c>
      <c r="M251" s="503">
        <f t="shared" si="225"/>
        <v>12.88</v>
      </c>
      <c r="N251" s="435">
        <f t="shared" si="226"/>
        <v>0.222</v>
      </c>
      <c r="O251" s="435">
        <f t="shared" si="227"/>
        <v>2.8593600000000001</v>
      </c>
      <c r="P251" s="407"/>
    </row>
    <row r="252" spans="1:17" s="430" customFormat="1" ht="25.15" customHeight="1">
      <c r="A252" s="836"/>
      <c r="B252" s="401" t="s">
        <v>158</v>
      </c>
      <c r="C252" s="405">
        <v>100</v>
      </c>
      <c r="D252" s="406">
        <v>200</v>
      </c>
      <c r="E252" s="401"/>
      <c r="F252" s="431">
        <v>10</v>
      </c>
      <c r="G252" s="432">
        <f>C252+D252</f>
        <v>300</v>
      </c>
      <c r="H252" s="432">
        <v>0</v>
      </c>
      <c r="I252" s="432">
        <f t="shared" si="228"/>
        <v>450</v>
      </c>
      <c r="J252" s="432">
        <f t="shared" si="229"/>
        <v>300</v>
      </c>
      <c r="K252" s="680">
        <f>+ROUND(D248/600,0)</f>
        <v>5</v>
      </c>
      <c r="L252" s="433">
        <v>1</v>
      </c>
      <c r="M252" s="503">
        <f t="shared" si="225"/>
        <v>1.5</v>
      </c>
      <c r="N252" s="435">
        <f t="shared" si="226"/>
        <v>0.61699999999999999</v>
      </c>
      <c r="O252" s="435">
        <f t="shared" si="227"/>
        <v>0.92549999999999999</v>
      </c>
      <c r="P252" s="407" t="s">
        <v>347</v>
      </c>
    </row>
    <row r="253" spans="1:17" s="430" customFormat="1" ht="25.15" customHeight="1">
      <c r="A253" s="834" t="s">
        <v>489</v>
      </c>
      <c r="B253" s="401"/>
      <c r="C253" s="402" t="s">
        <v>321</v>
      </c>
      <c r="D253" s="403">
        <v>2735</v>
      </c>
      <c r="E253" s="404" t="s">
        <v>322</v>
      </c>
      <c r="F253" s="431"/>
      <c r="G253" s="432"/>
      <c r="H253" s="432"/>
      <c r="I253" s="432"/>
      <c r="J253" s="432"/>
      <c r="K253" s="433"/>
      <c r="L253" s="433"/>
      <c r="M253" s="503"/>
      <c r="N253" s="435"/>
      <c r="O253" s="435"/>
      <c r="P253" s="407"/>
      <c r="Q253" s="414"/>
    </row>
    <row r="254" spans="1:17" s="430" customFormat="1" ht="25.15" customHeight="1">
      <c r="A254" s="835"/>
      <c r="B254" s="401">
        <v>1</v>
      </c>
      <c r="C254" s="405">
        <v>200</v>
      </c>
      <c r="D254" s="459">
        <f>D253+200+150</f>
        <v>3085</v>
      </c>
      <c r="E254" s="401">
        <f>250</f>
        <v>250</v>
      </c>
      <c r="F254" s="431">
        <v>10</v>
      </c>
      <c r="G254" s="432">
        <f>C254+D254+E254</f>
        <v>3535</v>
      </c>
      <c r="H254" s="432">
        <v>0</v>
      </c>
      <c r="I254" s="432">
        <f>F254*45</f>
        <v>450</v>
      </c>
      <c r="J254" s="432">
        <f>G254+I254*H254</f>
        <v>3535</v>
      </c>
      <c r="K254" s="433">
        <v>2</v>
      </c>
      <c r="L254" s="433">
        <v>1</v>
      </c>
      <c r="M254" s="503">
        <f t="shared" ref="M254:M257" si="230">J254*K254*L254/1000</f>
        <v>7.07</v>
      </c>
      <c r="N254" s="435">
        <f t="shared" ref="N254:N257" si="231">_xlfn.XLOOKUP(F254,$R$5:$Z$5,$R$6:$Z$6,"NOT_FOUND",0)</f>
        <v>0.61699999999999999</v>
      </c>
      <c r="O254" s="435">
        <f t="shared" ref="O254:O257" si="232">M254*N254</f>
        <v>4.36219</v>
      </c>
      <c r="P254" s="407"/>
    </row>
    <row r="255" spans="1:17" s="430" customFormat="1" ht="25.15" customHeight="1">
      <c r="A255" s="835"/>
      <c r="B255" s="401">
        <v>2</v>
      </c>
      <c r="C255" s="405">
        <v>100</v>
      </c>
      <c r="D255" s="459">
        <f>D253+200+170</f>
        <v>3105</v>
      </c>
      <c r="E255" s="401">
        <v>130</v>
      </c>
      <c r="F255" s="431">
        <v>10</v>
      </c>
      <c r="G255" s="432">
        <f>C255+D255+E255</f>
        <v>3335</v>
      </c>
      <c r="H255" s="432">
        <v>0</v>
      </c>
      <c r="I255" s="432">
        <f t="shared" ref="I255:I257" si="233">F255*45</f>
        <v>450</v>
      </c>
      <c r="J255" s="432">
        <f t="shared" ref="J255:J257" si="234">G255+I255*H255</f>
        <v>3335</v>
      </c>
      <c r="K255" s="433">
        <v>2</v>
      </c>
      <c r="L255" s="433">
        <v>1</v>
      </c>
      <c r="M255" s="503">
        <f t="shared" si="230"/>
        <v>6.67</v>
      </c>
      <c r="N255" s="435">
        <f t="shared" si="231"/>
        <v>0.61699999999999999</v>
      </c>
      <c r="O255" s="435">
        <f t="shared" si="232"/>
        <v>4.1153899999999997</v>
      </c>
      <c r="P255" s="407"/>
    </row>
    <row r="256" spans="1:17" s="430" customFormat="1" ht="25.15" customHeight="1">
      <c r="A256" s="835"/>
      <c r="B256" s="401">
        <v>3</v>
      </c>
      <c r="C256" s="405">
        <v>240</v>
      </c>
      <c r="D256" s="406">
        <v>160</v>
      </c>
      <c r="E256" s="401">
        <v>60</v>
      </c>
      <c r="F256" s="431">
        <v>6</v>
      </c>
      <c r="G256" s="432">
        <f>(C256+D256+E256)*2</f>
        <v>920</v>
      </c>
      <c r="H256" s="432">
        <v>0</v>
      </c>
      <c r="I256" s="432">
        <f t="shared" si="233"/>
        <v>270</v>
      </c>
      <c r="J256" s="432">
        <f t="shared" si="234"/>
        <v>920</v>
      </c>
      <c r="K256" s="680">
        <f>+ROUND(D253/200,0)</f>
        <v>14</v>
      </c>
      <c r="L256" s="433">
        <v>1</v>
      </c>
      <c r="M256" s="503">
        <f t="shared" si="230"/>
        <v>12.88</v>
      </c>
      <c r="N256" s="435">
        <f t="shared" si="231"/>
        <v>0.222</v>
      </c>
      <c r="O256" s="435">
        <f t="shared" si="232"/>
        <v>2.8593600000000001</v>
      </c>
      <c r="P256" s="407"/>
    </row>
    <row r="257" spans="1:17" s="430" customFormat="1" ht="25.15" customHeight="1">
      <c r="A257" s="836"/>
      <c r="B257" s="401" t="s">
        <v>158</v>
      </c>
      <c r="C257" s="405">
        <v>100</v>
      </c>
      <c r="D257" s="406">
        <v>200</v>
      </c>
      <c r="E257" s="401"/>
      <c r="F257" s="431">
        <v>10</v>
      </c>
      <c r="G257" s="432">
        <f>C257+D257</f>
        <v>300</v>
      </c>
      <c r="H257" s="432">
        <v>0</v>
      </c>
      <c r="I257" s="432">
        <f t="shared" si="233"/>
        <v>450</v>
      </c>
      <c r="J257" s="432">
        <f t="shared" si="234"/>
        <v>300</v>
      </c>
      <c r="K257" s="680">
        <f>+ROUND(D253/600,0)</f>
        <v>5</v>
      </c>
      <c r="L257" s="433">
        <v>1</v>
      </c>
      <c r="M257" s="503">
        <f t="shared" si="230"/>
        <v>1.5</v>
      </c>
      <c r="N257" s="435">
        <f t="shared" si="231"/>
        <v>0.61699999999999999</v>
      </c>
      <c r="O257" s="435">
        <f t="shared" si="232"/>
        <v>0.92549999999999999</v>
      </c>
      <c r="P257" s="407" t="s">
        <v>347</v>
      </c>
    </row>
    <row r="258" spans="1:17" s="430" customFormat="1" ht="25.15" customHeight="1">
      <c r="A258" s="588" t="s">
        <v>507</v>
      </c>
      <c r="B258" s="589"/>
      <c r="C258" s="590"/>
      <c r="D258" s="591"/>
      <c r="E258" s="589"/>
      <c r="F258" s="592"/>
      <c r="G258" s="593"/>
      <c r="H258" s="593"/>
      <c r="I258" s="593"/>
      <c r="J258" s="593"/>
      <c r="K258" s="593"/>
      <c r="L258" s="593"/>
      <c r="M258" s="594"/>
      <c r="N258" s="595"/>
      <c r="O258" s="595"/>
      <c r="P258" s="596"/>
    </row>
    <row r="259" spans="1:17" s="430" customFormat="1" ht="25.15" customHeight="1">
      <c r="A259" s="834" t="s">
        <v>489</v>
      </c>
      <c r="B259" s="401"/>
      <c r="C259" s="402" t="s">
        <v>321</v>
      </c>
      <c r="D259" s="403">
        <v>2705</v>
      </c>
      <c r="E259" s="404" t="s">
        <v>322</v>
      </c>
      <c r="F259" s="431"/>
      <c r="G259" s="432"/>
      <c r="H259" s="432"/>
      <c r="I259" s="432"/>
      <c r="J259" s="432"/>
      <c r="K259" s="433"/>
      <c r="L259" s="433"/>
      <c r="M259" s="503"/>
      <c r="N259" s="435"/>
      <c r="O259" s="435"/>
      <c r="P259" s="407"/>
      <c r="Q259" s="414"/>
    </row>
    <row r="260" spans="1:17" s="430" customFormat="1" ht="25.15" customHeight="1">
      <c r="A260" s="835"/>
      <c r="B260" s="401">
        <v>1</v>
      </c>
      <c r="C260" s="405">
        <v>200</v>
      </c>
      <c r="D260" s="459">
        <f>D259+200+150</f>
        <v>3055</v>
      </c>
      <c r="E260" s="401">
        <f>250</f>
        <v>250</v>
      </c>
      <c r="F260" s="431">
        <v>10</v>
      </c>
      <c r="G260" s="432">
        <f>C260+D260+E260</f>
        <v>3505</v>
      </c>
      <c r="H260" s="432">
        <v>0</v>
      </c>
      <c r="I260" s="432">
        <f>F260*45</f>
        <v>450</v>
      </c>
      <c r="J260" s="432">
        <f>G260+I260*H260</f>
        <v>3505</v>
      </c>
      <c r="K260" s="433">
        <v>2</v>
      </c>
      <c r="L260" s="433">
        <v>1</v>
      </c>
      <c r="M260" s="503">
        <f t="shared" ref="M260:M263" si="235">J260*K260*L260/1000</f>
        <v>7.01</v>
      </c>
      <c r="N260" s="435">
        <f t="shared" ref="N260:N263" si="236">_xlfn.XLOOKUP(F260,$R$5:$Z$5,$R$6:$Z$6,"NOT_FOUND",0)</f>
        <v>0.61699999999999999</v>
      </c>
      <c r="O260" s="435">
        <f t="shared" ref="O260:O263" si="237">M260*N260</f>
        <v>4.32517</v>
      </c>
      <c r="P260" s="407"/>
    </row>
    <row r="261" spans="1:17" s="430" customFormat="1" ht="25.15" customHeight="1">
      <c r="A261" s="835"/>
      <c r="B261" s="401">
        <v>2</v>
      </c>
      <c r="C261" s="405">
        <v>100</v>
      </c>
      <c r="D261" s="459">
        <f>D259+200+170</f>
        <v>3075</v>
      </c>
      <c r="E261" s="401">
        <v>130</v>
      </c>
      <c r="F261" s="431">
        <v>10</v>
      </c>
      <c r="G261" s="432">
        <f>C261+D261+E261</f>
        <v>3305</v>
      </c>
      <c r="H261" s="432">
        <v>0</v>
      </c>
      <c r="I261" s="432">
        <f t="shared" ref="I261:I263" si="238">F261*45</f>
        <v>450</v>
      </c>
      <c r="J261" s="432">
        <f t="shared" ref="J261:J263" si="239">G261+I261*H261</f>
        <v>3305</v>
      </c>
      <c r="K261" s="433">
        <v>2</v>
      </c>
      <c r="L261" s="433">
        <v>1</v>
      </c>
      <c r="M261" s="503">
        <f t="shared" si="235"/>
        <v>6.61</v>
      </c>
      <c r="N261" s="435">
        <f t="shared" si="236"/>
        <v>0.61699999999999999</v>
      </c>
      <c r="O261" s="435">
        <f t="shared" si="237"/>
        <v>4.0783700000000005</v>
      </c>
      <c r="P261" s="407"/>
    </row>
    <row r="262" spans="1:17" s="430" customFormat="1" ht="25.15" customHeight="1">
      <c r="A262" s="835"/>
      <c r="B262" s="401">
        <v>3</v>
      </c>
      <c r="C262" s="405">
        <v>240</v>
      </c>
      <c r="D262" s="406">
        <v>160</v>
      </c>
      <c r="E262" s="401">
        <v>60</v>
      </c>
      <c r="F262" s="431">
        <v>6</v>
      </c>
      <c r="G262" s="432">
        <f>(C262+D262+E262)*2</f>
        <v>920</v>
      </c>
      <c r="H262" s="432">
        <v>0</v>
      </c>
      <c r="I262" s="432">
        <f t="shared" si="238"/>
        <v>270</v>
      </c>
      <c r="J262" s="432">
        <f t="shared" si="239"/>
        <v>920</v>
      </c>
      <c r="K262" s="680">
        <f>+ROUND(D259/200,0)</f>
        <v>14</v>
      </c>
      <c r="L262" s="433">
        <v>1</v>
      </c>
      <c r="M262" s="503">
        <f t="shared" si="235"/>
        <v>12.88</v>
      </c>
      <c r="N262" s="435">
        <f t="shared" si="236"/>
        <v>0.222</v>
      </c>
      <c r="O262" s="435">
        <f t="shared" si="237"/>
        <v>2.8593600000000001</v>
      </c>
      <c r="P262" s="407"/>
    </row>
    <row r="263" spans="1:17" s="430" customFormat="1" ht="25.15" customHeight="1">
      <c r="A263" s="836"/>
      <c r="B263" s="401" t="s">
        <v>158</v>
      </c>
      <c r="C263" s="405">
        <v>100</v>
      </c>
      <c r="D263" s="406">
        <v>200</v>
      </c>
      <c r="E263" s="401"/>
      <c r="F263" s="431">
        <v>10</v>
      </c>
      <c r="G263" s="432">
        <f>C263+D263</f>
        <v>300</v>
      </c>
      <c r="H263" s="432">
        <v>0</v>
      </c>
      <c r="I263" s="432">
        <f t="shared" si="238"/>
        <v>450</v>
      </c>
      <c r="J263" s="432">
        <f t="shared" si="239"/>
        <v>300</v>
      </c>
      <c r="K263" s="680">
        <f>+ROUND(D259/600,0)</f>
        <v>5</v>
      </c>
      <c r="L263" s="433">
        <v>1</v>
      </c>
      <c r="M263" s="503">
        <f t="shared" si="235"/>
        <v>1.5</v>
      </c>
      <c r="N263" s="435">
        <f t="shared" si="236"/>
        <v>0.61699999999999999</v>
      </c>
      <c r="O263" s="435">
        <f t="shared" si="237"/>
        <v>0.92549999999999999</v>
      </c>
      <c r="P263" s="407" t="s">
        <v>347</v>
      </c>
    </row>
    <row r="264" spans="1:17" s="430" customFormat="1" ht="25.15" customHeight="1">
      <c r="A264" s="834" t="s">
        <v>489</v>
      </c>
      <c r="B264" s="401"/>
      <c r="C264" s="402" t="s">
        <v>321</v>
      </c>
      <c r="D264" s="403">
        <v>2695</v>
      </c>
      <c r="E264" s="404" t="s">
        <v>322</v>
      </c>
      <c r="F264" s="431"/>
      <c r="G264" s="432"/>
      <c r="H264" s="432"/>
      <c r="I264" s="432"/>
      <c r="J264" s="432"/>
      <c r="K264" s="433"/>
      <c r="L264" s="433"/>
      <c r="M264" s="503"/>
      <c r="N264" s="435"/>
      <c r="O264" s="435"/>
      <c r="P264" s="407"/>
      <c r="Q264" s="414"/>
    </row>
    <row r="265" spans="1:17" s="430" customFormat="1" ht="25.15" customHeight="1">
      <c r="A265" s="835"/>
      <c r="B265" s="401">
        <v>1</v>
      </c>
      <c r="C265" s="405">
        <v>200</v>
      </c>
      <c r="D265" s="459">
        <f>D264+200+150</f>
        <v>3045</v>
      </c>
      <c r="E265" s="401">
        <f>250</f>
        <v>250</v>
      </c>
      <c r="F265" s="431">
        <v>10</v>
      </c>
      <c r="G265" s="432">
        <f>C265+D265+E265</f>
        <v>3495</v>
      </c>
      <c r="H265" s="432">
        <v>0</v>
      </c>
      <c r="I265" s="432">
        <f>F265*45</f>
        <v>450</v>
      </c>
      <c r="J265" s="432">
        <f>G265+I265*H265</f>
        <v>3495</v>
      </c>
      <c r="K265" s="433">
        <v>2</v>
      </c>
      <c r="L265" s="433">
        <v>1</v>
      </c>
      <c r="M265" s="503">
        <f t="shared" ref="M265:M268" si="240">J265*K265*L265/1000</f>
        <v>6.99</v>
      </c>
      <c r="N265" s="435">
        <f t="shared" ref="N265:N268" si="241">_xlfn.XLOOKUP(F265,$R$5:$Z$5,$R$6:$Z$6,"NOT_FOUND",0)</f>
        <v>0.61699999999999999</v>
      </c>
      <c r="O265" s="435">
        <f t="shared" ref="O265:O268" si="242">M265*N265</f>
        <v>4.3128299999999999</v>
      </c>
      <c r="P265" s="407"/>
    </row>
    <row r="266" spans="1:17" s="430" customFormat="1" ht="25.15" customHeight="1">
      <c r="A266" s="835"/>
      <c r="B266" s="401">
        <v>2</v>
      </c>
      <c r="C266" s="405">
        <v>100</v>
      </c>
      <c r="D266" s="459">
        <f>D264+200+170</f>
        <v>3065</v>
      </c>
      <c r="E266" s="401">
        <v>130</v>
      </c>
      <c r="F266" s="431">
        <v>10</v>
      </c>
      <c r="G266" s="432">
        <f>C266+D266+E266</f>
        <v>3295</v>
      </c>
      <c r="H266" s="432">
        <v>0</v>
      </c>
      <c r="I266" s="432">
        <f t="shared" ref="I266:I268" si="243">F266*45</f>
        <v>450</v>
      </c>
      <c r="J266" s="432">
        <f t="shared" ref="J266:J268" si="244">G266+I266*H266</f>
        <v>3295</v>
      </c>
      <c r="K266" s="433">
        <v>2</v>
      </c>
      <c r="L266" s="433">
        <v>1</v>
      </c>
      <c r="M266" s="503">
        <f t="shared" si="240"/>
        <v>6.59</v>
      </c>
      <c r="N266" s="435">
        <f t="shared" si="241"/>
        <v>0.61699999999999999</v>
      </c>
      <c r="O266" s="435">
        <f t="shared" si="242"/>
        <v>4.0660299999999996</v>
      </c>
      <c r="P266" s="407"/>
    </row>
    <row r="267" spans="1:17" s="430" customFormat="1" ht="25.15" customHeight="1">
      <c r="A267" s="835"/>
      <c r="B267" s="401">
        <v>3</v>
      </c>
      <c r="C267" s="405">
        <v>240</v>
      </c>
      <c r="D267" s="406">
        <v>160</v>
      </c>
      <c r="E267" s="401">
        <v>60</v>
      </c>
      <c r="F267" s="431">
        <v>6</v>
      </c>
      <c r="G267" s="432">
        <f>(C267+D267+E267)*2</f>
        <v>920</v>
      </c>
      <c r="H267" s="432">
        <v>0</v>
      </c>
      <c r="I267" s="432">
        <f t="shared" si="243"/>
        <v>270</v>
      </c>
      <c r="J267" s="432">
        <f t="shared" si="244"/>
        <v>920</v>
      </c>
      <c r="K267" s="680">
        <f>+ROUND(D264/200,0)</f>
        <v>13</v>
      </c>
      <c r="L267" s="433">
        <v>1</v>
      </c>
      <c r="M267" s="503">
        <f t="shared" si="240"/>
        <v>11.96</v>
      </c>
      <c r="N267" s="435">
        <f t="shared" si="241"/>
        <v>0.222</v>
      </c>
      <c r="O267" s="435">
        <f t="shared" si="242"/>
        <v>2.6551200000000001</v>
      </c>
      <c r="P267" s="407"/>
    </row>
    <row r="268" spans="1:17" s="430" customFormat="1" ht="25.15" customHeight="1">
      <c r="A268" s="836"/>
      <c r="B268" s="401" t="s">
        <v>158</v>
      </c>
      <c r="C268" s="405">
        <v>100</v>
      </c>
      <c r="D268" s="406">
        <v>200</v>
      </c>
      <c r="E268" s="401"/>
      <c r="F268" s="431">
        <v>10</v>
      </c>
      <c r="G268" s="432">
        <f>C268+D268</f>
        <v>300</v>
      </c>
      <c r="H268" s="432">
        <v>0</v>
      </c>
      <c r="I268" s="432">
        <f t="shared" si="243"/>
        <v>450</v>
      </c>
      <c r="J268" s="432">
        <f t="shared" si="244"/>
        <v>300</v>
      </c>
      <c r="K268" s="680">
        <f>+ROUND(D264/600,0)</f>
        <v>4</v>
      </c>
      <c r="L268" s="433">
        <v>1</v>
      </c>
      <c r="M268" s="503">
        <f t="shared" si="240"/>
        <v>1.2</v>
      </c>
      <c r="N268" s="435">
        <f t="shared" si="241"/>
        <v>0.61699999999999999</v>
      </c>
      <c r="O268" s="435">
        <f t="shared" si="242"/>
        <v>0.74039999999999995</v>
      </c>
      <c r="P268" s="407" t="s">
        <v>347</v>
      </c>
    </row>
    <row r="269" spans="1:17" s="430" customFormat="1" ht="25.15" customHeight="1">
      <c r="A269" s="834" t="s">
        <v>501</v>
      </c>
      <c r="B269" s="401"/>
      <c r="C269" s="402" t="s">
        <v>321</v>
      </c>
      <c r="D269" s="403">
        <v>2680</v>
      </c>
      <c r="E269" s="404" t="s">
        <v>322</v>
      </c>
      <c r="F269" s="431"/>
      <c r="G269" s="432"/>
      <c r="H269" s="432"/>
      <c r="I269" s="432"/>
      <c r="J269" s="432"/>
      <c r="K269" s="433"/>
      <c r="L269" s="433"/>
      <c r="M269" s="503"/>
      <c r="N269" s="435"/>
      <c r="O269" s="435"/>
      <c r="P269" s="407"/>
      <c r="Q269" s="414"/>
    </row>
    <row r="270" spans="1:17" s="430" customFormat="1" ht="25.15" customHeight="1">
      <c r="A270" s="835"/>
      <c r="B270" s="401">
        <v>1</v>
      </c>
      <c r="C270" s="405">
        <v>150</v>
      </c>
      <c r="D270" s="459">
        <f>D269+200+150</f>
        <v>3030</v>
      </c>
      <c r="E270" s="401">
        <v>150</v>
      </c>
      <c r="F270" s="431">
        <v>10</v>
      </c>
      <c r="G270" s="432">
        <f>C270+D270+E270</f>
        <v>3330</v>
      </c>
      <c r="H270" s="432">
        <v>0</v>
      </c>
      <c r="I270" s="432">
        <f>F270*45</f>
        <v>450</v>
      </c>
      <c r="J270" s="432">
        <f>G270+I270*H270</f>
        <v>3330</v>
      </c>
      <c r="K270" s="433">
        <v>2</v>
      </c>
      <c r="L270" s="433">
        <v>1</v>
      </c>
      <c r="M270" s="503">
        <f t="shared" ref="M270:M273" si="245">J270*K270*L270/1000</f>
        <v>6.66</v>
      </c>
      <c r="N270" s="435">
        <f t="shared" ref="N270:N273" si="246">_xlfn.XLOOKUP(F270,$R$5:$Z$5,$R$6:$Z$6,"NOT_FOUND",0)</f>
        <v>0.61699999999999999</v>
      </c>
      <c r="O270" s="435">
        <f t="shared" ref="O270:O273" si="247">M270*N270</f>
        <v>4.1092199999999997</v>
      </c>
      <c r="P270" s="407"/>
    </row>
    <row r="271" spans="1:17" s="430" customFormat="1" ht="25.15" customHeight="1">
      <c r="A271" s="835"/>
      <c r="B271" s="401">
        <v>2</v>
      </c>
      <c r="C271" s="405">
        <v>100</v>
      </c>
      <c r="D271" s="459">
        <f>D269+200+150</f>
        <v>3030</v>
      </c>
      <c r="E271" s="401">
        <v>150</v>
      </c>
      <c r="F271" s="431">
        <v>10</v>
      </c>
      <c r="G271" s="432">
        <f>C271+D271+E271</f>
        <v>3280</v>
      </c>
      <c r="H271" s="432">
        <v>0</v>
      </c>
      <c r="I271" s="432">
        <f t="shared" ref="I271:I273" si="248">F271*45</f>
        <v>450</v>
      </c>
      <c r="J271" s="432">
        <f t="shared" ref="J271:J273" si="249">G271+I271*H271</f>
        <v>3280</v>
      </c>
      <c r="K271" s="433">
        <v>2</v>
      </c>
      <c r="L271" s="433">
        <v>1</v>
      </c>
      <c r="M271" s="503">
        <f t="shared" si="245"/>
        <v>6.56</v>
      </c>
      <c r="N271" s="435">
        <f t="shared" si="246"/>
        <v>0.61699999999999999</v>
      </c>
      <c r="O271" s="435">
        <f t="shared" si="247"/>
        <v>4.0475199999999996</v>
      </c>
      <c r="P271" s="407"/>
    </row>
    <row r="272" spans="1:17" s="430" customFormat="1" ht="25.15" customHeight="1">
      <c r="A272" s="835"/>
      <c r="B272" s="401">
        <v>3</v>
      </c>
      <c r="C272" s="405">
        <v>140</v>
      </c>
      <c r="D272" s="406">
        <v>160</v>
      </c>
      <c r="E272" s="401">
        <v>60</v>
      </c>
      <c r="F272" s="431">
        <v>6</v>
      </c>
      <c r="G272" s="432">
        <f>(C272+D272+E272)*2</f>
        <v>720</v>
      </c>
      <c r="H272" s="432">
        <v>0</v>
      </c>
      <c r="I272" s="432">
        <f t="shared" si="248"/>
        <v>270</v>
      </c>
      <c r="J272" s="432">
        <f t="shared" si="249"/>
        <v>720</v>
      </c>
      <c r="K272" s="680">
        <f>+ROUND(D269/200,0)</f>
        <v>13</v>
      </c>
      <c r="L272" s="433">
        <v>1</v>
      </c>
      <c r="M272" s="503">
        <f t="shared" si="245"/>
        <v>9.36</v>
      </c>
      <c r="N272" s="435">
        <f t="shared" si="246"/>
        <v>0.222</v>
      </c>
      <c r="O272" s="435">
        <f t="shared" si="247"/>
        <v>2.0779199999999998</v>
      </c>
      <c r="P272" s="407"/>
    </row>
    <row r="273" spans="1:17" s="430" customFormat="1" ht="25.15" customHeight="1">
      <c r="A273" s="836"/>
      <c r="B273" s="401" t="s">
        <v>158</v>
      </c>
      <c r="C273" s="405">
        <v>100</v>
      </c>
      <c r="D273" s="406">
        <v>200</v>
      </c>
      <c r="E273" s="401"/>
      <c r="F273" s="431">
        <v>10</v>
      </c>
      <c r="G273" s="432">
        <f>C273+D273</f>
        <v>300</v>
      </c>
      <c r="H273" s="432">
        <v>0</v>
      </c>
      <c r="I273" s="432">
        <f t="shared" si="248"/>
        <v>450</v>
      </c>
      <c r="J273" s="432">
        <f t="shared" si="249"/>
        <v>300</v>
      </c>
      <c r="K273" s="680">
        <f>+ROUND(D269/600,0)</f>
        <v>4</v>
      </c>
      <c r="L273" s="433">
        <v>1</v>
      </c>
      <c r="M273" s="503">
        <f t="shared" si="245"/>
        <v>1.2</v>
      </c>
      <c r="N273" s="435">
        <f t="shared" si="246"/>
        <v>0.61699999999999999</v>
      </c>
      <c r="O273" s="435">
        <f t="shared" si="247"/>
        <v>0.74039999999999995</v>
      </c>
      <c r="P273" s="407" t="s">
        <v>347</v>
      </c>
    </row>
    <row r="274" spans="1:17" s="430" customFormat="1" ht="25.15" customHeight="1">
      <c r="A274" s="588" t="s">
        <v>508</v>
      </c>
      <c r="B274" s="589"/>
      <c r="C274" s="590"/>
      <c r="D274" s="591"/>
      <c r="E274" s="589"/>
      <c r="F274" s="592"/>
      <c r="G274" s="593"/>
      <c r="H274" s="593"/>
      <c r="I274" s="593"/>
      <c r="J274" s="593"/>
      <c r="K274" s="593"/>
      <c r="L274" s="593"/>
      <c r="M274" s="594"/>
      <c r="N274" s="595"/>
      <c r="O274" s="595"/>
      <c r="P274" s="596"/>
    </row>
    <row r="275" spans="1:17" s="430" customFormat="1" ht="25.15" customHeight="1">
      <c r="A275" s="834" t="s">
        <v>489</v>
      </c>
      <c r="B275" s="401"/>
      <c r="C275" s="402" t="s">
        <v>321</v>
      </c>
      <c r="D275" s="403">
        <v>2675</v>
      </c>
      <c r="E275" s="404" t="s">
        <v>322</v>
      </c>
      <c r="F275" s="431"/>
      <c r="G275" s="432"/>
      <c r="H275" s="432"/>
      <c r="I275" s="432"/>
      <c r="J275" s="432"/>
      <c r="K275" s="433"/>
      <c r="L275" s="433"/>
      <c r="M275" s="503"/>
      <c r="N275" s="435"/>
      <c r="O275" s="435"/>
      <c r="P275" s="407"/>
      <c r="Q275" s="414"/>
    </row>
    <row r="276" spans="1:17" s="430" customFormat="1" ht="25.15" customHeight="1">
      <c r="A276" s="835"/>
      <c r="B276" s="401">
        <v>1</v>
      </c>
      <c r="C276" s="405">
        <v>200</v>
      </c>
      <c r="D276" s="459">
        <f>D275+200+150</f>
        <v>3025</v>
      </c>
      <c r="E276" s="401">
        <f>250</f>
        <v>250</v>
      </c>
      <c r="F276" s="431">
        <v>10</v>
      </c>
      <c r="G276" s="432">
        <f>C276+D276+E276</f>
        <v>3475</v>
      </c>
      <c r="H276" s="432">
        <v>0</v>
      </c>
      <c r="I276" s="432">
        <f>F276*45</f>
        <v>450</v>
      </c>
      <c r="J276" s="432">
        <f>G276+I276*H276</f>
        <v>3475</v>
      </c>
      <c r="K276" s="433">
        <v>2</v>
      </c>
      <c r="L276" s="433">
        <v>1</v>
      </c>
      <c r="M276" s="503">
        <f t="shared" ref="M276:M279" si="250">J276*K276*L276/1000</f>
        <v>6.95</v>
      </c>
      <c r="N276" s="435">
        <f t="shared" ref="N276:N279" si="251">_xlfn.XLOOKUP(F276,$R$5:$Z$5,$R$6:$Z$6,"NOT_FOUND",0)</f>
        <v>0.61699999999999999</v>
      </c>
      <c r="O276" s="435">
        <f t="shared" ref="O276:O279" si="252">M276*N276</f>
        <v>4.2881499999999999</v>
      </c>
      <c r="P276" s="407"/>
    </row>
    <row r="277" spans="1:17" s="430" customFormat="1" ht="25.15" customHeight="1">
      <c r="A277" s="835"/>
      <c r="B277" s="401">
        <v>2</v>
      </c>
      <c r="C277" s="405">
        <v>100</v>
      </c>
      <c r="D277" s="459">
        <f>D275+200+170</f>
        <v>3045</v>
      </c>
      <c r="E277" s="401">
        <v>130</v>
      </c>
      <c r="F277" s="431">
        <v>10</v>
      </c>
      <c r="G277" s="432">
        <f>C277+D277+E277</f>
        <v>3275</v>
      </c>
      <c r="H277" s="432">
        <v>0</v>
      </c>
      <c r="I277" s="432">
        <f t="shared" ref="I277:I279" si="253">F277*45</f>
        <v>450</v>
      </c>
      <c r="J277" s="432">
        <f t="shared" ref="J277:J279" si="254">G277+I277*H277</f>
        <v>3275</v>
      </c>
      <c r="K277" s="433">
        <v>2</v>
      </c>
      <c r="L277" s="433">
        <v>1</v>
      </c>
      <c r="M277" s="503">
        <f t="shared" si="250"/>
        <v>6.55</v>
      </c>
      <c r="N277" s="435">
        <f t="shared" si="251"/>
        <v>0.61699999999999999</v>
      </c>
      <c r="O277" s="435">
        <f t="shared" si="252"/>
        <v>4.0413499999999996</v>
      </c>
      <c r="P277" s="407"/>
    </row>
    <row r="278" spans="1:17" s="430" customFormat="1" ht="25.15" customHeight="1">
      <c r="A278" s="835"/>
      <c r="B278" s="401">
        <v>3</v>
      </c>
      <c r="C278" s="405">
        <v>240</v>
      </c>
      <c r="D278" s="406">
        <v>160</v>
      </c>
      <c r="E278" s="401">
        <v>60</v>
      </c>
      <c r="F278" s="431">
        <v>6</v>
      </c>
      <c r="G278" s="432">
        <f>(C278+D278+E278)*2</f>
        <v>920</v>
      </c>
      <c r="H278" s="432">
        <v>0</v>
      </c>
      <c r="I278" s="432">
        <f t="shared" si="253"/>
        <v>270</v>
      </c>
      <c r="J278" s="432">
        <f t="shared" si="254"/>
        <v>920</v>
      </c>
      <c r="K278" s="680">
        <f>+ROUND(D275/200,0)</f>
        <v>13</v>
      </c>
      <c r="L278" s="433">
        <v>1</v>
      </c>
      <c r="M278" s="503">
        <f t="shared" si="250"/>
        <v>11.96</v>
      </c>
      <c r="N278" s="435">
        <f t="shared" si="251"/>
        <v>0.222</v>
      </c>
      <c r="O278" s="435">
        <f t="shared" si="252"/>
        <v>2.6551200000000001</v>
      </c>
      <c r="P278" s="407"/>
    </row>
    <row r="279" spans="1:17" s="430" customFormat="1" ht="25.15" customHeight="1">
      <c r="A279" s="836"/>
      <c r="B279" s="401" t="s">
        <v>158</v>
      </c>
      <c r="C279" s="405">
        <v>100</v>
      </c>
      <c r="D279" s="406">
        <v>200</v>
      </c>
      <c r="E279" s="401"/>
      <c r="F279" s="431">
        <v>10</v>
      </c>
      <c r="G279" s="432">
        <f>C279+D279</f>
        <v>300</v>
      </c>
      <c r="H279" s="432">
        <v>0</v>
      </c>
      <c r="I279" s="432">
        <f t="shared" si="253"/>
        <v>450</v>
      </c>
      <c r="J279" s="432">
        <f t="shared" si="254"/>
        <v>300</v>
      </c>
      <c r="K279" s="680">
        <f>+ROUND(D275/600,0)</f>
        <v>4</v>
      </c>
      <c r="L279" s="433">
        <v>1</v>
      </c>
      <c r="M279" s="503">
        <f t="shared" si="250"/>
        <v>1.2</v>
      </c>
      <c r="N279" s="435">
        <f t="shared" si="251"/>
        <v>0.61699999999999999</v>
      </c>
      <c r="O279" s="435">
        <f t="shared" si="252"/>
        <v>0.74039999999999995</v>
      </c>
      <c r="P279" s="407" t="s">
        <v>347</v>
      </c>
    </row>
    <row r="280" spans="1:17" s="430" customFormat="1" ht="25.15" customHeight="1">
      <c r="A280" s="834" t="s">
        <v>489</v>
      </c>
      <c r="B280" s="401"/>
      <c r="C280" s="402" t="s">
        <v>321</v>
      </c>
      <c r="D280" s="403">
        <v>2660</v>
      </c>
      <c r="E280" s="404" t="s">
        <v>322</v>
      </c>
      <c r="F280" s="431"/>
      <c r="G280" s="432"/>
      <c r="H280" s="432"/>
      <c r="I280" s="432"/>
      <c r="J280" s="432"/>
      <c r="K280" s="433"/>
      <c r="L280" s="433"/>
      <c r="M280" s="503"/>
      <c r="N280" s="435"/>
      <c r="O280" s="435"/>
      <c r="P280" s="407"/>
      <c r="Q280" s="414"/>
    </row>
    <row r="281" spans="1:17" s="430" customFormat="1" ht="25.15" customHeight="1">
      <c r="A281" s="835"/>
      <c r="B281" s="401">
        <v>1</v>
      </c>
      <c r="C281" s="405">
        <v>200</v>
      </c>
      <c r="D281" s="459">
        <f>D280+200+150</f>
        <v>3010</v>
      </c>
      <c r="E281" s="401">
        <f>250</f>
        <v>250</v>
      </c>
      <c r="F281" s="431">
        <v>10</v>
      </c>
      <c r="G281" s="432">
        <f>C281+D281+E281</f>
        <v>3460</v>
      </c>
      <c r="H281" s="432">
        <v>0</v>
      </c>
      <c r="I281" s="432">
        <f>F281*45</f>
        <v>450</v>
      </c>
      <c r="J281" s="432">
        <f>G281+I281*H281</f>
        <v>3460</v>
      </c>
      <c r="K281" s="433">
        <v>2</v>
      </c>
      <c r="L281" s="433">
        <v>1</v>
      </c>
      <c r="M281" s="503">
        <f t="shared" ref="M281:M284" si="255">J281*K281*L281/1000</f>
        <v>6.92</v>
      </c>
      <c r="N281" s="435">
        <f t="shared" ref="N281:N284" si="256">_xlfn.XLOOKUP(F281,$R$5:$Z$5,$R$6:$Z$6,"NOT_FOUND",0)</f>
        <v>0.61699999999999999</v>
      </c>
      <c r="O281" s="435">
        <f t="shared" ref="O281:O284" si="257">M281*N281</f>
        <v>4.2696399999999999</v>
      </c>
      <c r="P281" s="407"/>
    </row>
    <row r="282" spans="1:17" s="430" customFormat="1" ht="25.15" customHeight="1">
      <c r="A282" s="835"/>
      <c r="B282" s="401">
        <v>2</v>
      </c>
      <c r="C282" s="405">
        <v>100</v>
      </c>
      <c r="D282" s="459">
        <f>D280+200+170</f>
        <v>3030</v>
      </c>
      <c r="E282" s="401">
        <v>130</v>
      </c>
      <c r="F282" s="431">
        <v>10</v>
      </c>
      <c r="G282" s="432">
        <f>C282+D282+E282</f>
        <v>3260</v>
      </c>
      <c r="H282" s="432">
        <v>0</v>
      </c>
      <c r="I282" s="432">
        <f t="shared" ref="I282:I284" si="258">F282*45</f>
        <v>450</v>
      </c>
      <c r="J282" s="432">
        <f t="shared" ref="J282:J284" si="259">G282+I282*H282</f>
        <v>3260</v>
      </c>
      <c r="K282" s="433">
        <v>2</v>
      </c>
      <c r="L282" s="433">
        <v>1</v>
      </c>
      <c r="M282" s="503">
        <f t="shared" si="255"/>
        <v>6.52</v>
      </c>
      <c r="N282" s="435">
        <f t="shared" si="256"/>
        <v>0.61699999999999999</v>
      </c>
      <c r="O282" s="435">
        <f t="shared" si="257"/>
        <v>4.0228399999999995</v>
      </c>
      <c r="P282" s="407"/>
    </row>
    <row r="283" spans="1:17" s="430" customFormat="1" ht="25.15" customHeight="1">
      <c r="A283" s="835"/>
      <c r="B283" s="401">
        <v>3</v>
      </c>
      <c r="C283" s="405">
        <v>240</v>
      </c>
      <c r="D283" s="406">
        <v>160</v>
      </c>
      <c r="E283" s="401">
        <v>60</v>
      </c>
      <c r="F283" s="431">
        <v>6</v>
      </c>
      <c r="G283" s="432">
        <f>(C283+D283+E283)*2</f>
        <v>920</v>
      </c>
      <c r="H283" s="432">
        <v>0</v>
      </c>
      <c r="I283" s="432">
        <f t="shared" si="258"/>
        <v>270</v>
      </c>
      <c r="J283" s="432">
        <f t="shared" si="259"/>
        <v>920</v>
      </c>
      <c r="K283" s="680">
        <f>+ROUND(D280/200,0)</f>
        <v>13</v>
      </c>
      <c r="L283" s="433">
        <v>1</v>
      </c>
      <c r="M283" s="503">
        <f t="shared" si="255"/>
        <v>11.96</v>
      </c>
      <c r="N283" s="435">
        <f t="shared" si="256"/>
        <v>0.222</v>
      </c>
      <c r="O283" s="435">
        <f t="shared" si="257"/>
        <v>2.6551200000000001</v>
      </c>
      <c r="P283" s="407"/>
    </row>
    <row r="284" spans="1:17" s="430" customFormat="1" ht="25.15" customHeight="1">
      <c r="A284" s="836"/>
      <c r="B284" s="401" t="s">
        <v>158</v>
      </c>
      <c r="C284" s="405">
        <v>100</v>
      </c>
      <c r="D284" s="406">
        <v>200</v>
      </c>
      <c r="E284" s="401"/>
      <c r="F284" s="431">
        <v>10</v>
      </c>
      <c r="G284" s="432">
        <f>C284+D284</f>
        <v>300</v>
      </c>
      <c r="H284" s="432">
        <v>0</v>
      </c>
      <c r="I284" s="432">
        <f t="shared" si="258"/>
        <v>450</v>
      </c>
      <c r="J284" s="432">
        <f t="shared" si="259"/>
        <v>300</v>
      </c>
      <c r="K284" s="680">
        <f>+ROUND(D280/600,0)</f>
        <v>4</v>
      </c>
      <c r="L284" s="433">
        <v>1</v>
      </c>
      <c r="M284" s="503">
        <f t="shared" si="255"/>
        <v>1.2</v>
      </c>
      <c r="N284" s="435">
        <f t="shared" si="256"/>
        <v>0.61699999999999999</v>
      </c>
      <c r="O284" s="435">
        <f t="shared" si="257"/>
        <v>0.74039999999999995</v>
      </c>
      <c r="P284" s="407" t="s">
        <v>347</v>
      </c>
    </row>
    <row r="285" spans="1:17" s="430" customFormat="1" ht="25.15" customHeight="1">
      <c r="A285" s="834" t="s">
        <v>501</v>
      </c>
      <c r="B285" s="401"/>
      <c r="C285" s="402" t="s">
        <v>321</v>
      </c>
      <c r="D285" s="403">
        <v>2675</v>
      </c>
      <c r="E285" s="404" t="s">
        <v>322</v>
      </c>
      <c r="F285" s="431"/>
      <c r="G285" s="432"/>
      <c r="H285" s="432"/>
      <c r="I285" s="432"/>
      <c r="J285" s="432"/>
      <c r="K285" s="433"/>
      <c r="L285" s="433"/>
      <c r="M285" s="503"/>
      <c r="N285" s="435"/>
      <c r="O285" s="435"/>
      <c r="P285" s="407"/>
      <c r="Q285" s="414"/>
    </row>
    <row r="286" spans="1:17" s="430" customFormat="1" ht="25.15" customHeight="1">
      <c r="A286" s="835"/>
      <c r="B286" s="401">
        <v>1</v>
      </c>
      <c r="C286" s="405">
        <v>150</v>
      </c>
      <c r="D286" s="459">
        <f>D285+200+150</f>
        <v>3025</v>
      </c>
      <c r="E286" s="401">
        <v>150</v>
      </c>
      <c r="F286" s="431">
        <v>10</v>
      </c>
      <c r="G286" s="432">
        <f>C286+D286+E286</f>
        <v>3325</v>
      </c>
      <c r="H286" s="432">
        <v>0</v>
      </c>
      <c r="I286" s="432">
        <f>F286*45</f>
        <v>450</v>
      </c>
      <c r="J286" s="432">
        <f>G286+I286*H286</f>
        <v>3325</v>
      </c>
      <c r="K286" s="433">
        <v>2</v>
      </c>
      <c r="L286" s="433">
        <v>1</v>
      </c>
      <c r="M286" s="503">
        <f t="shared" ref="M286:M289" si="260">J286*K286*L286/1000</f>
        <v>6.65</v>
      </c>
      <c r="N286" s="435">
        <f t="shared" ref="N286:N289" si="261">_xlfn.XLOOKUP(F286,$R$5:$Z$5,$R$6:$Z$6,"NOT_FOUND",0)</f>
        <v>0.61699999999999999</v>
      </c>
      <c r="O286" s="435">
        <f t="shared" ref="O286:O289" si="262">M286*N286</f>
        <v>4.1030500000000005</v>
      </c>
      <c r="P286" s="407"/>
    </row>
    <row r="287" spans="1:17" s="430" customFormat="1" ht="25.15" customHeight="1">
      <c r="A287" s="835"/>
      <c r="B287" s="401">
        <v>2</v>
      </c>
      <c r="C287" s="405">
        <v>100</v>
      </c>
      <c r="D287" s="459">
        <f>D285+200+150</f>
        <v>3025</v>
      </c>
      <c r="E287" s="401">
        <v>150</v>
      </c>
      <c r="F287" s="431">
        <v>10</v>
      </c>
      <c r="G287" s="432">
        <f>C287+D287+E287</f>
        <v>3275</v>
      </c>
      <c r="H287" s="432">
        <v>0</v>
      </c>
      <c r="I287" s="432">
        <f t="shared" ref="I287:I289" si="263">F287*45</f>
        <v>450</v>
      </c>
      <c r="J287" s="432">
        <f t="shared" ref="J287:J289" si="264">G287+I287*H287</f>
        <v>3275</v>
      </c>
      <c r="K287" s="433">
        <v>2</v>
      </c>
      <c r="L287" s="433">
        <v>1</v>
      </c>
      <c r="M287" s="503">
        <f t="shared" si="260"/>
        <v>6.55</v>
      </c>
      <c r="N287" s="435">
        <f t="shared" si="261"/>
        <v>0.61699999999999999</v>
      </c>
      <c r="O287" s="435">
        <f t="shared" si="262"/>
        <v>4.0413499999999996</v>
      </c>
      <c r="P287" s="407"/>
    </row>
    <row r="288" spans="1:17" s="430" customFormat="1" ht="25.15" customHeight="1">
      <c r="A288" s="835"/>
      <c r="B288" s="401">
        <v>3</v>
      </c>
      <c r="C288" s="405">
        <v>140</v>
      </c>
      <c r="D288" s="406">
        <v>160</v>
      </c>
      <c r="E288" s="401">
        <v>60</v>
      </c>
      <c r="F288" s="431">
        <v>6</v>
      </c>
      <c r="G288" s="432">
        <f>(C288+D288+E288)*2</f>
        <v>720</v>
      </c>
      <c r="H288" s="432">
        <v>0</v>
      </c>
      <c r="I288" s="432">
        <f t="shared" si="263"/>
        <v>270</v>
      </c>
      <c r="J288" s="432">
        <f t="shared" si="264"/>
        <v>720</v>
      </c>
      <c r="K288" s="680">
        <f>+ROUND(D285/200,0)</f>
        <v>13</v>
      </c>
      <c r="L288" s="433">
        <v>1</v>
      </c>
      <c r="M288" s="503">
        <f t="shared" si="260"/>
        <v>9.36</v>
      </c>
      <c r="N288" s="435">
        <f t="shared" si="261"/>
        <v>0.222</v>
      </c>
      <c r="O288" s="435">
        <f t="shared" si="262"/>
        <v>2.0779199999999998</v>
      </c>
      <c r="P288" s="407"/>
    </row>
    <row r="289" spans="1:17" s="430" customFormat="1" ht="25.15" customHeight="1">
      <c r="A289" s="836"/>
      <c r="B289" s="401" t="s">
        <v>158</v>
      </c>
      <c r="C289" s="405">
        <v>100</v>
      </c>
      <c r="D289" s="406">
        <v>200</v>
      </c>
      <c r="E289" s="401"/>
      <c r="F289" s="431">
        <v>10</v>
      </c>
      <c r="G289" s="432">
        <f>C289+D289</f>
        <v>300</v>
      </c>
      <c r="H289" s="432">
        <v>0</v>
      </c>
      <c r="I289" s="432">
        <f t="shared" si="263"/>
        <v>450</v>
      </c>
      <c r="J289" s="432">
        <f t="shared" si="264"/>
        <v>300</v>
      </c>
      <c r="K289" s="680">
        <f>+ROUND(D285/600,0)</f>
        <v>4</v>
      </c>
      <c r="L289" s="433">
        <v>1</v>
      </c>
      <c r="M289" s="503">
        <f t="shared" si="260"/>
        <v>1.2</v>
      </c>
      <c r="N289" s="435">
        <f t="shared" si="261"/>
        <v>0.61699999999999999</v>
      </c>
      <c r="O289" s="435">
        <f t="shared" si="262"/>
        <v>0.74039999999999995</v>
      </c>
      <c r="P289" s="407" t="s">
        <v>347</v>
      </c>
    </row>
    <row r="290" spans="1:17" s="430" customFormat="1" ht="25.15" customHeight="1">
      <c r="A290" s="588" t="s">
        <v>509</v>
      </c>
      <c r="B290" s="589"/>
      <c r="C290" s="590"/>
      <c r="D290" s="591"/>
      <c r="E290" s="589"/>
      <c r="F290" s="592"/>
      <c r="G290" s="593"/>
      <c r="H290" s="593"/>
      <c r="I290" s="593"/>
      <c r="J290" s="593"/>
      <c r="K290" s="593"/>
      <c r="L290" s="593"/>
      <c r="M290" s="594"/>
      <c r="N290" s="595"/>
      <c r="O290" s="595"/>
      <c r="P290" s="596"/>
    </row>
    <row r="291" spans="1:17" s="430" customFormat="1" ht="25.15" customHeight="1">
      <c r="A291" s="834" t="s">
        <v>489</v>
      </c>
      <c r="B291" s="401"/>
      <c r="C291" s="402" t="s">
        <v>321</v>
      </c>
      <c r="D291" s="403">
        <v>1745</v>
      </c>
      <c r="E291" s="404" t="s">
        <v>322</v>
      </c>
      <c r="F291" s="431"/>
      <c r="G291" s="432"/>
      <c r="H291" s="432"/>
      <c r="I291" s="432"/>
      <c r="J291" s="432"/>
      <c r="K291" s="433"/>
      <c r="L291" s="433"/>
      <c r="M291" s="503"/>
      <c r="N291" s="435"/>
      <c r="O291" s="435"/>
      <c r="P291" s="407"/>
      <c r="Q291" s="414"/>
    </row>
    <row r="292" spans="1:17" s="430" customFormat="1" ht="25.15" customHeight="1">
      <c r="A292" s="835"/>
      <c r="B292" s="401">
        <v>1</v>
      </c>
      <c r="C292" s="405">
        <v>200</v>
      </c>
      <c r="D292" s="459">
        <f>D291+200+150</f>
        <v>2095</v>
      </c>
      <c r="E292" s="401">
        <f>250</f>
        <v>250</v>
      </c>
      <c r="F292" s="431">
        <v>10</v>
      </c>
      <c r="G292" s="432">
        <f>C292+D292+E292</f>
        <v>2545</v>
      </c>
      <c r="H292" s="432">
        <v>0</v>
      </c>
      <c r="I292" s="432">
        <f>F292*45</f>
        <v>450</v>
      </c>
      <c r="J292" s="432">
        <f>G292+I292*H292</f>
        <v>2545</v>
      </c>
      <c r="K292" s="433">
        <v>2</v>
      </c>
      <c r="L292" s="433">
        <v>1</v>
      </c>
      <c r="M292" s="503">
        <f t="shared" ref="M292:M295" si="265">J292*K292*L292/1000</f>
        <v>5.09</v>
      </c>
      <c r="N292" s="435">
        <f t="shared" ref="N292:N295" si="266">_xlfn.XLOOKUP(F292,$R$5:$Z$5,$R$6:$Z$6,"NOT_FOUND",0)</f>
        <v>0.61699999999999999</v>
      </c>
      <c r="O292" s="435">
        <f t="shared" ref="O292:O295" si="267">M292*N292</f>
        <v>3.14053</v>
      </c>
      <c r="P292" s="407"/>
    </row>
    <row r="293" spans="1:17" s="430" customFormat="1" ht="25.15" customHeight="1">
      <c r="A293" s="835"/>
      <c r="B293" s="401">
        <v>2</v>
      </c>
      <c r="C293" s="405">
        <v>100</v>
      </c>
      <c r="D293" s="459">
        <f>D291+200+170</f>
        <v>2115</v>
      </c>
      <c r="E293" s="401">
        <v>130</v>
      </c>
      <c r="F293" s="431">
        <v>10</v>
      </c>
      <c r="G293" s="432">
        <f>C293+D293+E293</f>
        <v>2345</v>
      </c>
      <c r="H293" s="432">
        <v>0</v>
      </c>
      <c r="I293" s="432">
        <f t="shared" ref="I293:I295" si="268">F293*45</f>
        <v>450</v>
      </c>
      <c r="J293" s="432">
        <f t="shared" ref="J293:J295" si="269">G293+I293*H293</f>
        <v>2345</v>
      </c>
      <c r="K293" s="433">
        <v>2</v>
      </c>
      <c r="L293" s="433">
        <v>1</v>
      </c>
      <c r="M293" s="503">
        <f t="shared" si="265"/>
        <v>4.6900000000000004</v>
      </c>
      <c r="N293" s="435">
        <f t="shared" si="266"/>
        <v>0.61699999999999999</v>
      </c>
      <c r="O293" s="435">
        <f t="shared" si="267"/>
        <v>2.8937300000000001</v>
      </c>
      <c r="P293" s="407"/>
    </row>
    <row r="294" spans="1:17" s="430" customFormat="1" ht="25.15" customHeight="1">
      <c r="A294" s="835"/>
      <c r="B294" s="401">
        <v>3</v>
      </c>
      <c r="C294" s="405">
        <v>240</v>
      </c>
      <c r="D294" s="406">
        <v>160</v>
      </c>
      <c r="E294" s="401">
        <v>60</v>
      </c>
      <c r="F294" s="431">
        <v>6</v>
      </c>
      <c r="G294" s="432">
        <f>(C294+D294+E294)*2</f>
        <v>920</v>
      </c>
      <c r="H294" s="432">
        <v>0</v>
      </c>
      <c r="I294" s="432">
        <f t="shared" si="268"/>
        <v>270</v>
      </c>
      <c r="J294" s="432">
        <f t="shared" si="269"/>
        <v>920</v>
      </c>
      <c r="K294" s="680">
        <f>+ROUND(D291/200,0)</f>
        <v>9</v>
      </c>
      <c r="L294" s="433">
        <v>1</v>
      </c>
      <c r="M294" s="503">
        <f t="shared" si="265"/>
        <v>8.2799999999999994</v>
      </c>
      <c r="N294" s="435">
        <f t="shared" si="266"/>
        <v>0.222</v>
      </c>
      <c r="O294" s="435">
        <f t="shared" si="267"/>
        <v>1.8381599999999998</v>
      </c>
      <c r="P294" s="407"/>
    </row>
    <row r="295" spans="1:17" s="430" customFormat="1" ht="25.15" customHeight="1">
      <c r="A295" s="836"/>
      <c r="B295" s="401" t="s">
        <v>158</v>
      </c>
      <c r="C295" s="405">
        <v>100</v>
      </c>
      <c r="D295" s="406">
        <v>200</v>
      </c>
      <c r="E295" s="401"/>
      <c r="F295" s="431">
        <v>10</v>
      </c>
      <c r="G295" s="432">
        <f>C295+D295</f>
        <v>300</v>
      </c>
      <c r="H295" s="432">
        <v>0</v>
      </c>
      <c r="I295" s="432">
        <f t="shared" si="268"/>
        <v>450</v>
      </c>
      <c r="J295" s="432">
        <f t="shared" si="269"/>
        <v>300</v>
      </c>
      <c r="K295" s="680">
        <f>+ROUND(D291/600,0)</f>
        <v>3</v>
      </c>
      <c r="L295" s="433">
        <v>1</v>
      </c>
      <c r="M295" s="503">
        <f t="shared" si="265"/>
        <v>0.9</v>
      </c>
      <c r="N295" s="435">
        <f t="shared" si="266"/>
        <v>0.61699999999999999</v>
      </c>
      <c r="O295" s="435">
        <f t="shared" si="267"/>
        <v>0.55530000000000002</v>
      </c>
      <c r="P295" s="407" t="s">
        <v>347</v>
      </c>
    </row>
    <row r="296" spans="1:17" s="430" customFormat="1" ht="25.15" customHeight="1">
      <c r="A296" s="834" t="s">
        <v>489</v>
      </c>
      <c r="B296" s="401"/>
      <c r="C296" s="402" t="s">
        <v>321</v>
      </c>
      <c r="D296" s="403">
        <v>1805</v>
      </c>
      <c r="E296" s="404" t="s">
        <v>322</v>
      </c>
      <c r="F296" s="431"/>
      <c r="G296" s="432"/>
      <c r="H296" s="432"/>
      <c r="I296" s="432"/>
      <c r="J296" s="432"/>
      <c r="K296" s="433"/>
      <c r="L296" s="433"/>
      <c r="M296" s="503"/>
      <c r="N296" s="435"/>
      <c r="O296" s="435"/>
      <c r="P296" s="407"/>
      <c r="Q296" s="414"/>
    </row>
    <row r="297" spans="1:17" s="430" customFormat="1" ht="25.15" customHeight="1">
      <c r="A297" s="835"/>
      <c r="B297" s="401">
        <v>1</v>
      </c>
      <c r="C297" s="405">
        <v>200</v>
      </c>
      <c r="D297" s="459">
        <f>D296+200+150</f>
        <v>2155</v>
      </c>
      <c r="E297" s="401">
        <f>250</f>
        <v>250</v>
      </c>
      <c r="F297" s="431">
        <v>10</v>
      </c>
      <c r="G297" s="432">
        <f>C297+D297+E297</f>
        <v>2605</v>
      </c>
      <c r="H297" s="432">
        <v>0</v>
      </c>
      <c r="I297" s="432">
        <f>F297*45</f>
        <v>450</v>
      </c>
      <c r="J297" s="432">
        <f>G297+I297*H297</f>
        <v>2605</v>
      </c>
      <c r="K297" s="433">
        <v>2</v>
      </c>
      <c r="L297" s="433">
        <v>1</v>
      </c>
      <c r="M297" s="503">
        <f t="shared" ref="M297:M300" si="270">J297*K297*L297/1000</f>
        <v>5.21</v>
      </c>
      <c r="N297" s="435">
        <f t="shared" ref="N297:N300" si="271">_xlfn.XLOOKUP(F297,$R$5:$Z$5,$R$6:$Z$6,"NOT_FOUND",0)</f>
        <v>0.61699999999999999</v>
      </c>
      <c r="O297" s="435">
        <f t="shared" ref="O297:O300" si="272">M297*N297</f>
        <v>3.2145700000000001</v>
      </c>
      <c r="P297" s="407"/>
    </row>
    <row r="298" spans="1:17" s="430" customFormat="1" ht="25.15" customHeight="1">
      <c r="A298" s="835"/>
      <c r="B298" s="401">
        <v>2</v>
      </c>
      <c r="C298" s="405">
        <v>100</v>
      </c>
      <c r="D298" s="459">
        <f>D296+200+170</f>
        <v>2175</v>
      </c>
      <c r="E298" s="401">
        <v>130</v>
      </c>
      <c r="F298" s="431">
        <v>10</v>
      </c>
      <c r="G298" s="432">
        <f>C298+D298+E298</f>
        <v>2405</v>
      </c>
      <c r="H298" s="432">
        <v>0</v>
      </c>
      <c r="I298" s="432">
        <f t="shared" ref="I298:I300" si="273">F298*45</f>
        <v>450</v>
      </c>
      <c r="J298" s="432">
        <f t="shared" ref="J298:J300" si="274">G298+I298*H298</f>
        <v>2405</v>
      </c>
      <c r="K298" s="433">
        <v>2</v>
      </c>
      <c r="L298" s="433">
        <v>1</v>
      </c>
      <c r="M298" s="503">
        <f t="shared" si="270"/>
        <v>4.8099999999999996</v>
      </c>
      <c r="N298" s="435">
        <f t="shared" si="271"/>
        <v>0.61699999999999999</v>
      </c>
      <c r="O298" s="435">
        <f t="shared" si="272"/>
        <v>2.9677699999999998</v>
      </c>
      <c r="P298" s="407"/>
    </row>
    <row r="299" spans="1:17" s="430" customFormat="1" ht="25.15" customHeight="1">
      <c r="A299" s="835"/>
      <c r="B299" s="401">
        <v>3</v>
      </c>
      <c r="C299" s="405">
        <v>240</v>
      </c>
      <c r="D299" s="406">
        <v>160</v>
      </c>
      <c r="E299" s="401">
        <v>60</v>
      </c>
      <c r="F299" s="431">
        <v>6</v>
      </c>
      <c r="G299" s="432">
        <f>(C299+D299+E299)*2</f>
        <v>920</v>
      </c>
      <c r="H299" s="432">
        <v>0</v>
      </c>
      <c r="I299" s="432">
        <f t="shared" si="273"/>
        <v>270</v>
      </c>
      <c r="J299" s="432">
        <f t="shared" si="274"/>
        <v>920</v>
      </c>
      <c r="K299" s="680">
        <f>+ROUND(D296/200,0)</f>
        <v>9</v>
      </c>
      <c r="L299" s="433">
        <v>1</v>
      </c>
      <c r="M299" s="503">
        <f t="shared" si="270"/>
        <v>8.2799999999999994</v>
      </c>
      <c r="N299" s="435">
        <f t="shared" si="271"/>
        <v>0.222</v>
      </c>
      <c r="O299" s="435">
        <f t="shared" si="272"/>
        <v>1.8381599999999998</v>
      </c>
      <c r="P299" s="407"/>
    </row>
    <row r="300" spans="1:17" s="430" customFormat="1" ht="25.15" customHeight="1">
      <c r="A300" s="836"/>
      <c r="B300" s="401" t="s">
        <v>158</v>
      </c>
      <c r="C300" s="405">
        <v>100</v>
      </c>
      <c r="D300" s="406">
        <v>200</v>
      </c>
      <c r="E300" s="401"/>
      <c r="F300" s="431">
        <v>10</v>
      </c>
      <c r="G300" s="432">
        <f>C300+D300</f>
        <v>300</v>
      </c>
      <c r="H300" s="432">
        <v>0</v>
      </c>
      <c r="I300" s="432">
        <f t="shared" si="273"/>
        <v>450</v>
      </c>
      <c r="J300" s="432">
        <f t="shared" si="274"/>
        <v>300</v>
      </c>
      <c r="K300" s="680">
        <f>+ROUND(D296/600,0)</f>
        <v>3</v>
      </c>
      <c r="L300" s="433">
        <v>1</v>
      </c>
      <c r="M300" s="503">
        <f t="shared" si="270"/>
        <v>0.9</v>
      </c>
      <c r="N300" s="435">
        <f t="shared" si="271"/>
        <v>0.61699999999999999</v>
      </c>
      <c r="O300" s="435">
        <f t="shared" si="272"/>
        <v>0.55530000000000002</v>
      </c>
      <c r="P300" s="407" t="s">
        <v>347</v>
      </c>
    </row>
    <row r="301" spans="1:17" s="430" customFormat="1" ht="25.15" customHeight="1">
      <c r="A301" s="837" t="s">
        <v>501</v>
      </c>
      <c r="B301" s="401"/>
      <c r="C301" s="402" t="s">
        <v>321</v>
      </c>
      <c r="D301" s="403">
        <v>1955</v>
      </c>
      <c r="E301" s="404" t="s">
        <v>322</v>
      </c>
      <c r="F301" s="431"/>
      <c r="G301" s="432"/>
      <c r="H301" s="432"/>
      <c r="I301" s="432"/>
      <c r="J301" s="432"/>
      <c r="K301" s="433"/>
      <c r="L301" s="433"/>
      <c r="M301" s="503"/>
      <c r="N301" s="435"/>
      <c r="O301" s="435"/>
      <c r="P301" s="407"/>
      <c r="Q301" s="414"/>
    </row>
    <row r="302" spans="1:17" s="430" customFormat="1" ht="25.15" customHeight="1">
      <c r="A302" s="838"/>
      <c r="B302" s="401">
        <v>1</v>
      </c>
      <c r="C302" s="405">
        <v>150</v>
      </c>
      <c r="D302" s="459">
        <f>D301+200+150</f>
        <v>2305</v>
      </c>
      <c r="E302" s="401">
        <v>150</v>
      </c>
      <c r="F302" s="431">
        <v>10</v>
      </c>
      <c r="G302" s="432">
        <f>C302+D302+E302</f>
        <v>2605</v>
      </c>
      <c r="H302" s="432">
        <v>0</v>
      </c>
      <c r="I302" s="432">
        <f>F302*45</f>
        <v>450</v>
      </c>
      <c r="J302" s="432">
        <f>G302+I302*H302</f>
        <v>2605</v>
      </c>
      <c r="K302" s="433">
        <v>2</v>
      </c>
      <c r="L302" s="433">
        <v>1</v>
      </c>
      <c r="M302" s="503">
        <f t="shared" ref="M302:M305" si="275">J302*K302*L302/1000</f>
        <v>5.21</v>
      </c>
      <c r="N302" s="435">
        <f t="shared" ref="N302:N305" si="276">_xlfn.XLOOKUP(F302,$R$5:$Z$5,$R$6:$Z$6,"NOT_FOUND",0)</f>
        <v>0.61699999999999999</v>
      </c>
      <c r="O302" s="435">
        <f t="shared" ref="O302:O305" si="277">M302*N302</f>
        <v>3.2145700000000001</v>
      </c>
      <c r="P302" s="407"/>
    </row>
    <row r="303" spans="1:17" s="430" customFormat="1" ht="25.15" customHeight="1">
      <c r="A303" s="838"/>
      <c r="B303" s="401">
        <v>2</v>
      </c>
      <c r="C303" s="405">
        <v>100</v>
      </c>
      <c r="D303" s="459">
        <f>D301+200+150</f>
        <v>2305</v>
      </c>
      <c r="E303" s="401">
        <v>150</v>
      </c>
      <c r="F303" s="431">
        <v>10</v>
      </c>
      <c r="G303" s="432">
        <f>C303+D303+E303</f>
        <v>2555</v>
      </c>
      <c r="H303" s="432">
        <v>0</v>
      </c>
      <c r="I303" s="432">
        <f t="shared" ref="I303:I305" si="278">F303*45</f>
        <v>450</v>
      </c>
      <c r="J303" s="432">
        <f t="shared" ref="J303:J305" si="279">G303+I303*H303</f>
        <v>2555</v>
      </c>
      <c r="K303" s="433">
        <v>2</v>
      </c>
      <c r="L303" s="433">
        <v>1</v>
      </c>
      <c r="M303" s="503">
        <f t="shared" si="275"/>
        <v>5.1100000000000003</v>
      </c>
      <c r="N303" s="435">
        <f t="shared" si="276"/>
        <v>0.61699999999999999</v>
      </c>
      <c r="O303" s="435">
        <f t="shared" si="277"/>
        <v>3.1528700000000001</v>
      </c>
      <c r="P303" s="407"/>
    </row>
    <row r="304" spans="1:17" s="430" customFormat="1" ht="25.15" customHeight="1">
      <c r="A304" s="838"/>
      <c r="B304" s="401">
        <v>3</v>
      </c>
      <c r="C304" s="405">
        <v>140</v>
      </c>
      <c r="D304" s="406">
        <v>160</v>
      </c>
      <c r="E304" s="401">
        <v>60</v>
      </c>
      <c r="F304" s="431">
        <v>6</v>
      </c>
      <c r="G304" s="432">
        <f>(C304+D304+E304)*2</f>
        <v>720</v>
      </c>
      <c r="H304" s="432">
        <v>0</v>
      </c>
      <c r="I304" s="432">
        <f t="shared" si="278"/>
        <v>270</v>
      </c>
      <c r="J304" s="432">
        <f t="shared" si="279"/>
        <v>720</v>
      </c>
      <c r="K304" s="680">
        <f>+ROUND(D301/200,0)</f>
        <v>10</v>
      </c>
      <c r="L304" s="433">
        <v>1</v>
      </c>
      <c r="M304" s="503">
        <f t="shared" si="275"/>
        <v>7.2</v>
      </c>
      <c r="N304" s="435">
        <f t="shared" si="276"/>
        <v>0.222</v>
      </c>
      <c r="O304" s="435">
        <f t="shared" si="277"/>
        <v>1.5984</v>
      </c>
      <c r="P304" s="407"/>
    </row>
    <row r="305" spans="1:17" s="430" customFormat="1" ht="25.15" customHeight="1">
      <c r="A305" s="839"/>
      <c r="B305" s="401" t="s">
        <v>158</v>
      </c>
      <c r="C305" s="405">
        <v>100</v>
      </c>
      <c r="D305" s="406">
        <v>200</v>
      </c>
      <c r="E305" s="401"/>
      <c r="F305" s="431">
        <v>10</v>
      </c>
      <c r="G305" s="432">
        <f>C305+D305</f>
        <v>300</v>
      </c>
      <c r="H305" s="432">
        <v>0</v>
      </c>
      <c r="I305" s="432">
        <f t="shared" si="278"/>
        <v>450</v>
      </c>
      <c r="J305" s="432">
        <f t="shared" si="279"/>
        <v>300</v>
      </c>
      <c r="K305" s="680">
        <f>+ROUND(D301/600,0)</f>
        <v>3</v>
      </c>
      <c r="L305" s="433">
        <v>1</v>
      </c>
      <c r="M305" s="503">
        <f t="shared" si="275"/>
        <v>0.9</v>
      </c>
      <c r="N305" s="435">
        <f t="shared" si="276"/>
        <v>0.61699999999999999</v>
      </c>
      <c r="O305" s="435">
        <f t="shared" si="277"/>
        <v>0.55530000000000002</v>
      </c>
      <c r="P305" s="407" t="s">
        <v>347</v>
      </c>
    </row>
    <row r="306" spans="1:17" s="430" customFormat="1" ht="25.15" customHeight="1">
      <c r="A306" s="588" t="s">
        <v>510</v>
      </c>
      <c r="B306" s="589"/>
      <c r="C306" s="590"/>
      <c r="D306" s="591"/>
      <c r="E306" s="589"/>
      <c r="F306" s="592"/>
      <c r="G306" s="593"/>
      <c r="H306" s="593"/>
      <c r="I306" s="593"/>
      <c r="J306" s="593"/>
      <c r="K306" s="593"/>
      <c r="L306" s="593"/>
      <c r="M306" s="594"/>
      <c r="N306" s="595"/>
      <c r="O306" s="595"/>
      <c r="P306" s="596"/>
    </row>
    <row r="307" spans="1:17" s="430" customFormat="1" ht="25.15" customHeight="1">
      <c r="A307" s="834" t="s">
        <v>489</v>
      </c>
      <c r="B307" s="401"/>
      <c r="C307" s="402" t="s">
        <v>321</v>
      </c>
      <c r="D307" s="403">
        <v>2065</v>
      </c>
      <c r="E307" s="404" t="s">
        <v>322</v>
      </c>
      <c r="F307" s="431"/>
      <c r="G307" s="432"/>
      <c r="H307" s="432"/>
      <c r="I307" s="432"/>
      <c r="J307" s="432"/>
      <c r="K307" s="433"/>
      <c r="L307" s="433"/>
      <c r="M307" s="503"/>
      <c r="N307" s="435"/>
      <c r="O307" s="435"/>
      <c r="P307" s="407"/>
      <c r="Q307" s="414"/>
    </row>
    <row r="308" spans="1:17" s="430" customFormat="1" ht="25.15" customHeight="1">
      <c r="A308" s="835"/>
      <c r="B308" s="401">
        <v>1</v>
      </c>
      <c r="C308" s="405">
        <v>200</v>
      </c>
      <c r="D308" s="459">
        <f>D307+200+150</f>
        <v>2415</v>
      </c>
      <c r="E308" s="401">
        <f>250</f>
        <v>250</v>
      </c>
      <c r="F308" s="431">
        <v>10</v>
      </c>
      <c r="G308" s="432">
        <f>C308+D308+E308</f>
        <v>2865</v>
      </c>
      <c r="H308" s="432">
        <v>0</v>
      </c>
      <c r="I308" s="432">
        <f>F308*45</f>
        <v>450</v>
      </c>
      <c r="J308" s="432">
        <f>G308+I308*H308</f>
        <v>2865</v>
      </c>
      <c r="K308" s="433">
        <v>2</v>
      </c>
      <c r="L308" s="433">
        <v>1</v>
      </c>
      <c r="M308" s="503">
        <f t="shared" ref="M308:M311" si="280">J308*K308*L308/1000</f>
        <v>5.73</v>
      </c>
      <c r="N308" s="435">
        <f t="shared" ref="N308:N311" si="281">_xlfn.XLOOKUP(F308,$R$5:$Z$5,$R$6:$Z$6,"NOT_FOUND",0)</f>
        <v>0.61699999999999999</v>
      </c>
      <c r="O308" s="435">
        <f t="shared" ref="O308:O311" si="282">M308*N308</f>
        <v>3.5354100000000002</v>
      </c>
      <c r="P308" s="407"/>
    </row>
    <row r="309" spans="1:17" s="430" customFormat="1" ht="25.15" customHeight="1">
      <c r="A309" s="835"/>
      <c r="B309" s="401">
        <v>2</v>
      </c>
      <c r="C309" s="405">
        <v>100</v>
      </c>
      <c r="D309" s="459">
        <f>D307+200+170</f>
        <v>2435</v>
      </c>
      <c r="E309" s="401">
        <v>130</v>
      </c>
      <c r="F309" s="431">
        <v>10</v>
      </c>
      <c r="G309" s="432">
        <f>C309+D309+E309</f>
        <v>2665</v>
      </c>
      <c r="H309" s="432">
        <v>0</v>
      </c>
      <c r="I309" s="432">
        <f t="shared" ref="I309:I311" si="283">F309*45</f>
        <v>450</v>
      </c>
      <c r="J309" s="432">
        <f t="shared" ref="J309:J311" si="284">G309+I309*H309</f>
        <v>2665</v>
      </c>
      <c r="K309" s="433">
        <v>2</v>
      </c>
      <c r="L309" s="433">
        <v>1</v>
      </c>
      <c r="M309" s="503">
        <f t="shared" si="280"/>
        <v>5.33</v>
      </c>
      <c r="N309" s="435">
        <f t="shared" si="281"/>
        <v>0.61699999999999999</v>
      </c>
      <c r="O309" s="435">
        <f t="shared" si="282"/>
        <v>3.2886099999999998</v>
      </c>
      <c r="P309" s="407"/>
    </row>
    <row r="310" spans="1:17" s="430" customFormat="1" ht="25.15" customHeight="1">
      <c r="A310" s="835"/>
      <c r="B310" s="401">
        <v>3</v>
      </c>
      <c r="C310" s="405">
        <v>240</v>
      </c>
      <c r="D310" s="406">
        <v>160</v>
      </c>
      <c r="E310" s="401">
        <v>60</v>
      </c>
      <c r="F310" s="431">
        <v>6</v>
      </c>
      <c r="G310" s="432">
        <f>(C310+D310+E310)*2</f>
        <v>920</v>
      </c>
      <c r="H310" s="432">
        <v>0</v>
      </c>
      <c r="I310" s="432">
        <f t="shared" si="283"/>
        <v>270</v>
      </c>
      <c r="J310" s="432">
        <f t="shared" si="284"/>
        <v>920</v>
      </c>
      <c r="K310" s="680">
        <f>+ROUND(D307/200,0)</f>
        <v>10</v>
      </c>
      <c r="L310" s="433">
        <v>1</v>
      </c>
      <c r="M310" s="503">
        <f t="shared" si="280"/>
        <v>9.1999999999999993</v>
      </c>
      <c r="N310" s="435">
        <f t="shared" si="281"/>
        <v>0.222</v>
      </c>
      <c r="O310" s="435">
        <f t="shared" si="282"/>
        <v>2.0423999999999998</v>
      </c>
      <c r="P310" s="407"/>
    </row>
    <row r="311" spans="1:17" s="430" customFormat="1" ht="25.15" customHeight="1">
      <c r="A311" s="836"/>
      <c r="B311" s="401" t="s">
        <v>158</v>
      </c>
      <c r="C311" s="405">
        <v>100</v>
      </c>
      <c r="D311" s="406">
        <v>200</v>
      </c>
      <c r="E311" s="401"/>
      <c r="F311" s="431">
        <v>10</v>
      </c>
      <c r="G311" s="432">
        <f>C311+D311</f>
        <v>300</v>
      </c>
      <c r="H311" s="432">
        <v>0</v>
      </c>
      <c r="I311" s="432">
        <f t="shared" si="283"/>
        <v>450</v>
      </c>
      <c r="J311" s="432">
        <f t="shared" si="284"/>
        <v>300</v>
      </c>
      <c r="K311" s="680">
        <f>+ROUND(D307/600,0)</f>
        <v>3</v>
      </c>
      <c r="L311" s="433">
        <v>1</v>
      </c>
      <c r="M311" s="503">
        <f t="shared" si="280"/>
        <v>0.9</v>
      </c>
      <c r="N311" s="435">
        <f t="shared" si="281"/>
        <v>0.61699999999999999</v>
      </c>
      <c r="O311" s="435">
        <f t="shared" si="282"/>
        <v>0.55530000000000002</v>
      </c>
      <c r="P311" s="407" t="s">
        <v>347</v>
      </c>
    </row>
    <row r="312" spans="1:17" s="430" customFormat="1" ht="25.15" customHeight="1">
      <c r="A312" s="834" t="s">
        <v>489</v>
      </c>
      <c r="B312" s="401"/>
      <c r="C312" s="402" t="s">
        <v>321</v>
      </c>
      <c r="D312" s="403">
        <v>3315</v>
      </c>
      <c r="E312" s="404" t="s">
        <v>322</v>
      </c>
      <c r="F312" s="431"/>
      <c r="G312" s="432"/>
      <c r="H312" s="432"/>
      <c r="I312" s="432"/>
      <c r="J312" s="432"/>
      <c r="K312" s="433"/>
      <c r="L312" s="433"/>
      <c r="M312" s="503"/>
      <c r="N312" s="435"/>
      <c r="O312" s="435"/>
      <c r="P312" s="407"/>
      <c r="Q312" s="414"/>
    </row>
    <row r="313" spans="1:17" s="430" customFormat="1" ht="25.15" customHeight="1">
      <c r="A313" s="835"/>
      <c r="B313" s="401">
        <v>1</v>
      </c>
      <c r="C313" s="405">
        <v>200</v>
      </c>
      <c r="D313" s="459">
        <f>D312+200+150</f>
        <v>3665</v>
      </c>
      <c r="E313" s="401">
        <f>250</f>
        <v>250</v>
      </c>
      <c r="F313" s="431">
        <v>10</v>
      </c>
      <c r="G313" s="432">
        <f>C313+D313+E313</f>
        <v>4115</v>
      </c>
      <c r="H313" s="432">
        <v>0</v>
      </c>
      <c r="I313" s="432">
        <f>F313*45</f>
        <v>450</v>
      </c>
      <c r="J313" s="432">
        <f>G313+I313*H313</f>
        <v>4115</v>
      </c>
      <c r="K313" s="433">
        <v>2</v>
      </c>
      <c r="L313" s="433">
        <v>1</v>
      </c>
      <c r="M313" s="503">
        <f t="shared" ref="M313:M316" si="285">J313*K313*L313/1000</f>
        <v>8.23</v>
      </c>
      <c r="N313" s="435">
        <f t="shared" ref="N313:N316" si="286">_xlfn.XLOOKUP(F313,$R$5:$Z$5,$R$6:$Z$6,"NOT_FOUND",0)</f>
        <v>0.61699999999999999</v>
      </c>
      <c r="O313" s="435">
        <f t="shared" ref="O313:O316" si="287">M313*N313</f>
        <v>5.0779100000000001</v>
      </c>
      <c r="P313" s="407"/>
    </row>
    <row r="314" spans="1:17" s="430" customFormat="1" ht="25.15" customHeight="1">
      <c r="A314" s="835"/>
      <c r="B314" s="401">
        <v>2</v>
      </c>
      <c r="C314" s="405">
        <v>100</v>
      </c>
      <c r="D314" s="459">
        <f>D312+200+170</f>
        <v>3685</v>
      </c>
      <c r="E314" s="401">
        <v>130</v>
      </c>
      <c r="F314" s="431">
        <v>10</v>
      </c>
      <c r="G314" s="432">
        <f>C314+D314+E314</f>
        <v>3915</v>
      </c>
      <c r="H314" s="432">
        <v>0</v>
      </c>
      <c r="I314" s="432">
        <f t="shared" ref="I314:I316" si="288">F314*45</f>
        <v>450</v>
      </c>
      <c r="J314" s="432">
        <f t="shared" ref="J314:J316" si="289">G314+I314*H314</f>
        <v>3915</v>
      </c>
      <c r="K314" s="433">
        <v>2</v>
      </c>
      <c r="L314" s="433">
        <v>1</v>
      </c>
      <c r="M314" s="503">
        <f t="shared" si="285"/>
        <v>7.83</v>
      </c>
      <c r="N314" s="435">
        <f t="shared" si="286"/>
        <v>0.61699999999999999</v>
      </c>
      <c r="O314" s="435">
        <f t="shared" si="287"/>
        <v>4.8311099999999998</v>
      </c>
      <c r="P314" s="407"/>
    </row>
    <row r="315" spans="1:17" s="430" customFormat="1" ht="25.15" customHeight="1">
      <c r="A315" s="835"/>
      <c r="B315" s="401">
        <v>3</v>
      </c>
      <c r="C315" s="405">
        <v>240</v>
      </c>
      <c r="D315" s="406">
        <v>160</v>
      </c>
      <c r="E315" s="401">
        <v>60</v>
      </c>
      <c r="F315" s="431">
        <v>6</v>
      </c>
      <c r="G315" s="432">
        <f>(C315+D315+E315)*2</f>
        <v>920</v>
      </c>
      <c r="H315" s="432">
        <v>0</v>
      </c>
      <c r="I315" s="432">
        <f t="shared" si="288"/>
        <v>270</v>
      </c>
      <c r="J315" s="432">
        <f t="shared" si="289"/>
        <v>920</v>
      </c>
      <c r="K315" s="680">
        <f>+ROUND(D312/200,0)</f>
        <v>17</v>
      </c>
      <c r="L315" s="433">
        <v>1</v>
      </c>
      <c r="M315" s="503">
        <f t="shared" si="285"/>
        <v>15.64</v>
      </c>
      <c r="N315" s="435">
        <f t="shared" si="286"/>
        <v>0.222</v>
      </c>
      <c r="O315" s="435">
        <f t="shared" si="287"/>
        <v>3.4720800000000001</v>
      </c>
      <c r="P315" s="407"/>
    </row>
    <row r="316" spans="1:17" s="430" customFormat="1" ht="25.15" customHeight="1">
      <c r="A316" s="836"/>
      <c r="B316" s="401" t="s">
        <v>158</v>
      </c>
      <c r="C316" s="405">
        <v>100</v>
      </c>
      <c r="D316" s="406">
        <v>200</v>
      </c>
      <c r="E316" s="401"/>
      <c r="F316" s="431">
        <v>10</v>
      </c>
      <c r="G316" s="432">
        <f>C316+D316</f>
        <v>300</v>
      </c>
      <c r="H316" s="432">
        <v>0</v>
      </c>
      <c r="I316" s="432">
        <f t="shared" si="288"/>
        <v>450</v>
      </c>
      <c r="J316" s="432">
        <f t="shared" si="289"/>
        <v>300</v>
      </c>
      <c r="K316" s="680">
        <f>+ROUND(D312/600,0)</f>
        <v>6</v>
      </c>
      <c r="L316" s="433">
        <v>1</v>
      </c>
      <c r="M316" s="503">
        <f t="shared" si="285"/>
        <v>1.8</v>
      </c>
      <c r="N316" s="435">
        <f t="shared" si="286"/>
        <v>0.61699999999999999</v>
      </c>
      <c r="O316" s="435">
        <f t="shared" si="287"/>
        <v>1.1106</v>
      </c>
      <c r="P316" s="407" t="s">
        <v>347</v>
      </c>
    </row>
    <row r="317" spans="1:17" s="430" customFormat="1" ht="25.15" customHeight="1">
      <c r="A317" s="834" t="s">
        <v>501</v>
      </c>
      <c r="B317" s="401"/>
      <c r="C317" s="402" t="s">
        <v>321</v>
      </c>
      <c r="D317" s="403">
        <v>3470</v>
      </c>
      <c r="E317" s="404" t="s">
        <v>322</v>
      </c>
      <c r="F317" s="431"/>
      <c r="G317" s="432"/>
      <c r="H317" s="432"/>
      <c r="I317" s="432"/>
      <c r="J317" s="432"/>
      <c r="K317" s="433"/>
      <c r="L317" s="433"/>
      <c r="M317" s="503"/>
      <c r="N317" s="435"/>
      <c r="O317" s="435"/>
      <c r="P317" s="407"/>
      <c r="Q317" s="414"/>
    </row>
    <row r="318" spans="1:17" s="430" customFormat="1" ht="25.15" customHeight="1">
      <c r="A318" s="835"/>
      <c r="B318" s="401">
        <v>1</v>
      </c>
      <c r="C318" s="405">
        <v>150</v>
      </c>
      <c r="D318" s="459">
        <f>D317+200+150</f>
        <v>3820</v>
      </c>
      <c r="E318" s="401">
        <v>150</v>
      </c>
      <c r="F318" s="431">
        <v>10</v>
      </c>
      <c r="G318" s="432">
        <f>C318+D318+E318</f>
        <v>4120</v>
      </c>
      <c r="H318" s="432">
        <v>0</v>
      </c>
      <c r="I318" s="432">
        <f>F318*45</f>
        <v>450</v>
      </c>
      <c r="J318" s="432">
        <f>G318+I318*H318</f>
        <v>4120</v>
      </c>
      <c r="K318" s="433">
        <v>2</v>
      </c>
      <c r="L318" s="433">
        <v>1</v>
      </c>
      <c r="M318" s="503">
        <f t="shared" ref="M318:M321" si="290">J318*K318*L318/1000</f>
        <v>8.24</v>
      </c>
      <c r="N318" s="435">
        <f t="shared" ref="N318:N321" si="291">_xlfn.XLOOKUP(F318,$R$5:$Z$5,$R$6:$Z$6,"NOT_FOUND",0)</f>
        <v>0.61699999999999999</v>
      </c>
      <c r="O318" s="435">
        <f t="shared" ref="O318:O321" si="292">M318*N318</f>
        <v>5.0840800000000002</v>
      </c>
      <c r="P318" s="407"/>
    </row>
    <row r="319" spans="1:17" s="430" customFormat="1" ht="25.15" customHeight="1">
      <c r="A319" s="835"/>
      <c r="B319" s="401">
        <v>2</v>
      </c>
      <c r="C319" s="405">
        <v>100</v>
      </c>
      <c r="D319" s="459">
        <f>D317+200+150</f>
        <v>3820</v>
      </c>
      <c r="E319" s="401">
        <v>150</v>
      </c>
      <c r="F319" s="431">
        <v>10</v>
      </c>
      <c r="G319" s="432">
        <f>C319+D319+E319</f>
        <v>4070</v>
      </c>
      <c r="H319" s="432">
        <v>0</v>
      </c>
      <c r="I319" s="432">
        <f t="shared" ref="I319:I321" si="293">F319*45</f>
        <v>450</v>
      </c>
      <c r="J319" s="432">
        <f t="shared" ref="J319:J321" si="294">G319+I319*H319</f>
        <v>4070</v>
      </c>
      <c r="K319" s="433">
        <v>2</v>
      </c>
      <c r="L319" s="433">
        <v>1</v>
      </c>
      <c r="M319" s="503">
        <f t="shared" si="290"/>
        <v>8.14</v>
      </c>
      <c r="N319" s="435">
        <f t="shared" si="291"/>
        <v>0.61699999999999999</v>
      </c>
      <c r="O319" s="435">
        <f t="shared" si="292"/>
        <v>5.0223800000000001</v>
      </c>
      <c r="P319" s="407"/>
    </row>
    <row r="320" spans="1:17" s="430" customFormat="1" ht="25.15" customHeight="1">
      <c r="A320" s="835"/>
      <c r="B320" s="401">
        <v>3</v>
      </c>
      <c r="C320" s="405">
        <v>140</v>
      </c>
      <c r="D320" s="406">
        <v>160</v>
      </c>
      <c r="E320" s="401">
        <v>60</v>
      </c>
      <c r="F320" s="431">
        <v>6</v>
      </c>
      <c r="G320" s="432">
        <f>(C320+D320+E320)*2</f>
        <v>720</v>
      </c>
      <c r="H320" s="432">
        <v>0</v>
      </c>
      <c r="I320" s="432">
        <f t="shared" si="293"/>
        <v>270</v>
      </c>
      <c r="J320" s="432">
        <f t="shared" si="294"/>
        <v>720</v>
      </c>
      <c r="K320" s="680">
        <f>+ROUND(D317/200,0)</f>
        <v>17</v>
      </c>
      <c r="L320" s="433">
        <v>1</v>
      </c>
      <c r="M320" s="503">
        <f t="shared" si="290"/>
        <v>12.24</v>
      </c>
      <c r="N320" s="435">
        <f t="shared" si="291"/>
        <v>0.222</v>
      </c>
      <c r="O320" s="435">
        <f t="shared" si="292"/>
        <v>2.7172800000000001</v>
      </c>
      <c r="P320" s="407"/>
    </row>
    <row r="321" spans="1:17" s="430" customFormat="1" ht="25.15" customHeight="1">
      <c r="A321" s="836"/>
      <c r="B321" s="401" t="s">
        <v>158</v>
      </c>
      <c r="C321" s="405">
        <v>100</v>
      </c>
      <c r="D321" s="406">
        <v>200</v>
      </c>
      <c r="E321" s="401"/>
      <c r="F321" s="431">
        <v>10</v>
      </c>
      <c r="G321" s="432">
        <f>C321+D321</f>
        <v>300</v>
      </c>
      <c r="H321" s="432">
        <v>0</v>
      </c>
      <c r="I321" s="432">
        <f t="shared" si="293"/>
        <v>450</v>
      </c>
      <c r="J321" s="432">
        <f t="shared" si="294"/>
        <v>300</v>
      </c>
      <c r="K321" s="680">
        <f>+ROUND(D317/600,0)</f>
        <v>6</v>
      </c>
      <c r="L321" s="433">
        <v>1</v>
      </c>
      <c r="M321" s="503">
        <f t="shared" si="290"/>
        <v>1.8</v>
      </c>
      <c r="N321" s="435">
        <f t="shared" si="291"/>
        <v>0.61699999999999999</v>
      </c>
      <c r="O321" s="435">
        <f t="shared" si="292"/>
        <v>1.1106</v>
      </c>
      <c r="P321" s="407" t="s">
        <v>347</v>
      </c>
    </row>
    <row r="322" spans="1:17" s="430" customFormat="1" ht="25.15" customHeight="1">
      <c r="A322" s="588" t="s">
        <v>511</v>
      </c>
      <c r="B322" s="589"/>
      <c r="C322" s="590"/>
      <c r="D322" s="591"/>
      <c r="E322" s="589"/>
      <c r="F322" s="592"/>
      <c r="G322" s="593"/>
      <c r="H322" s="593"/>
      <c r="I322" s="593"/>
      <c r="J322" s="593"/>
      <c r="K322" s="593"/>
      <c r="L322" s="593"/>
      <c r="M322" s="594"/>
      <c r="N322" s="595"/>
      <c r="O322" s="595"/>
      <c r="P322" s="596"/>
    </row>
    <row r="323" spans="1:17" s="430" customFormat="1" ht="25.15" customHeight="1">
      <c r="A323" s="834" t="s">
        <v>489</v>
      </c>
      <c r="B323" s="401"/>
      <c r="C323" s="402" t="s">
        <v>321</v>
      </c>
      <c r="D323" s="403">
        <v>2720</v>
      </c>
      <c r="E323" s="404" t="s">
        <v>322</v>
      </c>
      <c r="F323" s="431"/>
      <c r="G323" s="432"/>
      <c r="H323" s="432"/>
      <c r="I323" s="432"/>
      <c r="J323" s="432"/>
      <c r="K323" s="433"/>
      <c r="L323" s="433"/>
      <c r="M323" s="503"/>
      <c r="N323" s="435"/>
      <c r="O323" s="435"/>
      <c r="P323" s="407"/>
      <c r="Q323" s="414"/>
    </row>
    <row r="324" spans="1:17" s="430" customFormat="1" ht="25.15" customHeight="1">
      <c r="A324" s="835"/>
      <c r="B324" s="401">
        <v>1</v>
      </c>
      <c r="C324" s="405">
        <v>200</v>
      </c>
      <c r="D324" s="459">
        <f>D323+200+150</f>
        <v>3070</v>
      </c>
      <c r="E324" s="401">
        <f>250</f>
        <v>250</v>
      </c>
      <c r="F324" s="431">
        <v>10</v>
      </c>
      <c r="G324" s="432">
        <f>C324+D324+E324</f>
        <v>3520</v>
      </c>
      <c r="H324" s="432">
        <v>0</v>
      </c>
      <c r="I324" s="432">
        <f>F324*45</f>
        <v>450</v>
      </c>
      <c r="J324" s="432">
        <f>G324+I324*H324</f>
        <v>3520</v>
      </c>
      <c r="K324" s="433">
        <v>2</v>
      </c>
      <c r="L324" s="433">
        <v>1</v>
      </c>
      <c r="M324" s="503">
        <f t="shared" ref="M324:M327" si="295">J324*K324*L324/1000</f>
        <v>7.04</v>
      </c>
      <c r="N324" s="435">
        <f t="shared" ref="N324:N327" si="296">_xlfn.XLOOKUP(F324,$R$5:$Z$5,$R$6:$Z$6,"NOT_FOUND",0)</f>
        <v>0.61699999999999999</v>
      </c>
      <c r="O324" s="435">
        <f t="shared" ref="O324:O327" si="297">M324*N324</f>
        <v>4.34368</v>
      </c>
      <c r="P324" s="407"/>
    </row>
    <row r="325" spans="1:17" s="430" customFormat="1" ht="25.15" customHeight="1">
      <c r="A325" s="835"/>
      <c r="B325" s="401">
        <v>2</v>
      </c>
      <c r="C325" s="405">
        <v>100</v>
      </c>
      <c r="D325" s="459">
        <f>D323+200+170</f>
        <v>3090</v>
      </c>
      <c r="E325" s="401">
        <v>130</v>
      </c>
      <c r="F325" s="431">
        <v>10</v>
      </c>
      <c r="G325" s="432">
        <f>C325+D325+E325</f>
        <v>3320</v>
      </c>
      <c r="H325" s="432">
        <v>0</v>
      </c>
      <c r="I325" s="432">
        <f t="shared" ref="I325:I327" si="298">F325*45</f>
        <v>450</v>
      </c>
      <c r="J325" s="432">
        <f t="shared" ref="J325:J327" si="299">G325+I325*H325</f>
        <v>3320</v>
      </c>
      <c r="K325" s="433">
        <v>2</v>
      </c>
      <c r="L325" s="433">
        <v>1</v>
      </c>
      <c r="M325" s="503">
        <f t="shared" si="295"/>
        <v>6.64</v>
      </c>
      <c r="N325" s="435">
        <f t="shared" si="296"/>
        <v>0.61699999999999999</v>
      </c>
      <c r="O325" s="435">
        <f t="shared" si="297"/>
        <v>4.0968799999999996</v>
      </c>
      <c r="P325" s="407"/>
    </row>
    <row r="326" spans="1:17" s="430" customFormat="1" ht="25.15" customHeight="1">
      <c r="A326" s="835"/>
      <c r="B326" s="401">
        <v>3</v>
      </c>
      <c r="C326" s="405">
        <v>240</v>
      </c>
      <c r="D326" s="406">
        <v>160</v>
      </c>
      <c r="E326" s="401">
        <v>60</v>
      </c>
      <c r="F326" s="431">
        <v>6</v>
      </c>
      <c r="G326" s="432">
        <f>(C326+D326+E326)*2</f>
        <v>920</v>
      </c>
      <c r="H326" s="432">
        <v>0</v>
      </c>
      <c r="I326" s="432">
        <f t="shared" si="298"/>
        <v>270</v>
      </c>
      <c r="J326" s="432">
        <f t="shared" si="299"/>
        <v>920</v>
      </c>
      <c r="K326" s="680">
        <f>+ROUND(D323/200,0)</f>
        <v>14</v>
      </c>
      <c r="L326" s="433">
        <v>1</v>
      </c>
      <c r="M326" s="503">
        <f t="shared" si="295"/>
        <v>12.88</v>
      </c>
      <c r="N326" s="435">
        <f t="shared" si="296"/>
        <v>0.222</v>
      </c>
      <c r="O326" s="435">
        <f t="shared" si="297"/>
        <v>2.8593600000000001</v>
      </c>
      <c r="P326" s="407"/>
    </row>
    <row r="327" spans="1:17" s="430" customFormat="1" ht="25.15" customHeight="1">
      <c r="A327" s="836"/>
      <c r="B327" s="401" t="s">
        <v>158</v>
      </c>
      <c r="C327" s="405">
        <v>100</v>
      </c>
      <c r="D327" s="406">
        <v>200</v>
      </c>
      <c r="E327" s="401"/>
      <c r="F327" s="431">
        <v>10</v>
      </c>
      <c r="G327" s="432">
        <f>C327+D327</f>
        <v>300</v>
      </c>
      <c r="H327" s="432">
        <v>0</v>
      </c>
      <c r="I327" s="432">
        <f t="shared" si="298"/>
        <v>450</v>
      </c>
      <c r="J327" s="432">
        <f t="shared" si="299"/>
        <v>300</v>
      </c>
      <c r="K327" s="680">
        <f>+ROUND(D323/600,0)</f>
        <v>5</v>
      </c>
      <c r="L327" s="433">
        <v>1</v>
      </c>
      <c r="M327" s="503">
        <f t="shared" si="295"/>
        <v>1.5</v>
      </c>
      <c r="N327" s="435">
        <f t="shared" si="296"/>
        <v>0.61699999999999999</v>
      </c>
      <c r="O327" s="435">
        <f t="shared" si="297"/>
        <v>0.92549999999999999</v>
      </c>
      <c r="P327" s="407" t="s">
        <v>347</v>
      </c>
    </row>
    <row r="328" spans="1:17" s="430" customFormat="1" ht="25.15" customHeight="1">
      <c r="A328" s="834" t="s">
        <v>489</v>
      </c>
      <c r="B328" s="401"/>
      <c r="C328" s="402" t="s">
        <v>321</v>
      </c>
      <c r="D328" s="403">
        <v>2450</v>
      </c>
      <c r="E328" s="404" t="s">
        <v>322</v>
      </c>
      <c r="F328" s="431"/>
      <c r="G328" s="432"/>
      <c r="H328" s="432"/>
      <c r="I328" s="432"/>
      <c r="J328" s="432"/>
      <c r="K328" s="433"/>
      <c r="L328" s="433"/>
      <c r="M328" s="503"/>
      <c r="N328" s="435"/>
      <c r="O328" s="435"/>
      <c r="P328" s="407"/>
      <c r="Q328" s="414"/>
    </row>
    <row r="329" spans="1:17" s="430" customFormat="1" ht="25.15" customHeight="1">
      <c r="A329" s="835"/>
      <c r="B329" s="401">
        <v>1</v>
      </c>
      <c r="C329" s="405">
        <v>200</v>
      </c>
      <c r="D329" s="459">
        <f>D328+200+150</f>
        <v>2800</v>
      </c>
      <c r="E329" s="401">
        <f>250</f>
        <v>250</v>
      </c>
      <c r="F329" s="431">
        <v>10</v>
      </c>
      <c r="G329" s="432">
        <f>C329+D329+E329</f>
        <v>3250</v>
      </c>
      <c r="H329" s="432">
        <v>0</v>
      </c>
      <c r="I329" s="432">
        <f>F329*45</f>
        <v>450</v>
      </c>
      <c r="J329" s="432">
        <f>G329+I329*H329</f>
        <v>3250</v>
      </c>
      <c r="K329" s="433">
        <v>2</v>
      </c>
      <c r="L329" s="433">
        <v>1</v>
      </c>
      <c r="M329" s="503">
        <f t="shared" ref="M329:M332" si="300">J329*K329*L329/1000</f>
        <v>6.5</v>
      </c>
      <c r="N329" s="435">
        <f t="shared" ref="N329:N332" si="301">_xlfn.XLOOKUP(F329,$R$5:$Z$5,$R$6:$Z$6,"NOT_FOUND",0)</f>
        <v>0.61699999999999999</v>
      </c>
      <c r="O329" s="435">
        <f t="shared" ref="O329:O332" si="302">M329*N329</f>
        <v>4.0105000000000004</v>
      </c>
      <c r="P329" s="407"/>
    </row>
    <row r="330" spans="1:17" s="430" customFormat="1" ht="25.15" customHeight="1">
      <c r="A330" s="835"/>
      <c r="B330" s="401">
        <v>2</v>
      </c>
      <c r="C330" s="405">
        <v>100</v>
      </c>
      <c r="D330" s="459">
        <f>D328+200+170</f>
        <v>2820</v>
      </c>
      <c r="E330" s="401">
        <v>130</v>
      </c>
      <c r="F330" s="431">
        <v>10</v>
      </c>
      <c r="G330" s="432">
        <f>C330+D330+E330</f>
        <v>3050</v>
      </c>
      <c r="H330" s="432">
        <v>0</v>
      </c>
      <c r="I330" s="432">
        <f t="shared" ref="I330:I332" si="303">F330*45</f>
        <v>450</v>
      </c>
      <c r="J330" s="432">
        <f t="shared" ref="J330:J332" si="304">G330+I330*H330</f>
        <v>3050</v>
      </c>
      <c r="K330" s="433">
        <v>2</v>
      </c>
      <c r="L330" s="433">
        <v>1</v>
      </c>
      <c r="M330" s="503">
        <f t="shared" si="300"/>
        <v>6.1</v>
      </c>
      <c r="N330" s="435">
        <f t="shared" si="301"/>
        <v>0.61699999999999999</v>
      </c>
      <c r="O330" s="435">
        <f t="shared" si="302"/>
        <v>3.7636999999999996</v>
      </c>
      <c r="P330" s="407"/>
    </row>
    <row r="331" spans="1:17" s="430" customFormat="1" ht="25.15" customHeight="1">
      <c r="A331" s="835"/>
      <c r="B331" s="401">
        <v>3</v>
      </c>
      <c r="C331" s="405">
        <v>240</v>
      </c>
      <c r="D331" s="406">
        <v>160</v>
      </c>
      <c r="E331" s="401">
        <v>60</v>
      </c>
      <c r="F331" s="431">
        <v>6</v>
      </c>
      <c r="G331" s="432">
        <f>(C331+D331+E331)*2</f>
        <v>920</v>
      </c>
      <c r="H331" s="432">
        <v>0</v>
      </c>
      <c r="I331" s="432">
        <f t="shared" si="303"/>
        <v>270</v>
      </c>
      <c r="J331" s="432">
        <f t="shared" si="304"/>
        <v>920</v>
      </c>
      <c r="K331" s="680">
        <f>+ROUND(D328/200,0)</f>
        <v>12</v>
      </c>
      <c r="L331" s="433">
        <v>1</v>
      </c>
      <c r="M331" s="503">
        <f t="shared" si="300"/>
        <v>11.04</v>
      </c>
      <c r="N331" s="435">
        <f t="shared" si="301"/>
        <v>0.222</v>
      </c>
      <c r="O331" s="435">
        <f t="shared" si="302"/>
        <v>2.4508799999999997</v>
      </c>
      <c r="P331" s="407"/>
    </row>
    <row r="332" spans="1:17" s="430" customFormat="1" ht="25.15" customHeight="1">
      <c r="A332" s="836"/>
      <c r="B332" s="401" t="s">
        <v>158</v>
      </c>
      <c r="C332" s="405">
        <v>100</v>
      </c>
      <c r="D332" s="406">
        <v>200</v>
      </c>
      <c r="E332" s="401"/>
      <c r="F332" s="431">
        <v>10</v>
      </c>
      <c r="G332" s="432">
        <f>C332+D332</f>
        <v>300</v>
      </c>
      <c r="H332" s="432">
        <v>0</v>
      </c>
      <c r="I332" s="432">
        <f t="shared" si="303"/>
        <v>450</v>
      </c>
      <c r="J332" s="432">
        <f t="shared" si="304"/>
        <v>300</v>
      </c>
      <c r="K332" s="680">
        <f>+ROUND(D328/600,0)</f>
        <v>4</v>
      </c>
      <c r="L332" s="433">
        <v>1</v>
      </c>
      <c r="M332" s="503">
        <f t="shared" si="300"/>
        <v>1.2</v>
      </c>
      <c r="N332" s="435">
        <f t="shared" si="301"/>
        <v>0.61699999999999999</v>
      </c>
      <c r="O332" s="435">
        <f t="shared" si="302"/>
        <v>0.74039999999999995</v>
      </c>
      <c r="P332" s="407" t="s">
        <v>347</v>
      </c>
    </row>
    <row r="333" spans="1:17" s="430" customFormat="1" ht="25.15" customHeight="1">
      <c r="A333" s="834" t="s">
        <v>489</v>
      </c>
      <c r="B333" s="401"/>
      <c r="C333" s="402" t="s">
        <v>321</v>
      </c>
      <c r="D333" s="403">
        <v>2045</v>
      </c>
      <c r="E333" s="404" t="s">
        <v>322</v>
      </c>
      <c r="F333" s="431"/>
      <c r="G333" s="432"/>
      <c r="H333" s="432"/>
      <c r="I333" s="432"/>
      <c r="J333" s="432"/>
      <c r="K333" s="433"/>
      <c r="L333" s="433"/>
      <c r="M333" s="503"/>
      <c r="N333" s="435"/>
      <c r="O333" s="435"/>
      <c r="P333" s="407"/>
      <c r="Q333" s="414"/>
    </row>
    <row r="334" spans="1:17" s="430" customFormat="1" ht="25.15" customHeight="1">
      <c r="A334" s="835"/>
      <c r="B334" s="401">
        <v>1</v>
      </c>
      <c r="C334" s="405">
        <v>200</v>
      </c>
      <c r="D334" s="459">
        <f>D333+200+150</f>
        <v>2395</v>
      </c>
      <c r="E334" s="401">
        <f>250</f>
        <v>250</v>
      </c>
      <c r="F334" s="431">
        <v>10</v>
      </c>
      <c r="G334" s="432">
        <f>C334+D334+E334</f>
        <v>2845</v>
      </c>
      <c r="H334" s="432">
        <v>0</v>
      </c>
      <c r="I334" s="432">
        <f>F334*45</f>
        <v>450</v>
      </c>
      <c r="J334" s="432">
        <f>G334+I334*H334</f>
        <v>2845</v>
      </c>
      <c r="K334" s="433">
        <v>2</v>
      </c>
      <c r="L334" s="433">
        <v>1</v>
      </c>
      <c r="M334" s="503">
        <f t="shared" ref="M334:M337" si="305">J334*K334*L334/1000</f>
        <v>5.69</v>
      </c>
      <c r="N334" s="435">
        <f t="shared" ref="N334:N337" si="306">_xlfn.XLOOKUP(F334,$R$5:$Z$5,$R$6:$Z$6,"NOT_FOUND",0)</f>
        <v>0.61699999999999999</v>
      </c>
      <c r="O334" s="435">
        <f t="shared" ref="O334:O337" si="307">M334*N334</f>
        <v>3.5107300000000001</v>
      </c>
      <c r="P334" s="407"/>
    </row>
    <row r="335" spans="1:17" s="430" customFormat="1" ht="25.15" customHeight="1">
      <c r="A335" s="835"/>
      <c r="B335" s="401">
        <v>2</v>
      </c>
      <c r="C335" s="405">
        <v>100</v>
      </c>
      <c r="D335" s="459">
        <f>D333+200+170</f>
        <v>2415</v>
      </c>
      <c r="E335" s="401">
        <v>130</v>
      </c>
      <c r="F335" s="431">
        <v>10</v>
      </c>
      <c r="G335" s="432">
        <f>C335+D335+E335</f>
        <v>2645</v>
      </c>
      <c r="H335" s="432">
        <v>0</v>
      </c>
      <c r="I335" s="432">
        <f t="shared" ref="I335:I337" si="308">F335*45</f>
        <v>450</v>
      </c>
      <c r="J335" s="432">
        <f t="shared" ref="J335:J337" si="309">G335+I335*H335</f>
        <v>2645</v>
      </c>
      <c r="K335" s="433">
        <v>2</v>
      </c>
      <c r="L335" s="433">
        <v>1</v>
      </c>
      <c r="M335" s="503">
        <f t="shared" si="305"/>
        <v>5.29</v>
      </c>
      <c r="N335" s="435">
        <f t="shared" si="306"/>
        <v>0.61699999999999999</v>
      </c>
      <c r="O335" s="435">
        <f t="shared" si="307"/>
        <v>3.2639299999999998</v>
      </c>
      <c r="P335" s="407"/>
    </row>
    <row r="336" spans="1:17" s="430" customFormat="1" ht="25.15" customHeight="1">
      <c r="A336" s="835"/>
      <c r="B336" s="401">
        <v>3</v>
      </c>
      <c r="C336" s="405">
        <v>240</v>
      </c>
      <c r="D336" s="406">
        <v>160</v>
      </c>
      <c r="E336" s="401">
        <v>60</v>
      </c>
      <c r="F336" s="431">
        <v>6</v>
      </c>
      <c r="G336" s="432">
        <f>(C336+D336+E336)*2</f>
        <v>920</v>
      </c>
      <c r="H336" s="432">
        <v>0</v>
      </c>
      <c r="I336" s="432">
        <f t="shared" si="308"/>
        <v>270</v>
      </c>
      <c r="J336" s="432">
        <f t="shared" si="309"/>
        <v>920</v>
      </c>
      <c r="K336" s="680">
        <f>+ROUND(D333/200,0)</f>
        <v>10</v>
      </c>
      <c r="L336" s="433">
        <v>1</v>
      </c>
      <c r="M336" s="503">
        <f t="shared" si="305"/>
        <v>9.1999999999999993</v>
      </c>
      <c r="N336" s="435">
        <f t="shared" si="306"/>
        <v>0.222</v>
      </c>
      <c r="O336" s="435">
        <f t="shared" si="307"/>
        <v>2.0423999999999998</v>
      </c>
      <c r="P336" s="407"/>
    </row>
    <row r="337" spans="1:17" s="430" customFormat="1" ht="25.15" customHeight="1">
      <c r="A337" s="836"/>
      <c r="B337" s="401" t="s">
        <v>158</v>
      </c>
      <c r="C337" s="405">
        <v>100</v>
      </c>
      <c r="D337" s="406">
        <v>200</v>
      </c>
      <c r="E337" s="401"/>
      <c r="F337" s="431">
        <v>10</v>
      </c>
      <c r="G337" s="432">
        <f>C337+D337</f>
        <v>300</v>
      </c>
      <c r="H337" s="432">
        <v>0</v>
      </c>
      <c r="I337" s="432">
        <f t="shared" si="308"/>
        <v>450</v>
      </c>
      <c r="J337" s="432">
        <f t="shared" si="309"/>
        <v>300</v>
      </c>
      <c r="K337" s="680">
        <f>+ROUND(D333/600,0)</f>
        <v>3</v>
      </c>
      <c r="L337" s="433">
        <v>1</v>
      </c>
      <c r="M337" s="503">
        <f t="shared" si="305"/>
        <v>0.9</v>
      </c>
      <c r="N337" s="435">
        <f t="shared" si="306"/>
        <v>0.61699999999999999</v>
      </c>
      <c r="O337" s="435">
        <f t="shared" si="307"/>
        <v>0.55530000000000002</v>
      </c>
      <c r="P337" s="407" t="s">
        <v>347</v>
      </c>
    </row>
    <row r="338" spans="1:17" s="430" customFormat="1" ht="25.15" customHeight="1">
      <c r="A338" s="834" t="s">
        <v>489</v>
      </c>
      <c r="B338" s="401"/>
      <c r="C338" s="402" t="s">
        <v>321</v>
      </c>
      <c r="D338" s="403">
        <v>1835</v>
      </c>
      <c r="E338" s="404" t="s">
        <v>322</v>
      </c>
      <c r="F338" s="431"/>
      <c r="G338" s="432"/>
      <c r="H338" s="432"/>
      <c r="I338" s="432"/>
      <c r="J338" s="432"/>
      <c r="K338" s="433"/>
      <c r="L338" s="433"/>
      <c r="M338" s="503"/>
      <c r="N338" s="435"/>
      <c r="O338" s="435"/>
      <c r="P338" s="407"/>
      <c r="Q338" s="414"/>
    </row>
    <row r="339" spans="1:17" s="430" customFormat="1" ht="25.15" customHeight="1">
      <c r="A339" s="835"/>
      <c r="B339" s="401">
        <v>1</v>
      </c>
      <c r="C339" s="405">
        <v>200</v>
      </c>
      <c r="D339" s="459">
        <f>D338+200+150</f>
        <v>2185</v>
      </c>
      <c r="E339" s="401">
        <f>250</f>
        <v>250</v>
      </c>
      <c r="F339" s="431">
        <v>10</v>
      </c>
      <c r="G339" s="432">
        <f>C339+D339+E339</f>
        <v>2635</v>
      </c>
      <c r="H339" s="432">
        <v>0</v>
      </c>
      <c r="I339" s="432">
        <f>F339*45</f>
        <v>450</v>
      </c>
      <c r="J339" s="432">
        <f>G339+I339*H339</f>
        <v>2635</v>
      </c>
      <c r="K339" s="433">
        <v>2</v>
      </c>
      <c r="L339" s="433">
        <v>1</v>
      </c>
      <c r="M339" s="503">
        <f t="shared" ref="M339:M342" si="310">J339*K339*L339/1000</f>
        <v>5.27</v>
      </c>
      <c r="N339" s="435">
        <f t="shared" ref="N339:N342" si="311">_xlfn.XLOOKUP(F339,$R$5:$Z$5,$R$6:$Z$6,"NOT_FOUND",0)</f>
        <v>0.61699999999999999</v>
      </c>
      <c r="O339" s="435">
        <f t="shared" ref="O339:O342" si="312">M339*N339</f>
        <v>3.2515899999999998</v>
      </c>
      <c r="P339" s="407"/>
    </row>
    <row r="340" spans="1:17" s="430" customFormat="1" ht="24.95" customHeight="1">
      <c r="A340" s="835"/>
      <c r="B340" s="401">
        <v>2</v>
      </c>
      <c r="C340" s="405">
        <v>100</v>
      </c>
      <c r="D340" s="459">
        <f>D338+200+170</f>
        <v>2205</v>
      </c>
      <c r="E340" s="401">
        <v>130</v>
      </c>
      <c r="F340" s="431">
        <v>10</v>
      </c>
      <c r="G340" s="432">
        <f>C340+D340+E340</f>
        <v>2435</v>
      </c>
      <c r="H340" s="432">
        <v>0</v>
      </c>
      <c r="I340" s="432">
        <f t="shared" ref="I340:I342" si="313">F340*45</f>
        <v>450</v>
      </c>
      <c r="J340" s="432">
        <f t="shared" ref="J340:J342" si="314">G340+I340*H340</f>
        <v>2435</v>
      </c>
      <c r="K340" s="433">
        <v>2</v>
      </c>
      <c r="L340" s="433">
        <v>1</v>
      </c>
      <c r="M340" s="503">
        <f t="shared" si="310"/>
        <v>4.87</v>
      </c>
      <c r="N340" s="435">
        <f t="shared" si="311"/>
        <v>0.61699999999999999</v>
      </c>
      <c r="O340" s="435">
        <f t="shared" si="312"/>
        <v>3.0047899999999998</v>
      </c>
      <c r="P340" s="407"/>
    </row>
    <row r="341" spans="1:17" s="430" customFormat="1" ht="24.95" customHeight="1">
      <c r="A341" s="835"/>
      <c r="B341" s="401">
        <v>3</v>
      </c>
      <c r="C341" s="405">
        <v>240</v>
      </c>
      <c r="D341" s="406">
        <v>160</v>
      </c>
      <c r="E341" s="401">
        <v>60</v>
      </c>
      <c r="F341" s="431">
        <v>6</v>
      </c>
      <c r="G341" s="432">
        <f>(C341+D341+E341)*2</f>
        <v>920</v>
      </c>
      <c r="H341" s="432">
        <v>0</v>
      </c>
      <c r="I341" s="432">
        <f t="shared" si="313"/>
        <v>270</v>
      </c>
      <c r="J341" s="432">
        <f t="shared" si="314"/>
        <v>920</v>
      </c>
      <c r="K341" s="680">
        <f>+ROUND(D338/200,0)</f>
        <v>9</v>
      </c>
      <c r="L341" s="433">
        <v>1</v>
      </c>
      <c r="M341" s="503">
        <f t="shared" si="310"/>
        <v>8.2799999999999994</v>
      </c>
      <c r="N341" s="435">
        <f t="shared" si="311"/>
        <v>0.222</v>
      </c>
      <c r="O341" s="435">
        <f t="shared" si="312"/>
        <v>1.8381599999999998</v>
      </c>
      <c r="P341" s="407"/>
    </row>
    <row r="342" spans="1:17" s="430" customFormat="1" ht="24.95" customHeight="1">
      <c r="A342" s="836"/>
      <c r="B342" s="401" t="s">
        <v>158</v>
      </c>
      <c r="C342" s="405">
        <v>100</v>
      </c>
      <c r="D342" s="406">
        <v>200</v>
      </c>
      <c r="E342" s="401"/>
      <c r="F342" s="431">
        <v>10</v>
      </c>
      <c r="G342" s="432">
        <f>C342+D342</f>
        <v>300</v>
      </c>
      <c r="H342" s="432">
        <v>0</v>
      </c>
      <c r="I342" s="432">
        <f t="shared" si="313"/>
        <v>450</v>
      </c>
      <c r="J342" s="432">
        <f t="shared" si="314"/>
        <v>300</v>
      </c>
      <c r="K342" s="680">
        <f>+ROUND(D338/600,0)</f>
        <v>3</v>
      </c>
      <c r="L342" s="433">
        <v>1</v>
      </c>
      <c r="M342" s="503">
        <f t="shared" si="310"/>
        <v>0.9</v>
      </c>
      <c r="N342" s="435">
        <f t="shared" si="311"/>
        <v>0.61699999999999999</v>
      </c>
      <c r="O342" s="435">
        <f t="shared" si="312"/>
        <v>0.55530000000000002</v>
      </c>
      <c r="P342" s="407" t="s">
        <v>347</v>
      </c>
    </row>
    <row r="343" spans="1:17" s="430" customFormat="1" ht="25.15" customHeight="1">
      <c r="A343" s="588" t="s">
        <v>512</v>
      </c>
      <c r="B343" s="589"/>
      <c r="C343" s="590"/>
      <c r="D343" s="591"/>
      <c r="E343" s="589"/>
      <c r="F343" s="592"/>
      <c r="G343" s="593"/>
      <c r="H343" s="593"/>
      <c r="I343" s="593"/>
      <c r="J343" s="593"/>
      <c r="K343" s="593"/>
      <c r="L343" s="593"/>
      <c r="M343" s="594"/>
      <c r="N343" s="595"/>
      <c r="O343" s="595"/>
      <c r="P343" s="596"/>
    </row>
    <row r="344" spans="1:17" s="430" customFormat="1" ht="25.15" customHeight="1">
      <c r="A344" s="834" t="s">
        <v>489</v>
      </c>
      <c r="B344" s="401"/>
      <c r="C344" s="402" t="s">
        <v>321</v>
      </c>
      <c r="D344" s="403">
        <v>1620</v>
      </c>
      <c r="E344" s="404" t="s">
        <v>322</v>
      </c>
      <c r="F344" s="431"/>
      <c r="G344" s="432"/>
      <c r="H344" s="432"/>
      <c r="I344" s="432"/>
      <c r="J344" s="432"/>
      <c r="K344" s="433"/>
      <c r="L344" s="433"/>
      <c r="M344" s="503"/>
      <c r="N344" s="435"/>
      <c r="O344" s="435"/>
      <c r="P344" s="407"/>
      <c r="Q344" s="414"/>
    </row>
    <row r="345" spans="1:17" s="430" customFormat="1" ht="25.15" customHeight="1">
      <c r="A345" s="835"/>
      <c r="B345" s="401">
        <v>1</v>
      </c>
      <c r="C345" s="405">
        <v>200</v>
      </c>
      <c r="D345" s="459">
        <f>D344+200+150</f>
        <v>1970</v>
      </c>
      <c r="E345" s="401">
        <f>250</f>
        <v>250</v>
      </c>
      <c r="F345" s="431">
        <v>10</v>
      </c>
      <c r="G345" s="432">
        <f>C345+D345+E345</f>
        <v>2420</v>
      </c>
      <c r="H345" s="432">
        <v>0</v>
      </c>
      <c r="I345" s="432">
        <f>F345*45</f>
        <v>450</v>
      </c>
      <c r="J345" s="432">
        <f>G345+I345*H345</f>
        <v>2420</v>
      </c>
      <c r="K345" s="433">
        <v>2</v>
      </c>
      <c r="L345" s="433">
        <v>1</v>
      </c>
      <c r="M345" s="503">
        <f t="shared" ref="M345:M348" si="315">J345*K345*L345/1000</f>
        <v>4.84</v>
      </c>
      <c r="N345" s="435">
        <f t="shared" ref="N345:N348" si="316">_xlfn.XLOOKUP(F345,$R$5:$Z$5,$R$6:$Z$6,"NOT_FOUND",0)</f>
        <v>0.61699999999999999</v>
      </c>
      <c r="O345" s="435">
        <f t="shared" ref="O345:O348" si="317">M345*N345</f>
        <v>2.9862799999999998</v>
      </c>
      <c r="P345" s="407"/>
    </row>
    <row r="346" spans="1:17" s="430" customFormat="1" ht="25.15" customHeight="1">
      <c r="A346" s="835"/>
      <c r="B346" s="401">
        <v>2</v>
      </c>
      <c r="C346" s="405">
        <v>100</v>
      </c>
      <c r="D346" s="459">
        <f>D344+200+170</f>
        <v>1990</v>
      </c>
      <c r="E346" s="401">
        <v>130</v>
      </c>
      <c r="F346" s="431">
        <v>10</v>
      </c>
      <c r="G346" s="432">
        <f>C346+D346+E346</f>
        <v>2220</v>
      </c>
      <c r="H346" s="432">
        <v>0</v>
      </c>
      <c r="I346" s="432">
        <f t="shared" ref="I346:I348" si="318">F346*45</f>
        <v>450</v>
      </c>
      <c r="J346" s="432">
        <f t="shared" ref="J346:J348" si="319">G346+I346*H346</f>
        <v>2220</v>
      </c>
      <c r="K346" s="433">
        <v>2</v>
      </c>
      <c r="L346" s="433">
        <v>1</v>
      </c>
      <c r="M346" s="503">
        <f t="shared" si="315"/>
        <v>4.4400000000000004</v>
      </c>
      <c r="N346" s="435">
        <f t="shared" si="316"/>
        <v>0.61699999999999999</v>
      </c>
      <c r="O346" s="435">
        <f t="shared" si="317"/>
        <v>2.7394800000000004</v>
      </c>
      <c r="P346" s="407"/>
    </row>
    <row r="347" spans="1:17" s="430" customFormat="1" ht="25.15" customHeight="1">
      <c r="A347" s="835"/>
      <c r="B347" s="401">
        <v>3</v>
      </c>
      <c r="C347" s="405">
        <v>240</v>
      </c>
      <c r="D347" s="406">
        <v>160</v>
      </c>
      <c r="E347" s="401">
        <v>60</v>
      </c>
      <c r="F347" s="431">
        <v>6</v>
      </c>
      <c r="G347" s="432">
        <f>(C347+D347+E347)*2</f>
        <v>920</v>
      </c>
      <c r="H347" s="432">
        <v>0</v>
      </c>
      <c r="I347" s="432">
        <f t="shared" si="318"/>
        <v>270</v>
      </c>
      <c r="J347" s="432">
        <f t="shared" si="319"/>
        <v>920</v>
      </c>
      <c r="K347" s="680">
        <f>+ROUND(D344/200,0)</f>
        <v>8</v>
      </c>
      <c r="L347" s="433">
        <v>1</v>
      </c>
      <c r="M347" s="503">
        <f t="shared" si="315"/>
        <v>7.36</v>
      </c>
      <c r="N347" s="435">
        <f t="shared" si="316"/>
        <v>0.222</v>
      </c>
      <c r="O347" s="435">
        <f t="shared" si="317"/>
        <v>1.63392</v>
      </c>
      <c r="P347" s="407"/>
    </row>
    <row r="348" spans="1:17" s="430" customFormat="1" ht="25.15" customHeight="1">
      <c r="A348" s="836"/>
      <c r="B348" s="401" t="s">
        <v>158</v>
      </c>
      <c r="C348" s="405">
        <v>100</v>
      </c>
      <c r="D348" s="406">
        <v>200</v>
      </c>
      <c r="E348" s="401"/>
      <c r="F348" s="431">
        <v>10</v>
      </c>
      <c r="G348" s="432">
        <f>C348+D348</f>
        <v>300</v>
      </c>
      <c r="H348" s="432">
        <v>0</v>
      </c>
      <c r="I348" s="432">
        <f t="shared" si="318"/>
        <v>450</v>
      </c>
      <c r="J348" s="432">
        <f t="shared" si="319"/>
        <v>300</v>
      </c>
      <c r="K348" s="680">
        <f>+ROUND(D344/600,0)</f>
        <v>3</v>
      </c>
      <c r="L348" s="433">
        <v>1</v>
      </c>
      <c r="M348" s="503">
        <f t="shared" si="315"/>
        <v>0.9</v>
      </c>
      <c r="N348" s="435">
        <f t="shared" si="316"/>
        <v>0.61699999999999999</v>
      </c>
      <c r="O348" s="435">
        <f t="shared" si="317"/>
        <v>0.55530000000000002</v>
      </c>
      <c r="P348" s="407" t="s">
        <v>347</v>
      </c>
    </row>
    <row r="349" spans="1:17" s="430" customFormat="1" ht="25.15" customHeight="1">
      <c r="A349" s="834" t="s">
        <v>489</v>
      </c>
      <c r="B349" s="401"/>
      <c r="C349" s="402" t="s">
        <v>321</v>
      </c>
      <c r="D349" s="403">
        <v>1640</v>
      </c>
      <c r="E349" s="404" t="s">
        <v>322</v>
      </c>
      <c r="F349" s="431"/>
      <c r="G349" s="432"/>
      <c r="H349" s="432"/>
      <c r="I349" s="432"/>
      <c r="J349" s="432"/>
      <c r="K349" s="433"/>
      <c r="L349" s="433"/>
      <c r="M349" s="503"/>
      <c r="N349" s="435"/>
      <c r="O349" s="435"/>
      <c r="P349" s="407"/>
      <c r="Q349" s="414"/>
    </row>
    <row r="350" spans="1:17" s="430" customFormat="1" ht="25.15" customHeight="1">
      <c r="A350" s="835"/>
      <c r="B350" s="401">
        <v>1</v>
      </c>
      <c r="C350" s="405">
        <v>200</v>
      </c>
      <c r="D350" s="459">
        <f>D349+200+150</f>
        <v>1990</v>
      </c>
      <c r="E350" s="401">
        <f>250</f>
        <v>250</v>
      </c>
      <c r="F350" s="431">
        <v>10</v>
      </c>
      <c r="G350" s="432">
        <f>C350+D350+E350</f>
        <v>2440</v>
      </c>
      <c r="H350" s="432">
        <v>0</v>
      </c>
      <c r="I350" s="432">
        <f>F350*45</f>
        <v>450</v>
      </c>
      <c r="J350" s="432">
        <f>G350+I350*H350</f>
        <v>2440</v>
      </c>
      <c r="K350" s="433">
        <v>2</v>
      </c>
      <c r="L350" s="433">
        <v>1</v>
      </c>
      <c r="M350" s="503">
        <f t="shared" ref="M350:M353" si="320">J350*K350*L350/1000</f>
        <v>4.88</v>
      </c>
      <c r="N350" s="435">
        <f t="shared" ref="N350:N353" si="321">_xlfn.XLOOKUP(F350,$R$5:$Z$5,$R$6:$Z$6,"NOT_FOUND",0)</f>
        <v>0.61699999999999999</v>
      </c>
      <c r="O350" s="435">
        <f t="shared" ref="O350:O353" si="322">M350*N350</f>
        <v>3.0109599999999999</v>
      </c>
      <c r="P350" s="407"/>
    </row>
    <row r="351" spans="1:17" s="430" customFormat="1" ht="25.15" customHeight="1">
      <c r="A351" s="835"/>
      <c r="B351" s="401">
        <v>2</v>
      </c>
      <c r="C351" s="405">
        <v>100</v>
      </c>
      <c r="D351" s="459">
        <f>D349+200+170</f>
        <v>2010</v>
      </c>
      <c r="E351" s="401">
        <v>130</v>
      </c>
      <c r="F351" s="431">
        <v>10</v>
      </c>
      <c r="G351" s="432">
        <f>C351+D351+E351</f>
        <v>2240</v>
      </c>
      <c r="H351" s="432">
        <v>0</v>
      </c>
      <c r="I351" s="432">
        <f t="shared" ref="I351:I353" si="323">F351*45</f>
        <v>450</v>
      </c>
      <c r="J351" s="432">
        <f t="shared" ref="J351:J353" si="324">G351+I351*H351</f>
        <v>2240</v>
      </c>
      <c r="K351" s="433">
        <v>2</v>
      </c>
      <c r="L351" s="433">
        <v>1</v>
      </c>
      <c r="M351" s="503">
        <f t="shared" si="320"/>
        <v>4.4800000000000004</v>
      </c>
      <c r="N351" s="435">
        <f t="shared" si="321"/>
        <v>0.61699999999999999</v>
      </c>
      <c r="O351" s="435">
        <f t="shared" si="322"/>
        <v>2.7641600000000004</v>
      </c>
      <c r="P351" s="407"/>
    </row>
    <row r="352" spans="1:17" s="430" customFormat="1" ht="25.15" customHeight="1">
      <c r="A352" s="835"/>
      <c r="B352" s="401">
        <v>3</v>
      </c>
      <c r="C352" s="405">
        <v>240</v>
      </c>
      <c r="D352" s="406">
        <v>160</v>
      </c>
      <c r="E352" s="401">
        <v>60</v>
      </c>
      <c r="F352" s="431">
        <v>6</v>
      </c>
      <c r="G352" s="432">
        <f>(C352+D352+E352)*2</f>
        <v>920</v>
      </c>
      <c r="H352" s="432">
        <v>0</v>
      </c>
      <c r="I352" s="432">
        <f t="shared" si="323"/>
        <v>270</v>
      </c>
      <c r="J352" s="432">
        <f t="shared" si="324"/>
        <v>920</v>
      </c>
      <c r="K352" s="680">
        <f>+ROUND(D349/200,0)</f>
        <v>8</v>
      </c>
      <c r="L352" s="433">
        <v>1</v>
      </c>
      <c r="M352" s="503">
        <f t="shared" si="320"/>
        <v>7.36</v>
      </c>
      <c r="N352" s="435">
        <f t="shared" si="321"/>
        <v>0.222</v>
      </c>
      <c r="O352" s="435">
        <f t="shared" si="322"/>
        <v>1.63392</v>
      </c>
      <c r="P352" s="407"/>
    </row>
    <row r="353" spans="1:17" s="430" customFormat="1" ht="25.15" customHeight="1">
      <c r="A353" s="836"/>
      <c r="B353" s="401" t="s">
        <v>158</v>
      </c>
      <c r="C353" s="405">
        <v>100</v>
      </c>
      <c r="D353" s="406">
        <v>200</v>
      </c>
      <c r="E353" s="401"/>
      <c r="F353" s="431">
        <v>10</v>
      </c>
      <c r="G353" s="432">
        <f>C353+D353</f>
        <v>300</v>
      </c>
      <c r="H353" s="432">
        <v>0</v>
      </c>
      <c r="I353" s="432">
        <f t="shared" si="323"/>
        <v>450</v>
      </c>
      <c r="J353" s="432">
        <f t="shared" si="324"/>
        <v>300</v>
      </c>
      <c r="K353" s="680">
        <f>+ROUND(D349/600,0)</f>
        <v>3</v>
      </c>
      <c r="L353" s="433">
        <v>1</v>
      </c>
      <c r="M353" s="503">
        <f t="shared" si="320"/>
        <v>0.9</v>
      </c>
      <c r="N353" s="435">
        <f t="shared" si="321"/>
        <v>0.61699999999999999</v>
      </c>
      <c r="O353" s="435">
        <f t="shared" si="322"/>
        <v>0.55530000000000002</v>
      </c>
      <c r="P353" s="407" t="s">
        <v>347</v>
      </c>
    </row>
    <row r="354" spans="1:17" s="430" customFormat="1" ht="25.15" customHeight="1">
      <c r="A354" s="834" t="s">
        <v>489</v>
      </c>
      <c r="B354" s="401"/>
      <c r="C354" s="402" t="s">
        <v>321</v>
      </c>
      <c r="D354" s="403">
        <v>1685</v>
      </c>
      <c r="E354" s="404" t="s">
        <v>322</v>
      </c>
      <c r="F354" s="431"/>
      <c r="G354" s="432"/>
      <c r="H354" s="432"/>
      <c r="I354" s="432"/>
      <c r="J354" s="432"/>
      <c r="K354" s="433"/>
      <c r="L354" s="433"/>
      <c r="M354" s="503"/>
      <c r="N354" s="435"/>
      <c r="O354" s="435"/>
      <c r="P354" s="407"/>
      <c r="Q354" s="414"/>
    </row>
    <row r="355" spans="1:17" s="430" customFormat="1" ht="25.15" customHeight="1">
      <c r="A355" s="835"/>
      <c r="B355" s="401">
        <v>1</v>
      </c>
      <c r="C355" s="405">
        <v>200</v>
      </c>
      <c r="D355" s="459">
        <f>D354+200+150</f>
        <v>2035</v>
      </c>
      <c r="E355" s="401">
        <f>250</f>
        <v>250</v>
      </c>
      <c r="F355" s="431">
        <v>10</v>
      </c>
      <c r="G355" s="432">
        <f>C355+D355+E355</f>
        <v>2485</v>
      </c>
      <c r="H355" s="432">
        <v>0</v>
      </c>
      <c r="I355" s="432">
        <f>F355*45</f>
        <v>450</v>
      </c>
      <c r="J355" s="432">
        <f>G355+I355*H355</f>
        <v>2485</v>
      </c>
      <c r="K355" s="433">
        <v>2</v>
      </c>
      <c r="L355" s="433">
        <v>1</v>
      </c>
      <c r="M355" s="503">
        <f t="shared" ref="M355:M358" si="325">J355*K355*L355/1000</f>
        <v>4.97</v>
      </c>
      <c r="N355" s="435">
        <f t="shared" ref="N355:N358" si="326">_xlfn.XLOOKUP(F355,$R$5:$Z$5,$R$6:$Z$6,"NOT_FOUND",0)</f>
        <v>0.61699999999999999</v>
      </c>
      <c r="O355" s="435">
        <f t="shared" ref="O355:O358" si="327">M355*N355</f>
        <v>3.0664899999999999</v>
      </c>
      <c r="P355" s="407"/>
    </row>
    <row r="356" spans="1:17" s="430" customFormat="1" ht="25.15" customHeight="1">
      <c r="A356" s="835"/>
      <c r="B356" s="401">
        <v>2</v>
      </c>
      <c r="C356" s="405">
        <v>100</v>
      </c>
      <c r="D356" s="459">
        <f>D354+200+170</f>
        <v>2055</v>
      </c>
      <c r="E356" s="401">
        <v>130</v>
      </c>
      <c r="F356" s="431">
        <v>10</v>
      </c>
      <c r="G356" s="432">
        <f>C356+D356+E356</f>
        <v>2285</v>
      </c>
      <c r="H356" s="432">
        <v>0</v>
      </c>
      <c r="I356" s="432">
        <f t="shared" ref="I356:I358" si="328">F356*45</f>
        <v>450</v>
      </c>
      <c r="J356" s="432">
        <f t="shared" ref="J356:J358" si="329">G356+I356*H356</f>
        <v>2285</v>
      </c>
      <c r="K356" s="433">
        <v>2</v>
      </c>
      <c r="L356" s="433">
        <v>1</v>
      </c>
      <c r="M356" s="503">
        <f t="shared" si="325"/>
        <v>4.57</v>
      </c>
      <c r="N356" s="435">
        <f t="shared" si="326"/>
        <v>0.61699999999999999</v>
      </c>
      <c r="O356" s="435">
        <f t="shared" si="327"/>
        <v>2.81969</v>
      </c>
      <c r="P356" s="407"/>
    </row>
    <row r="357" spans="1:17" s="430" customFormat="1" ht="25.15" customHeight="1">
      <c r="A357" s="835"/>
      <c r="B357" s="401">
        <v>3</v>
      </c>
      <c r="C357" s="405">
        <v>240</v>
      </c>
      <c r="D357" s="406">
        <v>160</v>
      </c>
      <c r="E357" s="401">
        <v>60</v>
      </c>
      <c r="F357" s="431">
        <v>6</v>
      </c>
      <c r="G357" s="432">
        <f>(C357+D357+E357)*2</f>
        <v>920</v>
      </c>
      <c r="H357" s="432">
        <v>0</v>
      </c>
      <c r="I357" s="432">
        <f t="shared" si="328"/>
        <v>270</v>
      </c>
      <c r="J357" s="432">
        <f t="shared" si="329"/>
        <v>920</v>
      </c>
      <c r="K357" s="680">
        <f>+ROUND(D354/200,0)</f>
        <v>8</v>
      </c>
      <c r="L357" s="433">
        <v>1</v>
      </c>
      <c r="M357" s="503">
        <f t="shared" si="325"/>
        <v>7.36</v>
      </c>
      <c r="N357" s="435">
        <f t="shared" si="326"/>
        <v>0.222</v>
      </c>
      <c r="O357" s="435">
        <f t="shared" si="327"/>
        <v>1.63392</v>
      </c>
      <c r="P357" s="407"/>
    </row>
    <row r="358" spans="1:17" s="430" customFormat="1" ht="25.15" customHeight="1">
      <c r="A358" s="836"/>
      <c r="B358" s="401" t="s">
        <v>158</v>
      </c>
      <c r="C358" s="405">
        <v>100</v>
      </c>
      <c r="D358" s="406">
        <v>200</v>
      </c>
      <c r="E358" s="401"/>
      <c r="F358" s="431">
        <v>10</v>
      </c>
      <c r="G358" s="432">
        <f>C358+D358</f>
        <v>300</v>
      </c>
      <c r="H358" s="432">
        <v>0</v>
      </c>
      <c r="I358" s="432">
        <f t="shared" si="328"/>
        <v>450</v>
      </c>
      <c r="J358" s="432">
        <f t="shared" si="329"/>
        <v>300</v>
      </c>
      <c r="K358" s="680">
        <f>+ROUND(D354/600,0)</f>
        <v>3</v>
      </c>
      <c r="L358" s="433">
        <v>1</v>
      </c>
      <c r="M358" s="503">
        <f t="shared" si="325"/>
        <v>0.9</v>
      </c>
      <c r="N358" s="435">
        <f t="shared" si="326"/>
        <v>0.61699999999999999</v>
      </c>
      <c r="O358" s="435">
        <f t="shared" si="327"/>
        <v>0.55530000000000002</v>
      </c>
      <c r="P358" s="407" t="s">
        <v>347</v>
      </c>
    </row>
    <row r="359" spans="1:17" s="430" customFormat="1" ht="25.15" customHeight="1">
      <c r="A359" s="834" t="s">
        <v>489</v>
      </c>
      <c r="B359" s="401"/>
      <c r="C359" s="402" t="s">
        <v>321</v>
      </c>
      <c r="D359" s="698">
        <v>1705</v>
      </c>
      <c r="E359" s="404" t="s">
        <v>322</v>
      </c>
      <c r="F359" s="431"/>
      <c r="G359" s="432"/>
      <c r="H359" s="432"/>
      <c r="I359" s="432"/>
      <c r="J359" s="432"/>
      <c r="K359" s="433"/>
      <c r="L359" s="433"/>
      <c r="M359" s="503"/>
      <c r="N359" s="435"/>
      <c r="O359" s="435"/>
      <c r="P359" s="407"/>
      <c r="Q359" s="414"/>
    </row>
    <row r="360" spans="1:17" s="430" customFormat="1" ht="25.15" customHeight="1">
      <c r="A360" s="835"/>
      <c r="B360" s="401">
        <v>1</v>
      </c>
      <c r="C360" s="405">
        <v>200</v>
      </c>
      <c r="D360" s="459">
        <f>D359+200+150</f>
        <v>2055</v>
      </c>
      <c r="E360" s="401">
        <f>250</f>
        <v>250</v>
      </c>
      <c r="F360" s="431">
        <v>10</v>
      </c>
      <c r="G360" s="432">
        <f>C360+D360+E360</f>
        <v>2505</v>
      </c>
      <c r="H360" s="432">
        <v>0</v>
      </c>
      <c r="I360" s="432">
        <f>F360*45</f>
        <v>450</v>
      </c>
      <c r="J360" s="432">
        <f>G360+I360*H360</f>
        <v>2505</v>
      </c>
      <c r="K360" s="433">
        <v>2</v>
      </c>
      <c r="L360" s="433">
        <v>1</v>
      </c>
      <c r="M360" s="503">
        <f t="shared" ref="M360:M363" si="330">J360*K360*L360/1000</f>
        <v>5.01</v>
      </c>
      <c r="N360" s="435">
        <f t="shared" ref="N360:N363" si="331">_xlfn.XLOOKUP(F360,$R$5:$Z$5,$R$6:$Z$6,"NOT_FOUND",0)</f>
        <v>0.61699999999999999</v>
      </c>
      <c r="O360" s="435">
        <f t="shared" ref="O360:O363" si="332">M360*N360</f>
        <v>3.09117</v>
      </c>
      <c r="P360" s="407"/>
    </row>
    <row r="361" spans="1:17" s="430" customFormat="1" ht="24.95" customHeight="1">
      <c r="A361" s="835"/>
      <c r="B361" s="401">
        <v>2</v>
      </c>
      <c r="C361" s="405">
        <v>100</v>
      </c>
      <c r="D361" s="459">
        <f>D359+200+170</f>
        <v>2075</v>
      </c>
      <c r="E361" s="401">
        <v>130</v>
      </c>
      <c r="F361" s="431">
        <v>10</v>
      </c>
      <c r="G361" s="432">
        <f>C361+D361+E361</f>
        <v>2305</v>
      </c>
      <c r="H361" s="432">
        <v>0</v>
      </c>
      <c r="I361" s="432">
        <f t="shared" ref="I361:I363" si="333">F361*45</f>
        <v>450</v>
      </c>
      <c r="J361" s="432">
        <f t="shared" ref="J361:J363" si="334">G361+I361*H361</f>
        <v>2305</v>
      </c>
      <c r="K361" s="433">
        <v>2</v>
      </c>
      <c r="L361" s="433">
        <v>1</v>
      </c>
      <c r="M361" s="503">
        <f t="shared" si="330"/>
        <v>4.6100000000000003</v>
      </c>
      <c r="N361" s="435">
        <f t="shared" si="331"/>
        <v>0.61699999999999999</v>
      </c>
      <c r="O361" s="435">
        <f t="shared" si="332"/>
        <v>2.8443700000000001</v>
      </c>
      <c r="P361" s="407"/>
    </row>
    <row r="362" spans="1:17" s="430" customFormat="1" ht="24.95" customHeight="1">
      <c r="A362" s="835"/>
      <c r="B362" s="401">
        <v>3</v>
      </c>
      <c r="C362" s="405">
        <v>240</v>
      </c>
      <c r="D362" s="406">
        <v>160</v>
      </c>
      <c r="E362" s="401">
        <v>60</v>
      </c>
      <c r="F362" s="431">
        <v>6</v>
      </c>
      <c r="G362" s="432">
        <f>(C362+D362+E362)*2</f>
        <v>920</v>
      </c>
      <c r="H362" s="432">
        <v>0</v>
      </c>
      <c r="I362" s="432">
        <f t="shared" si="333"/>
        <v>270</v>
      </c>
      <c r="J362" s="432">
        <f t="shared" si="334"/>
        <v>920</v>
      </c>
      <c r="K362" s="680">
        <f>+ROUND(D359/200,0)</f>
        <v>9</v>
      </c>
      <c r="L362" s="433">
        <v>1</v>
      </c>
      <c r="M362" s="503">
        <f t="shared" si="330"/>
        <v>8.2799999999999994</v>
      </c>
      <c r="N362" s="435">
        <f t="shared" si="331"/>
        <v>0.222</v>
      </c>
      <c r="O362" s="435">
        <f t="shared" si="332"/>
        <v>1.8381599999999998</v>
      </c>
      <c r="P362" s="407"/>
    </row>
    <row r="363" spans="1:17" s="430" customFormat="1" ht="24.95" customHeight="1">
      <c r="A363" s="836"/>
      <c r="B363" s="401" t="s">
        <v>158</v>
      </c>
      <c r="C363" s="405">
        <v>100</v>
      </c>
      <c r="D363" s="406">
        <v>200</v>
      </c>
      <c r="E363" s="401"/>
      <c r="F363" s="431">
        <v>10</v>
      </c>
      <c r="G363" s="432">
        <f>C363+D363</f>
        <v>300</v>
      </c>
      <c r="H363" s="432">
        <v>0</v>
      </c>
      <c r="I363" s="432">
        <f t="shared" si="333"/>
        <v>450</v>
      </c>
      <c r="J363" s="432">
        <f t="shared" si="334"/>
        <v>300</v>
      </c>
      <c r="K363" s="680">
        <f>+ROUND(D359/600,0)</f>
        <v>3</v>
      </c>
      <c r="L363" s="433">
        <v>1</v>
      </c>
      <c r="M363" s="503">
        <f t="shared" si="330"/>
        <v>0.9</v>
      </c>
      <c r="N363" s="435">
        <f t="shared" si="331"/>
        <v>0.61699999999999999</v>
      </c>
      <c r="O363" s="435">
        <f t="shared" si="332"/>
        <v>0.55530000000000002</v>
      </c>
      <c r="P363" s="407" t="s">
        <v>347</v>
      </c>
    </row>
    <row r="364" spans="1:17" s="430" customFormat="1" ht="25.15" customHeight="1">
      <c r="A364" s="588" t="s">
        <v>513</v>
      </c>
      <c r="B364" s="589"/>
      <c r="C364" s="590"/>
      <c r="D364" s="591"/>
      <c r="E364" s="589"/>
      <c r="F364" s="592"/>
      <c r="G364" s="593"/>
      <c r="H364" s="593"/>
      <c r="I364" s="593"/>
      <c r="J364" s="593"/>
      <c r="K364" s="593"/>
      <c r="L364" s="593"/>
      <c r="M364" s="594"/>
      <c r="N364" s="595"/>
      <c r="O364" s="595"/>
      <c r="P364" s="596"/>
    </row>
    <row r="365" spans="1:17" s="430" customFormat="1" ht="25.15" customHeight="1">
      <c r="A365" s="834" t="s">
        <v>489</v>
      </c>
      <c r="B365" s="401"/>
      <c r="C365" s="402" t="s">
        <v>321</v>
      </c>
      <c r="D365" s="403">
        <v>1735</v>
      </c>
      <c r="E365" s="404" t="s">
        <v>322</v>
      </c>
      <c r="F365" s="431"/>
      <c r="G365" s="432"/>
      <c r="H365" s="432"/>
      <c r="I365" s="432"/>
      <c r="J365" s="432"/>
      <c r="K365" s="433"/>
      <c r="L365" s="433"/>
      <c r="M365" s="503"/>
      <c r="N365" s="435"/>
      <c r="O365" s="435"/>
      <c r="P365" s="407"/>
      <c r="Q365" s="414"/>
    </row>
    <row r="366" spans="1:17" s="430" customFormat="1" ht="25.15" customHeight="1">
      <c r="A366" s="835"/>
      <c r="B366" s="401">
        <v>1</v>
      </c>
      <c r="C366" s="405">
        <v>200</v>
      </c>
      <c r="D366" s="459">
        <f>D365+200+150</f>
        <v>2085</v>
      </c>
      <c r="E366" s="401">
        <f>250</f>
        <v>250</v>
      </c>
      <c r="F366" s="431">
        <v>10</v>
      </c>
      <c r="G366" s="432">
        <f>C366+D366+E366</f>
        <v>2535</v>
      </c>
      <c r="H366" s="432">
        <v>0</v>
      </c>
      <c r="I366" s="432">
        <f>F366*45</f>
        <v>450</v>
      </c>
      <c r="J366" s="432">
        <f>G366+I366*H366</f>
        <v>2535</v>
      </c>
      <c r="K366" s="433">
        <v>2</v>
      </c>
      <c r="L366" s="433">
        <v>1</v>
      </c>
      <c r="M366" s="503">
        <f t="shared" ref="M366:M369" si="335">J366*K366*L366/1000</f>
        <v>5.07</v>
      </c>
      <c r="N366" s="435">
        <f t="shared" ref="N366:N369" si="336">_xlfn.XLOOKUP(F366,$R$5:$Z$5,$R$6:$Z$6,"NOT_FOUND",0)</f>
        <v>0.61699999999999999</v>
      </c>
      <c r="O366" s="435">
        <f t="shared" ref="O366:O369" si="337">M366*N366</f>
        <v>3.12819</v>
      </c>
      <c r="P366" s="407"/>
    </row>
    <row r="367" spans="1:17" s="430" customFormat="1" ht="25.15" customHeight="1">
      <c r="A367" s="835"/>
      <c r="B367" s="401">
        <v>2</v>
      </c>
      <c r="C367" s="405">
        <v>100</v>
      </c>
      <c r="D367" s="459">
        <f>D365+200+170</f>
        <v>2105</v>
      </c>
      <c r="E367" s="401">
        <v>130</v>
      </c>
      <c r="F367" s="431">
        <v>10</v>
      </c>
      <c r="G367" s="432">
        <f>C367+D367+E367</f>
        <v>2335</v>
      </c>
      <c r="H367" s="432">
        <v>0</v>
      </c>
      <c r="I367" s="432">
        <f t="shared" ref="I367:I369" si="338">F367*45</f>
        <v>450</v>
      </c>
      <c r="J367" s="432">
        <f t="shared" ref="J367:J369" si="339">G367+I367*H367</f>
        <v>2335</v>
      </c>
      <c r="K367" s="433">
        <v>2</v>
      </c>
      <c r="L367" s="433">
        <v>1</v>
      </c>
      <c r="M367" s="503">
        <f t="shared" si="335"/>
        <v>4.67</v>
      </c>
      <c r="N367" s="435">
        <f t="shared" si="336"/>
        <v>0.61699999999999999</v>
      </c>
      <c r="O367" s="435">
        <f t="shared" si="337"/>
        <v>2.8813900000000001</v>
      </c>
      <c r="P367" s="407"/>
    </row>
    <row r="368" spans="1:17" s="430" customFormat="1" ht="25.15" customHeight="1">
      <c r="A368" s="835"/>
      <c r="B368" s="401">
        <v>3</v>
      </c>
      <c r="C368" s="405">
        <v>240</v>
      </c>
      <c r="D368" s="406">
        <v>160</v>
      </c>
      <c r="E368" s="401">
        <v>60</v>
      </c>
      <c r="F368" s="431">
        <v>6</v>
      </c>
      <c r="G368" s="432">
        <f>(C368+D368+E368)*2</f>
        <v>920</v>
      </c>
      <c r="H368" s="432">
        <v>0</v>
      </c>
      <c r="I368" s="432">
        <f t="shared" si="338"/>
        <v>270</v>
      </c>
      <c r="J368" s="432">
        <f t="shared" si="339"/>
        <v>920</v>
      </c>
      <c r="K368" s="680">
        <f>+ROUND(D365/200,0)</f>
        <v>9</v>
      </c>
      <c r="L368" s="433">
        <v>1</v>
      </c>
      <c r="M368" s="503">
        <f t="shared" si="335"/>
        <v>8.2799999999999994</v>
      </c>
      <c r="N368" s="435">
        <f t="shared" si="336"/>
        <v>0.222</v>
      </c>
      <c r="O368" s="435">
        <f t="shared" si="337"/>
        <v>1.8381599999999998</v>
      </c>
      <c r="P368" s="407"/>
    </row>
    <row r="369" spans="1:17" s="430" customFormat="1" ht="25.15" customHeight="1">
      <c r="A369" s="836"/>
      <c r="B369" s="401" t="s">
        <v>158</v>
      </c>
      <c r="C369" s="405">
        <v>100</v>
      </c>
      <c r="D369" s="406">
        <v>200</v>
      </c>
      <c r="E369" s="401"/>
      <c r="F369" s="431">
        <v>10</v>
      </c>
      <c r="G369" s="432">
        <f>C369+D369</f>
        <v>300</v>
      </c>
      <c r="H369" s="432">
        <v>0</v>
      </c>
      <c r="I369" s="432">
        <f t="shared" si="338"/>
        <v>450</v>
      </c>
      <c r="J369" s="432">
        <f t="shared" si="339"/>
        <v>300</v>
      </c>
      <c r="K369" s="680">
        <f>+ROUND(D365/600,0)</f>
        <v>3</v>
      </c>
      <c r="L369" s="433">
        <v>1</v>
      </c>
      <c r="M369" s="503">
        <f t="shared" si="335"/>
        <v>0.9</v>
      </c>
      <c r="N369" s="435">
        <f t="shared" si="336"/>
        <v>0.61699999999999999</v>
      </c>
      <c r="O369" s="435">
        <f t="shared" si="337"/>
        <v>0.55530000000000002</v>
      </c>
      <c r="P369" s="407" t="s">
        <v>347</v>
      </c>
    </row>
    <row r="370" spans="1:17" s="430" customFormat="1" ht="25.15" customHeight="1">
      <c r="A370" s="834" t="s">
        <v>489</v>
      </c>
      <c r="B370" s="401"/>
      <c r="C370" s="402" t="s">
        <v>321</v>
      </c>
      <c r="D370" s="403">
        <v>1760</v>
      </c>
      <c r="E370" s="404" t="s">
        <v>322</v>
      </c>
      <c r="F370" s="431"/>
      <c r="G370" s="432"/>
      <c r="H370" s="432"/>
      <c r="I370" s="432"/>
      <c r="J370" s="432"/>
      <c r="K370" s="433"/>
      <c r="L370" s="433"/>
      <c r="M370" s="503"/>
      <c r="N370" s="435"/>
      <c r="O370" s="435"/>
      <c r="P370" s="407"/>
      <c r="Q370" s="414"/>
    </row>
    <row r="371" spans="1:17" s="430" customFormat="1" ht="25.15" customHeight="1">
      <c r="A371" s="835"/>
      <c r="B371" s="401">
        <v>1</v>
      </c>
      <c r="C371" s="405">
        <v>200</v>
      </c>
      <c r="D371" s="459">
        <f>D370+200+150</f>
        <v>2110</v>
      </c>
      <c r="E371" s="401">
        <f>250</f>
        <v>250</v>
      </c>
      <c r="F371" s="431">
        <v>10</v>
      </c>
      <c r="G371" s="432">
        <f>C371+D371+E371</f>
        <v>2560</v>
      </c>
      <c r="H371" s="432">
        <v>0</v>
      </c>
      <c r="I371" s="432">
        <f>F371*45</f>
        <v>450</v>
      </c>
      <c r="J371" s="432">
        <f>G371+I371*H371</f>
        <v>2560</v>
      </c>
      <c r="K371" s="433">
        <v>2</v>
      </c>
      <c r="L371" s="433">
        <v>1</v>
      </c>
      <c r="M371" s="503">
        <f t="shared" ref="M371:M374" si="340">J371*K371*L371/1000</f>
        <v>5.12</v>
      </c>
      <c r="N371" s="435">
        <f t="shared" ref="N371:N374" si="341">_xlfn.XLOOKUP(F371,$R$5:$Z$5,$R$6:$Z$6,"NOT_FOUND",0)</f>
        <v>0.61699999999999999</v>
      </c>
      <c r="O371" s="435">
        <f t="shared" ref="O371:O374" si="342">M371*N371</f>
        <v>3.1590400000000001</v>
      </c>
      <c r="P371" s="407"/>
    </row>
    <row r="372" spans="1:17" s="430" customFormat="1" ht="25.15" customHeight="1">
      <c r="A372" s="835"/>
      <c r="B372" s="401">
        <v>2</v>
      </c>
      <c r="C372" s="405">
        <v>100</v>
      </c>
      <c r="D372" s="459">
        <f>D370+200+170</f>
        <v>2130</v>
      </c>
      <c r="E372" s="401">
        <v>130</v>
      </c>
      <c r="F372" s="431">
        <v>10</v>
      </c>
      <c r="G372" s="432">
        <f>C372+D372+E372</f>
        <v>2360</v>
      </c>
      <c r="H372" s="432">
        <v>0</v>
      </c>
      <c r="I372" s="432">
        <f t="shared" ref="I372:I374" si="343">F372*45</f>
        <v>450</v>
      </c>
      <c r="J372" s="432">
        <f t="shared" ref="J372:J374" si="344">G372+I372*H372</f>
        <v>2360</v>
      </c>
      <c r="K372" s="433">
        <v>2</v>
      </c>
      <c r="L372" s="433">
        <v>1</v>
      </c>
      <c r="M372" s="503">
        <f t="shared" si="340"/>
        <v>4.72</v>
      </c>
      <c r="N372" s="435">
        <f t="shared" si="341"/>
        <v>0.61699999999999999</v>
      </c>
      <c r="O372" s="435">
        <f t="shared" si="342"/>
        <v>2.9122399999999997</v>
      </c>
      <c r="P372" s="407"/>
    </row>
    <row r="373" spans="1:17" s="430" customFormat="1" ht="25.15" customHeight="1">
      <c r="A373" s="835"/>
      <c r="B373" s="401">
        <v>3</v>
      </c>
      <c r="C373" s="405">
        <v>240</v>
      </c>
      <c r="D373" s="406">
        <v>160</v>
      </c>
      <c r="E373" s="401">
        <v>60</v>
      </c>
      <c r="F373" s="431">
        <v>6</v>
      </c>
      <c r="G373" s="432">
        <f>(C373+D373+E373)*2</f>
        <v>920</v>
      </c>
      <c r="H373" s="432">
        <v>0</v>
      </c>
      <c r="I373" s="432">
        <f t="shared" si="343"/>
        <v>270</v>
      </c>
      <c r="J373" s="432">
        <f t="shared" si="344"/>
        <v>920</v>
      </c>
      <c r="K373" s="680">
        <f>+ROUND(D370/200,0)</f>
        <v>9</v>
      </c>
      <c r="L373" s="433">
        <v>1</v>
      </c>
      <c r="M373" s="503">
        <f t="shared" si="340"/>
        <v>8.2799999999999994</v>
      </c>
      <c r="N373" s="435">
        <f t="shared" si="341"/>
        <v>0.222</v>
      </c>
      <c r="O373" s="435">
        <f t="shared" si="342"/>
        <v>1.8381599999999998</v>
      </c>
      <c r="P373" s="407"/>
    </row>
    <row r="374" spans="1:17" s="430" customFormat="1" ht="25.15" customHeight="1">
      <c r="A374" s="836"/>
      <c r="B374" s="401" t="s">
        <v>158</v>
      </c>
      <c r="C374" s="405">
        <v>100</v>
      </c>
      <c r="D374" s="406">
        <v>200</v>
      </c>
      <c r="E374" s="401"/>
      <c r="F374" s="431">
        <v>10</v>
      </c>
      <c r="G374" s="432">
        <f>C374+D374</f>
        <v>300</v>
      </c>
      <c r="H374" s="432">
        <v>0</v>
      </c>
      <c r="I374" s="432">
        <f t="shared" si="343"/>
        <v>450</v>
      </c>
      <c r="J374" s="432">
        <f t="shared" si="344"/>
        <v>300</v>
      </c>
      <c r="K374" s="680">
        <f>+ROUND(D370/600,0)</f>
        <v>3</v>
      </c>
      <c r="L374" s="433">
        <v>1</v>
      </c>
      <c r="M374" s="503">
        <f t="shared" si="340"/>
        <v>0.9</v>
      </c>
      <c r="N374" s="435">
        <f t="shared" si="341"/>
        <v>0.61699999999999999</v>
      </c>
      <c r="O374" s="435">
        <f t="shared" si="342"/>
        <v>0.55530000000000002</v>
      </c>
      <c r="P374" s="407" t="s">
        <v>347</v>
      </c>
    </row>
    <row r="375" spans="1:17" s="430" customFormat="1" ht="25.15" customHeight="1">
      <c r="A375" s="588" t="s">
        <v>514</v>
      </c>
      <c r="B375" s="589"/>
      <c r="C375" s="590"/>
      <c r="D375" s="591"/>
      <c r="E375" s="589"/>
      <c r="F375" s="592"/>
      <c r="G375" s="593"/>
      <c r="H375" s="593"/>
      <c r="I375" s="593"/>
      <c r="J375" s="593"/>
      <c r="K375" s="593"/>
      <c r="L375" s="593"/>
      <c r="M375" s="594"/>
      <c r="N375" s="595"/>
      <c r="O375" s="595"/>
      <c r="P375" s="596"/>
    </row>
    <row r="376" spans="1:17" s="430" customFormat="1" ht="25.15" customHeight="1">
      <c r="A376" s="834" t="s">
        <v>489</v>
      </c>
      <c r="B376" s="401"/>
      <c r="C376" s="402" t="s">
        <v>321</v>
      </c>
      <c r="D376" s="403">
        <v>1775</v>
      </c>
      <c r="E376" s="404" t="s">
        <v>322</v>
      </c>
      <c r="F376" s="431"/>
      <c r="G376" s="432"/>
      <c r="H376" s="432"/>
      <c r="I376" s="432"/>
      <c r="J376" s="432"/>
      <c r="K376" s="433"/>
      <c r="L376" s="433"/>
      <c r="M376" s="503"/>
      <c r="N376" s="435"/>
      <c r="O376" s="435"/>
      <c r="P376" s="407"/>
      <c r="Q376" s="414"/>
    </row>
    <row r="377" spans="1:17" s="430" customFormat="1" ht="25.15" customHeight="1">
      <c r="A377" s="835"/>
      <c r="B377" s="401">
        <v>1</v>
      </c>
      <c r="C377" s="405">
        <v>200</v>
      </c>
      <c r="D377" s="459">
        <f>D376+200+150</f>
        <v>2125</v>
      </c>
      <c r="E377" s="401">
        <f>250</f>
        <v>250</v>
      </c>
      <c r="F377" s="431">
        <v>10</v>
      </c>
      <c r="G377" s="432">
        <f>C377+D377+E377</f>
        <v>2575</v>
      </c>
      <c r="H377" s="432">
        <v>0</v>
      </c>
      <c r="I377" s="432">
        <f>F377*45</f>
        <v>450</v>
      </c>
      <c r="J377" s="432">
        <f>G377+I377*H377</f>
        <v>2575</v>
      </c>
      <c r="K377" s="433">
        <v>2</v>
      </c>
      <c r="L377" s="433">
        <v>1</v>
      </c>
      <c r="M377" s="503">
        <f t="shared" ref="M377:M380" si="345">J377*K377*L377/1000</f>
        <v>5.15</v>
      </c>
      <c r="N377" s="435">
        <f t="shared" ref="N377:N380" si="346">_xlfn.XLOOKUP(F377,$R$5:$Z$5,$R$6:$Z$6,"NOT_FOUND",0)</f>
        <v>0.61699999999999999</v>
      </c>
      <c r="O377" s="435">
        <f t="shared" ref="O377:O380" si="347">M377*N377</f>
        <v>3.1775500000000001</v>
      </c>
      <c r="P377" s="407"/>
    </row>
    <row r="378" spans="1:17" s="430" customFormat="1" ht="25.15" customHeight="1">
      <c r="A378" s="835"/>
      <c r="B378" s="401">
        <v>2</v>
      </c>
      <c r="C378" s="405">
        <v>100</v>
      </c>
      <c r="D378" s="459">
        <f>D376+200+170</f>
        <v>2145</v>
      </c>
      <c r="E378" s="401">
        <v>130</v>
      </c>
      <c r="F378" s="431">
        <v>10</v>
      </c>
      <c r="G378" s="432">
        <f>C378+D378+E378</f>
        <v>2375</v>
      </c>
      <c r="H378" s="432">
        <v>0</v>
      </c>
      <c r="I378" s="432">
        <f t="shared" ref="I378:I380" si="348">F378*45</f>
        <v>450</v>
      </c>
      <c r="J378" s="432">
        <f t="shared" ref="J378:J380" si="349">G378+I378*H378</f>
        <v>2375</v>
      </c>
      <c r="K378" s="433">
        <v>2</v>
      </c>
      <c r="L378" s="433">
        <v>1</v>
      </c>
      <c r="M378" s="503">
        <f t="shared" si="345"/>
        <v>4.75</v>
      </c>
      <c r="N378" s="435">
        <f t="shared" si="346"/>
        <v>0.61699999999999999</v>
      </c>
      <c r="O378" s="435">
        <f t="shared" si="347"/>
        <v>2.9307499999999997</v>
      </c>
      <c r="P378" s="407"/>
    </row>
    <row r="379" spans="1:17" s="430" customFormat="1" ht="25.15" customHeight="1">
      <c r="A379" s="835"/>
      <c r="B379" s="401">
        <v>3</v>
      </c>
      <c r="C379" s="405">
        <v>240</v>
      </c>
      <c r="D379" s="406">
        <v>160</v>
      </c>
      <c r="E379" s="401">
        <v>60</v>
      </c>
      <c r="F379" s="431">
        <v>6</v>
      </c>
      <c r="G379" s="432">
        <f>(C379+D379+E379)*2</f>
        <v>920</v>
      </c>
      <c r="H379" s="432">
        <v>0</v>
      </c>
      <c r="I379" s="432">
        <f t="shared" si="348"/>
        <v>270</v>
      </c>
      <c r="J379" s="432">
        <f t="shared" si="349"/>
        <v>920</v>
      </c>
      <c r="K379" s="680">
        <f>+ROUND(D376/200,0)</f>
        <v>9</v>
      </c>
      <c r="L379" s="433">
        <v>1</v>
      </c>
      <c r="M379" s="503">
        <f t="shared" si="345"/>
        <v>8.2799999999999994</v>
      </c>
      <c r="N379" s="435">
        <f t="shared" si="346"/>
        <v>0.222</v>
      </c>
      <c r="O379" s="435">
        <f t="shared" si="347"/>
        <v>1.8381599999999998</v>
      </c>
      <c r="P379" s="407"/>
    </row>
    <row r="380" spans="1:17" s="430" customFormat="1" ht="25.15" customHeight="1">
      <c r="A380" s="836"/>
      <c r="B380" s="401" t="s">
        <v>158</v>
      </c>
      <c r="C380" s="405">
        <v>100</v>
      </c>
      <c r="D380" s="406">
        <v>200</v>
      </c>
      <c r="E380" s="401"/>
      <c r="F380" s="431">
        <v>10</v>
      </c>
      <c r="G380" s="432">
        <f>C380+D380</f>
        <v>300</v>
      </c>
      <c r="H380" s="432">
        <v>0</v>
      </c>
      <c r="I380" s="432">
        <f t="shared" si="348"/>
        <v>450</v>
      </c>
      <c r="J380" s="432">
        <f t="shared" si="349"/>
        <v>300</v>
      </c>
      <c r="K380" s="680">
        <f>+ROUND(D376/600,0)</f>
        <v>3</v>
      </c>
      <c r="L380" s="433">
        <v>1</v>
      </c>
      <c r="M380" s="503">
        <f t="shared" si="345"/>
        <v>0.9</v>
      </c>
      <c r="N380" s="435">
        <f t="shared" si="346"/>
        <v>0.61699999999999999</v>
      </c>
      <c r="O380" s="435">
        <f t="shared" si="347"/>
        <v>0.55530000000000002</v>
      </c>
      <c r="P380" s="407" t="s">
        <v>347</v>
      </c>
    </row>
    <row r="381" spans="1:17" s="430" customFormat="1" ht="25.15" customHeight="1">
      <c r="A381" s="834" t="s">
        <v>489</v>
      </c>
      <c r="B381" s="401"/>
      <c r="C381" s="402" t="s">
        <v>321</v>
      </c>
      <c r="D381" s="403">
        <v>1825</v>
      </c>
      <c r="E381" s="404" t="s">
        <v>322</v>
      </c>
      <c r="F381" s="431"/>
      <c r="G381" s="432"/>
      <c r="H381" s="432"/>
      <c r="I381" s="432"/>
      <c r="J381" s="432"/>
      <c r="K381" s="433"/>
      <c r="L381" s="433"/>
      <c r="M381" s="503"/>
      <c r="N381" s="435"/>
      <c r="O381" s="435"/>
      <c r="P381" s="407"/>
      <c r="Q381" s="414"/>
    </row>
    <row r="382" spans="1:17" s="430" customFormat="1" ht="25.15" customHeight="1">
      <c r="A382" s="835"/>
      <c r="B382" s="401">
        <v>1</v>
      </c>
      <c r="C382" s="405">
        <v>200</v>
      </c>
      <c r="D382" s="459">
        <f>D381+200+150</f>
        <v>2175</v>
      </c>
      <c r="E382" s="401">
        <f>250</f>
        <v>250</v>
      </c>
      <c r="F382" s="431">
        <v>10</v>
      </c>
      <c r="G382" s="432">
        <f>C382+D382+E382</f>
        <v>2625</v>
      </c>
      <c r="H382" s="432">
        <v>0</v>
      </c>
      <c r="I382" s="432">
        <f>F382*45</f>
        <v>450</v>
      </c>
      <c r="J382" s="432">
        <f>G382+I382*H382</f>
        <v>2625</v>
      </c>
      <c r="K382" s="433">
        <v>2</v>
      </c>
      <c r="L382" s="433">
        <v>1</v>
      </c>
      <c r="M382" s="503">
        <f t="shared" ref="M382:M385" si="350">J382*K382*L382/1000</f>
        <v>5.25</v>
      </c>
      <c r="N382" s="435">
        <f t="shared" ref="N382:N385" si="351">_xlfn.XLOOKUP(F382,$R$5:$Z$5,$R$6:$Z$6,"NOT_FOUND",0)</f>
        <v>0.61699999999999999</v>
      </c>
      <c r="O382" s="435">
        <f t="shared" ref="O382:O385" si="352">M382*N382</f>
        <v>3.2392500000000002</v>
      </c>
      <c r="P382" s="407"/>
    </row>
    <row r="383" spans="1:17" s="430" customFormat="1" ht="25.15" customHeight="1">
      <c r="A383" s="835"/>
      <c r="B383" s="401">
        <v>2</v>
      </c>
      <c r="C383" s="405">
        <v>100</v>
      </c>
      <c r="D383" s="459">
        <f>D381+200+170</f>
        <v>2195</v>
      </c>
      <c r="E383" s="401">
        <v>130</v>
      </c>
      <c r="F383" s="431">
        <v>10</v>
      </c>
      <c r="G383" s="432">
        <f>C383+D383+E383</f>
        <v>2425</v>
      </c>
      <c r="H383" s="432">
        <v>0</v>
      </c>
      <c r="I383" s="432">
        <f t="shared" ref="I383:I385" si="353">F383*45</f>
        <v>450</v>
      </c>
      <c r="J383" s="432">
        <f t="shared" ref="J383:J385" si="354">G383+I383*H383</f>
        <v>2425</v>
      </c>
      <c r="K383" s="433">
        <v>2</v>
      </c>
      <c r="L383" s="433">
        <v>1</v>
      </c>
      <c r="M383" s="503">
        <f t="shared" si="350"/>
        <v>4.8499999999999996</v>
      </c>
      <c r="N383" s="435">
        <f t="shared" si="351"/>
        <v>0.61699999999999999</v>
      </c>
      <c r="O383" s="435">
        <f t="shared" si="352"/>
        <v>2.9924499999999998</v>
      </c>
      <c r="P383" s="407"/>
    </row>
    <row r="384" spans="1:17" s="430" customFormat="1" ht="25.15" customHeight="1">
      <c r="A384" s="835"/>
      <c r="B384" s="401">
        <v>3</v>
      </c>
      <c r="C384" s="405">
        <v>240</v>
      </c>
      <c r="D384" s="406">
        <v>160</v>
      </c>
      <c r="E384" s="401">
        <v>60</v>
      </c>
      <c r="F384" s="431">
        <v>6</v>
      </c>
      <c r="G384" s="432">
        <f>(C384+D384+E384)*2</f>
        <v>920</v>
      </c>
      <c r="H384" s="432">
        <v>0</v>
      </c>
      <c r="I384" s="432">
        <f t="shared" si="353"/>
        <v>270</v>
      </c>
      <c r="J384" s="432">
        <f t="shared" si="354"/>
        <v>920</v>
      </c>
      <c r="K384" s="680">
        <f>+ROUND(D381/200,0)</f>
        <v>9</v>
      </c>
      <c r="L384" s="433">
        <v>1</v>
      </c>
      <c r="M384" s="503">
        <f t="shared" si="350"/>
        <v>8.2799999999999994</v>
      </c>
      <c r="N384" s="435">
        <f t="shared" si="351"/>
        <v>0.222</v>
      </c>
      <c r="O384" s="435">
        <f t="shared" si="352"/>
        <v>1.8381599999999998</v>
      </c>
      <c r="P384" s="407"/>
    </row>
    <row r="385" spans="1:17" s="430" customFormat="1" ht="25.15" customHeight="1">
      <c r="A385" s="836"/>
      <c r="B385" s="401" t="s">
        <v>158</v>
      </c>
      <c r="C385" s="405">
        <v>100</v>
      </c>
      <c r="D385" s="406">
        <v>200</v>
      </c>
      <c r="E385" s="401"/>
      <c r="F385" s="431">
        <v>10</v>
      </c>
      <c r="G385" s="432">
        <f>C385+D385</f>
        <v>300</v>
      </c>
      <c r="H385" s="432">
        <v>0</v>
      </c>
      <c r="I385" s="432">
        <f t="shared" si="353"/>
        <v>450</v>
      </c>
      <c r="J385" s="432">
        <f t="shared" si="354"/>
        <v>300</v>
      </c>
      <c r="K385" s="680">
        <f>+ROUND(D381/600,0)</f>
        <v>3</v>
      </c>
      <c r="L385" s="433">
        <v>1</v>
      </c>
      <c r="M385" s="503">
        <f t="shared" si="350"/>
        <v>0.9</v>
      </c>
      <c r="N385" s="435">
        <f t="shared" si="351"/>
        <v>0.61699999999999999</v>
      </c>
      <c r="O385" s="435">
        <f t="shared" si="352"/>
        <v>0.55530000000000002</v>
      </c>
      <c r="P385" s="407" t="s">
        <v>347</v>
      </c>
    </row>
    <row r="386" spans="1:17" s="430" customFormat="1" ht="25.15" customHeight="1">
      <c r="A386" s="834" t="s">
        <v>489</v>
      </c>
      <c r="B386" s="401"/>
      <c r="C386" s="402" t="s">
        <v>321</v>
      </c>
      <c r="D386" s="403">
        <v>1860</v>
      </c>
      <c r="E386" s="404" t="s">
        <v>322</v>
      </c>
      <c r="F386" s="431"/>
      <c r="G386" s="432"/>
      <c r="H386" s="432"/>
      <c r="I386" s="432"/>
      <c r="J386" s="432"/>
      <c r="K386" s="433"/>
      <c r="L386" s="433"/>
      <c r="M386" s="503"/>
      <c r="N386" s="435"/>
      <c r="O386" s="435"/>
      <c r="P386" s="407"/>
      <c r="Q386" s="414"/>
    </row>
    <row r="387" spans="1:17" s="430" customFormat="1" ht="25.15" customHeight="1">
      <c r="A387" s="835"/>
      <c r="B387" s="401">
        <v>1</v>
      </c>
      <c r="C387" s="405">
        <v>200</v>
      </c>
      <c r="D387" s="459">
        <f>D386+200+150</f>
        <v>2210</v>
      </c>
      <c r="E387" s="401">
        <f>250</f>
        <v>250</v>
      </c>
      <c r="F387" s="431">
        <v>10</v>
      </c>
      <c r="G387" s="432">
        <f>C387+D387+E387</f>
        <v>2660</v>
      </c>
      <c r="H387" s="432">
        <v>0</v>
      </c>
      <c r="I387" s="432">
        <f>F387*45</f>
        <v>450</v>
      </c>
      <c r="J387" s="432">
        <f>G387+I387*H387</f>
        <v>2660</v>
      </c>
      <c r="K387" s="433">
        <v>2</v>
      </c>
      <c r="L387" s="433">
        <v>1</v>
      </c>
      <c r="M387" s="503">
        <f t="shared" ref="M387:M390" si="355">J387*K387*L387/1000</f>
        <v>5.32</v>
      </c>
      <c r="N387" s="435">
        <f t="shared" ref="N387:N390" si="356">_xlfn.XLOOKUP(F387,$R$5:$Z$5,$R$6:$Z$6,"NOT_FOUND",0)</f>
        <v>0.61699999999999999</v>
      </c>
      <c r="O387" s="435">
        <f t="shared" ref="O387:O390" si="357">M387*N387</f>
        <v>3.2824400000000002</v>
      </c>
      <c r="P387" s="407"/>
    </row>
    <row r="388" spans="1:17" s="430" customFormat="1" ht="25.15" customHeight="1">
      <c r="A388" s="835"/>
      <c r="B388" s="401">
        <v>2</v>
      </c>
      <c r="C388" s="405">
        <v>100</v>
      </c>
      <c r="D388" s="459">
        <f>D386+200+170</f>
        <v>2230</v>
      </c>
      <c r="E388" s="401">
        <v>130</v>
      </c>
      <c r="F388" s="431">
        <v>10</v>
      </c>
      <c r="G388" s="432">
        <f>C388+D388+E388</f>
        <v>2460</v>
      </c>
      <c r="H388" s="432">
        <v>0</v>
      </c>
      <c r="I388" s="432">
        <f t="shared" ref="I388:I390" si="358">F388*45</f>
        <v>450</v>
      </c>
      <c r="J388" s="432">
        <f t="shared" ref="J388:J390" si="359">G388+I388*H388</f>
        <v>2460</v>
      </c>
      <c r="K388" s="433">
        <v>2</v>
      </c>
      <c r="L388" s="433">
        <v>1</v>
      </c>
      <c r="M388" s="503">
        <f t="shared" si="355"/>
        <v>4.92</v>
      </c>
      <c r="N388" s="435">
        <f t="shared" si="356"/>
        <v>0.61699999999999999</v>
      </c>
      <c r="O388" s="435">
        <f t="shared" si="357"/>
        <v>3.0356399999999999</v>
      </c>
      <c r="P388" s="407"/>
    </row>
    <row r="389" spans="1:17" s="430" customFormat="1" ht="25.15" customHeight="1">
      <c r="A389" s="835"/>
      <c r="B389" s="401">
        <v>3</v>
      </c>
      <c r="C389" s="405">
        <v>240</v>
      </c>
      <c r="D389" s="406">
        <v>160</v>
      </c>
      <c r="E389" s="401">
        <v>60</v>
      </c>
      <c r="F389" s="431">
        <v>6</v>
      </c>
      <c r="G389" s="432">
        <f>(C389+D389+E389)*2</f>
        <v>920</v>
      </c>
      <c r="H389" s="432">
        <v>0</v>
      </c>
      <c r="I389" s="432">
        <f t="shared" si="358"/>
        <v>270</v>
      </c>
      <c r="J389" s="432">
        <f t="shared" si="359"/>
        <v>920</v>
      </c>
      <c r="K389" s="680">
        <f>+ROUND(D386/200,0)</f>
        <v>9</v>
      </c>
      <c r="L389" s="433">
        <v>1</v>
      </c>
      <c r="M389" s="503">
        <f t="shared" si="355"/>
        <v>8.2799999999999994</v>
      </c>
      <c r="N389" s="435">
        <f t="shared" si="356"/>
        <v>0.222</v>
      </c>
      <c r="O389" s="435">
        <f t="shared" si="357"/>
        <v>1.8381599999999998</v>
      </c>
      <c r="P389" s="407"/>
    </row>
    <row r="390" spans="1:17" s="430" customFormat="1" ht="25.15" customHeight="1">
      <c r="A390" s="836"/>
      <c r="B390" s="401" t="s">
        <v>158</v>
      </c>
      <c r="C390" s="405">
        <v>100</v>
      </c>
      <c r="D390" s="406">
        <v>200</v>
      </c>
      <c r="E390" s="401"/>
      <c r="F390" s="431">
        <v>10</v>
      </c>
      <c r="G390" s="432">
        <f>C390+D390</f>
        <v>300</v>
      </c>
      <c r="H390" s="432">
        <v>0</v>
      </c>
      <c r="I390" s="432">
        <f t="shared" si="358"/>
        <v>450</v>
      </c>
      <c r="J390" s="432">
        <f t="shared" si="359"/>
        <v>300</v>
      </c>
      <c r="K390" s="680">
        <f>+ROUND(D386/600,0)</f>
        <v>3</v>
      </c>
      <c r="L390" s="433">
        <v>1</v>
      </c>
      <c r="M390" s="503">
        <f t="shared" si="355"/>
        <v>0.9</v>
      </c>
      <c r="N390" s="435">
        <f t="shared" si="356"/>
        <v>0.61699999999999999</v>
      </c>
      <c r="O390" s="435">
        <f t="shared" si="357"/>
        <v>0.55530000000000002</v>
      </c>
      <c r="P390" s="407" t="s">
        <v>347</v>
      </c>
    </row>
    <row r="391" spans="1:17" s="430" customFormat="1" ht="25.15" customHeight="1">
      <c r="A391" s="588" t="s">
        <v>515</v>
      </c>
      <c r="B391" s="589"/>
      <c r="C391" s="590"/>
      <c r="D391" s="591"/>
      <c r="E391" s="589"/>
      <c r="F391" s="592"/>
      <c r="G391" s="593"/>
      <c r="H391" s="593"/>
      <c r="I391" s="593"/>
      <c r="J391" s="593"/>
      <c r="K391" s="593"/>
      <c r="L391" s="593"/>
      <c r="M391" s="594"/>
      <c r="N391" s="595"/>
      <c r="O391" s="595"/>
      <c r="P391" s="596"/>
    </row>
    <row r="392" spans="1:17" s="444" customFormat="1" ht="25.15" customHeight="1">
      <c r="A392" s="837" t="s">
        <v>516</v>
      </c>
      <c r="B392" s="696"/>
      <c r="C392" s="697" t="s">
        <v>321</v>
      </c>
      <c r="D392" s="698">
        <v>1510</v>
      </c>
      <c r="E392" s="699" t="s">
        <v>322</v>
      </c>
      <c r="F392" s="601"/>
      <c r="G392" s="700"/>
      <c r="H392" s="700"/>
      <c r="I392" s="700"/>
      <c r="J392" s="700"/>
      <c r="K392" s="597"/>
      <c r="L392" s="597"/>
      <c r="M392" s="701"/>
      <c r="N392" s="702"/>
      <c r="O392" s="702"/>
      <c r="P392" s="703" t="s">
        <v>750</v>
      </c>
      <c r="Q392" s="706"/>
    </row>
    <row r="393" spans="1:17" s="444" customFormat="1" ht="25.15" customHeight="1">
      <c r="A393" s="838"/>
      <c r="B393" s="696">
        <v>1</v>
      </c>
      <c r="C393" s="704">
        <v>150</v>
      </c>
      <c r="D393" s="705">
        <f>D392+200+150</f>
        <v>1860</v>
      </c>
      <c r="E393" s="696">
        <v>150</v>
      </c>
      <c r="F393" s="601">
        <v>10</v>
      </c>
      <c r="G393" s="700">
        <f>C393+D393+E393</f>
        <v>2160</v>
      </c>
      <c r="H393" s="700">
        <v>0</v>
      </c>
      <c r="I393" s="700">
        <f>F393*45</f>
        <v>450</v>
      </c>
      <c r="J393" s="700">
        <f>G393+I393*H393</f>
        <v>2160</v>
      </c>
      <c r="K393" s="597">
        <v>2</v>
      </c>
      <c r="L393" s="597">
        <v>1</v>
      </c>
      <c r="M393" s="701">
        <f t="shared" ref="M393:M396" si="360">J393*K393*L393/1000</f>
        <v>4.32</v>
      </c>
      <c r="N393" s="702">
        <f t="shared" ref="N393:N396" si="361">_xlfn.XLOOKUP(F393,$R$5:$Z$5,$R$6:$Z$6,"NOT_FOUND",0)</f>
        <v>0.61699999999999999</v>
      </c>
      <c r="O393" s="702">
        <f t="shared" ref="O393:O396" si="362">M393*N393</f>
        <v>2.6654400000000003</v>
      </c>
      <c r="P393" s="703"/>
    </row>
    <row r="394" spans="1:17" s="444" customFormat="1" ht="25.15" customHeight="1">
      <c r="A394" s="838"/>
      <c r="B394" s="696">
        <v>2</v>
      </c>
      <c r="C394" s="704">
        <v>100</v>
      </c>
      <c r="D394" s="705">
        <f>D392+200+170</f>
        <v>1880</v>
      </c>
      <c r="E394" s="696">
        <v>130</v>
      </c>
      <c r="F394" s="601">
        <v>10</v>
      </c>
      <c r="G394" s="700">
        <f>C394+D394+E394</f>
        <v>2110</v>
      </c>
      <c r="H394" s="700">
        <v>0</v>
      </c>
      <c r="I394" s="700">
        <f t="shared" ref="I394:I396" si="363">F394*45</f>
        <v>450</v>
      </c>
      <c r="J394" s="700">
        <f t="shared" ref="J394:J396" si="364">G394+I394*H394</f>
        <v>2110</v>
      </c>
      <c r="K394" s="597">
        <v>2</v>
      </c>
      <c r="L394" s="597">
        <v>1</v>
      </c>
      <c r="M394" s="701">
        <f t="shared" si="360"/>
        <v>4.22</v>
      </c>
      <c r="N394" s="702">
        <f t="shared" si="361"/>
        <v>0.61699999999999999</v>
      </c>
      <c r="O394" s="702">
        <f t="shared" si="362"/>
        <v>2.6037399999999997</v>
      </c>
      <c r="P394" s="703"/>
    </row>
    <row r="395" spans="1:17" s="444" customFormat="1" ht="25.15" customHeight="1">
      <c r="A395" s="838"/>
      <c r="B395" s="696">
        <v>3</v>
      </c>
      <c r="C395" s="704">
        <v>140</v>
      </c>
      <c r="D395" s="598">
        <v>160</v>
      </c>
      <c r="E395" s="696">
        <v>60</v>
      </c>
      <c r="F395" s="601">
        <v>6</v>
      </c>
      <c r="G395" s="700">
        <f>(C395+D395+E395)*2</f>
        <v>720</v>
      </c>
      <c r="H395" s="700">
        <v>0</v>
      </c>
      <c r="I395" s="700">
        <f t="shared" si="363"/>
        <v>270</v>
      </c>
      <c r="J395" s="700">
        <f t="shared" si="364"/>
        <v>720</v>
      </c>
      <c r="K395" s="597">
        <f>+ROUND(D392/200,0)</f>
        <v>8</v>
      </c>
      <c r="L395" s="597">
        <v>1</v>
      </c>
      <c r="M395" s="701">
        <f t="shared" si="360"/>
        <v>5.76</v>
      </c>
      <c r="N395" s="702">
        <f t="shared" si="361"/>
        <v>0.222</v>
      </c>
      <c r="O395" s="702">
        <f t="shared" si="362"/>
        <v>1.2787200000000001</v>
      </c>
      <c r="P395" s="703"/>
    </row>
    <row r="396" spans="1:17" s="444" customFormat="1" ht="25.15" customHeight="1">
      <c r="A396" s="839"/>
      <c r="B396" s="696" t="s">
        <v>158</v>
      </c>
      <c r="C396" s="704">
        <v>100</v>
      </c>
      <c r="D396" s="598">
        <v>200</v>
      </c>
      <c r="E396" s="696"/>
      <c r="F396" s="601">
        <v>12</v>
      </c>
      <c r="G396" s="700">
        <f>C396+D396</f>
        <v>300</v>
      </c>
      <c r="H396" s="700">
        <v>0</v>
      </c>
      <c r="I396" s="700">
        <f t="shared" si="363"/>
        <v>540</v>
      </c>
      <c r="J396" s="700">
        <f t="shared" si="364"/>
        <v>300</v>
      </c>
      <c r="K396" s="597">
        <f>+ROUND(D392/600,0)</f>
        <v>3</v>
      </c>
      <c r="L396" s="597">
        <v>1</v>
      </c>
      <c r="M396" s="701">
        <f t="shared" si="360"/>
        <v>0.9</v>
      </c>
      <c r="N396" s="702">
        <f t="shared" si="361"/>
        <v>0.88800000000000001</v>
      </c>
      <c r="O396" s="702">
        <f t="shared" si="362"/>
        <v>0.79920000000000002</v>
      </c>
      <c r="P396" s="703" t="s">
        <v>347</v>
      </c>
    </row>
    <row r="397" spans="1:17" s="444" customFormat="1" ht="25.15" customHeight="1">
      <c r="A397" s="837" t="s">
        <v>517</v>
      </c>
      <c r="B397" s="696"/>
      <c r="C397" s="697" t="s">
        <v>321</v>
      </c>
      <c r="D397" s="698">
        <v>2765</v>
      </c>
      <c r="E397" s="699" t="s">
        <v>322</v>
      </c>
      <c r="F397" s="601"/>
      <c r="G397" s="700"/>
      <c r="H397" s="700"/>
      <c r="I397" s="700"/>
      <c r="J397" s="700"/>
      <c r="K397" s="597"/>
      <c r="L397" s="597"/>
      <c r="M397" s="701"/>
      <c r="N397" s="702"/>
      <c r="O397" s="702"/>
      <c r="P397" s="703"/>
      <c r="Q397" s="706"/>
    </row>
    <row r="398" spans="1:17" s="444" customFormat="1" ht="25.15" customHeight="1">
      <c r="A398" s="838"/>
      <c r="B398" s="696">
        <v>1</v>
      </c>
      <c r="C398" s="704">
        <v>150</v>
      </c>
      <c r="D398" s="705">
        <f>D397+200+150</f>
        <v>3115</v>
      </c>
      <c r="E398" s="696">
        <v>150</v>
      </c>
      <c r="F398" s="601">
        <v>10</v>
      </c>
      <c r="G398" s="700">
        <f>C398+D398+E398</f>
        <v>3415</v>
      </c>
      <c r="H398" s="700">
        <v>0</v>
      </c>
      <c r="I398" s="700">
        <f>F398*45</f>
        <v>450</v>
      </c>
      <c r="J398" s="700">
        <f>G398+I398*H398</f>
        <v>3415</v>
      </c>
      <c r="K398" s="597">
        <v>2</v>
      </c>
      <c r="L398" s="597">
        <v>1</v>
      </c>
      <c r="M398" s="701">
        <f t="shared" ref="M398:M401" si="365">J398*K398*L398/1000</f>
        <v>6.83</v>
      </c>
      <c r="N398" s="702">
        <f t="shared" ref="N398:N401" si="366">_xlfn.XLOOKUP(F398,$R$5:$Z$5,$R$6:$Z$6,"NOT_FOUND",0)</f>
        <v>0.61699999999999999</v>
      </c>
      <c r="O398" s="702">
        <f t="shared" ref="O398:O401" si="367">M398*N398</f>
        <v>4.2141099999999998</v>
      </c>
      <c r="P398" s="703"/>
    </row>
    <row r="399" spans="1:17" s="444" customFormat="1" ht="25.15" customHeight="1">
      <c r="A399" s="838"/>
      <c r="B399" s="696">
        <v>2</v>
      </c>
      <c r="C399" s="704">
        <v>100</v>
      </c>
      <c r="D399" s="705">
        <f>D397+200+170</f>
        <v>3135</v>
      </c>
      <c r="E399" s="696">
        <v>130</v>
      </c>
      <c r="F399" s="601">
        <v>10</v>
      </c>
      <c r="G399" s="700">
        <f>C399+D399+E399</f>
        <v>3365</v>
      </c>
      <c r="H399" s="700">
        <v>0</v>
      </c>
      <c r="I399" s="700">
        <f t="shared" ref="I399:I401" si="368">F399*45</f>
        <v>450</v>
      </c>
      <c r="J399" s="700">
        <f t="shared" ref="J399:J401" si="369">G399+I399*H399</f>
        <v>3365</v>
      </c>
      <c r="K399" s="597">
        <v>2</v>
      </c>
      <c r="L399" s="597">
        <v>1</v>
      </c>
      <c r="M399" s="701">
        <f t="shared" si="365"/>
        <v>6.73</v>
      </c>
      <c r="N399" s="702">
        <f t="shared" si="366"/>
        <v>0.61699999999999999</v>
      </c>
      <c r="O399" s="702">
        <f t="shared" si="367"/>
        <v>4.1524100000000006</v>
      </c>
      <c r="P399" s="703"/>
    </row>
    <row r="400" spans="1:17" s="444" customFormat="1" ht="25.15" customHeight="1">
      <c r="A400" s="838"/>
      <c r="B400" s="696">
        <v>3</v>
      </c>
      <c r="C400" s="704">
        <v>140</v>
      </c>
      <c r="D400" s="598">
        <v>160</v>
      </c>
      <c r="E400" s="696">
        <v>60</v>
      </c>
      <c r="F400" s="601">
        <v>6</v>
      </c>
      <c r="G400" s="700">
        <f>(C400+D400+E400)*2</f>
        <v>720</v>
      </c>
      <c r="H400" s="700">
        <v>0</v>
      </c>
      <c r="I400" s="700">
        <f t="shared" si="368"/>
        <v>270</v>
      </c>
      <c r="J400" s="700">
        <f t="shared" si="369"/>
        <v>720</v>
      </c>
      <c r="K400" s="597">
        <f>+ROUND(D397/200,0)</f>
        <v>14</v>
      </c>
      <c r="L400" s="597">
        <v>1</v>
      </c>
      <c r="M400" s="701">
        <f t="shared" si="365"/>
        <v>10.08</v>
      </c>
      <c r="N400" s="702">
        <f t="shared" si="366"/>
        <v>0.222</v>
      </c>
      <c r="O400" s="702">
        <f t="shared" si="367"/>
        <v>2.2377600000000002</v>
      </c>
      <c r="P400" s="703"/>
    </row>
    <row r="401" spans="1:17" s="444" customFormat="1" ht="25.15" customHeight="1">
      <c r="A401" s="839"/>
      <c r="B401" s="696" t="s">
        <v>158</v>
      </c>
      <c r="C401" s="704">
        <v>100</v>
      </c>
      <c r="D401" s="598">
        <v>200</v>
      </c>
      <c r="E401" s="696"/>
      <c r="F401" s="601">
        <v>12</v>
      </c>
      <c r="G401" s="700">
        <f>C401+D401</f>
        <v>300</v>
      </c>
      <c r="H401" s="700">
        <v>0</v>
      </c>
      <c r="I401" s="700">
        <f t="shared" si="368"/>
        <v>540</v>
      </c>
      <c r="J401" s="700">
        <f t="shared" si="369"/>
        <v>300</v>
      </c>
      <c r="K401" s="597">
        <f>+ROUND(D397/600,0)</f>
        <v>5</v>
      </c>
      <c r="L401" s="597">
        <v>1</v>
      </c>
      <c r="M401" s="701">
        <f t="shared" si="365"/>
        <v>1.5</v>
      </c>
      <c r="N401" s="702">
        <f t="shared" si="366"/>
        <v>0.88800000000000001</v>
      </c>
      <c r="O401" s="702">
        <f t="shared" si="367"/>
        <v>1.3320000000000001</v>
      </c>
      <c r="P401" s="703" t="s">
        <v>347</v>
      </c>
    </row>
    <row r="402" spans="1:17" s="444" customFormat="1" ht="25.15" customHeight="1">
      <c r="A402" s="837" t="s">
        <v>518</v>
      </c>
      <c r="B402" s="696"/>
      <c r="C402" s="697" t="s">
        <v>321</v>
      </c>
      <c r="D402" s="698">
        <v>1005</v>
      </c>
      <c r="E402" s="699" t="s">
        <v>322</v>
      </c>
      <c r="F402" s="601"/>
      <c r="G402" s="700"/>
      <c r="H402" s="700"/>
      <c r="I402" s="700"/>
      <c r="J402" s="700"/>
      <c r="K402" s="597"/>
      <c r="L402" s="597"/>
      <c r="M402" s="701"/>
      <c r="N402" s="702"/>
      <c r="O402" s="702"/>
      <c r="P402" s="703"/>
      <c r="Q402" s="706"/>
    </row>
    <row r="403" spans="1:17" s="444" customFormat="1" ht="25.15" customHeight="1">
      <c r="A403" s="838"/>
      <c r="B403" s="696">
        <v>1</v>
      </c>
      <c r="C403" s="704">
        <v>200</v>
      </c>
      <c r="D403" s="705">
        <f>D402+200+150</f>
        <v>1355</v>
      </c>
      <c r="E403" s="696">
        <v>150</v>
      </c>
      <c r="F403" s="601">
        <v>10</v>
      </c>
      <c r="G403" s="700">
        <f>C403+D403+E403</f>
        <v>1705</v>
      </c>
      <c r="H403" s="700">
        <v>0</v>
      </c>
      <c r="I403" s="700">
        <f>F403*45</f>
        <v>450</v>
      </c>
      <c r="J403" s="700">
        <f>G403+I403*H403</f>
        <v>1705</v>
      </c>
      <c r="K403" s="597">
        <v>2</v>
      </c>
      <c r="L403" s="597">
        <v>1</v>
      </c>
      <c r="M403" s="701">
        <f t="shared" ref="M403:M406" si="370">J403*K403*L403/1000</f>
        <v>3.41</v>
      </c>
      <c r="N403" s="702">
        <f t="shared" ref="N403:N406" si="371">_xlfn.XLOOKUP(F403,$R$5:$Z$5,$R$6:$Z$6,"NOT_FOUND",0)</f>
        <v>0.61699999999999999</v>
      </c>
      <c r="O403" s="702">
        <f t="shared" ref="O403:O406" si="372">M403*N403</f>
        <v>2.1039699999999999</v>
      </c>
      <c r="P403" s="703"/>
    </row>
    <row r="404" spans="1:17" s="444" customFormat="1" ht="25.15" customHeight="1">
      <c r="A404" s="838"/>
      <c r="B404" s="696">
        <v>2</v>
      </c>
      <c r="C404" s="704">
        <v>100</v>
      </c>
      <c r="D404" s="705">
        <f>D402+200+170</f>
        <v>1375</v>
      </c>
      <c r="E404" s="696">
        <v>130</v>
      </c>
      <c r="F404" s="601">
        <v>10</v>
      </c>
      <c r="G404" s="700">
        <f>C404+D404+E404</f>
        <v>1605</v>
      </c>
      <c r="H404" s="700">
        <v>0</v>
      </c>
      <c r="I404" s="700">
        <f t="shared" ref="I404:I406" si="373">F404*45</f>
        <v>450</v>
      </c>
      <c r="J404" s="700">
        <f t="shared" ref="J404:J406" si="374">G404+I404*H404</f>
        <v>1605</v>
      </c>
      <c r="K404" s="597">
        <v>2</v>
      </c>
      <c r="L404" s="597">
        <v>1</v>
      </c>
      <c r="M404" s="701">
        <f t="shared" si="370"/>
        <v>3.21</v>
      </c>
      <c r="N404" s="702">
        <f t="shared" si="371"/>
        <v>0.61699999999999999</v>
      </c>
      <c r="O404" s="702">
        <f t="shared" si="372"/>
        <v>1.9805699999999999</v>
      </c>
      <c r="P404" s="703"/>
    </row>
    <row r="405" spans="1:17" s="444" customFormat="1" ht="25.15" customHeight="1">
      <c r="A405" s="838"/>
      <c r="B405" s="696">
        <v>3</v>
      </c>
      <c r="C405" s="704">
        <v>140</v>
      </c>
      <c r="D405" s="598">
        <v>160</v>
      </c>
      <c r="E405" s="696">
        <v>60</v>
      </c>
      <c r="F405" s="601">
        <v>6</v>
      </c>
      <c r="G405" s="700">
        <f>(C405+D405+E405)*2</f>
        <v>720</v>
      </c>
      <c r="H405" s="700">
        <v>0</v>
      </c>
      <c r="I405" s="700">
        <f t="shared" si="373"/>
        <v>270</v>
      </c>
      <c r="J405" s="700">
        <f t="shared" si="374"/>
        <v>720</v>
      </c>
      <c r="K405" s="597">
        <f>+ROUND(D402/200,0)</f>
        <v>5</v>
      </c>
      <c r="L405" s="597">
        <v>1</v>
      </c>
      <c r="M405" s="701">
        <f t="shared" si="370"/>
        <v>3.6</v>
      </c>
      <c r="N405" s="702">
        <f t="shared" si="371"/>
        <v>0.222</v>
      </c>
      <c r="O405" s="702">
        <f t="shared" si="372"/>
        <v>0.79920000000000002</v>
      </c>
      <c r="P405" s="703"/>
    </row>
    <row r="406" spans="1:17" s="444" customFormat="1" ht="25.15" customHeight="1">
      <c r="A406" s="839"/>
      <c r="B406" s="696" t="s">
        <v>158</v>
      </c>
      <c r="C406" s="704">
        <v>100</v>
      </c>
      <c r="D406" s="598">
        <v>200</v>
      </c>
      <c r="E406" s="696"/>
      <c r="F406" s="601">
        <v>12</v>
      </c>
      <c r="G406" s="700">
        <f>C406+D406</f>
        <v>300</v>
      </c>
      <c r="H406" s="700">
        <v>0</v>
      </c>
      <c r="I406" s="700">
        <f t="shared" si="373"/>
        <v>540</v>
      </c>
      <c r="J406" s="700">
        <f t="shared" si="374"/>
        <v>300</v>
      </c>
      <c r="K406" s="597">
        <f>+ROUND(D402/600,0)</f>
        <v>2</v>
      </c>
      <c r="L406" s="597">
        <v>1</v>
      </c>
      <c r="M406" s="701">
        <f t="shared" si="370"/>
        <v>0.6</v>
      </c>
      <c r="N406" s="702">
        <f t="shared" si="371"/>
        <v>0.88800000000000001</v>
      </c>
      <c r="O406" s="702">
        <f t="shared" si="372"/>
        <v>0.53279999999999994</v>
      </c>
      <c r="P406" s="703" t="s">
        <v>347</v>
      </c>
    </row>
    <row r="407" spans="1:17" s="444" customFormat="1" ht="25.15" customHeight="1">
      <c r="A407" s="837" t="s">
        <v>519</v>
      </c>
      <c r="B407" s="696"/>
      <c r="C407" s="697" t="s">
        <v>321</v>
      </c>
      <c r="D407" s="698">
        <v>3545</v>
      </c>
      <c r="E407" s="699" t="s">
        <v>322</v>
      </c>
      <c r="F407" s="601"/>
      <c r="G407" s="700"/>
      <c r="H407" s="700"/>
      <c r="I407" s="700"/>
      <c r="J407" s="700"/>
      <c r="K407" s="597"/>
      <c r="L407" s="597"/>
      <c r="M407" s="701"/>
      <c r="N407" s="702"/>
      <c r="O407" s="702"/>
      <c r="P407" s="703"/>
      <c r="Q407" s="706"/>
    </row>
    <row r="408" spans="1:17" s="444" customFormat="1" ht="25.15" customHeight="1">
      <c r="A408" s="838"/>
      <c r="B408" s="696">
        <v>1</v>
      </c>
      <c r="C408" s="704">
        <v>150</v>
      </c>
      <c r="D408" s="705">
        <f>D407+200+150</f>
        <v>3895</v>
      </c>
      <c r="E408" s="696">
        <v>150</v>
      </c>
      <c r="F408" s="601">
        <v>10</v>
      </c>
      <c r="G408" s="700">
        <f>C408+D408+E408</f>
        <v>4195</v>
      </c>
      <c r="H408" s="700">
        <v>0</v>
      </c>
      <c r="I408" s="700">
        <f>F408*45</f>
        <v>450</v>
      </c>
      <c r="J408" s="700">
        <f>G408+I408*H408</f>
        <v>4195</v>
      </c>
      <c r="K408" s="597">
        <v>2</v>
      </c>
      <c r="L408" s="597">
        <v>1</v>
      </c>
      <c r="M408" s="701">
        <f t="shared" ref="M408:M411" si="375">J408*K408*L408/1000</f>
        <v>8.39</v>
      </c>
      <c r="N408" s="702">
        <f t="shared" ref="N408:N411" si="376">_xlfn.XLOOKUP(F408,$R$5:$Z$5,$R$6:$Z$6,"NOT_FOUND",0)</f>
        <v>0.61699999999999999</v>
      </c>
      <c r="O408" s="702">
        <f t="shared" ref="O408:O411" si="377">M408*N408</f>
        <v>5.1766300000000003</v>
      </c>
      <c r="P408" s="703"/>
    </row>
    <row r="409" spans="1:17" s="444" customFormat="1" ht="25.15" customHeight="1">
      <c r="A409" s="838"/>
      <c r="B409" s="696">
        <v>2</v>
      </c>
      <c r="C409" s="704">
        <v>100</v>
      </c>
      <c r="D409" s="705">
        <f>D407+200+170</f>
        <v>3915</v>
      </c>
      <c r="E409" s="696">
        <v>130</v>
      </c>
      <c r="F409" s="601">
        <v>10</v>
      </c>
      <c r="G409" s="700">
        <f>C409+D409+E409</f>
        <v>4145</v>
      </c>
      <c r="H409" s="700">
        <v>0</v>
      </c>
      <c r="I409" s="700">
        <f t="shared" ref="I409:I411" si="378">F409*45</f>
        <v>450</v>
      </c>
      <c r="J409" s="700">
        <f t="shared" ref="J409:J411" si="379">G409+I409*H409</f>
        <v>4145</v>
      </c>
      <c r="K409" s="597">
        <v>2</v>
      </c>
      <c r="L409" s="597">
        <v>1</v>
      </c>
      <c r="M409" s="701">
        <f t="shared" si="375"/>
        <v>8.2899999999999991</v>
      </c>
      <c r="N409" s="702">
        <f t="shared" si="376"/>
        <v>0.61699999999999999</v>
      </c>
      <c r="O409" s="702">
        <f t="shared" si="377"/>
        <v>5.1149299999999993</v>
      </c>
      <c r="P409" s="703"/>
    </row>
    <row r="410" spans="1:17" s="444" customFormat="1" ht="25.15" customHeight="1">
      <c r="A410" s="838"/>
      <c r="B410" s="696">
        <v>3</v>
      </c>
      <c r="C410" s="704">
        <v>140</v>
      </c>
      <c r="D410" s="598">
        <v>160</v>
      </c>
      <c r="E410" s="696">
        <v>60</v>
      </c>
      <c r="F410" s="601">
        <v>6</v>
      </c>
      <c r="G410" s="700">
        <f>(C410+D410+E410)*2</f>
        <v>720</v>
      </c>
      <c r="H410" s="700">
        <v>0</v>
      </c>
      <c r="I410" s="700">
        <f t="shared" si="378"/>
        <v>270</v>
      </c>
      <c r="J410" s="700">
        <f t="shared" si="379"/>
        <v>720</v>
      </c>
      <c r="K410" s="597">
        <f>+ROUND(D407/200,0)</f>
        <v>18</v>
      </c>
      <c r="L410" s="597">
        <v>1</v>
      </c>
      <c r="M410" s="701">
        <f t="shared" si="375"/>
        <v>12.96</v>
      </c>
      <c r="N410" s="702">
        <f t="shared" si="376"/>
        <v>0.222</v>
      </c>
      <c r="O410" s="702">
        <f t="shared" si="377"/>
        <v>2.8771200000000001</v>
      </c>
      <c r="P410" s="703"/>
    </row>
    <row r="411" spans="1:17" s="444" customFormat="1" ht="25.15" customHeight="1">
      <c r="A411" s="839"/>
      <c r="B411" s="696" t="s">
        <v>158</v>
      </c>
      <c r="C411" s="704">
        <v>100</v>
      </c>
      <c r="D411" s="598">
        <v>200</v>
      </c>
      <c r="E411" s="696"/>
      <c r="F411" s="601">
        <v>12</v>
      </c>
      <c r="G411" s="700">
        <f>C411+D411</f>
        <v>300</v>
      </c>
      <c r="H411" s="700">
        <v>0</v>
      </c>
      <c r="I411" s="700">
        <f t="shared" si="378"/>
        <v>540</v>
      </c>
      <c r="J411" s="700">
        <f t="shared" si="379"/>
        <v>300</v>
      </c>
      <c r="K411" s="597">
        <f>+ROUND(D407/600,0)</f>
        <v>6</v>
      </c>
      <c r="L411" s="597">
        <v>1</v>
      </c>
      <c r="M411" s="701">
        <f t="shared" si="375"/>
        <v>1.8</v>
      </c>
      <c r="N411" s="702">
        <f t="shared" si="376"/>
        <v>0.88800000000000001</v>
      </c>
      <c r="O411" s="702">
        <f t="shared" si="377"/>
        <v>1.5984</v>
      </c>
      <c r="P411" s="703" t="s">
        <v>347</v>
      </c>
    </row>
    <row r="412" spans="1:17" s="444" customFormat="1" ht="25.15" customHeight="1">
      <c r="A412" s="837" t="s">
        <v>520</v>
      </c>
      <c r="B412" s="696"/>
      <c r="C412" s="697" t="s">
        <v>321</v>
      </c>
      <c r="D412" s="698">
        <v>3620</v>
      </c>
      <c r="E412" s="699" t="s">
        <v>322</v>
      </c>
      <c r="F412" s="601"/>
      <c r="G412" s="700"/>
      <c r="H412" s="700"/>
      <c r="I412" s="700"/>
      <c r="J412" s="700"/>
      <c r="K412" s="597"/>
      <c r="L412" s="597"/>
      <c r="M412" s="701"/>
      <c r="N412" s="702"/>
      <c r="O412" s="702"/>
      <c r="P412" s="703"/>
      <c r="Q412" s="706"/>
    </row>
    <row r="413" spans="1:17" s="444" customFormat="1" ht="25.15" customHeight="1">
      <c r="A413" s="838"/>
      <c r="B413" s="696">
        <v>1</v>
      </c>
      <c r="C413" s="704">
        <v>200</v>
      </c>
      <c r="D413" s="705">
        <f>D412+200+150</f>
        <v>3970</v>
      </c>
      <c r="E413" s="696">
        <v>150</v>
      </c>
      <c r="F413" s="601">
        <v>10</v>
      </c>
      <c r="G413" s="700">
        <f>C413+D413+E413</f>
        <v>4320</v>
      </c>
      <c r="H413" s="700">
        <v>0</v>
      </c>
      <c r="I413" s="700">
        <f>F413*45</f>
        <v>450</v>
      </c>
      <c r="J413" s="700">
        <f>G413+I413*H413</f>
        <v>4320</v>
      </c>
      <c r="K413" s="597">
        <v>2</v>
      </c>
      <c r="L413" s="597">
        <v>1</v>
      </c>
      <c r="M413" s="701">
        <f t="shared" ref="M413:M416" si="380">J413*K413*L413/1000</f>
        <v>8.64</v>
      </c>
      <c r="N413" s="702">
        <f t="shared" ref="N413:N416" si="381">_xlfn.XLOOKUP(F413,$R$5:$Z$5,$R$6:$Z$6,"NOT_FOUND",0)</f>
        <v>0.61699999999999999</v>
      </c>
      <c r="O413" s="702">
        <f t="shared" ref="O413:O416" si="382">M413*N413</f>
        <v>5.3308800000000005</v>
      </c>
      <c r="P413" s="703"/>
    </row>
    <row r="414" spans="1:17" s="444" customFormat="1" ht="25.15" customHeight="1">
      <c r="A414" s="838"/>
      <c r="B414" s="696">
        <v>2</v>
      </c>
      <c r="C414" s="704">
        <v>100</v>
      </c>
      <c r="D414" s="705">
        <f>D412+200+170</f>
        <v>3990</v>
      </c>
      <c r="E414" s="696">
        <v>130</v>
      </c>
      <c r="F414" s="601">
        <v>10</v>
      </c>
      <c r="G414" s="700">
        <f>C414+D414+E414</f>
        <v>4220</v>
      </c>
      <c r="H414" s="700">
        <v>0</v>
      </c>
      <c r="I414" s="700">
        <f t="shared" ref="I414:I416" si="383">F414*45</f>
        <v>450</v>
      </c>
      <c r="J414" s="700">
        <f t="shared" ref="J414:J416" si="384">G414+I414*H414</f>
        <v>4220</v>
      </c>
      <c r="K414" s="597">
        <v>2</v>
      </c>
      <c r="L414" s="597">
        <v>1</v>
      </c>
      <c r="M414" s="701">
        <f t="shared" si="380"/>
        <v>8.44</v>
      </c>
      <c r="N414" s="702">
        <f t="shared" si="381"/>
        <v>0.61699999999999999</v>
      </c>
      <c r="O414" s="702">
        <f t="shared" si="382"/>
        <v>5.2074799999999994</v>
      </c>
      <c r="P414" s="703"/>
    </row>
    <row r="415" spans="1:17" s="444" customFormat="1" ht="25.15" customHeight="1">
      <c r="A415" s="838"/>
      <c r="B415" s="696">
        <v>3</v>
      </c>
      <c r="C415" s="704">
        <v>140</v>
      </c>
      <c r="D415" s="598">
        <v>160</v>
      </c>
      <c r="E415" s="696">
        <v>60</v>
      </c>
      <c r="F415" s="601">
        <v>6</v>
      </c>
      <c r="G415" s="700">
        <f>(C415+D415+E415)*2</f>
        <v>720</v>
      </c>
      <c r="H415" s="700">
        <v>0</v>
      </c>
      <c r="I415" s="700">
        <f t="shared" si="383"/>
        <v>270</v>
      </c>
      <c r="J415" s="700">
        <f t="shared" si="384"/>
        <v>720</v>
      </c>
      <c r="K415" s="597">
        <f>+ROUND(D412/200,0)</f>
        <v>18</v>
      </c>
      <c r="L415" s="597">
        <v>1</v>
      </c>
      <c r="M415" s="701">
        <f t="shared" si="380"/>
        <v>12.96</v>
      </c>
      <c r="N415" s="702">
        <f t="shared" si="381"/>
        <v>0.222</v>
      </c>
      <c r="O415" s="702">
        <f t="shared" si="382"/>
        <v>2.8771200000000001</v>
      </c>
      <c r="P415" s="703"/>
    </row>
    <row r="416" spans="1:17" s="444" customFormat="1" ht="25.15" customHeight="1">
      <c r="A416" s="839"/>
      <c r="B416" s="696" t="s">
        <v>158</v>
      </c>
      <c r="C416" s="704">
        <v>100</v>
      </c>
      <c r="D416" s="598">
        <v>200</v>
      </c>
      <c r="E416" s="696"/>
      <c r="F416" s="601">
        <v>12</v>
      </c>
      <c r="G416" s="700">
        <f>C416+D416</f>
        <v>300</v>
      </c>
      <c r="H416" s="700">
        <v>0</v>
      </c>
      <c r="I416" s="700">
        <f t="shared" si="383"/>
        <v>540</v>
      </c>
      <c r="J416" s="700">
        <f t="shared" si="384"/>
        <v>300</v>
      </c>
      <c r="K416" s="597">
        <f>+ROUND(D412/600,0)</f>
        <v>6</v>
      </c>
      <c r="L416" s="597">
        <v>1</v>
      </c>
      <c r="M416" s="701">
        <f t="shared" si="380"/>
        <v>1.8</v>
      </c>
      <c r="N416" s="702">
        <f t="shared" si="381"/>
        <v>0.88800000000000001</v>
      </c>
      <c r="O416" s="702">
        <f t="shared" si="382"/>
        <v>1.5984</v>
      </c>
      <c r="P416" s="703" t="s">
        <v>347</v>
      </c>
    </row>
    <row r="417" spans="1:17" s="444" customFormat="1" ht="25.15" customHeight="1">
      <c r="A417" s="837" t="s">
        <v>521</v>
      </c>
      <c r="B417" s="696"/>
      <c r="C417" s="697" t="s">
        <v>321</v>
      </c>
      <c r="D417" s="698">
        <v>935</v>
      </c>
      <c r="E417" s="699" t="s">
        <v>322</v>
      </c>
      <c r="F417" s="601"/>
      <c r="G417" s="700"/>
      <c r="H417" s="700"/>
      <c r="I417" s="700"/>
      <c r="J417" s="700"/>
      <c r="K417" s="597"/>
      <c r="L417" s="597"/>
      <c r="M417" s="701"/>
      <c r="N417" s="702"/>
      <c r="O417" s="702"/>
      <c r="P417" s="703"/>
      <c r="Q417" s="706"/>
    </row>
    <row r="418" spans="1:17" s="444" customFormat="1" ht="25.15" customHeight="1">
      <c r="A418" s="838"/>
      <c r="B418" s="696">
        <v>1</v>
      </c>
      <c r="C418" s="704">
        <v>150</v>
      </c>
      <c r="D418" s="705">
        <f>D417+200+150</f>
        <v>1285</v>
      </c>
      <c r="E418" s="696">
        <v>150</v>
      </c>
      <c r="F418" s="601">
        <v>10</v>
      </c>
      <c r="G418" s="700">
        <f>C418+D418+E418</f>
        <v>1585</v>
      </c>
      <c r="H418" s="700">
        <v>0</v>
      </c>
      <c r="I418" s="700">
        <f>F418*45</f>
        <v>450</v>
      </c>
      <c r="J418" s="700">
        <f>G418+I418*H418</f>
        <v>1585</v>
      </c>
      <c r="K418" s="597">
        <v>2</v>
      </c>
      <c r="L418" s="597">
        <v>1</v>
      </c>
      <c r="M418" s="701">
        <f t="shared" ref="M418:M421" si="385">J418*K418*L418/1000</f>
        <v>3.17</v>
      </c>
      <c r="N418" s="702">
        <f t="shared" ref="N418:N421" si="386">_xlfn.XLOOKUP(F418,$R$5:$Z$5,$R$6:$Z$6,"NOT_FOUND",0)</f>
        <v>0.61699999999999999</v>
      </c>
      <c r="O418" s="702">
        <f t="shared" ref="O418:O421" si="387">M418*N418</f>
        <v>1.9558899999999999</v>
      </c>
      <c r="P418" s="703"/>
    </row>
    <row r="419" spans="1:17" s="444" customFormat="1" ht="25.15" customHeight="1">
      <c r="A419" s="838"/>
      <c r="B419" s="696">
        <v>2</v>
      </c>
      <c r="C419" s="704">
        <v>100</v>
      </c>
      <c r="D419" s="705">
        <f>D417+200+170</f>
        <v>1305</v>
      </c>
      <c r="E419" s="696">
        <v>130</v>
      </c>
      <c r="F419" s="601">
        <v>10</v>
      </c>
      <c r="G419" s="700">
        <f>C419+D419+E419</f>
        <v>1535</v>
      </c>
      <c r="H419" s="700">
        <v>0</v>
      </c>
      <c r="I419" s="700">
        <f t="shared" ref="I419:I421" si="388">F419*45</f>
        <v>450</v>
      </c>
      <c r="J419" s="700">
        <f t="shared" ref="J419:J421" si="389">G419+I419*H419</f>
        <v>1535</v>
      </c>
      <c r="K419" s="597">
        <v>2</v>
      </c>
      <c r="L419" s="597">
        <v>1</v>
      </c>
      <c r="M419" s="701">
        <f t="shared" si="385"/>
        <v>3.07</v>
      </c>
      <c r="N419" s="702">
        <f t="shared" si="386"/>
        <v>0.61699999999999999</v>
      </c>
      <c r="O419" s="702">
        <f t="shared" si="387"/>
        <v>1.8941899999999998</v>
      </c>
      <c r="P419" s="703"/>
    </row>
    <row r="420" spans="1:17" s="444" customFormat="1" ht="25.15" customHeight="1">
      <c r="A420" s="838"/>
      <c r="B420" s="696">
        <v>3</v>
      </c>
      <c r="C420" s="704">
        <v>140</v>
      </c>
      <c r="D420" s="598">
        <v>160</v>
      </c>
      <c r="E420" s="696">
        <v>60</v>
      </c>
      <c r="F420" s="601">
        <v>6</v>
      </c>
      <c r="G420" s="700">
        <f>(C420+D420+E420)*2</f>
        <v>720</v>
      </c>
      <c r="H420" s="700">
        <v>0</v>
      </c>
      <c r="I420" s="700">
        <f t="shared" si="388"/>
        <v>270</v>
      </c>
      <c r="J420" s="700">
        <f t="shared" si="389"/>
        <v>720</v>
      </c>
      <c r="K420" s="597">
        <f>+ROUND(D417/200,0)</f>
        <v>5</v>
      </c>
      <c r="L420" s="597">
        <v>1</v>
      </c>
      <c r="M420" s="701">
        <f t="shared" si="385"/>
        <v>3.6</v>
      </c>
      <c r="N420" s="702">
        <f t="shared" si="386"/>
        <v>0.222</v>
      </c>
      <c r="O420" s="702">
        <f t="shared" si="387"/>
        <v>0.79920000000000002</v>
      </c>
      <c r="P420" s="703"/>
    </row>
    <row r="421" spans="1:17" s="444" customFormat="1" ht="25.15" customHeight="1">
      <c r="A421" s="839"/>
      <c r="B421" s="696" t="s">
        <v>158</v>
      </c>
      <c r="C421" s="704">
        <v>100</v>
      </c>
      <c r="D421" s="598">
        <v>200</v>
      </c>
      <c r="E421" s="696"/>
      <c r="F421" s="601">
        <v>12</v>
      </c>
      <c r="G421" s="700">
        <f>C421+D421</f>
        <v>300</v>
      </c>
      <c r="H421" s="700">
        <v>0</v>
      </c>
      <c r="I421" s="700">
        <f t="shared" si="388"/>
        <v>540</v>
      </c>
      <c r="J421" s="700">
        <f t="shared" si="389"/>
        <v>300</v>
      </c>
      <c r="K421" s="597">
        <f>+ROUND(D417/600,0)</f>
        <v>2</v>
      </c>
      <c r="L421" s="597">
        <v>1</v>
      </c>
      <c r="M421" s="701">
        <f t="shared" si="385"/>
        <v>0.6</v>
      </c>
      <c r="N421" s="702">
        <f t="shared" si="386"/>
        <v>0.88800000000000001</v>
      </c>
      <c r="O421" s="702">
        <f t="shared" si="387"/>
        <v>0.53279999999999994</v>
      </c>
      <c r="P421" s="703" t="s">
        <v>347</v>
      </c>
    </row>
    <row r="422" spans="1:17" s="444" customFormat="1" ht="25.15" customHeight="1">
      <c r="A422" s="837" t="s">
        <v>522</v>
      </c>
      <c r="B422" s="696"/>
      <c r="C422" s="697" t="s">
        <v>321</v>
      </c>
      <c r="D422" s="698">
        <v>2735</v>
      </c>
      <c r="E422" s="699" t="s">
        <v>322</v>
      </c>
      <c r="F422" s="601"/>
      <c r="G422" s="700"/>
      <c r="H422" s="700"/>
      <c r="I422" s="700"/>
      <c r="J422" s="700"/>
      <c r="K422" s="597"/>
      <c r="L422" s="597"/>
      <c r="M422" s="701"/>
      <c r="N422" s="702"/>
      <c r="O422" s="702"/>
      <c r="P422" s="703"/>
      <c r="Q422" s="706"/>
    </row>
    <row r="423" spans="1:17" s="444" customFormat="1" ht="25.15" customHeight="1">
      <c r="A423" s="838"/>
      <c r="B423" s="696">
        <v>1</v>
      </c>
      <c r="C423" s="704">
        <v>150</v>
      </c>
      <c r="D423" s="705">
        <f>D422+200+150</f>
        <v>3085</v>
      </c>
      <c r="E423" s="696">
        <v>150</v>
      </c>
      <c r="F423" s="601">
        <v>10</v>
      </c>
      <c r="G423" s="700">
        <f>C423+D423+E423</f>
        <v>3385</v>
      </c>
      <c r="H423" s="700">
        <v>0</v>
      </c>
      <c r="I423" s="700">
        <f>F423*45</f>
        <v>450</v>
      </c>
      <c r="J423" s="700">
        <f>G423+I423*H423</f>
        <v>3385</v>
      </c>
      <c r="K423" s="597">
        <v>2</v>
      </c>
      <c r="L423" s="597">
        <v>1</v>
      </c>
      <c r="M423" s="701">
        <f t="shared" ref="M423:M426" si="390">J423*K423*L423/1000</f>
        <v>6.77</v>
      </c>
      <c r="N423" s="702">
        <f t="shared" ref="N423:N426" si="391">_xlfn.XLOOKUP(F423,$R$5:$Z$5,$R$6:$Z$6,"NOT_FOUND",0)</f>
        <v>0.61699999999999999</v>
      </c>
      <c r="O423" s="702">
        <f t="shared" ref="O423:O426" si="392">M423*N423</f>
        <v>4.1770899999999997</v>
      </c>
      <c r="P423" s="703"/>
    </row>
    <row r="424" spans="1:17" s="444" customFormat="1" ht="25.15" customHeight="1">
      <c r="A424" s="838"/>
      <c r="B424" s="696">
        <v>2</v>
      </c>
      <c r="C424" s="704">
        <v>100</v>
      </c>
      <c r="D424" s="705">
        <f>D422+200+170</f>
        <v>3105</v>
      </c>
      <c r="E424" s="696">
        <v>130</v>
      </c>
      <c r="F424" s="601">
        <v>10</v>
      </c>
      <c r="G424" s="700">
        <f>C424+D424+E424</f>
        <v>3335</v>
      </c>
      <c r="H424" s="700">
        <v>0</v>
      </c>
      <c r="I424" s="700">
        <f t="shared" ref="I424:I426" si="393">F424*45</f>
        <v>450</v>
      </c>
      <c r="J424" s="700">
        <f t="shared" ref="J424:J426" si="394">G424+I424*H424</f>
        <v>3335</v>
      </c>
      <c r="K424" s="597">
        <v>2</v>
      </c>
      <c r="L424" s="597">
        <v>1</v>
      </c>
      <c r="M424" s="701">
        <f t="shared" si="390"/>
        <v>6.67</v>
      </c>
      <c r="N424" s="702">
        <f t="shared" si="391"/>
        <v>0.61699999999999999</v>
      </c>
      <c r="O424" s="702">
        <f t="shared" si="392"/>
        <v>4.1153899999999997</v>
      </c>
      <c r="P424" s="703"/>
    </row>
    <row r="425" spans="1:17" s="444" customFormat="1" ht="25.15" customHeight="1">
      <c r="A425" s="838"/>
      <c r="B425" s="696">
        <v>3</v>
      </c>
      <c r="C425" s="704">
        <v>140</v>
      </c>
      <c r="D425" s="598">
        <v>160</v>
      </c>
      <c r="E425" s="696">
        <v>60</v>
      </c>
      <c r="F425" s="601">
        <v>6</v>
      </c>
      <c r="G425" s="700">
        <f>(C425+D425+E425)*2</f>
        <v>720</v>
      </c>
      <c r="H425" s="700">
        <v>0</v>
      </c>
      <c r="I425" s="700">
        <f t="shared" si="393"/>
        <v>270</v>
      </c>
      <c r="J425" s="700">
        <f t="shared" si="394"/>
        <v>720</v>
      </c>
      <c r="K425" s="597">
        <f>+ROUND(D422/200,0)</f>
        <v>14</v>
      </c>
      <c r="L425" s="597">
        <v>1</v>
      </c>
      <c r="M425" s="701">
        <f t="shared" si="390"/>
        <v>10.08</v>
      </c>
      <c r="N425" s="702">
        <f t="shared" si="391"/>
        <v>0.222</v>
      </c>
      <c r="O425" s="702">
        <f t="shared" si="392"/>
        <v>2.2377600000000002</v>
      </c>
      <c r="P425" s="703"/>
    </row>
    <row r="426" spans="1:17" s="444" customFormat="1" ht="25.15" customHeight="1">
      <c r="A426" s="839"/>
      <c r="B426" s="696" t="s">
        <v>158</v>
      </c>
      <c r="C426" s="704">
        <v>100</v>
      </c>
      <c r="D426" s="598">
        <v>200</v>
      </c>
      <c r="E426" s="696"/>
      <c r="F426" s="601">
        <v>12</v>
      </c>
      <c r="G426" s="700">
        <f>C426+D426</f>
        <v>300</v>
      </c>
      <c r="H426" s="700">
        <v>0</v>
      </c>
      <c r="I426" s="700">
        <f t="shared" si="393"/>
        <v>540</v>
      </c>
      <c r="J426" s="700">
        <f t="shared" si="394"/>
        <v>300</v>
      </c>
      <c r="K426" s="597">
        <f>+ROUND(D422/600,0)</f>
        <v>5</v>
      </c>
      <c r="L426" s="597">
        <v>1</v>
      </c>
      <c r="M426" s="701">
        <f t="shared" si="390"/>
        <v>1.5</v>
      </c>
      <c r="N426" s="702">
        <f t="shared" si="391"/>
        <v>0.88800000000000001</v>
      </c>
      <c r="O426" s="702">
        <f t="shared" si="392"/>
        <v>1.3320000000000001</v>
      </c>
      <c r="P426" s="703" t="s">
        <v>347</v>
      </c>
    </row>
    <row r="427" spans="1:17" s="444" customFormat="1" ht="25.15" customHeight="1">
      <c r="A427" s="837" t="s">
        <v>523</v>
      </c>
      <c r="B427" s="696"/>
      <c r="C427" s="697" t="s">
        <v>321</v>
      </c>
      <c r="D427" s="698">
        <v>3145</v>
      </c>
      <c r="E427" s="699" t="s">
        <v>322</v>
      </c>
      <c r="F427" s="601"/>
      <c r="G427" s="700"/>
      <c r="H427" s="700"/>
      <c r="I427" s="700"/>
      <c r="J427" s="700"/>
      <c r="K427" s="597"/>
      <c r="L427" s="597"/>
      <c r="M427" s="701"/>
      <c r="N427" s="702"/>
      <c r="O427" s="702"/>
      <c r="P427" s="703"/>
      <c r="Q427" s="706"/>
    </row>
    <row r="428" spans="1:17" s="444" customFormat="1" ht="25.15" customHeight="1">
      <c r="A428" s="838"/>
      <c r="B428" s="696">
        <v>1</v>
      </c>
      <c r="C428" s="704">
        <v>150</v>
      </c>
      <c r="D428" s="705">
        <f>D427+200+150</f>
        <v>3495</v>
      </c>
      <c r="E428" s="696">
        <v>150</v>
      </c>
      <c r="F428" s="601">
        <v>10</v>
      </c>
      <c r="G428" s="700">
        <f>C428+D428+E428</f>
        <v>3795</v>
      </c>
      <c r="H428" s="700">
        <v>0</v>
      </c>
      <c r="I428" s="700">
        <f>F428*45</f>
        <v>450</v>
      </c>
      <c r="J428" s="700">
        <f>G428+I428*H428</f>
        <v>3795</v>
      </c>
      <c r="K428" s="597">
        <v>2</v>
      </c>
      <c r="L428" s="597">
        <v>1</v>
      </c>
      <c r="M428" s="701">
        <f t="shared" ref="M428:M431" si="395">J428*K428*L428/1000</f>
        <v>7.59</v>
      </c>
      <c r="N428" s="702">
        <f t="shared" ref="N428:N431" si="396">_xlfn.XLOOKUP(F428,$R$5:$Z$5,$R$6:$Z$6,"NOT_FOUND",0)</f>
        <v>0.61699999999999999</v>
      </c>
      <c r="O428" s="702">
        <f t="shared" ref="O428:O431" si="397">M428*N428</f>
        <v>4.6830299999999996</v>
      </c>
      <c r="P428" s="703"/>
    </row>
    <row r="429" spans="1:17" s="444" customFormat="1" ht="25.15" customHeight="1">
      <c r="A429" s="838"/>
      <c r="B429" s="696">
        <v>2</v>
      </c>
      <c r="C429" s="704">
        <v>100</v>
      </c>
      <c r="D429" s="705">
        <f>D427+200+170</f>
        <v>3515</v>
      </c>
      <c r="E429" s="696">
        <v>130</v>
      </c>
      <c r="F429" s="601">
        <v>10</v>
      </c>
      <c r="G429" s="700">
        <f>C429+D429+E429</f>
        <v>3745</v>
      </c>
      <c r="H429" s="700">
        <v>0</v>
      </c>
      <c r="I429" s="700">
        <f t="shared" ref="I429:I431" si="398">F429*45</f>
        <v>450</v>
      </c>
      <c r="J429" s="700">
        <f t="shared" ref="J429:J431" si="399">G429+I429*H429</f>
        <v>3745</v>
      </c>
      <c r="K429" s="597">
        <v>2</v>
      </c>
      <c r="L429" s="597">
        <v>1</v>
      </c>
      <c r="M429" s="701">
        <f t="shared" si="395"/>
        <v>7.49</v>
      </c>
      <c r="N429" s="702">
        <f t="shared" si="396"/>
        <v>0.61699999999999999</v>
      </c>
      <c r="O429" s="702">
        <f t="shared" si="397"/>
        <v>4.6213300000000004</v>
      </c>
      <c r="P429" s="703"/>
    </row>
    <row r="430" spans="1:17" s="444" customFormat="1" ht="25.15" customHeight="1">
      <c r="A430" s="838"/>
      <c r="B430" s="696">
        <v>3</v>
      </c>
      <c r="C430" s="704">
        <v>140</v>
      </c>
      <c r="D430" s="598">
        <v>160</v>
      </c>
      <c r="E430" s="696">
        <v>60</v>
      </c>
      <c r="F430" s="601">
        <v>6</v>
      </c>
      <c r="G430" s="700">
        <f>(C430+D430+E430)*2</f>
        <v>720</v>
      </c>
      <c r="H430" s="700">
        <v>0</v>
      </c>
      <c r="I430" s="700">
        <f t="shared" si="398"/>
        <v>270</v>
      </c>
      <c r="J430" s="700">
        <f t="shared" si="399"/>
        <v>720</v>
      </c>
      <c r="K430" s="597">
        <f>+ROUND(D427/200,0)</f>
        <v>16</v>
      </c>
      <c r="L430" s="597">
        <v>1</v>
      </c>
      <c r="M430" s="701">
        <f t="shared" si="395"/>
        <v>11.52</v>
      </c>
      <c r="N430" s="702">
        <f t="shared" si="396"/>
        <v>0.222</v>
      </c>
      <c r="O430" s="702">
        <f t="shared" si="397"/>
        <v>2.5574400000000002</v>
      </c>
      <c r="P430" s="703"/>
    </row>
    <row r="431" spans="1:17" s="444" customFormat="1" ht="25.15" customHeight="1">
      <c r="A431" s="839"/>
      <c r="B431" s="696" t="s">
        <v>158</v>
      </c>
      <c r="C431" s="704">
        <v>100</v>
      </c>
      <c r="D431" s="598">
        <v>200</v>
      </c>
      <c r="E431" s="696"/>
      <c r="F431" s="601">
        <v>12</v>
      </c>
      <c r="G431" s="700">
        <f>C431+D431</f>
        <v>300</v>
      </c>
      <c r="H431" s="700">
        <v>0</v>
      </c>
      <c r="I431" s="700">
        <f t="shared" si="398"/>
        <v>540</v>
      </c>
      <c r="J431" s="700">
        <f t="shared" si="399"/>
        <v>300</v>
      </c>
      <c r="K431" s="597">
        <f>+ROUND(D427/600,0)</f>
        <v>5</v>
      </c>
      <c r="L431" s="597">
        <v>1</v>
      </c>
      <c r="M431" s="701">
        <f t="shared" si="395"/>
        <v>1.5</v>
      </c>
      <c r="N431" s="702">
        <f t="shared" si="396"/>
        <v>0.88800000000000001</v>
      </c>
      <c r="O431" s="702">
        <f t="shared" si="397"/>
        <v>1.3320000000000001</v>
      </c>
      <c r="P431" s="703" t="s">
        <v>347</v>
      </c>
    </row>
    <row r="432" spans="1:17" s="444" customFormat="1" ht="25.15" customHeight="1">
      <c r="A432" s="837" t="s">
        <v>524</v>
      </c>
      <c r="B432" s="696"/>
      <c r="C432" s="697" t="s">
        <v>321</v>
      </c>
      <c r="D432" s="698">
        <v>705</v>
      </c>
      <c r="E432" s="699" t="s">
        <v>322</v>
      </c>
      <c r="F432" s="601"/>
      <c r="G432" s="700"/>
      <c r="H432" s="700"/>
      <c r="I432" s="700"/>
      <c r="J432" s="700"/>
      <c r="K432" s="597"/>
      <c r="L432" s="597"/>
      <c r="M432" s="701"/>
      <c r="N432" s="702"/>
      <c r="O432" s="702"/>
      <c r="P432" s="703"/>
      <c r="Q432" s="706"/>
    </row>
    <row r="433" spans="1:17" s="444" customFormat="1" ht="25.15" customHeight="1">
      <c r="A433" s="838"/>
      <c r="B433" s="696">
        <v>1</v>
      </c>
      <c r="C433" s="704">
        <v>150</v>
      </c>
      <c r="D433" s="705">
        <f>D432+200+150</f>
        <v>1055</v>
      </c>
      <c r="E433" s="696">
        <v>150</v>
      </c>
      <c r="F433" s="601">
        <v>10</v>
      </c>
      <c r="G433" s="700">
        <f>C433+D433+E433</f>
        <v>1355</v>
      </c>
      <c r="H433" s="700">
        <v>0</v>
      </c>
      <c r="I433" s="700">
        <f>F433*45</f>
        <v>450</v>
      </c>
      <c r="J433" s="700">
        <f>G433+I433*H433</f>
        <v>1355</v>
      </c>
      <c r="K433" s="597">
        <v>2</v>
      </c>
      <c r="L433" s="597">
        <v>1</v>
      </c>
      <c r="M433" s="701">
        <f t="shared" ref="M433:M436" si="400">J433*K433*L433/1000</f>
        <v>2.71</v>
      </c>
      <c r="N433" s="702">
        <f t="shared" ref="N433:N436" si="401">_xlfn.XLOOKUP(F433,$R$5:$Z$5,$R$6:$Z$6,"NOT_FOUND",0)</f>
        <v>0.61699999999999999</v>
      </c>
      <c r="O433" s="702">
        <f t="shared" ref="O433:O436" si="402">M433*N433</f>
        <v>1.6720699999999999</v>
      </c>
      <c r="P433" s="703"/>
    </row>
    <row r="434" spans="1:17" s="444" customFormat="1" ht="25.15" customHeight="1">
      <c r="A434" s="838"/>
      <c r="B434" s="696">
        <v>2</v>
      </c>
      <c r="C434" s="704">
        <v>100</v>
      </c>
      <c r="D434" s="705">
        <f>D432+200+170</f>
        <v>1075</v>
      </c>
      <c r="E434" s="696">
        <v>130</v>
      </c>
      <c r="F434" s="601">
        <v>10</v>
      </c>
      <c r="G434" s="700">
        <f>C434+D434+E434</f>
        <v>1305</v>
      </c>
      <c r="H434" s="700">
        <v>0</v>
      </c>
      <c r="I434" s="700">
        <f t="shared" ref="I434:I436" si="403">F434*45</f>
        <v>450</v>
      </c>
      <c r="J434" s="700">
        <f t="shared" ref="J434:J436" si="404">G434+I434*H434</f>
        <v>1305</v>
      </c>
      <c r="K434" s="597">
        <v>2</v>
      </c>
      <c r="L434" s="597">
        <v>1</v>
      </c>
      <c r="M434" s="701">
        <f t="shared" si="400"/>
        <v>2.61</v>
      </c>
      <c r="N434" s="702">
        <f t="shared" si="401"/>
        <v>0.61699999999999999</v>
      </c>
      <c r="O434" s="702">
        <f t="shared" si="402"/>
        <v>1.6103699999999999</v>
      </c>
      <c r="P434" s="703"/>
    </row>
    <row r="435" spans="1:17" s="444" customFormat="1" ht="25.15" customHeight="1">
      <c r="A435" s="838"/>
      <c r="B435" s="696">
        <v>3</v>
      </c>
      <c r="C435" s="704">
        <v>140</v>
      </c>
      <c r="D435" s="598">
        <v>160</v>
      </c>
      <c r="E435" s="696">
        <v>60</v>
      </c>
      <c r="F435" s="601">
        <v>6</v>
      </c>
      <c r="G435" s="700">
        <f>(C435+D435+E435)*2</f>
        <v>720</v>
      </c>
      <c r="H435" s="700">
        <v>0</v>
      </c>
      <c r="I435" s="700">
        <f t="shared" si="403"/>
        <v>270</v>
      </c>
      <c r="J435" s="700">
        <f t="shared" si="404"/>
        <v>720</v>
      </c>
      <c r="K435" s="597">
        <f>+ROUND(D432/200,0)</f>
        <v>4</v>
      </c>
      <c r="L435" s="597">
        <v>1</v>
      </c>
      <c r="M435" s="701">
        <f t="shared" si="400"/>
        <v>2.88</v>
      </c>
      <c r="N435" s="702">
        <f t="shared" si="401"/>
        <v>0.222</v>
      </c>
      <c r="O435" s="702">
        <f t="shared" si="402"/>
        <v>0.63936000000000004</v>
      </c>
      <c r="P435" s="703"/>
    </row>
    <row r="436" spans="1:17" s="444" customFormat="1" ht="25.15" customHeight="1">
      <c r="A436" s="839"/>
      <c r="B436" s="696" t="s">
        <v>158</v>
      </c>
      <c r="C436" s="704">
        <v>100</v>
      </c>
      <c r="D436" s="598">
        <v>200</v>
      </c>
      <c r="E436" s="696"/>
      <c r="F436" s="601">
        <v>12</v>
      </c>
      <c r="G436" s="700">
        <f>C436+D436</f>
        <v>300</v>
      </c>
      <c r="H436" s="700">
        <v>0</v>
      </c>
      <c r="I436" s="700">
        <f t="shared" si="403"/>
        <v>540</v>
      </c>
      <c r="J436" s="700">
        <f t="shared" si="404"/>
        <v>300</v>
      </c>
      <c r="K436" s="597">
        <f>+ROUND(D432/600,0)</f>
        <v>1</v>
      </c>
      <c r="L436" s="597">
        <v>1</v>
      </c>
      <c r="M436" s="701">
        <f t="shared" si="400"/>
        <v>0.3</v>
      </c>
      <c r="N436" s="702">
        <f t="shared" si="401"/>
        <v>0.88800000000000001</v>
      </c>
      <c r="O436" s="702">
        <f t="shared" si="402"/>
        <v>0.26639999999999997</v>
      </c>
      <c r="P436" s="703" t="s">
        <v>347</v>
      </c>
    </row>
    <row r="437" spans="1:17" s="444" customFormat="1" ht="25.15" customHeight="1">
      <c r="A437" s="837" t="s">
        <v>525</v>
      </c>
      <c r="B437" s="696"/>
      <c r="C437" s="697" t="s">
        <v>321</v>
      </c>
      <c r="D437" s="698">
        <v>480</v>
      </c>
      <c r="E437" s="699" t="s">
        <v>322</v>
      </c>
      <c r="F437" s="601"/>
      <c r="G437" s="700"/>
      <c r="H437" s="700"/>
      <c r="I437" s="700"/>
      <c r="J437" s="700"/>
      <c r="K437" s="597"/>
      <c r="L437" s="597"/>
      <c r="M437" s="701"/>
      <c r="N437" s="702"/>
      <c r="O437" s="702"/>
      <c r="P437" s="703"/>
      <c r="Q437" s="706"/>
    </row>
    <row r="438" spans="1:17" s="444" customFormat="1" ht="25.15" customHeight="1">
      <c r="A438" s="838"/>
      <c r="B438" s="696">
        <v>1</v>
      </c>
      <c r="C438" s="704">
        <v>150</v>
      </c>
      <c r="D438" s="705">
        <f>D437+200+150</f>
        <v>830</v>
      </c>
      <c r="E438" s="696">
        <v>150</v>
      </c>
      <c r="F438" s="601">
        <v>10</v>
      </c>
      <c r="G438" s="700">
        <f>C438+D438+E438</f>
        <v>1130</v>
      </c>
      <c r="H438" s="700">
        <v>0</v>
      </c>
      <c r="I438" s="700">
        <f>F438*45</f>
        <v>450</v>
      </c>
      <c r="J438" s="700">
        <f>G438+I438*H438</f>
        <v>1130</v>
      </c>
      <c r="K438" s="597">
        <v>2</v>
      </c>
      <c r="L438" s="597">
        <v>1</v>
      </c>
      <c r="M438" s="701">
        <f t="shared" ref="M438:M441" si="405">J438*K438*L438/1000</f>
        <v>2.2599999999999998</v>
      </c>
      <c r="N438" s="702">
        <f t="shared" ref="N438:N441" si="406">_xlfn.XLOOKUP(F438,$R$5:$Z$5,$R$6:$Z$6,"NOT_FOUND",0)</f>
        <v>0.61699999999999999</v>
      </c>
      <c r="O438" s="702">
        <f t="shared" ref="O438:O441" si="407">M438*N438</f>
        <v>1.3944199999999998</v>
      </c>
      <c r="P438" s="703"/>
    </row>
    <row r="439" spans="1:17" s="444" customFormat="1" ht="25.15" customHeight="1">
      <c r="A439" s="838"/>
      <c r="B439" s="696">
        <v>2</v>
      </c>
      <c r="C439" s="704">
        <v>100</v>
      </c>
      <c r="D439" s="705">
        <f>D437+200+170</f>
        <v>850</v>
      </c>
      <c r="E439" s="696">
        <v>130</v>
      </c>
      <c r="F439" s="601">
        <v>10</v>
      </c>
      <c r="G439" s="700">
        <f>C439+D439+E439</f>
        <v>1080</v>
      </c>
      <c r="H439" s="700">
        <v>0</v>
      </c>
      <c r="I439" s="700">
        <f t="shared" ref="I439:I441" si="408">F439*45</f>
        <v>450</v>
      </c>
      <c r="J439" s="700">
        <f t="shared" ref="J439:J441" si="409">G439+I439*H439</f>
        <v>1080</v>
      </c>
      <c r="K439" s="597">
        <v>2</v>
      </c>
      <c r="L439" s="597">
        <v>1</v>
      </c>
      <c r="M439" s="701">
        <f t="shared" si="405"/>
        <v>2.16</v>
      </c>
      <c r="N439" s="702">
        <f t="shared" si="406"/>
        <v>0.61699999999999999</v>
      </c>
      <c r="O439" s="702">
        <f t="shared" si="407"/>
        <v>1.3327200000000001</v>
      </c>
      <c r="P439" s="703"/>
    </row>
    <row r="440" spans="1:17" s="444" customFormat="1" ht="25.15" customHeight="1">
      <c r="A440" s="838"/>
      <c r="B440" s="696">
        <v>3</v>
      </c>
      <c r="C440" s="704">
        <v>140</v>
      </c>
      <c r="D440" s="598">
        <v>160</v>
      </c>
      <c r="E440" s="696">
        <v>60</v>
      </c>
      <c r="F440" s="601">
        <v>6</v>
      </c>
      <c r="G440" s="700">
        <f>(C440+D440+E440)*2</f>
        <v>720</v>
      </c>
      <c r="H440" s="700">
        <v>0</v>
      </c>
      <c r="I440" s="700">
        <f t="shared" si="408"/>
        <v>270</v>
      </c>
      <c r="J440" s="700">
        <f t="shared" si="409"/>
        <v>720</v>
      </c>
      <c r="K440" s="597">
        <f>+ROUND(D437/200,0)</f>
        <v>2</v>
      </c>
      <c r="L440" s="597">
        <v>1</v>
      </c>
      <c r="M440" s="701">
        <f t="shared" si="405"/>
        <v>1.44</v>
      </c>
      <c r="N440" s="702">
        <f t="shared" si="406"/>
        <v>0.222</v>
      </c>
      <c r="O440" s="702">
        <f t="shared" si="407"/>
        <v>0.31968000000000002</v>
      </c>
      <c r="P440" s="703"/>
    </row>
    <row r="441" spans="1:17" s="444" customFormat="1" ht="25.15" customHeight="1">
      <c r="A441" s="839"/>
      <c r="B441" s="696" t="s">
        <v>158</v>
      </c>
      <c r="C441" s="704">
        <v>100</v>
      </c>
      <c r="D441" s="598">
        <v>200</v>
      </c>
      <c r="E441" s="696"/>
      <c r="F441" s="601">
        <v>12</v>
      </c>
      <c r="G441" s="700">
        <f>C441+D441</f>
        <v>300</v>
      </c>
      <c r="H441" s="700">
        <v>0</v>
      </c>
      <c r="I441" s="700">
        <f t="shared" si="408"/>
        <v>540</v>
      </c>
      <c r="J441" s="700">
        <f t="shared" si="409"/>
        <v>300</v>
      </c>
      <c r="K441" s="597">
        <f>+ROUND(D437/600,0)</f>
        <v>1</v>
      </c>
      <c r="L441" s="597">
        <v>1</v>
      </c>
      <c r="M441" s="701">
        <f t="shared" si="405"/>
        <v>0.3</v>
      </c>
      <c r="N441" s="702">
        <f t="shared" si="406"/>
        <v>0.88800000000000001</v>
      </c>
      <c r="O441" s="702">
        <f t="shared" si="407"/>
        <v>0.26639999999999997</v>
      </c>
      <c r="P441" s="703" t="s">
        <v>347</v>
      </c>
    </row>
    <row r="442" spans="1:17" s="430" customFormat="1" ht="25.15" customHeight="1">
      <c r="A442" s="588" t="s">
        <v>526</v>
      </c>
      <c r="B442" s="589"/>
      <c r="C442" s="590"/>
      <c r="D442" s="591"/>
      <c r="E442" s="589"/>
      <c r="F442" s="592"/>
      <c r="G442" s="593"/>
      <c r="H442" s="593"/>
      <c r="I442" s="593"/>
      <c r="J442" s="593"/>
      <c r="K442" s="593"/>
      <c r="L442" s="593"/>
      <c r="M442" s="594"/>
      <c r="N442" s="595"/>
      <c r="O442" s="595"/>
      <c r="P442" s="596"/>
    </row>
    <row r="443" spans="1:17" s="430" customFormat="1" ht="25.15" customHeight="1">
      <c r="A443" s="834" t="s">
        <v>516</v>
      </c>
      <c r="B443" s="401"/>
      <c r="C443" s="402" t="s">
        <v>321</v>
      </c>
      <c r="D443" s="403">
        <v>965</v>
      </c>
      <c r="E443" s="404" t="s">
        <v>322</v>
      </c>
      <c r="F443" s="431"/>
      <c r="G443" s="432"/>
      <c r="H443" s="432"/>
      <c r="I443" s="432"/>
      <c r="J443" s="432"/>
      <c r="K443" s="433"/>
      <c r="L443" s="433"/>
      <c r="M443" s="503"/>
      <c r="N443" s="435"/>
      <c r="O443" s="435"/>
      <c r="P443" s="407"/>
      <c r="Q443" s="414"/>
    </row>
    <row r="444" spans="1:17" s="430" customFormat="1" ht="25.15" customHeight="1">
      <c r="A444" s="835"/>
      <c r="B444" s="401">
        <v>1</v>
      </c>
      <c r="C444" s="405">
        <v>200</v>
      </c>
      <c r="D444" s="459">
        <f>D443+200+150</f>
        <v>1315</v>
      </c>
      <c r="E444" s="401">
        <f>250</f>
        <v>250</v>
      </c>
      <c r="F444" s="431">
        <v>10</v>
      </c>
      <c r="G444" s="432">
        <f>C444+D444+E444</f>
        <v>1765</v>
      </c>
      <c r="H444" s="432">
        <v>0</v>
      </c>
      <c r="I444" s="432">
        <f>F444*45</f>
        <v>450</v>
      </c>
      <c r="J444" s="432">
        <f>G444+I444*H444</f>
        <v>1765</v>
      </c>
      <c r="K444" s="433">
        <v>2</v>
      </c>
      <c r="L444" s="433">
        <v>1</v>
      </c>
      <c r="M444" s="503">
        <f t="shared" ref="M444:M447" si="410">J444*K444*L444/1000</f>
        <v>3.53</v>
      </c>
      <c r="N444" s="435">
        <f t="shared" ref="N444:N447" si="411">_xlfn.XLOOKUP(F444,$R$5:$Z$5,$R$6:$Z$6,"NOT_FOUND",0)</f>
        <v>0.61699999999999999</v>
      </c>
      <c r="O444" s="435">
        <f t="shared" ref="O444:O447" si="412">M444*N444</f>
        <v>2.17801</v>
      </c>
      <c r="P444" s="407"/>
    </row>
    <row r="445" spans="1:17" s="430" customFormat="1" ht="25.15" customHeight="1">
      <c r="A445" s="835"/>
      <c r="B445" s="401">
        <v>2</v>
      </c>
      <c r="C445" s="405">
        <v>100</v>
      </c>
      <c r="D445" s="459">
        <f>D443+200+170</f>
        <v>1335</v>
      </c>
      <c r="E445" s="401">
        <v>130</v>
      </c>
      <c r="F445" s="431">
        <v>10</v>
      </c>
      <c r="G445" s="432">
        <f>C445+D445+E445</f>
        <v>1565</v>
      </c>
      <c r="H445" s="432">
        <v>0</v>
      </c>
      <c r="I445" s="432">
        <f t="shared" ref="I445:I447" si="413">F445*45</f>
        <v>450</v>
      </c>
      <c r="J445" s="432">
        <f t="shared" ref="J445:J447" si="414">G445+I445*H445</f>
        <v>1565</v>
      </c>
      <c r="K445" s="433">
        <v>2</v>
      </c>
      <c r="L445" s="433">
        <v>1</v>
      </c>
      <c r="M445" s="503">
        <f t="shared" si="410"/>
        <v>3.13</v>
      </c>
      <c r="N445" s="435">
        <f t="shared" si="411"/>
        <v>0.61699999999999999</v>
      </c>
      <c r="O445" s="435">
        <f t="shared" si="412"/>
        <v>1.9312099999999999</v>
      </c>
      <c r="P445" s="407"/>
    </row>
    <row r="446" spans="1:17" s="430" customFormat="1" ht="25.15" customHeight="1">
      <c r="A446" s="835"/>
      <c r="B446" s="401">
        <v>3</v>
      </c>
      <c r="C446" s="405">
        <v>140</v>
      </c>
      <c r="D446" s="406">
        <v>160</v>
      </c>
      <c r="E446" s="401">
        <v>60</v>
      </c>
      <c r="F446" s="431">
        <v>6</v>
      </c>
      <c r="G446" s="432">
        <f>(C446+D446+E446)*2</f>
        <v>720</v>
      </c>
      <c r="H446" s="432">
        <v>0</v>
      </c>
      <c r="I446" s="432">
        <f t="shared" si="413"/>
        <v>270</v>
      </c>
      <c r="J446" s="432">
        <f t="shared" si="414"/>
        <v>720</v>
      </c>
      <c r="K446" s="680">
        <f>+ROUND(D443/200,0)</f>
        <v>5</v>
      </c>
      <c r="L446" s="433">
        <v>1</v>
      </c>
      <c r="M446" s="503">
        <f t="shared" si="410"/>
        <v>3.6</v>
      </c>
      <c r="N446" s="435">
        <f t="shared" si="411"/>
        <v>0.222</v>
      </c>
      <c r="O446" s="435">
        <f t="shared" si="412"/>
        <v>0.79920000000000002</v>
      </c>
      <c r="P446" s="407"/>
    </row>
    <row r="447" spans="1:17" s="430" customFormat="1" ht="25.15" customHeight="1">
      <c r="A447" s="836"/>
      <c r="B447" s="401" t="s">
        <v>158</v>
      </c>
      <c r="C447" s="405">
        <v>100</v>
      </c>
      <c r="D447" s="406">
        <v>200</v>
      </c>
      <c r="E447" s="401"/>
      <c r="F447" s="431">
        <v>12</v>
      </c>
      <c r="G447" s="432">
        <f>C447+D447</f>
        <v>300</v>
      </c>
      <c r="H447" s="432">
        <v>0</v>
      </c>
      <c r="I447" s="432">
        <f t="shared" si="413"/>
        <v>540</v>
      </c>
      <c r="J447" s="432">
        <f t="shared" si="414"/>
        <v>300</v>
      </c>
      <c r="K447" s="680">
        <f>+ROUND(D443/600,0)</f>
        <v>2</v>
      </c>
      <c r="L447" s="433">
        <v>1</v>
      </c>
      <c r="M447" s="503">
        <f t="shared" si="410"/>
        <v>0.6</v>
      </c>
      <c r="N447" s="435">
        <f t="shared" si="411"/>
        <v>0.88800000000000001</v>
      </c>
      <c r="O447" s="435">
        <f t="shared" si="412"/>
        <v>0.53279999999999994</v>
      </c>
      <c r="P447" s="407" t="s">
        <v>347</v>
      </c>
    </row>
    <row r="448" spans="1:17" s="430" customFormat="1" ht="25.15" customHeight="1">
      <c r="A448" s="834" t="s">
        <v>517</v>
      </c>
      <c r="B448" s="401"/>
      <c r="C448" s="402" t="s">
        <v>321</v>
      </c>
      <c r="D448" s="403">
        <v>2480</v>
      </c>
      <c r="E448" s="404" t="s">
        <v>322</v>
      </c>
      <c r="F448" s="431"/>
      <c r="G448" s="432"/>
      <c r="H448" s="432"/>
      <c r="I448" s="432"/>
      <c r="J448" s="432"/>
      <c r="K448" s="433"/>
      <c r="L448" s="433"/>
      <c r="M448" s="503"/>
      <c r="N448" s="435"/>
      <c r="O448" s="435"/>
      <c r="P448" s="407"/>
      <c r="Q448" s="414"/>
    </row>
    <row r="449" spans="1:17" s="430" customFormat="1" ht="25.15" customHeight="1">
      <c r="A449" s="835"/>
      <c r="B449" s="401">
        <v>1</v>
      </c>
      <c r="C449" s="405">
        <v>200</v>
      </c>
      <c r="D449" s="459">
        <f>D448+200+150</f>
        <v>2830</v>
      </c>
      <c r="E449" s="401">
        <f>250</f>
        <v>250</v>
      </c>
      <c r="F449" s="431">
        <v>10</v>
      </c>
      <c r="G449" s="432">
        <f>C449+D449+E449</f>
        <v>3280</v>
      </c>
      <c r="H449" s="432">
        <v>0</v>
      </c>
      <c r="I449" s="432">
        <f>F449*45</f>
        <v>450</v>
      </c>
      <c r="J449" s="432">
        <f>G449+I449*H449</f>
        <v>3280</v>
      </c>
      <c r="K449" s="433">
        <v>2</v>
      </c>
      <c r="L449" s="433">
        <v>1</v>
      </c>
      <c r="M449" s="503">
        <f t="shared" ref="M449:M452" si="415">J449*K449*L449/1000</f>
        <v>6.56</v>
      </c>
      <c r="N449" s="435">
        <f t="shared" ref="N449:N452" si="416">_xlfn.XLOOKUP(F449,$R$5:$Z$5,$R$6:$Z$6,"NOT_FOUND",0)</f>
        <v>0.61699999999999999</v>
      </c>
      <c r="O449" s="435">
        <f t="shared" ref="O449:O452" si="417">M449*N449</f>
        <v>4.0475199999999996</v>
      </c>
      <c r="P449" s="407"/>
    </row>
    <row r="450" spans="1:17" s="430" customFormat="1" ht="25.15" customHeight="1">
      <c r="A450" s="835"/>
      <c r="B450" s="401">
        <v>2</v>
      </c>
      <c r="C450" s="405">
        <v>100</v>
      </c>
      <c r="D450" s="459">
        <f>D448+200+170</f>
        <v>2850</v>
      </c>
      <c r="E450" s="401">
        <v>130</v>
      </c>
      <c r="F450" s="431">
        <v>10</v>
      </c>
      <c r="G450" s="432">
        <f>C450+D450+E450</f>
        <v>3080</v>
      </c>
      <c r="H450" s="432">
        <v>0</v>
      </c>
      <c r="I450" s="432">
        <f t="shared" ref="I450:I452" si="418">F450*45</f>
        <v>450</v>
      </c>
      <c r="J450" s="432">
        <f t="shared" ref="J450:J452" si="419">G450+I450*H450</f>
        <v>3080</v>
      </c>
      <c r="K450" s="433">
        <v>2</v>
      </c>
      <c r="L450" s="433">
        <v>1</v>
      </c>
      <c r="M450" s="503">
        <f t="shared" si="415"/>
        <v>6.16</v>
      </c>
      <c r="N450" s="435">
        <f t="shared" si="416"/>
        <v>0.61699999999999999</v>
      </c>
      <c r="O450" s="435">
        <f t="shared" si="417"/>
        <v>3.8007200000000001</v>
      </c>
      <c r="P450" s="407"/>
    </row>
    <row r="451" spans="1:17" s="430" customFormat="1" ht="25.15" customHeight="1">
      <c r="A451" s="835"/>
      <c r="B451" s="401">
        <v>3</v>
      </c>
      <c r="C451" s="405">
        <v>140</v>
      </c>
      <c r="D451" s="406">
        <v>160</v>
      </c>
      <c r="E451" s="401">
        <v>60</v>
      </c>
      <c r="F451" s="431">
        <v>6</v>
      </c>
      <c r="G451" s="432">
        <f>(C451+D451+E451)*2</f>
        <v>720</v>
      </c>
      <c r="H451" s="432">
        <v>0</v>
      </c>
      <c r="I451" s="432">
        <f t="shared" si="418"/>
        <v>270</v>
      </c>
      <c r="J451" s="432">
        <f t="shared" si="419"/>
        <v>720</v>
      </c>
      <c r="K451" s="680">
        <f>+ROUND(D448/200,0)</f>
        <v>12</v>
      </c>
      <c r="L451" s="433">
        <v>1</v>
      </c>
      <c r="M451" s="503">
        <f t="shared" si="415"/>
        <v>8.64</v>
      </c>
      <c r="N451" s="435">
        <f t="shared" si="416"/>
        <v>0.222</v>
      </c>
      <c r="O451" s="435">
        <f t="shared" si="417"/>
        <v>1.9180800000000002</v>
      </c>
      <c r="P451" s="407"/>
    </row>
    <row r="452" spans="1:17" s="430" customFormat="1" ht="25.15" customHeight="1">
      <c r="A452" s="836"/>
      <c r="B452" s="401" t="s">
        <v>158</v>
      </c>
      <c r="C452" s="405">
        <v>100</v>
      </c>
      <c r="D452" s="406">
        <v>200</v>
      </c>
      <c r="E452" s="401"/>
      <c r="F452" s="431">
        <v>12</v>
      </c>
      <c r="G452" s="432">
        <f>C452+D452</f>
        <v>300</v>
      </c>
      <c r="H452" s="432">
        <v>0</v>
      </c>
      <c r="I452" s="432">
        <f t="shared" si="418"/>
        <v>540</v>
      </c>
      <c r="J452" s="432">
        <f t="shared" si="419"/>
        <v>300</v>
      </c>
      <c r="K452" s="680">
        <f>+ROUND(D448/600,0)</f>
        <v>4</v>
      </c>
      <c r="L452" s="433">
        <v>1</v>
      </c>
      <c r="M452" s="503">
        <f t="shared" si="415"/>
        <v>1.2</v>
      </c>
      <c r="N452" s="435">
        <f t="shared" si="416"/>
        <v>0.88800000000000001</v>
      </c>
      <c r="O452" s="435">
        <f t="shared" si="417"/>
        <v>1.0655999999999999</v>
      </c>
      <c r="P452" s="407" t="s">
        <v>347</v>
      </c>
    </row>
    <row r="453" spans="1:17" s="430" customFormat="1" ht="25.15" customHeight="1">
      <c r="A453" s="834" t="s">
        <v>518</v>
      </c>
      <c r="B453" s="401"/>
      <c r="C453" s="402" t="s">
        <v>321</v>
      </c>
      <c r="D453" s="403">
        <v>1410</v>
      </c>
      <c r="E453" s="404" t="s">
        <v>322</v>
      </c>
      <c r="F453" s="431"/>
      <c r="G453" s="432"/>
      <c r="H453" s="432"/>
      <c r="I453" s="432"/>
      <c r="J453" s="432"/>
      <c r="K453" s="433"/>
      <c r="L453" s="433"/>
      <c r="M453" s="503"/>
      <c r="N453" s="435"/>
      <c r="O453" s="435"/>
      <c r="P453" s="407"/>
      <c r="Q453" s="414"/>
    </row>
    <row r="454" spans="1:17" s="430" customFormat="1" ht="25.15" customHeight="1">
      <c r="A454" s="835"/>
      <c r="B454" s="401">
        <v>1</v>
      </c>
      <c r="C454" s="405">
        <v>200</v>
      </c>
      <c r="D454" s="459">
        <f>D453+200+150</f>
        <v>1760</v>
      </c>
      <c r="E454" s="401">
        <f>250</f>
        <v>250</v>
      </c>
      <c r="F454" s="431">
        <v>10</v>
      </c>
      <c r="G454" s="432">
        <f>C454+D454+E454</f>
        <v>2210</v>
      </c>
      <c r="H454" s="432">
        <v>0</v>
      </c>
      <c r="I454" s="432">
        <f>F454*45</f>
        <v>450</v>
      </c>
      <c r="J454" s="432">
        <f>G454+I454*H454</f>
        <v>2210</v>
      </c>
      <c r="K454" s="433">
        <v>2</v>
      </c>
      <c r="L454" s="433">
        <v>1</v>
      </c>
      <c r="M454" s="503">
        <f t="shared" ref="M454:M457" si="420">J454*K454*L454/1000</f>
        <v>4.42</v>
      </c>
      <c r="N454" s="435">
        <f t="shared" ref="N454:N457" si="421">_xlfn.XLOOKUP(F454,$R$5:$Z$5,$R$6:$Z$6,"NOT_FOUND",0)</f>
        <v>0.61699999999999999</v>
      </c>
      <c r="O454" s="435">
        <f t="shared" ref="O454:O457" si="422">M454*N454</f>
        <v>2.7271399999999999</v>
      </c>
      <c r="P454" s="407"/>
    </row>
    <row r="455" spans="1:17" s="430" customFormat="1" ht="25.15" customHeight="1">
      <c r="A455" s="835"/>
      <c r="B455" s="401">
        <v>2</v>
      </c>
      <c r="C455" s="405">
        <v>100</v>
      </c>
      <c r="D455" s="459">
        <f>D453+200+170</f>
        <v>1780</v>
      </c>
      <c r="E455" s="401">
        <v>130</v>
      </c>
      <c r="F455" s="431">
        <v>10</v>
      </c>
      <c r="G455" s="432">
        <f>C455+D455+E455</f>
        <v>2010</v>
      </c>
      <c r="H455" s="432">
        <v>0</v>
      </c>
      <c r="I455" s="432">
        <f t="shared" ref="I455:I457" si="423">F455*45</f>
        <v>450</v>
      </c>
      <c r="J455" s="432">
        <f t="shared" ref="J455:J457" si="424">G455+I455*H455</f>
        <v>2010</v>
      </c>
      <c r="K455" s="433">
        <v>2</v>
      </c>
      <c r="L455" s="433">
        <v>1</v>
      </c>
      <c r="M455" s="503">
        <f t="shared" si="420"/>
        <v>4.0199999999999996</v>
      </c>
      <c r="N455" s="435">
        <f t="shared" si="421"/>
        <v>0.61699999999999999</v>
      </c>
      <c r="O455" s="435">
        <f t="shared" si="422"/>
        <v>2.4803399999999995</v>
      </c>
      <c r="P455" s="407"/>
    </row>
    <row r="456" spans="1:17" s="430" customFormat="1" ht="25.15" customHeight="1">
      <c r="A456" s="835"/>
      <c r="B456" s="401">
        <v>3</v>
      </c>
      <c r="C456" s="405">
        <v>140</v>
      </c>
      <c r="D456" s="406">
        <v>160</v>
      </c>
      <c r="E456" s="401">
        <v>60</v>
      </c>
      <c r="F456" s="431">
        <v>6</v>
      </c>
      <c r="G456" s="432">
        <f>(C456+D456+E456)*2</f>
        <v>720</v>
      </c>
      <c r="H456" s="432">
        <v>0</v>
      </c>
      <c r="I456" s="432">
        <f t="shared" si="423"/>
        <v>270</v>
      </c>
      <c r="J456" s="432">
        <f t="shared" si="424"/>
        <v>720</v>
      </c>
      <c r="K456" s="680">
        <f>+ROUND(D453/200,0)</f>
        <v>7</v>
      </c>
      <c r="L456" s="433">
        <v>1</v>
      </c>
      <c r="M456" s="503">
        <f t="shared" si="420"/>
        <v>5.04</v>
      </c>
      <c r="N456" s="435">
        <f t="shared" si="421"/>
        <v>0.222</v>
      </c>
      <c r="O456" s="435">
        <f t="shared" si="422"/>
        <v>1.1188800000000001</v>
      </c>
      <c r="P456" s="407"/>
    </row>
    <row r="457" spans="1:17" s="430" customFormat="1" ht="25.15" customHeight="1">
      <c r="A457" s="836"/>
      <c r="B457" s="401" t="s">
        <v>158</v>
      </c>
      <c r="C457" s="405">
        <v>100</v>
      </c>
      <c r="D457" s="406">
        <v>200</v>
      </c>
      <c r="E457" s="401"/>
      <c r="F457" s="431">
        <v>12</v>
      </c>
      <c r="G457" s="432">
        <f>C457+D457</f>
        <v>300</v>
      </c>
      <c r="H457" s="432">
        <v>0</v>
      </c>
      <c r="I457" s="432">
        <f t="shared" si="423"/>
        <v>540</v>
      </c>
      <c r="J457" s="432">
        <f t="shared" si="424"/>
        <v>300</v>
      </c>
      <c r="K457" s="680">
        <f>+ROUND(D453/600,0)</f>
        <v>2</v>
      </c>
      <c r="L457" s="433">
        <v>1</v>
      </c>
      <c r="M457" s="503">
        <f t="shared" si="420"/>
        <v>0.6</v>
      </c>
      <c r="N457" s="435">
        <f t="shared" si="421"/>
        <v>0.88800000000000001</v>
      </c>
      <c r="O457" s="435">
        <f t="shared" si="422"/>
        <v>0.53279999999999994</v>
      </c>
      <c r="P457" s="407" t="s">
        <v>347</v>
      </c>
    </row>
    <row r="458" spans="1:17" s="430" customFormat="1" ht="25.15" customHeight="1">
      <c r="A458" s="834" t="s">
        <v>519</v>
      </c>
      <c r="B458" s="401"/>
      <c r="C458" s="402" t="s">
        <v>321</v>
      </c>
      <c r="D458" s="403">
        <v>2600</v>
      </c>
      <c r="E458" s="404" t="s">
        <v>322</v>
      </c>
      <c r="F458" s="431"/>
      <c r="G458" s="432"/>
      <c r="H458" s="432"/>
      <c r="I458" s="432"/>
      <c r="J458" s="432"/>
      <c r="K458" s="433"/>
      <c r="L458" s="433"/>
      <c r="M458" s="503"/>
      <c r="N458" s="435"/>
      <c r="O458" s="435"/>
      <c r="P458" s="407"/>
      <c r="Q458" s="414"/>
    </row>
    <row r="459" spans="1:17" s="430" customFormat="1" ht="25.15" customHeight="1">
      <c r="A459" s="835"/>
      <c r="B459" s="401">
        <v>1</v>
      </c>
      <c r="C459" s="405">
        <v>200</v>
      </c>
      <c r="D459" s="459">
        <f>D458+200+150</f>
        <v>2950</v>
      </c>
      <c r="E459" s="401">
        <f>250</f>
        <v>250</v>
      </c>
      <c r="F459" s="431">
        <v>10</v>
      </c>
      <c r="G459" s="432">
        <f>C459+D459+E459</f>
        <v>3400</v>
      </c>
      <c r="H459" s="432">
        <v>0</v>
      </c>
      <c r="I459" s="432">
        <f>F459*45</f>
        <v>450</v>
      </c>
      <c r="J459" s="432">
        <f>G459+I459*H459</f>
        <v>3400</v>
      </c>
      <c r="K459" s="433">
        <v>2</v>
      </c>
      <c r="L459" s="433">
        <v>1</v>
      </c>
      <c r="M459" s="503">
        <f t="shared" ref="M459:M462" si="425">J459*K459*L459/1000</f>
        <v>6.8</v>
      </c>
      <c r="N459" s="435">
        <f t="shared" ref="N459:N462" si="426">_xlfn.XLOOKUP(F459,$R$5:$Z$5,$R$6:$Z$6,"NOT_FOUND",0)</f>
        <v>0.61699999999999999</v>
      </c>
      <c r="O459" s="435">
        <f t="shared" ref="O459:O462" si="427">M459*N459</f>
        <v>4.1955999999999998</v>
      </c>
      <c r="P459" s="407"/>
    </row>
    <row r="460" spans="1:17" s="430" customFormat="1" ht="25.15" customHeight="1">
      <c r="A460" s="835"/>
      <c r="B460" s="401">
        <v>2</v>
      </c>
      <c r="C460" s="405">
        <v>100</v>
      </c>
      <c r="D460" s="459">
        <f>D458+200+170</f>
        <v>2970</v>
      </c>
      <c r="E460" s="401">
        <v>130</v>
      </c>
      <c r="F460" s="431">
        <v>10</v>
      </c>
      <c r="G460" s="432">
        <f>C460+D460+E460</f>
        <v>3200</v>
      </c>
      <c r="H460" s="432">
        <v>0</v>
      </c>
      <c r="I460" s="432">
        <f t="shared" ref="I460:I462" si="428">F460*45</f>
        <v>450</v>
      </c>
      <c r="J460" s="432">
        <f t="shared" ref="J460:J462" si="429">G460+I460*H460</f>
        <v>3200</v>
      </c>
      <c r="K460" s="433">
        <v>2</v>
      </c>
      <c r="L460" s="433">
        <v>1</v>
      </c>
      <c r="M460" s="503">
        <f t="shared" si="425"/>
        <v>6.4</v>
      </c>
      <c r="N460" s="435">
        <f t="shared" si="426"/>
        <v>0.61699999999999999</v>
      </c>
      <c r="O460" s="435">
        <f t="shared" si="427"/>
        <v>3.9488000000000003</v>
      </c>
      <c r="P460" s="407"/>
    </row>
    <row r="461" spans="1:17" s="430" customFormat="1" ht="25.15" customHeight="1">
      <c r="A461" s="835"/>
      <c r="B461" s="401">
        <v>3</v>
      </c>
      <c r="C461" s="405">
        <v>140</v>
      </c>
      <c r="D461" s="406">
        <v>160</v>
      </c>
      <c r="E461" s="401">
        <v>60</v>
      </c>
      <c r="F461" s="431">
        <v>6</v>
      </c>
      <c r="G461" s="432">
        <f>(C461+D461+E461)*2</f>
        <v>720</v>
      </c>
      <c r="H461" s="432">
        <v>0</v>
      </c>
      <c r="I461" s="432">
        <f t="shared" si="428"/>
        <v>270</v>
      </c>
      <c r="J461" s="432">
        <f t="shared" si="429"/>
        <v>720</v>
      </c>
      <c r="K461" s="680">
        <f>+ROUND(D458/200,0)</f>
        <v>13</v>
      </c>
      <c r="L461" s="433">
        <v>1</v>
      </c>
      <c r="M461" s="503">
        <f t="shared" si="425"/>
        <v>9.36</v>
      </c>
      <c r="N461" s="435">
        <f t="shared" si="426"/>
        <v>0.222</v>
      </c>
      <c r="O461" s="435">
        <f t="shared" si="427"/>
        <v>2.0779199999999998</v>
      </c>
      <c r="P461" s="407"/>
    </row>
    <row r="462" spans="1:17" s="430" customFormat="1" ht="25.15" customHeight="1">
      <c r="A462" s="836"/>
      <c r="B462" s="401" t="s">
        <v>158</v>
      </c>
      <c r="C462" s="405">
        <v>100</v>
      </c>
      <c r="D462" s="406">
        <v>200</v>
      </c>
      <c r="E462" s="401"/>
      <c r="F462" s="431">
        <v>12</v>
      </c>
      <c r="G462" s="432">
        <f>C462+D462</f>
        <v>300</v>
      </c>
      <c r="H462" s="432">
        <v>0</v>
      </c>
      <c r="I462" s="432">
        <f t="shared" si="428"/>
        <v>540</v>
      </c>
      <c r="J462" s="432">
        <f t="shared" si="429"/>
        <v>300</v>
      </c>
      <c r="K462" s="680">
        <f>+ROUND(D458/600,0)</f>
        <v>4</v>
      </c>
      <c r="L462" s="433">
        <v>1</v>
      </c>
      <c r="M462" s="503">
        <f t="shared" si="425"/>
        <v>1.2</v>
      </c>
      <c r="N462" s="435">
        <f t="shared" si="426"/>
        <v>0.88800000000000001</v>
      </c>
      <c r="O462" s="435">
        <f t="shared" si="427"/>
        <v>1.0655999999999999</v>
      </c>
      <c r="P462" s="407" t="s">
        <v>347</v>
      </c>
    </row>
    <row r="463" spans="1:17" s="430" customFormat="1" ht="25.15" customHeight="1">
      <c r="A463" s="834" t="s">
        <v>520</v>
      </c>
      <c r="B463" s="401"/>
      <c r="C463" s="402" t="s">
        <v>321</v>
      </c>
      <c r="D463" s="403">
        <v>1545</v>
      </c>
      <c r="E463" s="404" t="s">
        <v>322</v>
      </c>
      <c r="F463" s="431"/>
      <c r="G463" s="432"/>
      <c r="H463" s="432"/>
      <c r="I463" s="432"/>
      <c r="J463" s="432"/>
      <c r="K463" s="433"/>
      <c r="L463" s="433"/>
      <c r="M463" s="503"/>
      <c r="N463" s="435"/>
      <c r="O463" s="435"/>
      <c r="P463" s="407"/>
      <c r="Q463" s="414"/>
    </row>
    <row r="464" spans="1:17" s="430" customFormat="1" ht="25.15" customHeight="1">
      <c r="A464" s="835"/>
      <c r="B464" s="401">
        <v>1</v>
      </c>
      <c r="C464" s="405">
        <v>200</v>
      </c>
      <c r="D464" s="459">
        <f>D463+200+150</f>
        <v>1895</v>
      </c>
      <c r="E464" s="401">
        <f>250</f>
        <v>250</v>
      </c>
      <c r="F464" s="431">
        <v>10</v>
      </c>
      <c r="G464" s="432">
        <f>C464+D464+E464</f>
        <v>2345</v>
      </c>
      <c r="H464" s="432">
        <v>0</v>
      </c>
      <c r="I464" s="432">
        <f>F464*45</f>
        <v>450</v>
      </c>
      <c r="J464" s="432">
        <f>G464+I464*H464</f>
        <v>2345</v>
      </c>
      <c r="K464" s="433">
        <v>2</v>
      </c>
      <c r="L464" s="433">
        <v>1</v>
      </c>
      <c r="M464" s="503">
        <f t="shared" ref="M464:M467" si="430">J464*K464*L464/1000</f>
        <v>4.6900000000000004</v>
      </c>
      <c r="N464" s="435">
        <f t="shared" ref="N464:N467" si="431">_xlfn.XLOOKUP(F464,$R$5:$Z$5,$R$6:$Z$6,"NOT_FOUND",0)</f>
        <v>0.61699999999999999</v>
      </c>
      <c r="O464" s="435">
        <f t="shared" ref="O464:O467" si="432">M464*N464</f>
        <v>2.8937300000000001</v>
      </c>
      <c r="P464" s="407"/>
    </row>
    <row r="465" spans="1:17" s="430" customFormat="1" ht="25.15" customHeight="1">
      <c r="A465" s="835"/>
      <c r="B465" s="401">
        <v>2</v>
      </c>
      <c r="C465" s="405">
        <v>100</v>
      </c>
      <c r="D465" s="459">
        <f>D463+200+170</f>
        <v>1915</v>
      </c>
      <c r="E465" s="401">
        <v>130</v>
      </c>
      <c r="F465" s="431">
        <v>10</v>
      </c>
      <c r="G465" s="432">
        <f>C465+D465+E465</f>
        <v>2145</v>
      </c>
      <c r="H465" s="432">
        <v>0</v>
      </c>
      <c r="I465" s="432">
        <f t="shared" ref="I465:I467" si="433">F465*45</f>
        <v>450</v>
      </c>
      <c r="J465" s="432">
        <f t="shared" ref="J465:J467" si="434">G465+I465*H465</f>
        <v>2145</v>
      </c>
      <c r="K465" s="433">
        <v>2</v>
      </c>
      <c r="L465" s="433">
        <v>1</v>
      </c>
      <c r="M465" s="503">
        <f t="shared" si="430"/>
        <v>4.29</v>
      </c>
      <c r="N465" s="435">
        <f t="shared" si="431"/>
        <v>0.61699999999999999</v>
      </c>
      <c r="O465" s="435">
        <f t="shared" si="432"/>
        <v>2.6469299999999998</v>
      </c>
      <c r="P465" s="407"/>
    </row>
    <row r="466" spans="1:17" s="430" customFormat="1" ht="25.15" customHeight="1">
      <c r="A466" s="835"/>
      <c r="B466" s="401">
        <v>3</v>
      </c>
      <c r="C466" s="405">
        <v>140</v>
      </c>
      <c r="D466" s="406">
        <v>160</v>
      </c>
      <c r="E466" s="401">
        <v>60</v>
      </c>
      <c r="F466" s="431">
        <v>6</v>
      </c>
      <c r="G466" s="432">
        <f>(C466+D466+E466)*2</f>
        <v>720</v>
      </c>
      <c r="H466" s="432">
        <v>0</v>
      </c>
      <c r="I466" s="432">
        <f t="shared" si="433"/>
        <v>270</v>
      </c>
      <c r="J466" s="432">
        <f t="shared" si="434"/>
        <v>720</v>
      </c>
      <c r="K466" s="680">
        <f>+ROUND(D463/200,0)</f>
        <v>8</v>
      </c>
      <c r="L466" s="433">
        <v>1</v>
      </c>
      <c r="M466" s="503">
        <f t="shared" si="430"/>
        <v>5.76</v>
      </c>
      <c r="N466" s="435">
        <f t="shared" si="431"/>
        <v>0.222</v>
      </c>
      <c r="O466" s="435">
        <f t="shared" si="432"/>
        <v>1.2787200000000001</v>
      </c>
      <c r="P466" s="407"/>
    </row>
    <row r="467" spans="1:17" s="430" customFormat="1" ht="25.15" customHeight="1">
      <c r="A467" s="836"/>
      <c r="B467" s="401" t="s">
        <v>158</v>
      </c>
      <c r="C467" s="405">
        <v>100</v>
      </c>
      <c r="D467" s="406">
        <v>200</v>
      </c>
      <c r="E467" s="401"/>
      <c r="F467" s="431">
        <v>12</v>
      </c>
      <c r="G467" s="432">
        <f>C467+D467</f>
        <v>300</v>
      </c>
      <c r="H467" s="432">
        <v>0</v>
      </c>
      <c r="I467" s="432">
        <f t="shared" si="433"/>
        <v>540</v>
      </c>
      <c r="J467" s="432">
        <f t="shared" si="434"/>
        <v>300</v>
      </c>
      <c r="K467" s="680">
        <f>+ROUND(D463/600,0)</f>
        <v>3</v>
      </c>
      <c r="L467" s="433">
        <v>1</v>
      </c>
      <c r="M467" s="503">
        <f t="shared" si="430"/>
        <v>0.9</v>
      </c>
      <c r="N467" s="435">
        <f t="shared" si="431"/>
        <v>0.88800000000000001</v>
      </c>
      <c r="O467" s="435">
        <f t="shared" si="432"/>
        <v>0.79920000000000002</v>
      </c>
      <c r="P467" s="407" t="s">
        <v>347</v>
      </c>
    </row>
    <row r="468" spans="1:17" s="430" customFormat="1" ht="25.15" customHeight="1">
      <c r="A468" s="834" t="s">
        <v>521</v>
      </c>
      <c r="B468" s="401"/>
      <c r="C468" s="402" t="s">
        <v>321</v>
      </c>
      <c r="D468" s="403">
        <v>2495</v>
      </c>
      <c r="E468" s="404" t="s">
        <v>322</v>
      </c>
      <c r="F468" s="431"/>
      <c r="G468" s="432"/>
      <c r="H468" s="432"/>
      <c r="I468" s="432"/>
      <c r="J468" s="432"/>
      <c r="K468" s="433"/>
      <c r="L468" s="433"/>
      <c r="M468" s="503"/>
      <c r="N468" s="435"/>
      <c r="O468" s="435"/>
      <c r="P468" s="407"/>
      <c r="Q468" s="414"/>
    </row>
    <row r="469" spans="1:17" s="430" customFormat="1" ht="25.15" customHeight="1">
      <c r="A469" s="835"/>
      <c r="B469" s="401">
        <v>1</v>
      </c>
      <c r="C469" s="405">
        <v>200</v>
      </c>
      <c r="D469" s="459">
        <f>D468+200+150</f>
        <v>2845</v>
      </c>
      <c r="E469" s="401">
        <f>250</f>
        <v>250</v>
      </c>
      <c r="F469" s="431">
        <v>10</v>
      </c>
      <c r="G469" s="432">
        <f>C469+D469+E469</f>
        <v>3295</v>
      </c>
      <c r="H469" s="432">
        <v>0</v>
      </c>
      <c r="I469" s="432">
        <f>F469*45</f>
        <v>450</v>
      </c>
      <c r="J469" s="432">
        <f>G469+I469*H469</f>
        <v>3295</v>
      </c>
      <c r="K469" s="433">
        <v>2</v>
      </c>
      <c r="L469" s="433">
        <v>1</v>
      </c>
      <c r="M469" s="503">
        <f t="shared" ref="M469:M472" si="435">J469*K469*L469/1000</f>
        <v>6.59</v>
      </c>
      <c r="N469" s="435">
        <f t="shared" ref="N469:N472" si="436">_xlfn.XLOOKUP(F469,$R$5:$Z$5,$R$6:$Z$6,"NOT_FOUND",0)</f>
        <v>0.61699999999999999</v>
      </c>
      <c r="O469" s="435">
        <f t="shared" ref="O469:O472" si="437">M469*N469</f>
        <v>4.0660299999999996</v>
      </c>
      <c r="P469" s="407"/>
    </row>
    <row r="470" spans="1:17" s="430" customFormat="1" ht="25.15" customHeight="1">
      <c r="A470" s="835"/>
      <c r="B470" s="401">
        <v>2</v>
      </c>
      <c r="C470" s="405">
        <v>100</v>
      </c>
      <c r="D470" s="459">
        <f>D468+200+170</f>
        <v>2865</v>
      </c>
      <c r="E470" s="401">
        <v>130</v>
      </c>
      <c r="F470" s="431">
        <v>10</v>
      </c>
      <c r="G470" s="432">
        <f>C470+D470+E470</f>
        <v>3095</v>
      </c>
      <c r="H470" s="432">
        <v>0</v>
      </c>
      <c r="I470" s="432">
        <f t="shared" ref="I470:I472" si="438">F470*45</f>
        <v>450</v>
      </c>
      <c r="J470" s="432">
        <f t="shared" ref="J470:J472" si="439">G470+I470*H470</f>
        <v>3095</v>
      </c>
      <c r="K470" s="433">
        <v>2</v>
      </c>
      <c r="L470" s="433">
        <v>1</v>
      </c>
      <c r="M470" s="503">
        <f t="shared" si="435"/>
        <v>6.19</v>
      </c>
      <c r="N470" s="435">
        <f t="shared" si="436"/>
        <v>0.61699999999999999</v>
      </c>
      <c r="O470" s="435">
        <f t="shared" si="437"/>
        <v>3.8192300000000001</v>
      </c>
      <c r="P470" s="407"/>
    </row>
    <row r="471" spans="1:17" s="430" customFormat="1" ht="25.15" customHeight="1">
      <c r="A471" s="835"/>
      <c r="B471" s="401">
        <v>3</v>
      </c>
      <c r="C471" s="405">
        <v>140</v>
      </c>
      <c r="D471" s="406">
        <v>160</v>
      </c>
      <c r="E471" s="401">
        <v>60</v>
      </c>
      <c r="F471" s="431">
        <v>6</v>
      </c>
      <c r="G471" s="432">
        <f>(C471+D471+E471)*2</f>
        <v>720</v>
      </c>
      <c r="H471" s="432">
        <v>0</v>
      </c>
      <c r="I471" s="432">
        <f t="shared" si="438"/>
        <v>270</v>
      </c>
      <c r="J471" s="432">
        <f t="shared" si="439"/>
        <v>720</v>
      </c>
      <c r="K471" s="680">
        <f>+ROUND(D468/200,0)</f>
        <v>12</v>
      </c>
      <c r="L471" s="433">
        <v>1</v>
      </c>
      <c r="M471" s="503">
        <f t="shared" si="435"/>
        <v>8.64</v>
      </c>
      <c r="N471" s="435">
        <f t="shared" si="436"/>
        <v>0.222</v>
      </c>
      <c r="O471" s="435">
        <f t="shared" si="437"/>
        <v>1.9180800000000002</v>
      </c>
      <c r="P471" s="407"/>
    </row>
    <row r="472" spans="1:17" s="430" customFormat="1" ht="25.15" customHeight="1">
      <c r="A472" s="836"/>
      <c r="B472" s="401" t="s">
        <v>158</v>
      </c>
      <c r="C472" s="405">
        <v>100</v>
      </c>
      <c r="D472" s="406">
        <v>200</v>
      </c>
      <c r="E472" s="401"/>
      <c r="F472" s="431">
        <v>12</v>
      </c>
      <c r="G472" s="432">
        <f>C472+D472</f>
        <v>300</v>
      </c>
      <c r="H472" s="432">
        <v>0</v>
      </c>
      <c r="I472" s="432">
        <f t="shared" si="438"/>
        <v>540</v>
      </c>
      <c r="J472" s="432">
        <f t="shared" si="439"/>
        <v>300</v>
      </c>
      <c r="K472" s="680">
        <f>+ROUND(D468/600,0)</f>
        <v>4</v>
      </c>
      <c r="L472" s="433">
        <v>1</v>
      </c>
      <c r="M472" s="503">
        <f t="shared" si="435"/>
        <v>1.2</v>
      </c>
      <c r="N472" s="435">
        <f t="shared" si="436"/>
        <v>0.88800000000000001</v>
      </c>
      <c r="O472" s="435">
        <f t="shared" si="437"/>
        <v>1.0655999999999999</v>
      </c>
      <c r="P472" s="407" t="s">
        <v>347</v>
      </c>
    </row>
    <row r="473" spans="1:17" s="430" customFormat="1" ht="25.15" customHeight="1">
      <c r="A473" s="588" t="s">
        <v>565</v>
      </c>
      <c r="B473" s="589"/>
      <c r="C473" s="590"/>
      <c r="D473" s="591"/>
      <c r="E473" s="589"/>
      <c r="F473" s="592"/>
      <c r="G473" s="593"/>
      <c r="H473" s="593"/>
      <c r="I473" s="593"/>
      <c r="J473" s="593"/>
      <c r="K473" s="593"/>
      <c r="L473" s="593"/>
      <c r="M473" s="594"/>
      <c r="N473" s="595"/>
      <c r="O473" s="595"/>
      <c r="P473" s="596"/>
    </row>
    <row r="474" spans="1:17" s="430" customFormat="1" ht="25.15" customHeight="1">
      <c r="A474" s="834" t="s">
        <v>489</v>
      </c>
      <c r="B474" s="401"/>
      <c r="C474" s="402" t="s">
        <v>321</v>
      </c>
      <c r="D474" s="403">
        <v>3575</v>
      </c>
      <c r="E474" s="404" t="s">
        <v>322</v>
      </c>
      <c r="F474" s="431"/>
      <c r="G474" s="432"/>
      <c r="H474" s="432"/>
      <c r="I474" s="432"/>
      <c r="J474" s="432"/>
      <c r="K474" s="433"/>
      <c r="L474" s="433"/>
      <c r="M474" s="503"/>
      <c r="N474" s="435"/>
      <c r="O474" s="435"/>
      <c r="P474" s="407"/>
      <c r="Q474" s="414"/>
    </row>
    <row r="475" spans="1:17" s="430" customFormat="1" ht="25.15" customHeight="1">
      <c r="A475" s="835"/>
      <c r="B475" s="401">
        <v>1</v>
      </c>
      <c r="C475" s="405">
        <v>150</v>
      </c>
      <c r="D475" s="459">
        <f>D474+200+200</f>
        <v>3975</v>
      </c>
      <c r="E475" s="401">
        <v>150</v>
      </c>
      <c r="F475" s="431">
        <v>10</v>
      </c>
      <c r="G475" s="432">
        <f>C475+D475+E475</f>
        <v>4275</v>
      </c>
      <c r="H475" s="432">
        <v>0</v>
      </c>
      <c r="I475" s="432">
        <f>F475*45</f>
        <v>450</v>
      </c>
      <c r="J475" s="432">
        <f>G475+I475*H475</f>
        <v>4275</v>
      </c>
      <c r="K475" s="433">
        <v>2</v>
      </c>
      <c r="L475" s="433">
        <v>1</v>
      </c>
      <c r="M475" s="503">
        <f t="shared" ref="M475:M478" si="440">J475*K475*L475/1000</f>
        <v>8.5500000000000007</v>
      </c>
      <c r="N475" s="435">
        <f t="shared" ref="N475:N478" si="441">_xlfn.XLOOKUP(F475,$R$5:$Z$5,$R$6:$Z$6,"NOT_FOUND",0)</f>
        <v>0.61699999999999999</v>
      </c>
      <c r="O475" s="435">
        <f t="shared" ref="O475:O478" si="442">M475*N475</f>
        <v>5.2753500000000004</v>
      </c>
      <c r="P475" s="407"/>
    </row>
    <row r="476" spans="1:17" s="430" customFormat="1" ht="25.15" customHeight="1">
      <c r="A476" s="835"/>
      <c r="B476" s="401">
        <v>2</v>
      </c>
      <c r="C476" s="405">
        <v>180</v>
      </c>
      <c r="D476" s="459">
        <f>D474+220+220</f>
        <v>4015</v>
      </c>
      <c r="E476" s="401">
        <v>180</v>
      </c>
      <c r="F476" s="431">
        <v>10</v>
      </c>
      <c r="G476" s="432">
        <f>C476+D476+E476</f>
        <v>4375</v>
      </c>
      <c r="H476" s="432">
        <v>0</v>
      </c>
      <c r="I476" s="432">
        <f t="shared" ref="I476:I478" si="443">F476*45</f>
        <v>450</v>
      </c>
      <c r="J476" s="432">
        <f t="shared" ref="J476:J478" si="444">G476+I476*H476</f>
        <v>4375</v>
      </c>
      <c r="K476" s="433">
        <v>2</v>
      </c>
      <c r="L476" s="433">
        <v>1</v>
      </c>
      <c r="M476" s="503">
        <f t="shared" si="440"/>
        <v>8.75</v>
      </c>
      <c r="N476" s="435">
        <f t="shared" si="441"/>
        <v>0.61699999999999999</v>
      </c>
      <c r="O476" s="435">
        <f t="shared" si="442"/>
        <v>5.3987499999999997</v>
      </c>
      <c r="P476" s="407"/>
    </row>
    <row r="477" spans="1:17" s="430" customFormat="1" ht="25.15" customHeight="1">
      <c r="A477" s="835"/>
      <c r="B477" s="401">
        <v>3</v>
      </c>
      <c r="C477" s="405">
        <v>140</v>
      </c>
      <c r="D477" s="406">
        <v>160</v>
      </c>
      <c r="E477" s="401">
        <v>60</v>
      </c>
      <c r="F477" s="431">
        <v>6</v>
      </c>
      <c r="G477" s="432">
        <f>(C477+D477+E477)*2</f>
        <v>720</v>
      </c>
      <c r="H477" s="432">
        <v>0</v>
      </c>
      <c r="I477" s="432">
        <f t="shared" si="443"/>
        <v>270</v>
      </c>
      <c r="J477" s="432">
        <f t="shared" si="444"/>
        <v>720</v>
      </c>
      <c r="K477" s="680">
        <f>+ROUND(D474/200,0)</f>
        <v>18</v>
      </c>
      <c r="L477" s="433">
        <v>1</v>
      </c>
      <c r="M477" s="503">
        <f t="shared" si="440"/>
        <v>12.96</v>
      </c>
      <c r="N477" s="435">
        <f t="shared" si="441"/>
        <v>0.222</v>
      </c>
      <c r="O477" s="435">
        <f t="shared" si="442"/>
        <v>2.8771200000000001</v>
      </c>
      <c r="P477" s="407"/>
    </row>
    <row r="478" spans="1:17" s="430" customFormat="1" ht="25.15" customHeight="1">
      <c r="A478" s="836"/>
      <c r="B478" s="401" t="s">
        <v>158</v>
      </c>
      <c r="C478" s="405">
        <v>100</v>
      </c>
      <c r="D478" s="406">
        <v>200</v>
      </c>
      <c r="E478" s="401"/>
      <c r="F478" s="431">
        <v>10</v>
      </c>
      <c r="G478" s="432">
        <f>C478+D478</f>
        <v>300</v>
      </c>
      <c r="H478" s="432">
        <v>0</v>
      </c>
      <c r="I478" s="432">
        <f t="shared" si="443"/>
        <v>450</v>
      </c>
      <c r="J478" s="432">
        <f t="shared" si="444"/>
        <v>300</v>
      </c>
      <c r="K478" s="680">
        <f>+ROUND(D474/600,0)</f>
        <v>6</v>
      </c>
      <c r="L478" s="433">
        <v>1</v>
      </c>
      <c r="M478" s="503">
        <f t="shared" si="440"/>
        <v>1.8</v>
      </c>
      <c r="N478" s="435">
        <f t="shared" si="441"/>
        <v>0.61699999999999999</v>
      </c>
      <c r="O478" s="435">
        <f t="shared" si="442"/>
        <v>1.1106</v>
      </c>
      <c r="P478" s="407" t="s">
        <v>347</v>
      </c>
    </row>
    <row r="479" spans="1:17" s="437" customFormat="1" ht="25.15" customHeight="1">
      <c r="A479" s="840" t="s">
        <v>270</v>
      </c>
      <c r="B479" s="841"/>
      <c r="C479" s="841"/>
      <c r="D479" s="841"/>
      <c r="E479" s="841"/>
      <c r="F479" s="841"/>
      <c r="G479" s="841"/>
      <c r="H479" s="841"/>
      <c r="I479" s="841"/>
      <c r="J479" s="841"/>
      <c r="K479" s="841"/>
      <c r="L479" s="841"/>
      <c r="M479" s="841"/>
      <c r="N479" s="842"/>
      <c r="O479" s="436">
        <f>SUM(O8:O478)</f>
        <v>890.74787999999864</v>
      </c>
      <c r="P479" s="408"/>
    </row>
    <row r="480" spans="1:17" s="437" customFormat="1" ht="25.15" customHeight="1">
      <c r="A480" s="840" t="s">
        <v>637</v>
      </c>
      <c r="B480" s="841"/>
      <c r="C480" s="841"/>
      <c r="D480" s="841"/>
      <c r="E480" s="841"/>
      <c r="F480" s="841"/>
      <c r="G480" s="841"/>
      <c r="H480" s="841"/>
      <c r="I480" s="841"/>
      <c r="J480" s="841"/>
      <c r="K480" s="841"/>
      <c r="L480" s="841"/>
      <c r="M480" s="841"/>
      <c r="N480" s="842"/>
      <c r="O480" s="441">
        <f>SUMIF(B8:B478,"*",O8:O478)</f>
        <v>64.814100000000039</v>
      </c>
      <c r="P480" s="408"/>
    </row>
    <row r="481" spans="1:16" s="437" customFormat="1" ht="25.15" customHeight="1">
      <c r="A481" s="840" t="s">
        <v>638</v>
      </c>
      <c r="B481" s="841"/>
      <c r="C481" s="841"/>
      <c r="D481" s="841"/>
      <c r="E481" s="841"/>
      <c r="F481" s="841"/>
      <c r="G481" s="841"/>
      <c r="H481" s="841"/>
      <c r="I481" s="841"/>
      <c r="J481" s="841"/>
      <c r="K481" s="841"/>
      <c r="L481" s="841"/>
      <c r="M481" s="841"/>
      <c r="N481" s="842"/>
      <c r="O481" s="441">
        <f>+O479-O480</f>
        <v>825.93377999999859</v>
      </c>
      <c r="P481" s="408"/>
    </row>
    <row r="482" spans="1:16" s="430" customFormat="1" ht="25.15" customHeight="1">
      <c r="A482" s="413"/>
      <c r="B482" s="413"/>
      <c r="C482" s="413"/>
      <c r="D482" s="414"/>
      <c r="E482" s="414"/>
      <c r="F482" s="414"/>
      <c r="G482" s="413"/>
      <c r="H482" s="413"/>
      <c r="I482" s="413"/>
      <c r="J482" s="413"/>
      <c r="K482" s="415"/>
      <c r="L482" s="415"/>
      <c r="M482" s="416"/>
      <c r="N482" s="416"/>
      <c r="O482" s="527"/>
      <c r="P482" s="416"/>
    </row>
    <row r="483" spans="1:16" s="448" customFormat="1" ht="20.25" customHeight="1">
      <c r="A483" s="446"/>
      <c r="B483" s="843" t="s">
        <v>85</v>
      </c>
      <c r="C483" s="843"/>
      <c r="D483" s="843"/>
      <c r="E483" s="447"/>
      <c r="G483" s="447"/>
      <c r="H483" s="447"/>
      <c r="I483" s="447"/>
      <c r="J483" s="447"/>
      <c r="L483" s="340"/>
      <c r="N483" s="843" t="s">
        <v>82</v>
      </c>
      <c r="O483" s="843"/>
      <c r="P483" s="843"/>
    </row>
    <row r="484" spans="1:16" s="450" customFormat="1" ht="25.15" customHeight="1">
      <c r="A484" s="413"/>
      <c r="B484" s="413"/>
      <c r="C484" s="413"/>
      <c r="D484" s="414"/>
      <c r="E484" s="414"/>
      <c r="F484" s="414"/>
      <c r="G484" s="413"/>
      <c r="H484" s="413"/>
      <c r="I484" s="413"/>
      <c r="J484" s="413"/>
      <c r="K484" s="415"/>
      <c r="L484" s="415"/>
      <c r="M484" s="416"/>
      <c r="N484" s="417"/>
      <c r="O484" s="529"/>
      <c r="P484" s="419"/>
    </row>
    <row r="485" spans="1:16" s="450" customFormat="1" ht="22.9" customHeight="1">
      <c r="A485" s="413"/>
      <c r="B485" s="413"/>
      <c r="C485" s="413"/>
      <c r="D485" s="414"/>
      <c r="E485" s="414"/>
      <c r="F485" s="414"/>
      <c r="G485" s="413"/>
      <c r="H485" s="413"/>
      <c r="I485" s="413"/>
      <c r="J485" s="413"/>
      <c r="K485" s="415"/>
      <c r="L485" s="415"/>
      <c r="M485" s="416"/>
      <c r="N485" s="417"/>
      <c r="O485" s="529"/>
      <c r="P485" s="419"/>
    </row>
    <row r="486" spans="1:16" s="450" customFormat="1" ht="22.9" customHeight="1">
      <c r="A486" s="413"/>
      <c r="B486" s="413"/>
      <c r="C486" s="413"/>
      <c r="D486" s="414"/>
      <c r="E486" s="414"/>
      <c r="F486" s="657">
        <v>6</v>
      </c>
      <c r="G486" s="642" t="s">
        <v>107</v>
      </c>
      <c r="H486" s="642">
        <f t="shared" ref="H486:H491" si="445">+SUMIF($F$8:$F$478,F486,$O$8:$O$478)</f>
        <v>189.37487999999993</v>
      </c>
      <c r="I486" s="413"/>
      <c r="J486" s="413"/>
      <c r="K486" s="415"/>
      <c r="L486" s="415"/>
      <c r="M486" s="416"/>
      <c r="N486" s="417"/>
      <c r="O486" s="529"/>
      <c r="P486" s="419"/>
    </row>
    <row r="487" spans="1:16" s="450" customFormat="1" ht="22.9" customHeight="1">
      <c r="A487" s="413"/>
      <c r="B487" s="413"/>
      <c r="C487" s="413"/>
      <c r="D487" s="414"/>
      <c r="E487" s="414"/>
      <c r="F487" s="657">
        <v>8</v>
      </c>
      <c r="G487" s="642" t="s">
        <v>107</v>
      </c>
      <c r="H487" s="642">
        <f t="shared" si="445"/>
        <v>0</v>
      </c>
      <c r="I487" s="413"/>
      <c r="J487" s="413"/>
      <c r="K487" s="415"/>
      <c r="L487" s="415"/>
      <c r="M487" s="416"/>
      <c r="N487" s="417"/>
      <c r="O487" s="529"/>
      <c r="P487" s="419"/>
    </row>
    <row r="488" spans="1:16" s="450" customFormat="1" ht="22.9" customHeight="1">
      <c r="A488" s="413"/>
      <c r="B488" s="413"/>
      <c r="C488" s="413"/>
      <c r="D488" s="414"/>
      <c r="E488" s="414"/>
      <c r="F488" s="657">
        <v>10</v>
      </c>
      <c r="G488" s="642" t="s">
        <v>107</v>
      </c>
      <c r="H488" s="642">
        <f t="shared" si="445"/>
        <v>686.72099999999932</v>
      </c>
      <c r="I488" s="413"/>
      <c r="J488" s="413"/>
      <c r="K488" s="415"/>
      <c r="L488" s="415"/>
      <c r="M488" s="416"/>
      <c r="N488" s="417"/>
      <c r="O488" s="529"/>
      <c r="P488" s="419"/>
    </row>
    <row r="489" spans="1:16" ht="22.9" customHeight="1">
      <c r="F489" s="658">
        <v>12</v>
      </c>
      <c r="G489" s="642" t="s">
        <v>107</v>
      </c>
      <c r="H489" s="642">
        <f t="shared" si="445"/>
        <v>14.652000000000003</v>
      </c>
      <c r="I489" s="451" t="e">
        <f>+'thép vách giếng gió'!H36+'thép vách bồn cây'!H204+'thép sàn bồn cây'!H251+'thép dầm bể bơi'!I120+'thép vách bể bơi'!H49+'thép sàn bể bơi'!#REF!</f>
        <v>#REF!</v>
      </c>
    </row>
    <row r="490" spans="1:16" ht="15.75">
      <c r="F490" s="658">
        <v>14</v>
      </c>
      <c r="G490" s="642" t="s">
        <v>107</v>
      </c>
      <c r="H490" s="642">
        <f t="shared" si="445"/>
        <v>0</v>
      </c>
    </row>
    <row r="491" spans="1:16" ht="15.75">
      <c r="F491" s="658">
        <v>16</v>
      </c>
      <c r="G491" s="642" t="s">
        <v>107</v>
      </c>
      <c r="H491" s="642">
        <f t="shared" si="445"/>
        <v>0</v>
      </c>
    </row>
    <row r="492" spans="1:16" ht="15.75">
      <c r="H492" s="642"/>
    </row>
  </sheetData>
  <mergeCells count="112">
    <mergeCell ref="A285:A289"/>
    <mergeCell ref="A312:A316"/>
    <mergeCell ref="A317:A321"/>
    <mergeCell ref="A323:A327"/>
    <mergeCell ref="A328:A332"/>
    <mergeCell ref="A333:A337"/>
    <mergeCell ref="A338:A342"/>
    <mergeCell ref="A344:A348"/>
    <mergeCell ref="A349:A353"/>
    <mergeCell ref="A296:A300"/>
    <mergeCell ref="A301:A305"/>
    <mergeCell ref="A307:A311"/>
    <mergeCell ref="A89:A93"/>
    <mergeCell ref="A94:A98"/>
    <mergeCell ref="A100:A104"/>
    <mergeCell ref="A105:A109"/>
    <mergeCell ref="A164:A168"/>
    <mergeCell ref="A175:A179"/>
    <mergeCell ref="A180:A184"/>
    <mergeCell ref="A185:A189"/>
    <mergeCell ref="A212:A216"/>
    <mergeCell ref="A111:A115"/>
    <mergeCell ref="A116:A120"/>
    <mergeCell ref="A121:A125"/>
    <mergeCell ref="A126:A130"/>
    <mergeCell ref="A132:A136"/>
    <mergeCell ref="C7:E7"/>
    <mergeCell ref="A9:A13"/>
    <mergeCell ref="A14:A18"/>
    <mergeCell ref="A30:A34"/>
    <mergeCell ref="A35:A39"/>
    <mergeCell ref="A41:A45"/>
    <mergeCell ref="A46:A50"/>
    <mergeCell ref="A51:A55"/>
    <mergeCell ref="A84:A88"/>
    <mergeCell ref="A19:A23"/>
    <mergeCell ref="A24:A28"/>
    <mergeCell ref="A57:A61"/>
    <mergeCell ref="A62:A66"/>
    <mergeCell ref="A67:A71"/>
    <mergeCell ref="A73:A77"/>
    <mergeCell ref="A78:A82"/>
    <mergeCell ref="A1:P1"/>
    <mergeCell ref="A2:P2"/>
    <mergeCell ref="A3:P3"/>
    <mergeCell ref="A5:A6"/>
    <mergeCell ref="B5:B6"/>
    <mergeCell ref="C5:E6"/>
    <mergeCell ref="F5:F6"/>
    <mergeCell ref="G5:G6"/>
    <mergeCell ref="K5:K6"/>
    <mergeCell ref="L5:L6"/>
    <mergeCell ref="P5:P6"/>
    <mergeCell ref="M5:M6"/>
    <mergeCell ref="N5:N6"/>
    <mergeCell ref="O5:O6"/>
    <mergeCell ref="H5:H6"/>
    <mergeCell ref="I5:I6"/>
    <mergeCell ref="J5:J6"/>
    <mergeCell ref="A217:A221"/>
    <mergeCell ref="A222:A226"/>
    <mergeCell ref="A227:A231"/>
    <mergeCell ref="A233:A237"/>
    <mergeCell ref="A291:A295"/>
    <mergeCell ref="A137:A141"/>
    <mergeCell ref="A142:A146"/>
    <mergeCell ref="A148:A152"/>
    <mergeCell ref="A206:A210"/>
    <mergeCell ref="A191:A195"/>
    <mergeCell ref="A196:A200"/>
    <mergeCell ref="A201:A205"/>
    <mergeCell ref="A153:A157"/>
    <mergeCell ref="A158:A162"/>
    <mergeCell ref="A169:A173"/>
    <mergeCell ref="A238:A242"/>
    <mergeCell ref="A248:A252"/>
    <mergeCell ref="A253:A257"/>
    <mergeCell ref="A243:A247"/>
    <mergeCell ref="A259:A263"/>
    <mergeCell ref="A264:A268"/>
    <mergeCell ref="A269:A273"/>
    <mergeCell ref="A275:A279"/>
    <mergeCell ref="A280:A284"/>
    <mergeCell ref="A481:N481"/>
    <mergeCell ref="N483:P483"/>
    <mergeCell ref="B483:D483"/>
    <mergeCell ref="A480:N480"/>
    <mergeCell ref="A479:N479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A468:A472"/>
    <mergeCell ref="A474:A478"/>
    <mergeCell ref="A354:A358"/>
    <mergeCell ref="A359:A363"/>
    <mergeCell ref="A365:A369"/>
    <mergeCell ref="A370:A374"/>
    <mergeCell ref="A376:A380"/>
    <mergeCell ref="A381:A385"/>
    <mergeCell ref="A386:A390"/>
    <mergeCell ref="A458:A462"/>
    <mergeCell ref="A463:A467"/>
    <mergeCell ref="A432:A436"/>
    <mergeCell ref="A437:A441"/>
    <mergeCell ref="A443:A447"/>
    <mergeCell ref="A448:A452"/>
    <mergeCell ref="A453:A457"/>
  </mergeCells>
  <phoneticPr fontId="180" type="noConversion"/>
  <printOptions horizontalCentered="1"/>
  <pageMargins left="0.47244094488188981" right="0.15748031496062992" top="0.39370078740157483" bottom="0.39370078740157483" header="0.27559055118110237" footer="0.19685039370078741"/>
  <pageSetup paperSize="9" scale="77" fitToHeight="0" orientation="landscape" r:id="rId1"/>
  <headerFooter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7FF2-776F-4563-8921-6EE2F3F7A63C}">
  <sheetPr codeName="Sheet11">
    <pageSetUpPr fitToPage="1"/>
  </sheetPr>
  <dimension ref="A1:Z36"/>
  <sheetViews>
    <sheetView view="pageBreakPreview" zoomScale="70" zoomScaleNormal="80" zoomScaleSheetLayoutView="70" workbookViewId="0">
      <pane ySplit="6" topLeftCell="A9" activePane="bottomLeft" state="frozen"/>
      <selection pane="bottomLeft" activeCell="O26" sqref="O26"/>
    </sheetView>
  </sheetViews>
  <sheetFormatPr defaultColWidth="9" defaultRowHeight="14.25"/>
  <cols>
    <col min="1" max="1" width="16.875" style="451" customWidth="1"/>
    <col min="2" max="2" width="5.25" style="451" customWidth="1"/>
    <col min="3" max="3" width="4.125" style="451" customWidth="1"/>
    <col min="4" max="4" width="13.125" style="452" customWidth="1"/>
    <col min="5" max="5" width="5" style="452" customWidth="1"/>
    <col min="6" max="6" width="6.125" style="452" customWidth="1"/>
    <col min="7" max="7" width="10.25" style="451" customWidth="1"/>
    <col min="8" max="8" width="10.375" style="451" customWidth="1"/>
    <col min="9" max="10" width="8.75" style="451" customWidth="1"/>
    <col min="11" max="11" width="6.875" style="453" customWidth="1"/>
    <col min="12" max="12" width="8.125" style="453" customWidth="1"/>
    <col min="13" max="13" width="9.25" style="532" customWidth="1"/>
    <col min="14" max="14" width="9.375" style="455" customWidth="1"/>
    <col min="15" max="15" width="11.875" style="456" bestFit="1" customWidth="1"/>
    <col min="16" max="16" width="19.875" style="513" customWidth="1"/>
    <col min="17" max="17" width="10.625" style="458" customWidth="1"/>
    <col min="18" max="18" width="13.25" style="458" customWidth="1"/>
    <col min="19" max="16384" width="9" style="458"/>
  </cols>
  <sheetData>
    <row r="1" spans="1:26" s="429" customFormat="1" ht="26.25" customHeight="1">
      <c r="A1" s="844" t="s">
        <v>741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524"/>
      <c r="N4" s="400"/>
      <c r="O4" s="400"/>
      <c r="P4" s="509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78" t="s">
        <v>323</v>
      </c>
      <c r="I5" s="878" t="s">
        <v>113</v>
      </c>
      <c r="J5" s="857" t="s">
        <v>492</v>
      </c>
      <c r="K5" s="859" t="s">
        <v>344</v>
      </c>
      <c r="L5" s="860" t="s">
        <v>345</v>
      </c>
      <c r="M5" s="865" t="s">
        <v>114</v>
      </c>
      <c r="N5" s="861" t="s">
        <v>115</v>
      </c>
      <c r="O5" s="882" t="s">
        <v>320</v>
      </c>
      <c r="P5" s="880" t="s">
        <v>2</v>
      </c>
      <c r="R5" s="430">
        <v>6</v>
      </c>
      <c r="S5" s="430">
        <v>8</v>
      </c>
      <c r="T5" s="430">
        <v>10</v>
      </c>
      <c r="U5" s="430">
        <v>12</v>
      </c>
      <c r="V5" s="430">
        <v>14</v>
      </c>
      <c r="W5" s="430">
        <v>16</v>
      </c>
      <c r="X5" s="430">
        <v>18</v>
      </c>
      <c r="Y5" s="430">
        <v>20</v>
      </c>
      <c r="Z5" s="43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79"/>
      <c r="I6" s="879"/>
      <c r="J6" s="858"/>
      <c r="K6" s="859"/>
      <c r="L6" s="860"/>
      <c r="M6" s="866"/>
      <c r="N6" s="862"/>
      <c r="O6" s="883"/>
      <c r="P6" s="881"/>
      <c r="R6" s="430">
        <v>0.222</v>
      </c>
      <c r="S6" s="430">
        <v>0.39500000000000002</v>
      </c>
      <c r="T6" s="430">
        <v>0.61699999999999999</v>
      </c>
      <c r="U6" s="430">
        <v>0.88800000000000001</v>
      </c>
      <c r="V6" s="430">
        <v>1.21</v>
      </c>
      <c r="W6" s="430">
        <v>1.58</v>
      </c>
      <c r="X6" s="430">
        <v>2</v>
      </c>
      <c r="Y6" s="430">
        <v>2.4700000000000002</v>
      </c>
      <c r="Z6" s="43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 t="s">
        <v>28</v>
      </c>
      <c r="I7" s="508" t="s">
        <v>29</v>
      </c>
      <c r="J7" s="508"/>
      <c r="K7" s="505" t="s">
        <v>30</v>
      </c>
      <c r="L7" s="505" t="s">
        <v>31</v>
      </c>
      <c r="M7" s="525" t="s">
        <v>326</v>
      </c>
      <c r="N7" s="505" t="s">
        <v>328</v>
      </c>
      <c r="O7" s="505" t="s">
        <v>343</v>
      </c>
      <c r="P7" s="505" t="s">
        <v>348</v>
      </c>
    </row>
    <row r="8" spans="1:26" s="442" customFormat="1" ht="15.75">
      <c r="A8" s="877" t="s">
        <v>639</v>
      </c>
      <c r="B8" s="409"/>
      <c r="C8" s="410" t="s">
        <v>321</v>
      </c>
      <c r="D8" s="403">
        <f>(11840+10640)/2</f>
        <v>11240</v>
      </c>
      <c r="E8" s="409" t="s">
        <v>322</v>
      </c>
      <c r="F8" s="438"/>
      <c r="G8" s="439"/>
      <c r="H8" s="440"/>
      <c r="I8" s="440"/>
      <c r="J8" s="440"/>
      <c r="K8" s="440"/>
      <c r="L8" s="440"/>
      <c r="M8" s="441"/>
      <c r="N8" s="441"/>
      <c r="O8" s="436"/>
      <c r="P8" s="510"/>
    </row>
    <row r="9" spans="1:26" s="443" customFormat="1" ht="25.15" customHeight="1">
      <c r="A9" s="877"/>
      <c r="B9" s="401">
        <v>1</v>
      </c>
      <c r="C9" s="405">
        <v>150</v>
      </c>
      <c r="D9" s="406">
        <v>2350</v>
      </c>
      <c r="E9" s="401"/>
      <c r="F9" s="431">
        <v>10</v>
      </c>
      <c r="G9" s="432">
        <f t="shared" ref="G9:G10" si="0">C9+D9+E9</f>
        <v>2500</v>
      </c>
      <c r="H9" s="433"/>
      <c r="I9" s="433"/>
      <c r="J9" s="433">
        <f>+I9*H9+G9</f>
        <v>2500</v>
      </c>
      <c r="K9" s="433">
        <f>+ROUND(D8/200,0)+1</f>
        <v>57</v>
      </c>
      <c r="L9" s="433">
        <v>2</v>
      </c>
      <c r="M9" s="435">
        <f>J9*K9*L9/1000</f>
        <v>285</v>
      </c>
      <c r="N9" s="435">
        <f t="shared" ref="N9:N13" si="1">_xlfn.XLOOKUP(F9,$R$5:$Z$5,$R$6:$Z$6,"NOT_FOUND",0)</f>
        <v>0.61699999999999999</v>
      </c>
      <c r="O9" s="434">
        <f>M9*N9</f>
        <v>175.845</v>
      </c>
      <c r="P9" s="510" t="s">
        <v>347</v>
      </c>
      <c r="Q9" s="707" t="s">
        <v>751</v>
      </c>
    </row>
    <row r="10" spans="1:26" s="443" customFormat="1" ht="25.15" customHeight="1">
      <c r="A10" s="877"/>
      <c r="B10" s="401">
        <v>2</v>
      </c>
      <c r="C10" s="405"/>
      <c r="D10" s="459">
        <v>11840</v>
      </c>
      <c r="E10" s="401"/>
      <c r="F10" s="431">
        <v>10</v>
      </c>
      <c r="G10" s="432">
        <f t="shared" si="0"/>
        <v>11840</v>
      </c>
      <c r="H10" s="433"/>
      <c r="I10" s="433"/>
      <c r="J10" s="433">
        <f>+I10*H10+G10</f>
        <v>11840</v>
      </c>
      <c r="K10" s="433">
        <v>12</v>
      </c>
      <c r="L10" s="433">
        <v>1</v>
      </c>
      <c r="M10" s="435">
        <f t="shared" ref="M10:M13" si="2">J10*K10*L10/1000</f>
        <v>142.08000000000001</v>
      </c>
      <c r="N10" s="435">
        <f t="shared" si="1"/>
        <v>0.61699999999999999</v>
      </c>
      <c r="O10" s="434">
        <f>M10*N10</f>
        <v>87.663360000000011</v>
      </c>
      <c r="P10" s="510"/>
      <c r="S10" s="444"/>
    </row>
    <row r="11" spans="1:26" s="443" customFormat="1" ht="25.15" customHeight="1">
      <c r="A11" s="877"/>
      <c r="B11" s="401">
        <v>2</v>
      </c>
      <c r="C11" s="405"/>
      <c r="D11" s="459">
        <v>10640</v>
      </c>
      <c r="E11" s="401"/>
      <c r="F11" s="431">
        <v>10</v>
      </c>
      <c r="G11" s="432">
        <f t="shared" ref="G11" si="3">C11+D11+E11</f>
        <v>10640</v>
      </c>
      <c r="H11" s="433"/>
      <c r="I11" s="433"/>
      <c r="J11" s="433">
        <f>+I11*H11+G11</f>
        <v>10640</v>
      </c>
      <c r="K11" s="433">
        <v>12</v>
      </c>
      <c r="L11" s="433">
        <v>1</v>
      </c>
      <c r="M11" s="435">
        <f t="shared" ref="M11" si="4">J11*K11*L11/1000</f>
        <v>127.68</v>
      </c>
      <c r="N11" s="435">
        <f t="shared" ref="N11" si="5">_xlfn.XLOOKUP(F11,$R$5:$Z$5,$R$6:$Z$6,"NOT_FOUND",0)</f>
        <v>0.61699999999999999</v>
      </c>
      <c r="O11" s="434">
        <f>M11*N11</f>
        <v>78.778559999999999</v>
      </c>
      <c r="P11" s="510"/>
      <c r="S11" s="444"/>
    </row>
    <row r="12" spans="1:26" s="443" customFormat="1" ht="25.15" customHeight="1">
      <c r="A12" s="877"/>
      <c r="B12" s="401">
        <v>3</v>
      </c>
      <c r="C12" s="405">
        <v>60</v>
      </c>
      <c r="D12" s="406">
        <v>150</v>
      </c>
      <c r="E12" s="401">
        <v>60</v>
      </c>
      <c r="F12" s="431">
        <v>6</v>
      </c>
      <c r="G12" s="432">
        <f>C12+D12+E12</f>
        <v>270</v>
      </c>
      <c r="H12" s="433"/>
      <c r="I12" s="433"/>
      <c r="J12" s="433">
        <f t="shared" ref="J12:J13" si="6">+I12*H12+G12</f>
        <v>270</v>
      </c>
      <c r="K12" s="433">
        <f>+ROUND(D11/600,0)+1</f>
        <v>19</v>
      </c>
      <c r="L12" s="597">
        <v>4</v>
      </c>
      <c r="M12" s="435">
        <f t="shared" si="2"/>
        <v>20.52</v>
      </c>
      <c r="N12" s="435">
        <f t="shared" si="1"/>
        <v>0.222</v>
      </c>
      <c r="O12" s="434">
        <f t="shared" ref="O12" si="7">M12*N12</f>
        <v>4.5554399999999999</v>
      </c>
      <c r="P12" s="510"/>
    </row>
    <row r="13" spans="1:26" s="443" customFormat="1" ht="25.15" customHeight="1">
      <c r="A13" s="877"/>
      <c r="B13" s="411">
        <v>4</v>
      </c>
      <c r="C13" s="405">
        <v>150</v>
      </c>
      <c r="D13" s="406">
        <v>300</v>
      </c>
      <c r="E13" s="401"/>
      <c r="F13" s="431">
        <v>10</v>
      </c>
      <c r="G13" s="432">
        <f>C13+D13+E13</f>
        <v>450</v>
      </c>
      <c r="H13" s="433"/>
      <c r="I13" s="433"/>
      <c r="J13" s="433">
        <f t="shared" si="6"/>
        <v>450</v>
      </c>
      <c r="K13" s="433">
        <f>+K12</f>
        <v>19</v>
      </c>
      <c r="L13" s="433">
        <v>1</v>
      </c>
      <c r="M13" s="435">
        <f t="shared" si="2"/>
        <v>8.5500000000000007</v>
      </c>
      <c r="N13" s="435">
        <f t="shared" si="1"/>
        <v>0.61699999999999999</v>
      </c>
      <c r="O13" s="708"/>
      <c r="P13" s="510" t="s">
        <v>347</v>
      </c>
      <c r="Q13" s="443">
        <f>15647/2</f>
        <v>7823.5</v>
      </c>
    </row>
    <row r="14" spans="1:26" s="442" customFormat="1" ht="15.75">
      <c r="A14" s="877" t="s">
        <v>640</v>
      </c>
      <c r="B14" s="409"/>
      <c r="C14" s="410" t="s">
        <v>321</v>
      </c>
      <c r="D14" s="403">
        <f>(8440+7200)/2</f>
        <v>7820</v>
      </c>
      <c r="E14" s="409" t="s">
        <v>322</v>
      </c>
      <c r="F14" s="438"/>
      <c r="G14" s="439"/>
      <c r="H14" s="440"/>
      <c r="I14" s="440"/>
      <c r="J14" s="440"/>
      <c r="K14" s="440"/>
      <c r="L14" s="440"/>
      <c r="M14" s="441"/>
      <c r="N14" s="441"/>
      <c r="O14" s="436"/>
      <c r="P14" s="510"/>
    </row>
    <row r="15" spans="1:26" s="443" customFormat="1" ht="25.15" customHeight="1">
      <c r="A15" s="877"/>
      <c r="B15" s="401">
        <v>1</v>
      </c>
      <c r="C15" s="405">
        <v>150</v>
      </c>
      <c r="D15" s="406">
        <v>2350</v>
      </c>
      <c r="E15" s="401"/>
      <c r="F15" s="431">
        <v>10</v>
      </c>
      <c r="G15" s="432">
        <f t="shared" ref="G15:G17" si="8">C15+D15+E15</f>
        <v>2500</v>
      </c>
      <c r="H15" s="433"/>
      <c r="I15" s="433"/>
      <c r="J15" s="433">
        <f>+I15*H15+G15</f>
        <v>2500</v>
      </c>
      <c r="K15" s="433">
        <f>+ROUND(D14/200,0)+1</f>
        <v>40</v>
      </c>
      <c r="L15" s="433">
        <v>2</v>
      </c>
      <c r="M15" s="435">
        <f>J15*K15*L15/1000</f>
        <v>200</v>
      </c>
      <c r="N15" s="435">
        <f t="shared" ref="N15:N19" si="9">_xlfn.XLOOKUP(F15,$R$5:$Z$5,$R$6:$Z$6,"NOT_FOUND",0)</f>
        <v>0.61699999999999999</v>
      </c>
      <c r="O15" s="434">
        <f>M15*N15</f>
        <v>123.4</v>
      </c>
      <c r="P15" s="510" t="s">
        <v>347</v>
      </c>
    </row>
    <row r="16" spans="1:26" s="443" customFormat="1" ht="25.15" customHeight="1">
      <c r="A16" s="877"/>
      <c r="B16" s="401">
        <v>2</v>
      </c>
      <c r="C16" s="405"/>
      <c r="D16" s="705">
        <v>8440</v>
      </c>
      <c r="E16" s="401"/>
      <c r="F16" s="431">
        <v>10</v>
      </c>
      <c r="G16" s="432">
        <f t="shared" si="8"/>
        <v>8440</v>
      </c>
      <c r="H16" s="433"/>
      <c r="I16" s="433"/>
      <c r="J16" s="433">
        <f>+I16*H16+G16</f>
        <v>8440</v>
      </c>
      <c r="K16" s="433">
        <v>12</v>
      </c>
      <c r="L16" s="433">
        <v>1</v>
      </c>
      <c r="M16" s="435">
        <f t="shared" ref="M16:M19" si="10">J16*K16*L16/1000</f>
        <v>101.28</v>
      </c>
      <c r="N16" s="435">
        <f t="shared" si="9"/>
        <v>0.61699999999999999</v>
      </c>
      <c r="O16" s="434">
        <f>M16*N16</f>
        <v>62.489759999999997</v>
      </c>
      <c r="P16" s="510"/>
      <c r="S16" s="444"/>
    </row>
    <row r="17" spans="1:20" s="443" customFormat="1" ht="25.15" customHeight="1">
      <c r="A17" s="877"/>
      <c r="B17" s="401">
        <v>2</v>
      </c>
      <c r="C17" s="405"/>
      <c r="D17" s="705">
        <v>7200</v>
      </c>
      <c r="E17" s="401"/>
      <c r="F17" s="431">
        <v>10</v>
      </c>
      <c r="G17" s="432">
        <f t="shared" si="8"/>
        <v>7200</v>
      </c>
      <c r="H17" s="433"/>
      <c r="I17" s="433"/>
      <c r="J17" s="433">
        <f>+I17*H17+G17</f>
        <v>7200</v>
      </c>
      <c r="K17" s="433">
        <v>12</v>
      </c>
      <c r="L17" s="433">
        <v>1</v>
      </c>
      <c r="M17" s="435">
        <f t="shared" si="10"/>
        <v>86.4</v>
      </c>
      <c r="N17" s="435">
        <f t="shared" si="9"/>
        <v>0.61699999999999999</v>
      </c>
      <c r="O17" s="434">
        <f>M17*N17</f>
        <v>53.308800000000005</v>
      </c>
      <c r="P17" s="510"/>
      <c r="S17" s="444"/>
    </row>
    <row r="18" spans="1:20" s="443" customFormat="1" ht="25.15" customHeight="1">
      <c r="A18" s="877"/>
      <c r="B18" s="401">
        <v>3</v>
      </c>
      <c r="C18" s="405">
        <v>60</v>
      </c>
      <c r="D18" s="406">
        <v>150</v>
      </c>
      <c r="E18" s="401">
        <v>60</v>
      </c>
      <c r="F18" s="431">
        <v>6</v>
      </c>
      <c r="G18" s="432">
        <f>C18+D18+E18</f>
        <v>270</v>
      </c>
      <c r="H18" s="433"/>
      <c r="I18" s="433"/>
      <c r="J18" s="433">
        <f t="shared" ref="J18:J19" si="11">+I18*H18+G18</f>
        <v>270</v>
      </c>
      <c r="K18" s="433">
        <f>+ROUND(D17/600,0)+1</f>
        <v>13</v>
      </c>
      <c r="L18" s="597">
        <v>4</v>
      </c>
      <c r="M18" s="435">
        <f t="shared" si="10"/>
        <v>14.04</v>
      </c>
      <c r="N18" s="435">
        <f t="shared" si="9"/>
        <v>0.222</v>
      </c>
      <c r="O18" s="434">
        <f t="shared" ref="O18" si="12">M18*N18</f>
        <v>3.1168799999999997</v>
      </c>
      <c r="P18" s="510"/>
    </row>
    <row r="19" spans="1:20" s="443" customFormat="1" ht="25.15" customHeight="1">
      <c r="A19" s="877"/>
      <c r="B19" s="411">
        <v>4</v>
      </c>
      <c r="C19" s="405">
        <v>150</v>
      </c>
      <c r="D19" s="406">
        <v>300</v>
      </c>
      <c r="E19" s="401"/>
      <c r="F19" s="431">
        <v>10</v>
      </c>
      <c r="G19" s="432">
        <f>C19+D19+E19</f>
        <v>450</v>
      </c>
      <c r="H19" s="433"/>
      <c r="I19" s="433"/>
      <c r="J19" s="433">
        <f t="shared" si="11"/>
        <v>450</v>
      </c>
      <c r="K19" s="433">
        <f>+K18</f>
        <v>13</v>
      </c>
      <c r="L19" s="433">
        <v>1</v>
      </c>
      <c r="M19" s="435">
        <f t="shared" si="10"/>
        <v>5.85</v>
      </c>
      <c r="N19" s="435">
        <f t="shared" si="9"/>
        <v>0.61699999999999999</v>
      </c>
      <c r="O19" s="708"/>
      <c r="P19" s="510" t="s">
        <v>347</v>
      </c>
    </row>
    <row r="20" spans="1:20" s="442" customFormat="1" ht="15.75">
      <c r="A20" s="877" t="s">
        <v>641</v>
      </c>
      <c r="B20" s="409"/>
      <c r="C20" s="410" t="s">
        <v>321</v>
      </c>
      <c r="D20" s="403">
        <f>+(7440+6200)/2</f>
        <v>6820</v>
      </c>
      <c r="E20" s="409" t="s">
        <v>322</v>
      </c>
      <c r="F20" s="438"/>
      <c r="G20" s="439"/>
      <c r="H20" s="440"/>
      <c r="I20" s="440"/>
      <c r="J20" s="440"/>
      <c r="K20" s="440"/>
      <c r="L20" s="440"/>
      <c r="M20" s="441"/>
      <c r="N20" s="441"/>
      <c r="O20" s="436"/>
      <c r="P20" s="510"/>
    </row>
    <row r="21" spans="1:20" s="443" customFormat="1" ht="25.15" customHeight="1">
      <c r="A21" s="877"/>
      <c r="B21" s="401">
        <v>1</v>
      </c>
      <c r="C21" s="405">
        <v>150</v>
      </c>
      <c r="D21" s="406">
        <v>2350</v>
      </c>
      <c r="E21" s="401"/>
      <c r="F21" s="431">
        <v>10</v>
      </c>
      <c r="G21" s="432">
        <f t="shared" ref="G21:G23" si="13">C21+D21+E21</f>
        <v>2500</v>
      </c>
      <c r="H21" s="433"/>
      <c r="I21" s="433"/>
      <c r="J21" s="433">
        <f>+I21*H21+G21</f>
        <v>2500</v>
      </c>
      <c r="K21" s="433">
        <f>+ROUND(D20/200,0)+1</f>
        <v>35</v>
      </c>
      <c r="L21" s="433">
        <v>2</v>
      </c>
      <c r="M21" s="435">
        <f>J21*K21*L21/1000</f>
        <v>175</v>
      </c>
      <c r="N21" s="435">
        <f t="shared" ref="N21:N25" si="14">_xlfn.XLOOKUP(F21,$R$5:$Z$5,$R$6:$Z$6,"NOT_FOUND",0)</f>
        <v>0.61699999999999999</v>
      </c>
      <c r="O21" s="434">
        <f>M21*N21</f>
        <v>107.97499999999999</v>
      </c>
      <c r="P21" s="510" t="s">
        <v>347</v>
      </c>
    </row>
    <row r="22" spans="1:20" s="443" customFormat="1" ht="25.15" customHeight="1">
      <c r="A22" s="877"/>
      <c r="B22" s="401">
        <v>2</v>
      </c>
      <c r="C22" s="405"/>
      <c r="D22" s="705">
        <v>7440</v>
      </c>
      <c r="E22" s="401"/>
      <c r="F22" s="431">
        <v>10</v>
      </c>
      <c r="G22" s="432">
        <f t="shared" si="13"/>
        <v>7440</v>
      </c>
      <c r="H22" s="433"/>
      <c r="I22" s="433"/>
      <c r="J22" s="433">
        <f>+I22*H22+G22</f>
        <v>7440</v>
      </c>
      <c r="K22" s="433">
        <v>12</v>
      </c>
      <c r="L22" s="433">
        <v>1</v>
      </c>
      <c r="M22" s="435">
        <f t="shared" ref="M22:M25" si="15">J22*K22*L22/1000</f>
        <v>89.28</v>
      </c>
      <c r="N22" s="435">
        <f t="shared" si="14"/>
        <v>0.61699999999999999</v>
      </c>
      <c r="O22" s="434">
        <f>M22*N22</f>
        <v>55.085760000000001</v>
      </c>
      <c r="P22" s="510"/>
      <c r="S22" s="444">
        <v>12040</v>
      </c>
      <c r="T22" s="443">
        <f>+S22/200+1</f>
        <v>61.2</v>
      </c>
    </row>
    <row r="23" spans="1:20" s="443" customFormat="1" ht="25.15" customHeight="1">
      <c r="A23" s="877"/>
      <c r="B23" s="401">
        <v>2</v>
      </c>
      <c r="C23" s="405"/>
      <c r="D23" s="705">
        <v>6200</v>
      </c>
      <c r="E23" s="401"/>
      <c r="F23" s="431">
        <v>10</v>
      </c>
      <c r="G23" s="432">
        <f t="shared" si="13"/>
        <v>6200</v>
      </c>
      <c r="H23" s="433"/>
      <c r="I23" s="433"/>
      <c r="J23" s="433">
        <f>+I23*H23+G23</f>
        <v>6200</v>
      </c>
      <c r="K23" s="433">
        <v>12</v>
      </c>
      <c r="L23" s="433">
        <v>1</v>
      </c>
      <c r="M23" s="435">
        <f t="shared" si="15"/>
        <v>74.400000000000006</v>
      </c>
      <c r="N23" s="435">
        <f t="shared" si="14"/>
        <v>0.61699999999999999</v>
      </c>
      <c r="O23" s="434">
        <f>M23*N23</f>
        <v>45.904800000000002</v>
      </c>
      <c r="P23" s="510"/>
      <c r="S23" s="444">
        <v>10440</v>
      </c>
      <c r="T23" s="443">
        <f>+S23/200+1</f>
        <v>53.2</v>
      </c>
    </row>
    <row r="24" spans="1:20" s="443" customFormat="1" ht="25.15" customHeight="1">
      <c r="A24" s="877"/>
      <c r="B24" s="401">
        <v>3</v>
      </c>
      <c r="C24" s="405">
        <v>60</v>
      </c>
      <c r="D24" s="406">
        <v>150</v>
      </c>
      <c r="E24" s="401">
        <v>60</v>
      </c>
      <c r="F24" s="431">
        <v>6</v>
      </c>
      <c r="G24" s="432">
        <f>C24+D24+E24</f>
        <v>270</v>
      </c>
      <c r="H24" s="433"/>
      <c r="I24" s="433"/>
      <c r="J24" s="433">
        <f t="shared" ref="J24:J25" si="16">+I24*H24+G24</f>
        <v>270</v>
      </c>
      <c r="K24" s="433">
        <f>+ROUND(D23/600,0)+1</f>
        <v>11</v>
      </c>
      <c r="L24" s="597">
        <v>4</v>
      </c>
      <c r="M24" s="435">
        <f t="shared" si="15"/>
        <v>11.88</v>
      </c>
      <c r="N24" s="435">
        <f t="shared" si="14"/>
        <v>0.222</v>
      </c>
      <c r="O24" s="434">
        <f t="shared" ref="O24" si="17">M24*N24</f>
        <v>2.6373600000000001</v>
      </c>
      <c r="P24" s="510"/>
    </row>
    <row r="25" spans="1:20" s="443" customFormat="1" ht="25.15" customHeight="1">
      <c r="A25" s="877"/>
      <c r="B25" s="411">
        <v>4</v>
      </c>
      <c r="C25" s="405">
        <v>150</v>
      </c>
      <c r="D25" s="406">
        <v>300</v>
      </c>
      <c r="E25" s="401"/>
      <c r="F25" s="431">
        <v>10</v>
      </c>
      <c r="G25" s="432">
        <f>C25+D25+E25</f>
        <v>450</v>
      </c>
      <c r="H25" s="433"/>
      <c r="I25" s="433"/>
      <c r="J25" s="433">
        <f t="shared" si="16"/>
        <v>450</v>
      </c>
      <c r="K25" s="433">
        <f>+K24</f>
        <v>11</v>
      </c>
      <c r="L25" s="433">
        <v>1</v>
      </c>
      <c r="M25" s="435">
        <f t="shared" si="15"/>
        <v>4.95</v>
      </c>
      <c r="N25" s="435">
        <f t="shared" si="14"/>
        <v>0.61699999999999999</v>
      </c>
      <c r="O25" s="708"/>
      <c r="P25" s="510" t="s">
        <v>347</v>
      </c>
    </row>
    <row r="26" spans="1:20" s="442" customFormat="1" ht="25.15" customHeight="1">
      <c r="A26" s="840" t="s">
        <v>270</v>
      </c>
      <c r="B26" s="841"/>
      <c r="C26" s="841"/>
      <c r="D26" s="841"/>
      <c r="E26" s="841"/>
      <c r="F26" s="841"/>
      <c r="G26" s="841"/>
      <c r="H26" s="841"/>
      <c r="I26" s="841"/>
      <c r="J26" s="841"/>
      <c r="K26" s="841"/>
      <c r="L26" s="841"/>
      <c r="M26" s="841"/>
      <c r="N26" s="842"/>
      <c r="O26" s="436">
        <f>SUM(O8:O25)</f>
        <v>800.76072000000011</v>
      </c>
      <c r="P26" s="408"/>
    </row>
    <row r="27" spans="1:20" s="442" customFormat="1" ht="25.15" customHeight="1">
      <c r="A27" s="873" t="s">
        <v>564</v>
      </c>
      <c r="B27" s="874"/>
      <c r="C27" s="874"/>
      <c r="D27" s="874"/>
      <c r="E27" s="874"/>
      <c r="F27" s="874"/>
      <c r="G27" s="874"/>
      <c r="H27" s="874"/>
      <c r="I27" s="874"/>
      <c r="J27" s="874"/>
      <c r="K27" s="874"/>
      <c r="L27" s="874"/>
      <c r="M27" s="874"/>
      <c r="N27" s="875"/>
      <c r="O27" s="461">
        <f>SUMIF(B9:B25,"4",O9:O25)</f>
        <v>0</v>
      </c>
      <c r="P27" s="464"/>
    </row>
    <row r="28" spans="1:20" s="442" customFormat="1" ht="25.15" customHeight="1">
      <c r="A28" s="876" t="s">
        <v>626</v>
      </c>
      <c r="B28" s="876"/>
      <c r="C28" s="876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O28" s="445">
        <f>O26-O27</f>
        <v>800.76072000000011</v>
      </c>
      <c r="P28" s="465"/>
    </row>
    <row r="29" spans="1:20" s="430" customFormat="1" ht="15.75">
      <c r="A29" s="413"/>
      <c r="B29" s="413"/>
      <c r="C29" s="413"/>
      <c r="D29" s="414"/>
      <c r="E29" s="414"/>
      <c r="F29" s="414"/>
      <c r="G29" s="413"/>
      <c r="H29" s="413"/>
      <c r="I29" s="413"/>
      <c r="J29" s="413"/>
      <c r="K29" s="415"/>
      <c r="L29" s="415"/>
      <c r="M29" s="527"/>
      <c r="N29" s="416"/>
      <c r="O29" s="416"/>
      <c r="P29" s="511"/>
    </row>
    <row r="30" spans="1:20" s="448" customFormat="1" ht="20.25" customHeight="1">
      <c r="A30" s="446"/>
      <c r="B30" s="843" t="s">
        <v>85</v>
      </c>
      <c r="C30" s="843"/>
      <c r="D30" s="843"/>
      <c r="E30" s="447"/>
      <c r="G30" s="447"/>
      <c r="H30" s="449"/>
      <c r="L30" s="340"/>
      <c r="M30" s="531"/>
      <c r="N30" s="843" t="s">
        <v>82</v>
      </c>
      <c r="O30" s="843"/>
      <c r="P30" s="843"/>
    </row>
    <row r="31" spans="1:20" s="450" customFormat="1" ht="25.15" customHeight="1">
      <c r="A31" s="413"/>
      <c r="B31" s="413"/>
      <c r="C31" s="413"/>
      <c r="D31" s="414"/>
      <c r="E31" s="414"/>
      <c r="F31" s="414"/>
      <c r="G31" s="413"/>
      <c r="H31" s="413"/>
      <c r="I31" s="413"/>
      <c r="J31" s="413"/>
      <c r="K31" s="415"/>
      <c r="L31" s="415"/>
      <c r="M31" s="527"/>
      <c r="N31" s="417"/>
      <c r="O31" s="418"/>
      <c r="P31" s="512"/>
    </row>
    <row r="32" spans="1:20" s="450" customFormat="1" ht="22.9" customHeight="1">
      <c r="A32" s="413"/>
      <c r="B32" s="413"/>
      <c r="C32" s="413"/>
      <c r="D32" s="414"/>
      <c r="E32" s="414"/>
      <c r="F32" s="414"/>
      <c r="G32" s="413"/>
      <c r="H32" s="413"/>
      <c r="I32" s="413"/>
      <c r="J32" s="413"/>
      <c r="K32" s="415"/>
      <c r="L32" s="415"/>
      <c r="M32" s="527"/>
      <c r="N32" s="417"/>
      <c r="O32" s="418"/>
      <c r="P32" s="512"/>
    </row>
    <row r="33" spans="1:16" s="450" customFormat="1" ht="22.9" customHeight="1">
      <c r="A33" s="413"/>
      <c r="B33" s="413"/>
      <c r="C33" s="413"/>
      <c r="D33" s="414"/>
      <c r="E33" s="414"/>
      <c r="F33" s="657">
        <v>6</v>
      </c>
      <c r="G33" s="642" t="s">
        <v>107</v>
      </c>
      <c r="H33" s="642">
        <f>+SUMIF($F$8:$F$25,F33,$O$8:$O$25)</f>
        <v>10.30968</v>
      </c>
      <c r="I33" s="413"/>
      <c r="J33" s="413"/>
      <c r="K33" s="415"/>
      <c r="L33" s="415"/>
      <c r="M33" s="527"/>
      <c r="N33" s="417"/>
      <c r="O33" s="418"/>
      <c r="P33" s="512"/>
    </row>
    <row r="34" spans="1:16" s="450" customFormat="1" ht="22.9" customHeight="1">
      <c r="A34" s="413"/>
      <c r="B34" s="413"/>
      <c r="C34" s="413"/>
      <c r="D34" s="414"/>
      <c r="E34" s="414"/>
      <c r="F34" s="657">
        <v>8</v>
      </c>
      <c r="G34" s="642" t="s">
        <v>107</v>
      </c>
      <c r="H34" s="642">
        <f t="shared" ref="H34:H36" si="18">+SUMIF($F$8:$F$25,F34,$O$8:$O$25)</f>
        <v>0</v>
      </c>
      <c r="I34" s="413"/>
      <c r="J34" s="413"/>
      <c r="K34" s="415"/>
      <c r="L34" s="415"/>
      <c r="M34" s="527"/>
      <c r="N34" s="417"/>
      <c r="O34" s="418"/>
      <c r="P34" s="512"/>
    </row>
    <row r="35" spans="1:16" s="450" customFormat="1" ht="22.9" customHeight="1">
      <c r="A35" s="413"/>
      <c r="B35" s="413"/>
      <c r="C35" s="413"/>
      <c r="D35" s="414"/>
      <c r="E35" s="414"/>
      <c r="F35" s="657">
        <v>10</v>
      </c>
      <c r="G35" s="642" t="s">
        <v>107</v>
      </c>
      <c r="H35" s="642">
        <f t="shared" si="18"/>
        <v>790.45104000000015</v>
      </c>
      <c r="I35" s="413"/>
      <c r="J35" s="413"/>
      <c r="K35" s="415"/>
      <c r="L35" s="415"/>
      <c r="M35" s="527"/>
      <c r="N35" s="417"/>
      <c r="O35" s="418"/>
      <c r="P35" s="512"/>
    </row>
    <row r="36" spans="1:16" ht="22.9" customHeight="1">
      <c r="F36" s="658">
        <v>12</v>
      </c>
      <c r="G36" s="642" t="s">
        <v>107</v>
      </c>
      <c r="H36" s="642">
        <f t="shared" si="18"/>
        <v>0</v>
      </c>
    </row>
  </sheetData>
  <mergeCells count="26">
    <mergeCell ref="A1:P1"/>
    <mergeCell ref="A2:P2"/>
    <mergeCell ref="A3:P3"/>
    <mergeCell ref="A5:A6"/>
    <mergeCell ref="B5:B6"/>
    <mergeCell ref="C5:E6"/>
    <mergeCell ref="F5:F6"/>
    <mergeCell ref="G5:G6"/>
    <mergeCell ref="H5:H6"/>
    <mergeCell ref="I5:I6"/>
    <mergeCell ref="P5:P6"/>
    <mergeCell ref="K5:K6"/>
    <mergeCell ref="L5:L6"/>
    <mergeCell ref="M5:M6"/>
    <mergeCell ref="N5:N6"/>
    <mergeCell ref="O5:O6"/>
    <mergeCell ref="C7:E7"/>
    <mergeCell ref="A8:A13"/>
    <mergeCell ref="A14:A19"/>
    <mergeCell ref="A20:A25"/>
    <mergeCell ref="J5:J6"/>
    <mergeCell ref="A26:N26"/>
    <mergeCell ref="A27:N27"/>
    <mergeCell ref="A28:N28"/>
    <mergeCell ref="B30:D30"/>
    <mergeCell ref="N30:P30"/>
  </mergeCells>
  <printOptions horizontalCentered="1"/>
  <pageMargins left="0.47244094488188981" right="0.15748031496062992" top="0.39370078740157483" bottom="0.39370078740157483" header="0.27559055118110237" footer="0.19685039370078741"/>
  <pageSetup paperSize="9" scale="85" fitToHeight="0" orientation="landscape" r:id="rId1"/>
  <headerFooter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D04C-76B6-4FE1-987F-92D043032F4B}">
  <sheetPr codeName="Sheet12">
    <pageSetUpPr fitToPage="1"/>
  </sheetPr>
  <dimension ref="A1:Z204"/>
  <sheetViews>
    <sheetView view="pageBreakPreview" zoomScale="70" zoomScaleNormal="80" zoomScaleSheetLayoutView="70" workbookViewId="0">
      <pane ySplit="6" topLeftCell="A175" activePane="bottomLeft" state="frozen"/>
      <selection pane="bottomLeft" activeCell="D86" sqref="D86:D87"/>
    </sheetView>
  </sheetViews>
  <sheetFormatPr defaultColWidth="9" defaultRowHeight="14.25"/>
  <cols>
    <col min="1" max="1" width="16.875" style="451" customWidth="1"/>
    <col min="2" max="2" width="5.25" style="451" customWidth="1"/>
    <col min="3" max="3" width="4.125" style="451" customWidth="1"/>
    <col min="4" max="4" width="13.125" style="452" customWidth="1"/>
    <col min="5" max="5" width="5" style="452" customWidth="1"/>
    <col min="6" max="6" width="6.125" style="714" customWidth="1"/>
    <col min="7" max="7" width="10.25" style="451" customWidth="1"/>
    <col min="8" max="8" width="10.375" style="451" customWidth="1"/>
    <col min="9" max="10" width="8.75" style="451" customWidth="1"/>
    <col min="11" max="11" width="6.875" style="453" customWidth="1"/>
    <col min="12" max="12" width="8.125" style="453" customWidth="1"/>
    <col min="13" max="13" width="13" style="532" customWidth="1"/>
    <col min="14" max="14" width="9.375" style="455" customWidth="1"/>
    <col min="15" max="15" width="11.875" style="456" bestFit="1" customWidth="1"/>
    <col min="16" max="16" width="19.875" style="513" customWidth="1"/>
    <col min="17" max="17" width="10.625" style="458" customWidth="1"/>
    <col min="18" max="18" width="13.25" style="458" customWidth="1"/>
    <col min="19" max="16384" width="9" style="458"/>
  </cols>
  <sheetData>
    <row r="1" spans="1:26" s="429" customFormat="1" ht="26.25" customHeight="1">
      <c r="A1" s="844" t="s">
        <v>740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524"/>
      <c r="N4" s="400"/>
      <c r="O4" s="400"/>
      <c r="P4" s="509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78" t="s">
        <v>323</v>
      </c>
      <c r="I5" s="878" t="s">
        <v>113</v>
      </c>
      <c r="J5" s="857" t="s">
        <v>492</v>
      </c>
      <c r="K5" s="859" t="s">
        <v>344</v>
      </c>
      <c r="L5" s="860" t="s">
        <v>345</v>
      </c>
      <c r="M5" s="865" t="s">
        <v>114</v>
      </c>
      <c r="N5" s="861" t="s">
        <v>115</v>
      </c>
      <c r="O5" s="882" t="s">
        <v>320</v>
      </c>
      <c r="P5" s="880" t="s">
        <v>2</v>
      </c>
      <c r="R5" s="430">
        <v>6</v>
      </c>
      <c r="S5" s="430">
        <v>8</v>
      </c>
      <c r="T5" s="430">
        <v>10</v>
      </c>
      <c r="U5" s="430">
        <v>12</v>
      </c>
      <c r="V5" s="430">
        <v>14</v>
      </c>
      <c r="W5" s="430">
        <v>16</v>
      </c>
      <c r="X5" s="430">
        <v>18</v>
      </c>
      <c r="Y5" s="430">
        <v>20</v>
      </c>
      <c r="Z5" s="43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79"/>
      <c r="I6" s="879"/>
      <c r="J6" s="858"/>
      <c r="K6" s="859"/>
      <c r="L6" s="860"/>
      <c r="M6" s="866"/>
      <c r="N6" s="862"/>
      <c r="O6" s="883"/>
      <c r="P6" s="881"/>
      <c r="R6" s="430">
        <v>0.222</v>
      </c>
      <c r="S6" s="430">
        <v>0.39500000000000002</v>
      </c>
      <c r="T6" s="430">
        <v>0.61699999999999999</v>
      </c>
      <c r="U6" s="430">
        <v>0.88800000000000001</v>
      </c>
      <c r="V6" s="430">
        <v>1.21</v>
      </c>
      <c r="W6" s="430">
        <v>1.58</v>
      </c>
      <c r="X6" s="430">
        <v>2</v>
      </c>
      <c r="Y6" s="430">
        <v>2.4700000000000002</v>
      </c>
      <c r="Z6" s="43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 t="s">
        <v>28</v>
      </c>
      <c r="I7" s="508" t="s">
        <v>29</v>
      </c>
      <c r="J7" s="508"/>
      <c r="K7" s="505" t="s">
        <v>30</v>
      </c>
      <c r="L7" s="505" t="s">
        <v>31</v>
      </c>
      <c r="M7" s="525" t="s">
        <v>326</v>
      </c>
      <c r="N7" s="505" t="s">
        <v>328</v>
      </c>
      <c r="O7" s="505" t="s">
        <v>343</v>
      </c>
      <c r="P7" s="505" t="s">
        <v>348</v>
      </c>
    </row>
    <row r="8" spans="1:26" s="442" customFormat="1" ht="15.75">
      <c r="A8" s="877" t="s">
        <v>752</v>
      </c>
      <c r="B8" s="409"/>
      <c r="C8" s="410" t="s">
        <v>321</v>
      </c>
      <c r="D8" s="698">
        <v>49435</v>
      </c>
      <c r="E8" s="409" t="s">
        <v>322</v>
      </c>
      <c r="F8" s="438"/>
      <c r="G8" s="439"/>
      <c r="H8" s="440"/>
      <c r="I8" s="440"/>
      <c r="J8" s="440"/>
      <c r="K8" s="440"/>
      <c r="L8" s="440"/>
      <c r="M8" s="441"/>
      <c r="N8" s="441"/>
      <c r="O8" s="436"/>
      <c r="P8" s="510"/>
    </row>
    <row r="9" spans="1:26" s="443" customFormat="1" ht="25.15" customHeight="1">
      <c r="A9" s="877"/>
      <c r="B9" s="401">
        <v>1</v>
      </c>
      <c r="C9" s="405">
        <v>150</v>
      </c>
      <c r="D9" s="406">
        <v>1350</v>
      </c>
      <c r="E9" s="401">
        <v>150</v>
      </c>
      <c r="F9" s="431">
        <v>10</v>
      </c>
      <c r="G9" s="432">
        <f t="shared" ref="G9:G10" si="0">C9+D9+E9</f>
        <v>1650</v>
      </c>
      <c r="H9" s="433"/>
      <c r="I9" s="433"/>
      <c r="J9" s="433">
        <f>+I9*H9+G9</f>
        <v>1650</v>
      </c>
      <c r="K9" s="597">
        <f>+ROUND(D8/200,0)+1</f>
        <v>248</v>
      </c>
      <c r="L9" s="433">
        <v>2</v>
      </c>
      <c r="M9" s="435">
        <f>J9*K9*L9/1000</f>
        <v>818.4</v>
      </c>
      <c r="N9" s="435">
        <f t="shared" ref="N9:N12" si="1">_xlfn.XLOOKUP(F9,$R$5:$Z$5,$R$6:$Z$6,"NOT_FOUND",0)</f>
        <v>0.61699999999999999</v>
      </c>
      <c r="O9" s="434">
        <f>M9*N9</f>
        <v>504.95279999999997</v>
      </c>
      <c r="P9" s="510"/>
    </row>
    <row r="10" spans="1:26" s="443" customFormat="1" ht="25.15" customHeight="1">
      <c r="A10" s="877"/>
      <c r="B10" s="401">
        <v>2</v>
      </c>
      <c r="C10" s="405"/>
      <c r="D10" s="705">
        <f>D8-25</f>
        <v>49410</v>
      </c>
      <c r="E10" s="401"/>
      <c r="F10" s="431">
        <v>10</v>
      </c>
      <c r="G10" s="432">
        <f t="shared" si="0"/>
        <v>49410</v>
      </c>
      <c r="H10" s="433">
        <f>ROUNDUP((D8/11.7/1000),0)-1</f>
        <v>4</v>
      </c>
      <c r="I10" s="433">
        <f>45*F10</f>
        <v>450</v>
      </c>
      <c r="J10" s="433">
        <f>+I10*H10+G10</f>
        <v>51210</v>
      </c>
      <c r="K10" s="433">
        <v>8</v>
      </c>
      <c r="L10" s="433">
        <v>2</v>
      </c>
      <c r="M10" s="435">
        <f t="shared" ref="M10:M12" si="2">J10*K10*L10/1000</f>
        <v>819.36</v>
      </c>
      <c r="N10" s="435">
        <f t="shared" si="1"/>
        <v>0.61699999999999999</v>
      </c>
      <c r="O10" s="434">
        <f>M10*N10</f>
        <v>505.54512</v>
      </c>
      <c r="P10" s="510"/>
      <c r="S10" s="444"/>
    </row>
    <row r="11" spans="1:26" s="443" customFormat="1" ht="25.15" customHeight="1">
      <c r="A11" s="877"/>
      <c r="B11" s="401">
        <v>3</v>
      </c>
      <c r="C11" s="405">
        <v>60</v>
      </c>
      <c r="D11" s="406">
        <v>150</v>
      </c>
      <c r="E11" s="401">
        <v>60</v>
      </c>
      <c r="F11" s="431">
        <v>6</v>
      </c>
      <c r="G11" s="432">
        <f>C11+D11+E11</f>
        <v>270</v>
      </c>
      <c r="H11" s="433"/>
      <c r="I11" s="433"/>
      <c r="J11" s="433">
        <f t="shared" ref="J11" si="3">+I11*H11+G11</f>
        <v>270</v>
      </c>
      <c r="K11" s="433">
        <f>+ROUND(D8/600,0)+1</f>
        <v>83</v>
      </c>
      <c r="L11" s="433">
        <v>2</v>
      </c>
      <c r="M11" s="435">
        <f t="shared" ref="M11" si="4">J11*K11*L11/1000</f>
        <v>44.82</v>
      </c>
      <c r="N11" s="435">
        <f t="shared" ref="N11" si="5">_xlfn.XLOOKUP(F11,$R$5:$Z$5,$R$6:$Z$6,"NOT_FOUND",0)</f>
        <v>0.222</v>
      </c>
      <c r="O11" s="434">
        <f t="shared" ref="O11" si="6">M11*N11</f>
        <v>9.9500399999999996</v>
      </c>
      <c r="P11" s="510"/>
    </row>
    <row r="12" spans="1:26" s="443" customFormat="1" ht="25.15" customHeight="1">
      <c r="A12" s="877"/>
      <c r="B12" s="411">
        <v>4</v>
      </c>
      <c r="C12" s="405">
        <v>150</v>
      </c>
      <c r="D12" s="406">
        <v>300</v>
      </c>
      <c r="E12" s="401"/>
      <c r="F12" s="431">
        <v>10</v>
      </c>
      <c r="G12" s="432">
        <f>C12+D12+E12</f>
        <v>450</v>
      </c>
      <c r="H12" s="433"/>
      <c r="I12" s="433"/>
      <c r="J12" s="433">
        <f t="shared" ref="J12" si="7">+I12*H12+G12</f>
        <v>450</v>
      </c>
      <c r="K12" s="433">
        <f>+K11</f>
        <v>83</v>
      </c>
      <c r="L12" s="433">
        <v>1</v>
      </c>
      <c r="M12" s="435">
        <f t="shared" si="2"/>
        <v>37.35</v>
      </c>
      <c r="N12" s="435">
        <f t="shared" si="1"/>
        <v>0.61699999999999999</v>
      </c>
      <c r="O12" s="434">
        <f t="shared" ref="O12" si="8">M12*N12</f>
        <v>23.04495</v>
      </c>
      <c r="P12" s="510" t="s">
        <v>347</v>
      </c>
    </row>
    <row r="13" spans="1:26" s="442" customFormat="1" ht="15.75">
      <c r="A13" s="877" t="s">
        <v>528</v>
      </c>
      <c r="B13" s="409"/>
      <c r="C13" s="410" t="s">
        <v>321</v>
      </c>
      <c r="D13" s="403">
        <v>71040</v>
      </c>
      <c r="E13" s="409" t="s">
        <v>322</v>
      </c>
      <c r="F13" s="438"/>
      <c r="G13" s="439"/>
      <c r="H13" s="440"/>
      <c r="I13" s="440"/>
      <c r="J13" s="440"/>
      <c r="K13" s="440"/>
      <c r="L13" s="440"/>
      <c r="M13" s="441"/>
      <c r="N13" s="441"/>
      <c r="O13" s="436"/>
      <c r="P13" s="510"/>
    </row>
    <row r="14" spans="1:26" s="443" customFormat="1" ht="25.15" customHeight="1">
      <c r="A14" s="877"/>
      <c r="B14" s="401">
        <v>1</v>
      </c>
      <c r="C14" s="405">
        <v>150</v>
      </c>
      <c r="D14" s="406">
        <v>1350</v>
      </c>
      <c r="E14" s="401">
        <v>150</v>
      </c>
      <c r="F14" s="431">
        <v>10</v>
      </c>
      <c r="G14" s="432">
        <f t="shared" ref="G14:G15" si="9">C14+D14+E14</f>
        <v>1650</v>
      </c>
      <c r="H14" s="433"/>
      <c r="I14" s="433"/>
      <c r="J14" s="433">
        <f>+I14*H14+G14</f>
        <v>1650</v>
      </c>
      <c r="K14" s="433">
        <f>+ROUND(D13/200,0)+1</f>
        <v>356</v>
      </c>
      <c r="L14" s="433">
        <v>2</v>
      </c>
      <c r="M14" s="435">
        <f>J14*K14*L14/1000</f>
        <v>1174.8</v>
      </c>
      <c r="N14" s="435">
        <f t="shared" ref="N14:N17" si="10">_xlfn.XLOOKUP(F14,$R$5:$Z$5,$R$6:$Z$6,"NOT_FOUND",0)</f>
        <v>0.61699999999999999</v>
      </c>
      <c r="O14" s="434">
        <f>M14*N14</f>
        <v>724.85159999999996</v>
      </c>
      <c r="P14" s="510"/>
    </row>
    <row r="15" spans="1:26" s="443" customFormat="1" ht="25.15" customHeight="1">
      <c r="A15" s="877"/>
      <c r="B15" s="401">
        <v>2</v>
      </c>
      <c r="C15" s="405"/>
      <c r="D15" s="459">
        <f>D13-60</f>
        <v>70980</v>
      </c>
      <c r="E15" s="401"/>
      <c r="F15" s="431">
        <v>10</v>
      </c>
      <c r="G15" s="432">
        <f t="shared" si="9"/>
        <v>70980</v>
      </c>
      <c r="H15" s="433">
        <f>ROUNDUP((D13/11.7/1000),0)-1</f>
        <v>6</v>
      </c>
      <c r="I15" s="433">
        <f>45*F15</f>
        <v>450</v>
      </c>
      <c r="J15" s="433">
        <f>+I15*H15+G15</f>
        <v>73680</v>
      </c>
      <c r="K15" s="433">
        <v>8</v>
      </c>
      <c r="L15" s="433">
        <v>2</v>
      </c>
      <c r="M15" s="435">
        <f t="shared" ref="M15:M17" si="11">J15*K15*L15/1000</f>
        <v>1178.8800000000001</v>
      </c>
      <c r="N15" s="435">
        <f t="shared" si="10"/>
        <v>0.61699999999999999</v>
      </c>
      <c r="O15" s="434">
        <f>M15*N15</f>
        <v>727.36896000000002</v>
      </c>
      <c r="P15" s="510"/>
      <c r="S15" s="444"/>
    </row>
    <row r="16" spans="1:26" s="443" customFormat="1" ht="25.15" customHeight="1">
      <c r="A16" s="877"/>
      <c r="B16" s="401">
        <v>3</v>
      </c>
      <c r="C16" s="405">
        <v>60</v>
      </c>
      <c r="D16" s="406">
        <v>150</v>
      </c>
      <c r="E16" s="401">
        <v>60</v>
      </c>
      <c r="F16" s="431">
        <v>6</v>
      </c>
      <c r="G16" s="432">
        <f>C16+D16+E16</f>
        <v>270</v>
      </c>
      <c r="H16" s="433"/>
      <c r="I16" s="433"/>
      <c r="J16" s="433">
        <f t="shared" ref="J16:J17" si="12">+I16*H16+G16</f>
        <v>270</v>
      </c>
      <c r="K16" s="433">
        <f>+ROUND(D13/600,0)+1</f>
        <v>119</v>
      </c>
      <c r="L16" s="433">
        <v>2</v>
      </c>
      <c r="M16" s="435">
        <f t="shared" si="11"/>
        <v>64.260000000000005</v>
      </c>
      <c r="N16" s="435">
        <f t="shared" si="10"/>
        <v>0.222</v>
      </c>
      <c r="O16" s="434">
        <f t="shared" ref="O16:O17" si="13">M16*N16</f>
        <v>14.265720000000002</v>
      </c>
      <c r="P16" s="510"/>
    </row>
    <row r="17" spans="1:19" s="443" customFormat="1" ht="25.15" customHeight="1">
      <c r="A17" s="877"/>
      <c r="B17" s="411">
        <v>4</v>
      </c>
      <c r="C17" s="405">
        <v>150</v>
      </c>
      <c r="D17" s="406">
        <v>300</v>
      </c>
      <c r="E17" s="401"/>
      <c r="F17" s="431">
        <v>10</v>
      </c>
      <c r="G17" s="432">
        <f>C17+D17+E17</f>
        <v>450</v>
      </c>
      <c r="H17" s="433"/>
      <c r="I17" s="433"/>
      <c r="J17" s="433">
        <f t="shared" si="12"/>
        <v>450</v>
      </c>
      <c r="K17" s="433">
        <f>+K16</f>
        <v>119</v>
      </c>
      <c r="L17" s="433">
        <v>1</v>
      </c>
      <c r="M17" s="435">
        <f t="shared" si="11"/>
        <v>53.55</v>
      </c>
      <c r="N17" s="435">
        <f t="shared" si="10"/>
        <v>0.61699999999999999</v>
      </c>
      <c r="O17" s="434">
        <f t="shared" si="13"/>
        <v>33.040349999999997</v>
      </c>
      <c r="P17" s="510" t="s">
        <v>347</v>
      </c>
    </row>
    <row r="18" spans="1:19" s="442" customFormat="1" ht="15.75">
      <c r="A18" s="877" t="s">
        <v>527</v>
      </c>
      <c r="B18" s="409"/>
      <c r="C18" s="410" t="s">
        <v>321</v>
      </c>
      <c r="D18" s="403">
        <v>12375</v>
      </c>
      <c r="E18" s="409" t="s">
        <v>322</v>
      </c>
      <c r="F18" s="438"/>
      <c r="G18" s="439"/>
      <c r="H18" s="440"/>
      <c r="I18" s="440"/>
      <c r="J18" s="440"/>
      <c r="K18" s="440"/>
      <c r="L18" s="440"/>
      <c r="M18" s="441"/>
      <c r="N18" s="441"/>
      <c r="O18" s="436"/>
      <c r="P18" s="709" t="s">
        <v>753</v>
      </c>
    </row>
    <row r="19" spans="1:19" s="443" customFormat="1" ht="25.15" customHeight="1">
      <c r="A19" s="877"/>
      <c r="B19" s="401">
        <v>1</v>
      </c>
      <c r="C19" s="405">
        <v>150</v>
      </c>
      <c r="D19" s="406">
        <v>1350</v>
      </c>
      <c r="E19" s="401">
        <v>150</v>
      </c>
      <c r="F19" s="431">
        <v>10</v>
      </c>
      <c r="G19" s="432">
        <f t="shared" ref="G19:G20" si="14">C19+D19+E19</f>
        <v>1650</v>
      </c>
      <c r="H19" s="433"/>
      <c r="I19" s="433"/>
      <c r="J19" s="433">
        <f>+I19*H19+G19</f>
        <v>1650</v>
      </c>
      <c r="K19" s="433">
        <f>+ROUND(D18/200,0)+1</f>
        <v>63</v>
      </c>
      <c r="L19" s="433">
        <v>2</v>
      </c>
      <c r="M19" s="435">
        <f>J19*K19*L19/1000</f>
        <v>207.9</v>
      </c>
      <c r="N19" s="435">
        <f t="shared" ref="N19:N22" si="15">_xlfn.XLOOKUP(F19,$R$5:$Z$5,$R$6:$Z$6,"NOT_FOUND",0)</f>
        <v>0.61699999999999999</v>
      </c>
      <c r="O19" s="434"/>
      <c r="P19" s="510"/>
    </row>
    <row r="20" spans="1:19" s="443" customFormat="1" ht="25.15" customHeight="1">
      <c r="A20" s="877"/>
      <c r="B20" s="401">
        <v>2</v>
      </c>
      <c r="C20" s="405"/>
      <c r="D20" s="459">
        <f>D18-60</f>
        <v>12315</v>
      </c>
      <c r="E20" s="401"/>
      <c r="F20" s="431">
        <v>10</v>
      </c>
      <c r="G20" s="432">
        <f t="shared" si="14"/>
        <v>12315</v>
      </c>
      <c r="H20" s="433">
        <f>ROUNDUP((D18/11.7/1000),0)-1</f>
        <v>1</v>
      </c>
      <c r="I20" s="433">
        <f>45*F20</f>
        <v>450</v>
      </c>
      <c r="J20" s="433">
        <f>+I20*H20+G20</f>
        <v>12765</v>
      </c>
      <c r="K20" s="433">
        <v>8</v>
      </c>
      <c r="L20" s="433">
        <v>2</v>
      </c>
      <c r="M20" s="435">
        <f t="shared" ref="M20:M22" si="16">J20*K20*L20/1000</f>
        <v>204.24</v>
      </c>
      <c r="N20" s="435">
        <f t="shared" si="15"/>
        <v>0.61699999999999999</v>
      </c>
      <c r="O20" s="434"/>
      <c r="P20" s="510"/>
      <c r="S20" s="444"/>
    </row>
    <row r="21" spans="1:19" s="443" customFormat="1" ht="25.15" customHeight="1">
      <c r="A21" s="877"/>
      <c r="B21" s="401">
        <v>3</v>
      </c>
      <c r="C21" s="405">
        <v>60</v>
      </c>
      <c r="D21" s="406">
        <v>150</v>
      </c>
      <c r="E21" s="401">
        <v>60</v>
      </c>
      <c r="F21" s="431">
        <v>6</v>
      </c>
      <c r="G21" s="432">
        <f>C21+D21+E21</f>
        <v>270</v>
      </c>
      <c r="H21" s="433"/>
      <c r="I21" s="433"/>
      <c r="J21" s="433">
        <f t="shared" ref="J21:J22" si="17">+I21*H21+G21</f>
        <v>270</v>
      </c>
      <c r="K21" s="433">
        <f>+ROUND(D18/600,0)+1</f>
        <v>22</v>
      </c>
      <c r="L21" s="433">
        <v>2</v>
      </c>
      <c r="M21" s="435">
        <f t="shared" si="16"/>
        <v>11.88</v>
      </c>
      <c r="N21" s="435">
        <f t="shared" si="15"/>
        <v>0.222</v>
      </c>
      <c r="O21" s="434"/>
      <c r="P21" s="510"/>
    </row>
    <row r="22" spans="1:19" s="443" customFormat="1" ht="25.15" customHeight="1">
      <c r="A22" s="877"/>
      <c r="B22" s="411">
        <v>4</v>
      </c>
      <c r="C22" s="405">
        <v>150</v>
      </c>
      <c r="D22" s="406">
        <v>300</v>
      </c>
      <c r="E22" s="401"/>
      <c r="F22" s="431">
        <v>10</v>
      </c>
      <c r="G22" s="432">
        <f>C22+D22+E22</f>
        <v>450</v>
      </c>
      <c r="H22" s="433"/>
      <c r="I22" s="433"/>
      <c r="J22" s="433">
        <f t="shared" si="17"/>
        <v>450</v>
      </c>
      <c r="K22" s="433">
        <f>+K21</f>
        <v>22</v>
      </c>
      <c r="L22" s="433">
        <v>1</v>
      </c>
      <c r="M22" s="435">
        <f t="shared" si="16"/>
        <v>9.9</v>
      </c>
      <c r="N22" s="435">
        <f t="shared" si="15"/>
        <v>0.61699999999999999</v>
      </c>
      <c r="O22" s="434"/>
      <c r="P22" s="510" t="s">
        <v>347</v>
      </c>
    </row>
    <row r="23" spans="1:19" s="442" customFormat="1" ht="15.75">
      <c r="A23" s="877" t="s">
        <v>754</v>
      </c>
      <c r="B23" s="409"/>
      <c r="C23" s="410" t="s">
        <v>321</v>
      </c>
      <c r="D23" s="698">
        <v>6480</v>
      </c>
      <c r="E23" s="409" t="s">
        <v>322</v>
      </c>
      <c r="F23" s="438"/>
      <c r="G23" s="439"/>
      <c r="H23" s="440"/>
      <c r="I23" s="440"/>
      <c r="J23" s="440"/>
      <c r="K23" s="440"/>
      <c r="L23" s="440"/>
      <c r="M23" s="441"/>
      <c r="N23" s="441"/>
      <c r="O23" s="436"/>
      <c r="P23" s="709"/>
    </row>
    <row r="24" spans="1:19" s="443" customFormat="1" ht="25.15" customHeight="1">
      <c r="A24" s="877"/>
      <c r="B24" s="401">
        <v>1</v>
      </c>
      <c r="C24" s="405">
        <v>150</v>
      </c>
      <c r="D24" s="406">
        <v>1350</v>
      </c>
      <c r="E24" s="401">
        <v>150</v>
      </c>
      <c r="F24" s="431">
        <v>10</v>
      </c>
      <c r="G24" s="432">
        <f t="shared" ref="G24" si="18">C24+D24+E24</f>
        <v>1650</v>
      </c>
      <c r="H24" s="433"/>
      <c r="I24" s="433"/>
      <c r="J24" s="433">
        <f>+I24*H24+G24</f>
        <v>1650</v>
      </c>
      <c r="K24" s="433">
        <f>+ROUND(D23/200,0)+1</f>
        <v>33</v>
      </c>
      <c r="L24" s="433">
        <v>2</v>
      </c>
      <c r="M24" s="435">
        <f>J24*K24*L24/1000</f>
        <v>108.9</v>
      </c>
      <c r="N24" s="435">
        <f t="shared" ref="N24:N27" si="19">_xlfn.XLOOKUP(F24,$R$5:$Z$5,$R$6:$Z$6,"NOT_FOUND",0)</f>
        <v>0.61699999999999999</v>
      </c>
      <c r="O24" s="434">
        <f>M24*N24</f>
        <v>67.191299999999998</v>
      </c>
      <c r="P24" s="510"/>
    </row>
    <row r="25" spans="1:19" s="443" customFormat="1" ht="25.15" customHeight="1">
      <c r="A25" s="877"/>
      <c r="B25" s="401">
        <v>2</v>
      </c>
      <c r="C25" s="405"/>
      <c r="D25" s="459">
        <f>D23-60</f>
        <v>6420</v>
      </c>
      <c r="E25" s="401"/>
      <c r="F25" s="431">
        <v>10</v>
      </c>
      <c r="G25" s="432">
        <f>C25+D25+E25</f>
        <v>6420</v>
      </c>
      <c r="H25" s="433">
        <f>ROUNDUP((D23/11.7/1000),0)-1</f>
        <v>0</v>
      </c>
      <c r="I25" s="433">
        <f>45*F25</f>
        <v>450</v>
      </c>
      <c r="J25" s="433">
        <f>+I25*H25+G25</f>
        <v>6420</v>
      </c>
      <c r="K25" s="433">
        <v>8</v>
      </c>
      <c r="L25" s="433">
        <v>2</v>
      </c>
      <c r="M25" s="435">
        <f t="shared" ref="M25:M27" si="20">J25*K25*L25/1000</f>
        <v>102.72</v>
      </c>
      <c r="N25" s="435">
        <f t="shared" si="19"/>
        <v>0.61699999999999999</v>
      </c>
      <c r="O25" s="434">
        <f>M25*N25</f>
        <v>63.378239999999998</v>
      </c>
      <c r="P25" s="510"/>
      <c r="S25" s="444"/>
    </row>
    <row r="26" spans="1:19" s="443" customFormat="1" ht="25.15" customHeight="1">
      <c r="A26" s="877"/>
      <c r="B26" s="401">
        <v>3</v>
      </c>
      <c r="C26" s="405">
        <v>60</v>
      </c>
      <c r="D26" s="406">
        <v>150</v>
      </c>
      <c r="E26" s="401">
        <v>60</v>
      </c>
      <c r="F26" s="431">
        <v>6</v>
      </c>
      <c r="G26" s="432">
        <f>C26+D26+E26</f>
        <v>270</v>
      </c>
      <c r="H26" s="433"/>
      <c r="I26" s="433"/>
      <c r="J26" s="433">
        <f t="shared" ref="J26:J27" si="21">+I26*H26+G26</f>
        <v>270</v>
      </c>
      <c r="K26" s="433">
        <f>+ROUND(D23/600,0)+1</f>
        <v>12</v>
      </c>
      <c r="L26" s="433">
        <v>2</v>
      </c>
      <c r="M26" s="435">
        <f t="shared" si="20"/>
        <v>6.48</v>
      </c>
      <c r="N26" s="435">
        <f t="shared" si="19"/>
        <v>0.222</v>
      </c>
      <c r="O26" s="434">
        <f>M26*N26</f>
        <v>1.4385600000000001</v>
      </c>
      <c r="P26" s="510"/>
    </row>
    <row r="27" spans="1:19" s="443" customFormat="1" ht="25.15" customHeight="1">
      <c r="A27" s="877"/>
      <c r="B27" s="411">
        <v>4</v>
      </c>
      <c r="C27" s="405">
        <v>150</v>
      </c>
      <c r="D27" s="406">
        <v>300</v>
      </c>
      <c r="E27" s="401"/>
      <c r="F27" s="431">
        <v>10</v>
      </c>
      <c r="G27" s="432">
        <f>C27+D27+E27</f>
        <v>450</v>
      </c>
      <c r="H27" s="433"/>
      <c r="I27" s="433"/>
      <c r="J27" s="433">
        <f t="shared" si="21"/>
        <v>450</v>
      </c>
      <c r="K27" s="433">
        <f>+K26</f>
        <v>12</v>
      </c>
      <c r="L27" s="433">
        <v>1</v>
      </c>
      <c r="M27" s="435">
        <f t="shared" si="20"/>
        <v>5.4</v>
      </c>
      <c r="N27" s="435">
        <f t="shared" si="19"/>
        <v>0.61699999999999999</v>
      </c>
      <c r="O27" s="434">
        <f t="shared" ref="O27" si="22">M27*N27</f>
        <v>3.3318000000000003</v>
      </c>
      <c r="P27" s="510" t="s">
        <v>347</v>
      </c>
    </row>
    <row r="28" spans="1:19" s="442" customFormat="1" ht="15.75">
      <c r="A28" s="877" t="s">
        <v>529</v>
      </c>
      <c r="B28" s="409"/>
      <c r="C28" s="410" t="s">
        <v>321</v>
      </c>
      <c r="D28" s="403">
        <v>60490</v>
      </c>
      <c r="E28" s="409" t="s">
        <v>322</v>
      </c>
      <c r="F28" s="438"/>
      <c r="G28" s="439"/>
      <c r="H28" s="440"/>
      <c r="I28" s="440"/>
      <c r="J28" s="440"/>
      <c r="K28" s="440"/>
      <c r="L28" s="440"/>
      <c r="M28" s="441"/>
      <c r="N28" s="441"/>
      <c r="O28" s="436"/>
      <c r="P28" s="510"/>
    </row>
    <row r="29" spans="1:19" s="443" customFormat="1" ht="25.15" customHeight="1">
      <c r="A29" s="877"/>
      <c r="B29" s="401">
        <v>1</v>
      </c>
      <c r="C29" s="405">
        <v>150</v>
      </c>
      <c r="D29" s="406">
        <v>1350</v>
      </c>
      <c r="E29" s="401">
        <v>150</v>
      </c>
      <c r="F29" s="431">
        <v>10</v>
      </c>
      <c r="G29" s="432">
        <f t="shared" ref="G29" si="23">C29+D29+E29</f>
        <v>1650</v>
      </c>
      <c r="H29" s="433"/>
      <c r="I29" s="433"/>
      <c r="J29" s="433">
        <f>+I29*H29+G29</f>
        <v>1650</v>
      </c>
      <c r="K29" s="433">
        <f>+ROUND(D28/200,0)+1</f>
        <v>303</v>
      </c>
      <c r="L29" s="433">
        <v>2</v>
      </c>
      <c r="M29" s="435">
        <f>J29*K29*L29/1000</f>
        <v>999.9</v>
      </c>
      <c r="N29" s="435">
        <f t="shared" ref="N29:N32" si="24">_xlfn.XLOOKUP(F29,$R$5:$Z$5,$R$6:$Z$6,"NOT_FOUND",0)</f>
        <v>0.61699999999999999</v>
      </c>
      <c r="O29" s="434">
        <f>M29*N29</f>
        <v>616.93830000000003</v>
      </c>
      <c r="P29" s="510"/>
    </row>
    <row r="30" spans="1:19" s="443" customFormat="1" ht="25.15" customHeight="1">
      <c r="A30" s="877"/>
      <c r="B30" s="401">
        <v>2</v>
      </c>
      <c r="C30" s="405"/>
      <c r="D30" s="459">
        <f>D28-60</f>
        <v>60430</v>
      </c>
      <c r="E30" s="401"/>
      <c r="F30" s="431">
        <v>10</v>
      </c>
      <c r="G30" s="432">
        <f>C30+D30+E30</f>
        <v>60430</v>
      </c>
      <c r="H30" s="433">
        <f>ROUNDUP((D28/11.7/1000),0)-1</f>
        <v>5</v>
      </c>
      <c r="I30" s="433">
        <f>45*F30</f>
        <v>450</v>
      </c>
      <c r="J30" s="433">
        <f>+I30*H30+G30</f>
        <v>62680</v>
      </c>
      <c r="K30" s="433">
        <v>8</v>
      </c>
      <c r="L30" s="433">
        <v>2</v>
      </c>
      <c r="M30" s="435">
        <f t="shared" ref="M30:M32" si="25">J30*K30*L30/1000</f>
        <v>1002.88</v>
      </c>
      <c r="N30" s="435">
        <f t="shared" si="24"/>
        <v>0.61699999999999999</v>
      </c>
      <c r="O30" s="434">
        <f>M30*N30</f>
        <v>618.77696000000003</v>
      </c>
      <c r="P30" s="510"/>
      <c r="S30" s="444"/>
    </row>
    <row r="31" spans="1:19" s="443" customFormat="1" ht="25.15" customHeight="1">
      <c r="A31" s="877"/>
      <c r="B31" s="401">
        <v>3</v>
      </c>
      <c r="C31" s="405">
        <v>60</v>
      </c>
      <c r="D31" s="406">
        <v>150</v>
      </c>
      <c r="E31" s="401">
        <v>60</v>
      </c>
      <c r="F31" s="431">
        <v>6</v>
      </c>
      <c r="G31" s="432">
        <f>C31+D31+E31</f>
        <v>270</v>
      </c>
      <c r="H31" s="433"/>
      <c r="I31" s="433"/>
      <c r="J31" s="433">
        <f t="shared" ref="J31:J32" si="26">+I31*H31+G31</f>
        <v>270</v>
      </c>
      <c r="K31" s="433">
        <f>+ROUND(D28/600,0)+1</f>
        <v>102</v>
      </c>
      <c r="L31" s="433">
        <v>2</v>
      </c>
      <c r="M31" s="435">
        <f t="shared" si="25"/>
        <v>55.08</v>
      </c>
      <c r="N31" s="435">
        <f t="shared" si="24"/>
        <v>0.222</v>
      </c>
      <c r="O31" s="434">
        <f t="shared" ref="O31:O32" si="27">M31*N31</f>
        <v>12.22776</v>
      </c>
      <c r="P31" s="510"/>
    </row>
    <row r="32" spans="1:19" s="443" customFormat="1" ht="25.15" customHeight="1">
      <c r="A32" s="877"/>
      <c r="B32" s="411">
        <v>4</v>
      </c>
      <c r="C32" s="405">
        <v>150</v>
      </c>
      <c r="D32" s="406">
        <v>300</v>
      </c>
      <c r="E32" s="401"/>
      <c r="F32" s="431">
        <v>10</v>
      </c>
      <c r="G32" s="432">
        <f>C32+D32+E32</f>
        <v>450</v>
      </c>
      <c r="H32" s="433"/>
      <c r="I32" s="433"/>
      <c r="J32" s="433">
        <f t="shared" si="26"/>
        <v>450</v>
      </c>
      <c r="K32" s="433">
        <f>+K31</f>
        <v>102</v>
      </c>
      <c r="L32" s="433">
        <v>1</v>
      </c>
      <c r="M32" s="435">
        <f t="shared" si="25"/>
        <v>45.9</v>
      </c>
      <c r="N32" s="435">
        <f t="shared" si="24"/>
        <v>0.61699999999999999</v>
      </c>
      <c r="O32" s="434">
        <f t="shared" si="27"/>
        <v>28.3203</v>
      </c>
      <c r="P32" s="510" t="s">
        <v>347</v>
      </c>
    </row>
    <row r="33" spans="1:19" s="442" customFormat="1" ht="15.75">
      <c r="A33" s="877" t="s">
        <v>530</v>
      </c>
      <c r="B33" s="409"/>
      <c r="C33" s="410" t="s">
        <v>321</v>
      </c>
      <c r="D33" s="403">
        <v>66130</v>
      </c>
      <c r="E33" s="409" t="s">
        <v>322</v>
      </c>
      <c r="F33" s="438"/>
      <c r="G33" s="439"/>
      <c r="H33" s="440"/>
      <c r="I33" s="440"/>
      <c r="J33" s="440"/>
      <c r="K33" s="440"/>
      <c r="L33" s="440"/>
      <c r="M33" s="441"/>
      <c r="N33" s="441"/>
      <c r="O33" s="436"/>
      <c r="P33" s="510"/>
    </row>
    <row r="34" spans="1:19" s="443" customFormat="1" ht="25.15" customHeight="1">
      <c r="A34" s="877"/>
      <c r="B34" s="401">
        <v>1</v>
      </c>
      <c r="C34" s="405">
        <v>150</v>
      </c>
      <c r="D34" s="406">
        <v>1350</v>
      </c>
      <c r="E34" s="401">
        <v>150</v>
      </c>
      <c r="F34" s="431">
        <v>10</v>
      </c>
      <c r="G34" s="432">
        <f t="shared" ref="G34" si="28">C34+D34+E34</f>
        <v>1650</v>
      </c>
      <c r="H34" s="433"/>
      <c r="I34" s="433"/>
      <c r="J34" s="433">
        <f>+I34*H34+G34</f>
        <v>1650</v>
      </c>
      <c r="K34" s="433">
        <f>+ROUND(D33/200,0)+1</f>
        <v>332</v>
      </c>
      <c r="L34" s="433">
        <v>2</v>
      </c>
      <c r="M34" s="435">
        <f>J34*K34*L34/1000</f>
        <v>1095.5999999999999</v>
      </c>
      <c r="N34" s="435">
        <f t="shared" ref="N34:N37" si="29">_xlfn.XLOOKUP(F34,$R$5:$Z$5,$R$6:$Z$6,"NOT_FOUND",0)</f>
        <v>0.61699999999999999</v>
      </c>
      <c r="O34" s="434">
        <f>M34*N34</f>
        <v>675.98519999999996</v>
      </c>
      <c r="P34" s="510"/>
    </row>
    <row r="35" spans="1:19" s="443" customFormat="1" ht="25.15" customHeight="1">
      <c r="A35" s="877"/>
      <c r="B35" s="401">
        <v>2</v>
      </c>
      <c r="C35" s="405"/>
      <c r="D35" s="459">
        <f>D33+800</f>
        <v>66930</v>
      </c>
      <c r="E35" s="401"/>
      <c r="F35" s="431">
        <v>10</v>
      </c>
      <c r="G35" s="432">
        <f>C35+D35+E35</f>
        <v>66930</v>
      </c>
      <c r="H35" s="433">
        <f>ROUNDUP((D33/11.7/1000),0)-1</f>
        <v>5</v>
      </c>
      <c r="I35" s="433">
        <f>45*F35</f>
        <v>450</v>
      </c>
      <c r="J35" s="433">
        <f>+I35*H35+G35</f>
        <v>69180</v>
      </c>
      <c r="K35" s="433">
        <v>8</v>
      </c>
      <c r="L35" s="433">
        <v>2</v>
      </c>
      <c r="M35" s="435">
        <f t="shared" ref="M35:M37" si="30">J35*K35*L35/1000</f>
        <v>1106.8800000000001</v>
      </c>
      <c r="N35" s="435">
        <f t="shared" si="29"/>
        <v>0.61699999999999999</v>
      </c>
      <c r="O35" s="434">
        <f>M35*N35</f>
        <v>682.94496000000004</v>
      </c>
      <c r="P35" s="510"/>
      <c r="S35" s="444"/>
    </row>
    <row r="36" spans="1:19" s="443" customFormat="1" ht="25.15" customHeight="1">
      <c r="A36" s="877"/>
      <c r="B36" s="401">
        <v>3</v>
      </c>
      <c r="C36" s="405">
        <v>60</v>
      </c>
      <c r="D36" s="406">
        <v>150</v>
      </c>
      <c r="E36" s="401">
        <v>60</v>
      </c>
      <c r="F36" s="431">
        <v>6</v>
      </c>
      <c r="G36" s="432">
        <f>C36+D36+E36</f>
        <v>270</v>
      </c>
      <c r="H36" s="433"/>
      <c r="I36" s="433"/>
      <c r="J36" s="433">
        <f t="shared" ref="J36:J37" si="31">+I36*H36+G36</f>
        <v>270</v>
      </c>
      <c r="K36" s="433">
        <f>+ROUND(D33/600,0)+1</f>
        <v>111</v>
      </c>
      <c r="L36" s="433">
        <v>2</v>
      </c>
      <c r="M36" s="435">
        <f t="shared" si="30"/>
        <v>59.94</v>
      </c>
      <c r="N36" s="435">
        <f t="shared" si="29"/>
        <v>0.222</v>
      </c>
      <c r="O36" s="434">
        <f t="shared" ref="O36:O37" si="32">M36*N36</f>
        <v>13.30668</v>
      </c>
      <c r="P36" s="510"/>
    </row>
    <row r="37" spans="1:19" s="443" customFormat="1" ht="25.15" customHeight="1">
      <c r="A37" s="877"/>
      <c r="B37" s="411">
        <v>4</v>
      </c>
      <c r="C37" s="405">
        <v>150</v>
      </c>
      <c r="D37" s="406">
        <v>300</v>
      </c>
      <c r="E37" s="401"/>
      <c r="F37" s="431">
        <v>10</v>
      </c>
      <c r="G37" s="432">
        <f>C37+D37+E37</f>
        <v>450</v>
      </c>
      <c r="H37" s="433"/>
      <c r="I37" s="433"/>
      <c r="J37" s="433">
        <f t="shared" si="31"/>
        <v>450</v>
      </c>
      <c r="K37" s="433">
        <f>+K36</f>
        <v>111</v>
      </c>
      <c r="L37" s="433">
        <v>1</v>
      </c>
      <c r="M37" s="435">
        <f t="shared" si="30"/>
        <v>49.95</v>
      </c>
      <c r="N37" s="435">
        <f t="shared" si="29"/>
        <v>0.61699999999999999</v>
      </c>
      <c r="O37" s="434">
        <f t="shared" si="32"/>
        <v>30.81915</v>
      </c>
      <c r="P37" s="510" t="s">
        <v>347</v>
      </c>
    </row>
    <row r="38" spans="1:19" s="430" customFormat="1" ht="25.15" customHeight="1">
      <c r="A38" s="588" t="s">
        <v>532</v>
      </c>
      <c r="B38" s="589"/>
      <c r="C38" s="590"/>
      <c r="D38" s="591"/>
      <c r="E38" s="589"/>
      <c r="F38" s="592"/>
      <c r="G38" s="593"/>
      <c r="H38" s="593"/>
      <c r="I38" s="593"/>
      <c r="J38" s="593"/>
      <c r="K38" s="593"/>
      <c r="L38" s="593"/>
      <c r="M38" s="594"/>
      <c r="N38" s="595"/>
      <c r="O38" s="595"/>
      <c r="P38" s="596"/>
    </row>
    <row r="39" spans="1:19" s="442" customFormat="1" ht="15.75">
      <c r="A39" s="877" t="s">
        <v>531</v>
      </c>
      <c r="B39" s="409"/>
      <c r="C39" s="410" t="s">
        <v>321</v>
      </c>
      <c r="D39" s="403">
        <v>10950</v>
      </c>
      <c r="E39" s="409" t="s">
        <v>322</v>
      </c>
      <c r="F39" s="438"/>
      <c r="G39" s="439"/>
      <c r="H39" s="440"/>
      <c r="I39" s="440"/>
      <c r="J39" s="440"/>
      <c r="K39" s="440"/>
      <c r="L39" s="440"/>
      <c r="M39" s="441"/>
      <c r="N39" s="441"/>
      <c r="O39" s="436"/>
      <c r="P39" s="510"/>
    </row>
    <row r="40" spans="1:19" s="443" customFormat="1" ht="25.15" customHeight="1">
      <c r="A40" s="877"/>
      <c r="B40" s="401">
        <v>1</v>
      </c>
      <c r="C40" s="405">
        <v>150</v>
      </c>
      <c r="D40" s="406">
        <v>550</v>
      </c>
      <c r="E40" s="401">
        <v>150</v>
      </c>
      <c r="F40" s="431">
        <v>10</v>
      </c>
      <c r="G40" s="432">
        <f t="shared" ref="G40" si="33">C40+D40+E40</f>
        <v>850</v>
      </c>
      <c r="H40" s="433"/>
      <c r="I40" s="433"/>
      <c r="J40" s="433">
        <f>+I40*H40+G40</f>
        <v>850</v>
      </c>
      <c r="K40" s="433">
        <f>+ROUND(D39/200,0)+1</f>
        <v>56</v>
      </c>
      <c r="L40" s="433">
        <v>2</v>
      </c>
      <c r="M40" s="435">
        <f>J40*K40*L40/1000</f>
        <v>95.2</v>
      </c>
      <c r="N40" s="435">
        <f t="shared" ref="N40:N43" si="34">_xlfn.XLOOKUP(F40,$R$5:$Z$5,$R$6:$Z$6,"NOT_FOUND",0)</f>
        <v>0.61699999999999999</v>
      </c>
      <c r="O40" s="434">
        <f>M40*N40</f>
        <v>58.738399999999999</v>
      </c>
      <c r="P40" s="510"/>
    </row>
    <row r="41" spans="1:19" s="443" customFormat="1" ht="25.15" customHeight="1">
      <c r="A41" s="877"/>
      <c r="B41" s="401">
        <v>2</v>
      </c>
      <c r="C41" s="405"/>
      <c r="D41" s="459">
        <f>D39+175*2</f>
        <v>11300</v>
      </c>
      <c r="E41" s="401"/>
      <c r="F41" s="431">
        <v>10</v>
      </c>
      <c r="G41" s="432">
        <f>C41+D41+E41</f>
        <v>11300</v>
      </c>
      <c r="H41" s="433">
        <f>ROUNDUP((D39/11.7/1000),0)-1</f>
        <v>0</v>
      </c>
      <c r="I41" s="433">
        <f>45*F41</f>
        <v>450</v>
      </c>
      <c r="J41" s="433">
        <f>+I41*H41+G41</f>
        <v>11300</v>
      </c>
      <c r="K41" s="433">
        <v>4</v>
      </c>
      <c r="L41" s="433">
        <v>2</v>
      </c>
      <c r="M41" s="435">
        <f t="shared" ref="M41:M43" si="35">J41*K41*L41/1000</f>
        <v>90.4</v>
      </c>
      <c r="N41" s="435">
        <f t="shared" si="34"/>
        <v>0.61699999999999999</v>
      </c>
      <c r="O41" s="434">
        <f>M41*N41</f>
        <v>55.776800000000001</v>
      </c>
      <c r="P41" s="510"/>
      <c r="S41" s="444"/>
    </row>
    <row r="42" spans="1:19" s="443" customFormat="1" ht="25.15" customHeight="1">
      <c r="A42" s="877"/>
      <c r="B42" s="401">
        <v>3</v>
      </c>
      <c r="C42" s="405">
        <v>60</v>
      </c>
      <c r="D42" s="406">
        <v>150</v>
      </c>
      <c r="E42" s="401">
        <v>60</v>
      </c>
      <c r="F42" s="431">
        <v>6</v>
      </c>
      <c r="G42" s="432">
        <f>C42+D42+E42</f>
        <v>270</v>
      </c>
      <c r="H42" s="433"/>
      <c r="I42" s="433"/>
      <c r="J42" s="433">
        <f t="shared" ref="J42:J43" si="36">+I42*H42+G42</f>
        <v>270</v>
      </c>
      <c r="K42" s="433">
        <f>+ROUND(D39/600,0)+1</f>
        <v>19</v>
      </c>
      <c r="L42" s="597">
        <v>1</v>
      </c>
      <c r="M42" s="435">
        <f t="shared" si="35"/>
        <v>5.13</v>
      </c>
      <c r="N42" s="435">
        <f t="shared" si="34"/>
        <v>0.222</v>
      </c>
      <c r="O42" s="434">
        <f t="shared" ref="O42:O43" si="37">M42*N42</f>
        <v>1.13886</v>
      </c>
      <c r="P42" s="510"/>
    </row>
    <row r="43" spans="1:19" s="443" customFormat="1" ht="25.15" customHeight="1">
      <c r="A43" s="877"/>
      <c r="B43" s="411">
        <v>4</v>
      </c>
      <c r="C43" s="405">
        <v>150</v>
      </c>
      <c r="D43" s="406">
        <v>300</v>
      </c>
      <c r="E43" s="401"/>
      <c r="F43" s="431">
        <v>10</v>
      </c>
      <c r="G43" s="432">
        <f>C43+D43+E43</f>
        <v>450</v>
      </c>
      <c r="H43" s="433"/>
      <c r="I43" s="433"/>
      <c r="J43" s="433">
        <f t="shared" si="36"/>
        <v>450</v>
      </c>
      <c r="K43" s="433">
        <f>+K42</f>
        <v>19</v>
      </c>
      <c r="L43" s="433">
        <v>1</v>
      </c>
      <c r="M43" s="435">
        <f t="shared" si="35"/>
        <v>8.5500000000000007</v>
      </c>
      <c r="N43" s="435">
        <f t="shared" si="34"/>
        <v>0.61699999999999999</v>
      </c>
      <c r="O43" s="434">
        <f t="shared" si="37"/>
        <v>5.2753500000000004</v>
      </c>
      <c r="P43" s="510" t="s">
        <v>347</v>
      </c>
    </row>
    <row r="44" spans="1:19" s="442" customFormat="1" ht="15.75">
      <c r="A44" s="877" t="s">
        <v>533</v>
      </c>
      <c r="B44" s="409"/>
      <c r="C44" s="410" t="s">
        <v>321</v>
      </c>
      <c r="D44" s="403">
        <v>6450</v>
      </c>
      <c r="E44" s="409" t="s">
        <v>322</v>
      </c>
      <c r="F44" s="438"/>
      <c r="G44" s="439"/>
      <c r="H44" s="440"/>
      <c r="I44" s="440"/>
      <c r="J44" s="440"/>
      <c r="K44" s="440"/>
      <c r="L44" s="440"/>
      <c r="M44" s="441"/>
      <c r="N44" s="441"/>
      <c r="O44" s="436"/>
      <c r="P44" s="510"/>
    </row>
    <row r="45" spans="1:19" s="443" customFormat="1" ht="25.15" customHeight="1">
      <c r="A45" s="877"/>
      <c r="B45" s="401">
        <v>1</v>
      </c>
      <c r="C45" s="405">
        <v>150</v>
      </c>
      <c r="D45" s="406">
        <v>550</v>
      </c>
      <c r="E45" s="401">
        <v>150</v>
      </c>
      <c r="F45" s="431">
        <v>10</v>
      </c>
      <c r="G45" s="432">
        <f t="shared" ref="G45" si="38">C45+D45+E45</f>
        <v>850</v>
      </c>
      <c r="H45" s="433"/>
      <c r="I45" s="433"/>
      <c r="J45" s="433">
        <f>+I45*H45+G45</f>
        <v>850</v>
      </c>
      <c r="K45" s="433">
        <f>+ROUND(D44/200,0)+1</f>
        <v>33</v>
      </c>
      <c r="L45" s="433">
        <v>2</v>
      </c>
      <c r="M45" s="435">
        <f>J45*K45*L45/1000</f>
        <v>56.1</v>
      </c>
      <c r="N45" s="435">
        <f t="shared" ref="N45:N48" si="39">_xlfn.XLOOKUP(F45,$R$5:$Z$5,$R$6:$Z$6,"NOT_FOUND",0)</f>
        <v>0.61699999999999999</v>
      </c>
      <c r="O45" s="434">
        <f>M45*N45</f>
        <v>34.613700000000001</v>
      </c>
      <c r="P45" s="510"/>
    </row>
    <row r="46" spans="1:19" s="443" customFormat="1" ht="25.15" customHeight="1">
      <c r="A46" s="877"/>
      <c r="B46" s="401">
        <v>2</v>
      </c>
      <c r="C46" s="405"/>
      <c r="D46" s="459">
        <f>D44+225*2</f>
        <v>6900</v>
      </c>
      <c r="E46" s="401"/>
      <c r="F46" s="431">
        <v>10</v>
      </c>
      <c r="G46" s="432">
        <f>C46+D46+E46</f>
        <v>6900</v>
      </c>
      <c r="H46" s="433">
        <f>ROUNDUP((D44/11.7/1000),0)-1</f>
        <v>0</v>
      </c>
      <c r="I46" s="433">
        <f>45*F46</f>
        <v>450</v>
      </c>
      <c r="J46" s="433">
        <f>+I46*H46+G46</f>
        <v>6900</v>
      </c>
      <c r="K46" s="433">
        <v>4</v>
      </c>
      <c r="L46" s="433">
        <v>2</v>
      </c>
      <c r="M46" s="435">
        <f t="shared" ref="M46:M48" si="40">J46*K46*L46/1000</f>
        <v>55.2</v>
      </c>
      <c r="N46" s="435">
        <f t="shared" si="39"/>
        <v>0.61699999999999999</v>
      </c>
      <c r="O46" s="434">
        <f>M46*N46</f>
        <v>34.058399999999999</v>
      </c>
      <c r="P46" s="510"/>
      <c r="S46" s="444"/>
    </row>
    <row r="47" spans="1:19" s="443" customFormat="1" ht="25.15" customHeight="1">
      <c r="A47" s="877"/>
      <c r="B47" s="401">
        <v>3</v>
      </c>
      <c r="C47" s="405">
        <v>60</v>
      </c>
      <c r="D47" s="406">
        <v>150</v>
      </c>
      <c r="E47" s="401">
        <v>60</v>
      </c>
      <c r="F47" s="431">
        <v>6</v>
      </c>
      <c r="G47" s="432">
        <f>C47+D47+E47</f>
        <v>270</v>
      </c>
      <c r="H47" s="433"/>
      <c r="I47" s="433"/>
      <c r="J47" s="433">
        <f t="shared" ref="J47:J48" si="41">+I47*H47+G47</f>
        <v>270</v>
      </c>
      <c r="K47" s="433">
        <f>+ROUND(D44/600,0)+1</f>
        <v>12</v>
      </c>
      <c r="L47" s="597">
        <v>1</v>
      </c>
      <c r="M47" s="435">
        <f t="shared" si="40"/>
        <v>3.24</v>
      </c>
      <c r="N47" s="435">
        <f t="shared" si="39"/>
        <v>0.222</v>
      </c>
      <c r="O47" s="434">
        <f t="shared" ref="O47:O48" si="42">M47*N47</f>
        <v>0.71928000000000003</v>
      </c>
      <c r="P47" s="510"/>
    </row>
    <row r="48" spans="1:19" s="443" customFormat="1" ht="25.15" customHeight="1">
      <c r="A48" s="877"/>
      <c r="B48" s="411">
        <v>4</v>
      </c>
      <c r="C48" s="405">
        <v>150</v>
      </c>
      <c r="D48" s="406">
        <v>300</v>
      </c>
      <c r="E48" s="401"/>
      <c r="F48" s="431">
        <v>10</v>
      </c>
      <c r="G48" s="432">
        <f>C48+D48+E48</f>
        <v>450</v>
      </c>
      <c r="H48" s="433"/>
      <c r="I48" s="433"/>
      <c r="J48" s="433">
        <f t="shared" si="41"/>
        <v>450</v>
      </c>
      <c r="K48" s="433">
        <f>+K47</f>
        <v>12</v>
      </c>
      <c r="L48" s="433">
        <v>1</v>
      </c>
      <c r="M48" s="435">
        <f t="shared" si="40"/>
        <v>5.4</v>
      </c>
      <c r="N48" s="435">
        <f t="shared" si="39"/>
        <v>0.61699999999999999</v>
      </c>
      <c r="O48" s="434">
        <f t="shared" si="42"/>
        <v>3.3318000000000003</v>
      </c>
      <c r="P48" s="510" t="s">
        <v>347</v>
      </c>
    </row>
    <row r="49" spans="1:19" s="442" customFormat="1" ht="15.75">
      <c r="A49" s="877" t="s">
        <v>534</v>
      </c>
      <c r="B49" s="409"/>
      <c r="C49" s="410" t="s">
        <v>321</v>
      </c>
      <c r="D49" s="403">
        <v>4550</v>
      </c>
      <c r="E49" s="409" t="s">
        <v>322</v>
      </c>
      <c r="F49" s="438"/>
      <c r="G49" s="439"/>
      <c r="H49" s="440"/>
      <c r="I49" s="440"/>
      <c r="J49" s="440"/>
      <c r="K49" s="440"/>
      <c r="L49" s="440"/>
      <c r="M49" s="441"/>
      <c r="N49" s="441"/>
      <c r="O49" s="436"/>
      <c r="P49" s="510"/>
    </row>
    <row r="50" spans="1:19" s="443" customFormat="1" ht="25.15" customHeight="1">
      <c r="A50" s="877"/>
      <c r="B50" s="401">
        <v>1</v>
      </c>
      <c r="C50" s="405">
        <v>150</v>
      </c>
      <c r="D50" s="406">
        <v>550</v>
      </c>
      <c r="E50" s="401">
        <v>150</v>
      </c>
      <c r="F50" s="431">
        <v>10</v>
      </c>
      <c r="G50" s="432">
        <f t="shared" ref="G50" si="43">C50+D50+E50</f>
        <v>850</v>
      </c>
      <c r="H50" s="433"/>
      <c r="I50" s="433"/>
      <c r="J50" s="433">
        <f>+I50*H50+G50</f>
        <v>850</v>
      </c>
      <c r="K50" s="433">
        <f>+ROUND(D49/200,0)+1</f>
        <v>24</v>
      </c>
      <c r="L50" s="433">
        <v>2</v>
      </c>
      <c r="M50" s="435">
        <f>J50*K50*L50/1000</f>
        <v>40.799999999999997</v>
      </c>
      <c r="N50" s="435">
        <f t="shared" ref="N50:N53" si="44">_xlfn.XLOOKUP(F50,$R$5:$Z$5,$R$6:$Z$6,"NOT_FOUND",0)</f>
        <v>0.61699999999999999</v>
      </c>
      <c r="O50" s="434">
        <f>M50*N50</f>
        <v>25.173599999999997</v>
      </c>
      <c r="P50" s="510"/>
    </row>
    <row r="51" spans="1:19" s="443" customFormat="1" ht="25.15" customHeight="1">
      <c r="A51" s="877"/>
      <c r="B51" s="401">
        <v>2</v>
      </c>
      <c r="C51" s="405"/>
      <c r="D51" s="459">
        <f>D49+175*2</f>
        <v>4900</v>
      </c>
      <c r="E51" s="401"/>
      <c r="F51" s="431">
        <v>10</v>
      </c>
      <c r="G51" s="432">
        <f>C51+D51+E51</f>
        <v>4900</v>
      </c>
      <c r="H51" s="433">
        <f>ROUNDUP((D49/11.7/1000),0)-1</f>
        <v>0</v>
      </c>
      <c r="I51" s="433">
        <f>45*F51</f>
        <v>450</v>
      </c>
      <c r="J51" s="433">
        <f>+I51*H51+G51</f>
        <v>4900</v>
      </c>
      <c r="K51" s="433">
        <v>4</v>
      </c>
      <c r="L51" s="433">
        <v>2</v>
      </c>
      <c r="M51" s="435">
        <f t="shared" ref="M51:M53" si="45">J51*K51*L51/1000</f>
        <v>39.200000000000003</v>
      </c>
      <c r="N51" s="435">
        <f t="shared" si="44"/>
        <v>0.61699999999999999</v>
      </c>
      <c r="O51" s="434">
        <f>M51*N51</f>
        <v>24.186400000000003</v>
      </c>
      <c r="P51" s="510"/>
      <c r="S51" s="444"/>
    </row>
    <row r="52" spans="1:19" s="443" customFormat="1" ht="25.15" customHeight="1">
      <c r="A52" s="877"/>
      <c r="B52" s="401">
        <v>3</v>
      </c>
      <c r="C52" s="405">
        <v>60</v>
      </c>
      <c r="D52" s="406">
        <v>150</v>
      </c>
      <c r="E52" s="401">
        <v>60</v>
      </c>
      <c r="F52" s="431">
        <v>6</v>
      </c>
      <c r="G52" s="432">
        <f>C52+D52+E52</f>
        <v>270</v>
      </c>
      <c r="H52" s="433"/>
      <c r="I52" s="433"/>
      <c r="J52" s="433">
        <f t="shared" ref="J52:J53" si="46">+I52*H52+G52</f>
        <v>270</v>
      </c>
      <c r="K52" s="433">
        <f>+ROUND(D49/600,0)+1</f>
        <v>9</v>
      </c>
      <c r="L52" s="597">
        <v>1</v>
      </c>
      <c r="M52" s="435">
        <f t="shared" si="45"/>
        <v>2.4300000000000002</v>
      </c>
      <c r="N52" s="435">
        <f t="shared" si="44"/>
        <v>0.222</v>
      </c>
      <c r="O52" s="434">
        <f t="shared" ref="O52:O53" si="47">M52*N52</f>
        <v>0.53946000000000005</v>
      </c>
      <c r="P52" s="510"/>
    </row>
    <row r="53" spans="1:19" s="443" customFormat="1" ht="25.15" customHeight="1">
      <c r="A53" s="877"/>
      <c r="B53" s="411">
        <v>4</v>
      </c>
      <c r="C53" s="405">
        <v>150</v>
      </c>
      <c r="D53" s="406">
        <v>300</v>
      </c>
      <c r="E53" s="401"/>
      <c r="F53" s="431">
        <v>10</v>
      </c>
      <c r="G53" s="432">
        <f>C53+D53+E53</f>
        <v>450</v>
      </c>
      <c r="H53" s="433"/>
      <c r="I53" s="433"/>
      <c r="J53" s="433">
        <f t="shared" si="46"/>
        <v>450</v>
      </c>
      <c r="K53" s="433">
        <f>+K52</f>
        <v>9</v>
      </c>
      <c r="L53" s="433">
        <v>1</v>
      </c>
      <c r="M53" s="435">
        <f t="shared" si="45"/>
        <v>4.05</v>
      </c>
      <c r="N53" s="435">
        <f t="shared" si="44"/>
        <v>0.61699999999999999</v>
      </c>
      <c r="O53" s="434">
        <f t="shared" si="47"/>
        <v>2.49885</v>
      </c>
      <c r="P53" s="510" t="s">
        <v>347</v>
      </c>
    </row>
    <row r="54" spans="1:19" s="442" customFormat="1" ht="15.75">
      <c r="A54" s="877" t="s">
        <v>535</v>
      </c>
      <c r="B54" s="409"/>
      <c r="C54" s="410" t="s">
        <v>321</v>
      </c>
      <c r="D54" s="403">
        <v>690</v>
      </c>
      <c r="E54" s="409" t="s">
        <v>322</v>
      </c>
      <c r="F54" s="438"/>
      <c r="G54" s="439"/>
      <c r="H54" s="440"/>
      <c r="I54" s="440"/>
      <c r="J54" s="440"/>
      <c r="K54" s="440"/>
      <c r="L54" s="440"/>
      <c r="M54" s="441"/>
      <c r="N54" s="441"/>
      <c r="O54" s="436"/>
      <c r="P54" s="510"/>
    </row>
    <row r="55" spans="1:19" s="443" customFormat="1" ht="25.15" customHeight="1">
      <c r="A55" s="877"/>
      <c r="B55" s="401">
        <v>1</v>
      </c>
      <c r="C55" s="405">
        <v>150</v>
      </c>
      <c r="D55" s="406">
        <v>550</v>
      </c>
      <c r="E55" s="401">
        <v>150</v>
      </c>
      <c r="F55" s="431">
        <v>10</v>
      </c>
      <c r="G55" s="432">
        <f t="shared" ref="G55" si="48">C55+D55+E55</f>
        <v>850</v>
      </c>
      <c r="H55" s="433"/>
      <c r="I55" s="433"/>
      <c r="J55" s="433">
        <f>+I55*H55+G55</f>
        <v>850</v>
      </c>
      <c r="K55" s="433">
        <f>+ROUND(D54/200,0)+1</f>
        <v>4</v>
      </c>
      <c r="L55" s="433">
        <v>4</v>
      </c>
      <c r="M55" s="435">
        <f>J55*K55*L55/1000</f>
        <v>13.6</v>
      </c>
      <c r="N55" s="435">
        <f t="shared" ref="N55:N58" si="49">_xlfn.XLOOKUP(F55,$R$5:$Z$5,$R$6:$Z$6,"NOT_FOUND",0)</f>
        <v>0.61699999999999999</v>
      </c>
      <c r="O55" s="434">
        <f>M55*N55</f>
        <v>8.3911999999999995</v>
      </c>
      <c r="P55" s="510"/>
    </row>
    <row r="56" spans="1:19" s="443" customFormat="1" ht="25.15" customHeight="1">
      <c r="A56" s="877"/>
      <c r="B56" s="401">
        <v>2</v>
      </c>
      <c r="C56" s="405"/>
      <c r="D56" s="459">
        <f>D54-50</f>
        <v>640</v>
      </c>
      <c r="E56" s="401"/>
      <c r="F56" s="431">
        <v>10</v>
      </c>
      <c r="G56" s="432">
        <f>C56+D56+E56</f>
        <v>640</v>
      </c>
      <c r="H56" s="433">
        <f>ROUNDUP((D54/11.7/1000),0)-1</f>
        <v>0</v>
      </c>
      <c r="I56" s="433">
        <f>45*F56</f>
        <v>450</v>
      </c>
      <c r="J56" s="433">
        <f>+I56*H56+G56</f>
        <v>640</v>
      </c>
      <c r="K56" s="433">
        <v>4</v>
      </c>
      <c r="L56" s="433">
        <v>4</v>
      </c>
      <c r="M56" s="435">
        <f t="shared" ref="M56:M58" si="50">J56*K56*L56/1000</f>
        <v>10.24</v>
      </c>
      <c r="N56" s="435">
        <f t="shared" si="49"/>
        <v>0.61699999999999999</v>
      </c>
      <c r="O56" s="434">
        <f>M56*N56</f>
        <v>6.3180800000000001</v>
      </c>
      <c r="P56" s="510"/>
      <c r="S56" s="444"/>
    </row>
    <row r="57" spans="1:19" s="443" customFormat="1" ht="25.15" customHeight="1">
      <c r="A57" s="877"/>
      <c r="B57" s="401">
        <v>3</v>
      </c>
      <c r="C57" s="405">
        <v>60</v>
      </c>
      <c r="D57" s="406">
        <v>150</v>
      </c>
      <c r="E57" s="401">
        <v>60</v>
      </c>
      <c r="F57" s="431">
        <v>6</v>
      </c>
      <c r="G57" s="432">
        <f>C57+D57+E57</f>
        <v>270</v>
      </c>
      <c r="H57" s="433"/>
      <c r="I57" s="433"/>
      <c r="J57" s="433">
        <f>+I57*H57+G57</f>
        <v>270</v>
      </c>
      <c r="K57" s="433">
        <f>+ROUND(D54/600,0)+1</f>
        <v>2</v>
      </c>
      <c r="L57" s="597">
        <v>2</v>
      </c>
      <c r="M57" s="435">
        <f t="shared" si="50"/>
        <v>1.08</v>
      </c>
      <c r="N57" s="435">
        <f t="shared" si="49"/>
        <v>0.222</v>
      </c>
      <c r="O57" s="434">
        <f t="shared" ref="O57:O58" si="51">M57*N57</f>
        <v>0.23976000000000003</v>
      </c>
      <c r="P57" s="510"/>
    </row>
    <row r="58" spans="1:19" s="443" customFormat="1" ht="25.15" customHeight="1">
      <c r="A58" s="877"/>
      <c r="B58" s="411">
        <v>4</v>
      </c>
      <c r="C58" s="405">
        <v>150</v>
      </c>
      <c r="D58" s="406">
        <v>300</v>
      </c>
      <c r="E58" s="401"/>
      <c r="F58" s="431">
        <v>10</v>
      </c>
      <c r="G58" s="432">
        <f>C58+D58+E58</f>
        <v>450</v>
      </c>
      <c r="H58" s="433"/>
      <c r="I58" s="433"/>
      <c r="J58" s="433">
        <f t="shared" ref="J58" si="52">+I58*H58+G58</f>
        <v>450</v>
      </c>
      <c r="K58" s="433">
        <f>+K57</f>
        <v>2</v>
      </c>
      <c r="L58" s="433">
        <v>2</v>
      </c>
      <c r="M58" s="435">
        <f t="shared" si="50"/>
        <v>1.8</v>
      </c>
      <c r="N58" s="435">
        <f t="shared" si="49"/>
        <v>0.61699999999999999</v>
      </c>
      <c r="O58" s="434">
        <f t="shared" si="51"/>
        <v>1.1106</v>
      </c>
      <c r="P58" s="510" t="s">
        <v>347</v>
      </c>
    </row>
    <row r="59" spans="1:19" s="442" customFormat="1" ht="15.75">
      <c r="A59" s="877" t="s">
        <v>537</v>
      </c>
      <c r="B59" s="409"/>
      <c r="C59" s="410" t="s">
        <v>321</v>
      </c>
      <c r="D59" s="403">
        <v>4330</v>
      </c>
      <c r="E59" s="409" t="s">
        <v>322</v>
      </c>
      <c r="F59" s="438"/>
      <c r="G59" s="439"/>
      <c r="H59" s="440"/>
      <c r="I59" s="440"/>
      <c r="J59" s="440"/>
      <c r="K59" s="440"/>
      <c r="L59" s="440"/>
      <c r="M59" s="441"/>
      <c r="N59" s="441"/>
      <c r="O59" s="436"/>
      <c r="P59" s="510"/>
    </row>
    <row r="60" spans="1:19" s="443" customFormat="1" ht="25.15" customHeight="1">
      <c r="A60" s="877"/>
      <c r="B60" s="401">
        <v>1</v>
      </c>
      <c r="C60" s="405">
        <v>150</v>
      </c>
      <c r="D60" s="406">
        <v>550</v>
      </c>
      <c r="E60" s="401">
        <v>150</v>
      </c>
      <c r="F60" s="431">
        <v>10</v>
      </c>
      <c r="G60" s="432">
        <f t="shared" ref="G60" si="53">C60+D60+E60</f>
        <v>850</v>
      </c>
      <c r="H60" s="433"/>
      <c r="I60" s="433"/>
      <c r="J60" s="433">
        <f>+I60*H60+G60</f>
        <v>850</v>
      </c>
      <c r="K60" s="433">
        <f>+ROUND(D59/200,0)+1</f>
        <v>23</v>
      </c>
      <c r="L60" s="433">
        <v>2</v>
      </c>
      <c r="M60" s="435">
        <f>J60*K60*L60/1000</f>
        <v>39.1</v>
      </c>
      <c r="N60" s="435">
        <f t="shared" ref="N60:N63" si="54">_xlfn.XLOOKUP(F60,$R$5:$Z$5,$R$6:$Z$6,"NOT_FOUND",0)</f>
        <v>0.61699999999999999</v>
      </c>
      <c r="O60" s="434">
        <f>M60*N60</f>
        <v>24.124700000000001</v>
      </c>
      <c r="P60" s="510"/>
    </row>
    <row r="61" spans="1:19" s="443" customFormat="1" ht="25.15" customHeight="1">
      <c r="A61" s="877"/>
      <c r="B61" s="401">
        <v>2</v>
      </c>
      <c r="C61" s="405"/>
      <c r="D61" s="459">
        <f>D59+175*2</f>
        <v>4680</v>
      </c>
      <c r="E61" s="401"/>
      <c r="F61" s="431">
        <v>10</v>
      </c>
      <c r="G61" s="432">
        <f>C61+D61+E61</f>
        <v>4680</v>
      </c>
      <c r="H61" s="433">
        <f>ROUNDUP((D59/11.7/1000),0)-1</f>
        <v>0</v>
      </c>
      <c r="I61" s="433">
        <f>45*F61</f>
        <v>450</v>
      </c>
      <c r="J61" s="433">
        <f>+I61*H61+G61</f>
        <v>4680</v>
      </c>
      <c r="K61" s="433">
        <v>4</v>
      </c>
      <c r="L61" s="433">
        <v>2</v>
      </c>
      <c r="M61" s="435">
        <f t="shared" ref="M61:M63" si="55">J61*K61*L61/1000</f>
        <v>37.44</v>
      </c>
      <c r="N61" s="435">
        <f t="shared" si="54"/>
        <v>0.61699999999999999</v>
      </c>
      <c r="O61" s="434">
        <f>M61*N61</f>
        <v>23.100479999999997</v>
      </c>
      <c r="P61" s="510"/>
      <c r="S61" s="444"/>
    </row>
    <row r="62" spans="1:19" s="443" customFormat="1" ht="25.15" customHeight="1">
      <c r="A62" s="877"/>
      <c r="B62" s="401">
        <v>3</v>
      </c>
      <c r="C62" s="405">
        <v>60</v>
      </c>
      <c r="D62" s="406">
        <v>150</v>
      </c>
      <c r="E62" s="401">
        <v>60</v>
      </c>
      <c r="F62" s="431">
        <v>6</v>
      </c>
      <c r="G62" s="432">
        <f>C62+D62+E62</f>
        <v>270</v>
      </c>
      <c r="H62" s="433"/>
      <c r="I62" s="433"/>
      <c r="J62" s="433">
        <f t="shared" ref="J62:J63" si="56">+I62*H62+G62</f>
        <v>270</v>
      </c>
      <c r="K62" s="433">
        <f>+ROUND(D59/600,0)+1</f>
        <v>8</v>
      </c>
      <c r="L62" s="597">
        <v>1</v>
      </c>
      <c r="M62" s="435">
        <f t="shared" si="55"/>
        <v>2.16</v>
      </c>
      <c r="N62" s="435">
        <f t="shared" si="54"/>
        <v>0.222</v>
      </c>
      <c r="O62" s="434">
        <f t="shared" ref="O62:O63" si="57">M62*N62</f>
        <v>0.47952000000000006</v>
      </c>
      <c r="P62" s="510"/>
    </row>
    <row r="63" spans="1:19" s="443" customFormat="1" ht="25.15" customHeight="1">
      <c r="A63" s="877"/>
      <c r="B63" s="411">
        <v>4</v>
      </c>
      <c r="C63" s="405">
        <v>150</v>
      </c>
      <c r="D63" s="406">
        <v>300</v>
      </c>
      <c r="E63" s="401"/>
      <c r="F63" s="431">
        <v>10</v>
      </c>
      <c r="G63" s="432">
        <f>C63+D63+E63</f>
        <v>450</v>
      </c>
      <c r="H63" s="433"/>
      <c r="I63" s="433"/>
      <c r="J63" s="433">
        <f t="shared" si="56"/>
        <v>450</v>
      </c>
      <c r="K63" s="433">
        <f>+K62</f>
        <v>8</v>
      </c>
      <c r="L63" s="433">
        <v>1</v>
      </c>
      <c r="M63" s="435">
        <f t="shared" si="55"/>
        <v>3.6</v>
      </c>
      <c r="N63" s="435">
        <f t="shared" si="54"/>
        <v>0.61699999999999999</v>
      </c>
      <c r="O63" s="434">
        <f t="shared" si="57"/>
        <v>2.2212000000000001</v>
      </c>
      <c r="P63" s="510" t="s">
        <v>347</v>
      </c>
    </row>
    <row r="64" spans="1:19" s="442" customFormat="1" ht="15.75">
      <c r="A64" s="877" t="s">
        <v>536</v>
      </c>
      <c r="B64" s="409"/>
      <c r="C64" s="410" t="s">
        <v>321</v>
      </c>
      <c r="D64" s="403">
        <v>6950</v>
      </c>
      <c r="E64" s="409" t="s">
        <v>322</v>
      </c>
      <c r="F64" s="438"/>
      <c r="G64" s="439"/>
      <c r="H64" s="440"/>
      <c r="I64" s="440"/>
      <c r="J64" s="440"/>
      <c r="K64" s="440"/>
      <c r="L64" s="440"/>
      <c r="M64" s="441"/>
      <c r="N64" s="441"/>
      <c r="O64" s="436"/>
      <c r="P64" s="510"/>
    </row>
    <row r="65" spans="1:19" s="443" customFormat="1" ht="25.15" customHeight="1">
      <c r="A65" s="877"/>
      <c r="B65" s="401">
        <v>1</v>
      </c>
      <c r="C65" s="405">
        <v>150</v>
      </c>
      <c r="D65" s="406">
        <v>550</v>
      </c>
      <c r="E65" s="401">
        <v>150</v>
      </c>
      <c r="F65" s="431">
        <v>10</v>
      </c>
      <c r="G65" s="432">
        <f t="shared" ref="G65" si="58">C65+D65+E65</f>
        <v>850</v>
      </c>
      <c r="H65" s="433"/>
      <c r="I65" s="433"/>
      <c r="J65" s="433">
        <f>+I65*H65+G65</f>
        <v>850</v>
      </c>
      <c r="K65" s="433">
        <f>+ROUND(D64/200,0)+1</f>
        <v>36</v>
      </c>
      <c r="L65" s="433">
        <v>2</v>
      </c>
      <c r="M65" s="435">
        <f>J65*K65*L65/1000</f>
        <v>61.2</v>
      </c>
      <c r="N65" s="435">
        <f t="shared" ref="N65:N68" si="59">_xlfn.XLOOKUP(F65,$R$5:$Z$5,$R$6:$Z$6,"NOT_FOUND",0)</f>
        <v>0.61699999999999999</v>
      </c>
      <c r="O65" s="434">
        <f>M65*N65</f>
        <v>37.760400000000004</v>
      </c>
      <c r="P65" s="510"/>
    </row>
    <row r="66" spans="1:19" s="443" customFormat="1" ht="25.15" customHeight="1">
      <c r="A66" s="877"/>
      <c r="B66" s="401">
        <v>2</v>
      </c>
      <c r="C66" s="405"/>
      <c r="D66" s="459">
        <f>D64+225*2</f>
        <v>7400</v>
      </c>
      <c r="E66" s="401"/>
      <c r="F66" s="431">
        <v>10</v>
      </c>
      <c r="G66" s="432">
        <f>C66+D66+E66</f>
        <v>7400</v>
      </c>
      <c r="H66" s="433">
        <f>ROUNDUP((D64/11.7/1000),0)-1</f>
        <v>0</v>
      </c>
      <c r="I66" s="433">
        <f>45*F66</f>
        <v>450</v>
      </c>
      <c r="J66" s="433">
        <f>+I66*H66+G66</f>
        <v>7400</v>
      </c>
      <c r="K66" s="433">
        <v>4</v>
      </c>
      <c r="L66" s="433">
        <v>2</v>
      </c>
      <c r="M66" s="435">
        <f t="shared" ref="M66:M68" si="60">J66*K66*L66/1000</f>
        <v>59.2</v>
      </c>
      <c r="N66" s="435">
        <f t="shared" si="59"/>
        <v>0.61699999999999999</v>
      </c>
      <c r="O66" s="434">
        <f>M66*N66</f>
        <v>36.526400000000002</v>
      </c>
      <c r="P66" s="510"/>
      <c r="S66" s="444"/>
    </row>
    <row r="67" spans="1:19" s="443" customFormat="1" ht="25.15" customHeight="1">
      <c r="A67" s="877"/>
      <c r="B67" s="401">
        <v>3</v>
      </c>
      <c r="C67" s="405">
        <v>60</v>
      </c>
      <c r="D67" s="406">
        <v>150</v>
      </c>
      <c r="E67" s="401">
        <v>60</v>
      </c>
      <c r="F67" s="431">
        <v>6</v>
      </c>
      <c r="G67" s="432">
        <f>C67+D67+E67</f>
        <v>270</v>
      </c>
      <c r="H67" s="433"/>
      <c r="I67" s="433"/>
      <c r="J67" s="433">
        <f t="shared" ref="J67:J68" si="61">+I67*H67+G67</f>
        <v>270</v>
      </c>
      <c r="K67" s="433">
        <f>+ROUND(D64/600,0)+1</f>
        <v>13</v>
      </c>
      <c r="L67" s="597">
        <v>1</v>
      </c>
      <c r="M67" s="435">
        <f t="shared" si="60"/>
        <v>3.51</v>
      </c>
      <c r="N67" s="435">
        <f t="shared" si="59"/>
        <v>0.222</v>
      </c>
      <c r="O67" s="434">
        <f t="shared" ref="O67:O68" si="62">M67*N67</f>
        <v>0.77921999999999991</v>
      </c>
      <c r="P67" s="510"/>
    </row>
    <row r="68" spans="1:19" s="443" customFormat="1" ht="25.15" customHeight="1">
      <c r="A68" s="877"/>
      <c r="B68" s="411">
        <v>4</v>
      </c>
      <c r="C68" s="405">
        <v>150</v>
      </c>
      <c r="D68" s="406">
        <v>300</v>
      </c>
      <c r="E68" s="401"/>
      <c r="F68" s="431">
        <v>10</v>
      </c>
      <c r="G68" s="432">
        <f>C68+D68+E68</f>
        <v>450</v>
      </c>
      <c r="H68" s="433"/>
      <c r="I68" s="433"/>
      <c r="J68" s="433">
        <f t="shared" si="61"/>
        <v>450</v>
      </c>
      <c r="K68" s="433">
        <f>+K67</f>
        <v>13</v>
      </c>
      <c r="L68" s="433">
        <v>1</v>
      </c>
      <c r="M68" s="435">
        <f t="shared" si="60"/>
        <v>5.85</v>
      </c>
      <c r="N68" s="435">
        <f t="shared" si="59"/>
        <v>0.61699999999999999</v>
      </c>
      <c r="O68" s="434">
        <f t="shared" si="62"/>
        <v>3.6094499999999998</v>
      </c>
      <c r="P68" s="510" t="s">
        <v>347</v>
      </c>
    </row>
    <row r="69" spans="1:19" s="442" customFormat="1" ht="15.75">
      <c r="A69" s="877" t="s">
        <v>538</v>
      </c>
      <c r="B69" s="409"/>
      <c r="C69" s="410" t="s">
        <v>321</v>
      </c>
      <c r="D69" s="403">
        <v>9245</v>
      </c>
      <c r="E69" s="409" t="s">
        <v>322</v>
      </c>
      <c r="F69" s="438"/>
      <c r="G69" s="439"/>
      <c r="H69" s="440"/>
      <c r="I69" s="440"/>
      <c r="J69" s="440"/>
      <c r="K69" s="440"/>
      <c r="L69" s="440"/>
      <c r="M69" s="441"/>
      <c r="N69" s="441"/>
      <c r="O69" s="436"/>
      <c r="P69" s="510"/>
    </row>
    <row r="70" spans="1:19" s="443" customFormat="1" ht="25.15" customHeight="1">
      <c r="A70" s="877"/>
      <c r="B70" s="401">
        <v>1</v>
      </c>
      <c r="C70" s="405">
        <v>150</v>
      </c>
      <c r="D70" s="406">
        <v>550</v>
      </c>
      <c r="E70" s="401">
        <v>150</v>
      </c>
      <c r="F70" s="431">
        <v>10</v>
      </c>
      <c r="G70" s="432">
        <f t="shared" ref="G70" si="63">C70+D70+E70</f>
        <v>850</v>
      </c>
      <c r="H70" s="433"/>
      <c r="I70" s="433"/>
      <c r="J70" s="433">
        <f>+I70*H70+G70</f>
        <v>850</v>
      </c>
      <c r="K70" s="433">
        <f>+ROUND(D69/200,0)+1</f>
        <v>47</v>
      </c>
      <c r="L70" s="433">
        <v>2</v>
      </c>
      <c r="M70" s="435">
        <f>J70*K70*L70/1000</f>
        <v>79.900000000000006</v>
      </c>
      <c r="N70" s="435">
        <f t="shared" ref="N70:N73" si="64">_xlfn.XLOOKUP(F70,$R$5:$Z$5,$R$6:$Z$6,"NOT_FOUND",0)</f>
        <v>0.61699999999999999</v>
      </c>
      <c r="O70" s="434">
        <f>M70*N70</f>
        <v>49.298300000000005</v>
      </c>
      <c r="P70" s="510"/>
    </row>
    <row r="71" spans="1:19" s="443" customFormat="1" ht="25.15" customHeight="1">
      <c r="A71" s="877"/>
      <c r="B71" s="401">
        <v>2</v>
      </c>
      <c r="C71" s="405"/>
      <c r="D71" s="459">
        <f>D69+175*2</f>
        <v>9595</v>
      </c>
      <c r="E71" s="401"/>
      <c r="F71" s="431">
        <v>10</v>
      </c>
      <c r="G71" s="432">
        <f>C71+D71+E71</f>
        <v>9595</v>
      </c>
      <c r="H71" s="433">
        <f>ROUNDUP((D69/11.7/1000),0)-1</f>
        <v>0</v>
      </c>
      <c r="I71" s="433">
        <f>45*F71</f>
        <v>450</v>
      </c>
      <c r="J71" s="433">
        <f>+I71*H71+G71</f>
        <v>9595</v>
      </c>
      <c r="K71" s="433">
        <v>4</v>
      </c>
      <c r="L71" s="433">
        <v>2</v>
      </c>
      <c r="M71" s="435">
        <f t="shared" ref="M71:M73" si="65">J71*K71*L71/1000</f>
        <v>76.760000000000005</v>
      </c>
      <c r="N71" s="435">
        <f t="shared" si="64"/>
        <v>0.61699999999999999</v>
      </c>
      <c r="O71" s="434">
        <f>M71*N71</f>
        <v>47.36092</v>
      </c>
      <c r="P71" s="510"/>
      <c r="S71" s="444"/>
    </row>
    <row r="72" spans="1:19" s="443" customFormat="1" ht="25.15" customHeight="1">
      <c r="A72" s="877"/>
      <c r="B72" s="401">
        <v>3</v>
      </c>
      <c r="C72" s="405">
        <v>60</v>
      </c>
      <c r="D72" s="406">
        <v>150</v>
      </c>
      <c r="E72" s="401">
        <v>60</v>
      </c>
      <c r="F72" s="431">
        <v>6</v>
      </c>
      <c r="G72" s="432">
        <f>C72+D72+E72</f>
        <v>270</v>
      </c>
      <c r="H72" s="433"/>
      <c r="I72" s="433"/>
      <c r="J72" s="433">
        <f t="shared" ref="J72:J73" si="66">+I72*H72+G72</f>
        <v>270</v>
      </c>
      <c r="K72" s="433">
        <f>+ROUND(D69/600,0)+1</f>
        <v>16</v>
      </c>
      <c r="L72" s="597">
        <v>1</v>
      </c>
      <c r="M72" s="435">
        <f t="shared" si="65"/>
        <v>4.32</v>
      </c>
      <c r="N72" s="435">
        <f t="shared" si="64"/>
        <v>0.222</v>
      </c>
      <c r="O72" s="434">
        <f t="shared" ref="O72:O73" si="67">M72*N72</f>
        <v>0.95904000000000011</v>
      </c>
      <c r="P72" s="510"/>
    </row>
    <row r="73" spans="1:19" s="443" customFormat="1" ht="25.15" customHeight="1">
      <c r="A73" s="877"/>
      <c r="B73" s="411">
        <v>4</v>
      </c>
      <c r="C73" s="405">
        <v>150</v>
      </c>
      <c r="D73" s="406">
        <v>300</v>
      </c>
      <c r="E73" s="401"/>
      <c r="F73" s="431">
        <v>10</v>
      </c>
      <c r="G73" s="432">
        <f>C73+D73+E73</f>
        <v>450</v>
      </c>
      <c r="H73" s="433"/>
      <c r="I73" s="433"/>
      <c r="J73" s="433">
        <f t="shared" si="66"/>
        <v>450</v>
      </c>
      <c r="K73" s="433">
        <f>+K72</f>
        <v>16</v>
      </c>
      <c r="L73" s="433">
        <v>1</v>
      </c>
      <c r="M73" s="435">
        <f t="shared" si="65"/>
        <v>7.2</v>
      </c>
      <c r="N73" s="435">
        <f t="shared" si="64"/>
        <v>0.61699999999999999</v>
      </c>
      <c r="O73" s="434">
        <f t="shared" si="67"/>
        <v>4.4424000000000001</v>
      </c>
      <c r="P73" s="510" t="s">
        <v>347</v>
      </c>
    </row>
    <row r="74" spans="1:19" s="442" customFormat="1" ht="15.75">
      <c r="A74" s="877" t="s">
        <v>539</v>
      </c>
      <c r="B74" s="409"/>
      <c r="C74" s="410" t="s">
        <v>321</v>
      </c>
      <c r="D74" s="403">
        <f>+(5500+5200)/2</f>
        <v>5350</v>
      </c>
      <c r="E74" s="409" t="s">
        <v>322</v>
      </c>
      <c r="F74" s="438"/>
      <c r="G74" s="439"/>
      <c r="H74" s="440"/>
      <c r="I74" s="440"/>
      <c r="J74" s="440"/>
      <c r="K74" s="440"/>
      <c r="L74" s="440"/>
      <c r="M74" s="441"/>
      <c r="N74" s="441"/>
      <c r="O74" s="436"/>
      <c r="P74" s="510"/>
    </row>
    <row r="75" spans="1:19" s="443" customFormat="1" ht="25.15" customHeight="1">
      <c r="A75" s="877"/>
      <c r="B75" s="401">
        <v>1</v>
      </c>
      <c r="C75" s="405">
        <v>150</v>
      </c>
      <c r="D75" s="406">
        <v>550</v>
      </c>
      <c r="E75" s="401">
        <v>150</v>
      </c>
      <c r="F75" s="431">
        <v>10</v>
      </c>
      <c r="G75" s="432">
        <f t="shared" ref="G75" si="68">C75+D75+E75</f>
        <v>850</v>
      </c>
      <c r="H75" s="433"/>
      <c r="I75" s="433"/>
      <c r="J75" s="433">
        <f>+I75*H75+G75</f>
        <v>850</v>
      </c>
      <c r="K75" s="433">
        <f>+ROUND(D74/200,0)+1</f>
        <v>28</v>
      </c>
      <c r="L75" s="433">
        <v>2</v>
      </c>
      <c r="M75" s="435">
        <f>J75*K75*L75/1000</f>
        <v>47.6</v>
      </c>
      <c r="N75" s="435">
        <f t="shared" ref="N75:N78" si="69">_xlfn.XLOOKUP(F75,$R$5:$Z$5,$R$6:$Z$6,"NOT_FOUND",0)</f>
        <v>0.61699999999999999</v>
      </c>
      <c r="O75" s="434">
        <f>M75*N75</f>
        <v>29.369199999999999</v>
      </c>
      <c r="P75" s="510"/>
    </row>
    <row r="76" spans="1:19" s="443" customFormat="1" ht="25.15" customHeight="1">
      <c r="A76" s="877"/>
      <c r="B76" s="401">
        <v>2</v>
      </c>
      <c r="C76" s="405"/>
      <c r="D76" s="459">
        <f>D74+175+225</f>
        <v>5750</v>
      </c>
      <c r="E76" s="401"/>
      <c r="F76" s="431">
        <v>10</v>
      </c>
      <c r="G76" s="432">
        <f>C76+D76+E76</f>
        <v>5750</v>
      </c>
      <c r="H76" s="433">
        <f>ROUNDUP((D74/11.7/1000),0)-1</f>
        <v>0</v>
      </c>
      <c r="I76" s="433">
        <f>45*F76</f>
        <v>450</v>
      </c>
      <c r="J76" s="433">
        <f>+I76*H76+G76</f>
        <v>5750</v>
      </c>
      <c r="K76" s="433">
        <v>4</v>
      </c>
      <c r="L76" s="433">
        <v>2</v>
      </c>
      <c r="M76" s="435">
        <f t="shared" ref="M76:M78" si="70">J76*K76*L76/1000</f>
        <v>46</v>
      </c>
      <c r="N76" s="435">
        <f t="shared" si="69"/>
        <v>0.61699999999999999</v>
      </c>
      <c r="O76" s="434">
        <f>M76*N76</f>
        <v>28.381999999999998</v>
      </c>
      <c r="P76" s="510"/>
      <c r="S76" s="444"/>
    </row>
    <row r="77" spans="1:19" s="443" customFormat="1" ht="25.15" customHeight="1">
      <c r="A77" s="877"/>
      <c r="B77" s="401">
        <v>3</v>
      </c>
      <c r="C77" s="405">
        <v>60</v>
      </c>
      <c r="D77" s="406">
        <v>150</v>
      </c>
      <c r="E77" s="401">
        <v>60</v>
      </c>
      <c r="F77" s="431">
        <v>6</v>
      </c>
      <c r="G77" s="432">
        <f>C77+D77+E77</f>
        <v>270</v>
      </c>
      <c r="H77" s="433"/>
      <c r="I77" s="433"/>
      <c r="J77" s="433">
        <f>+I77*H77+G77</f>
        <v>270</v>
      </c>
      <c r="K77" s="433">
        <f>+ROUND(D74/600,0)+1</f>
        <v>10</v>
      </c>
      <c r="L77" s="597">
        <v>1</v>
      </c>
      <c r="M77" s="435">
        <f t="shared" si="70"/>
        <v>2.7</v>
      </c>
      <c r="N77" s="435">
        <f t="shared" si="69"/>
        <v>0.222</v>
      </c>
      <c r="O77" s="434">
        <f t="shared" ref="O77:O78" si="71">M77*N77</f>
        <v>0.59940000000000004</v>
      </c>
      <c r="P77" s="510"/>
    </row>
    <row r="78" spans="1:19" s="443" customFormat="1" ht="25.15" customHeight="1">
      <c r="A78" s="877"/>
      <c r="B78" s="411">
        <v>4</v>
      </c>
      <c r="C78" s="405">
        <v>150</v>
      </c>
      <c r="D78" s="406">
        <v>300</v>
      </c>
      <c r="E78" s="401"/>
      <c r="F78" s="431">
        <v>10</v>
      </c>
      <c r="G78" s="432">
        <f>C78+D78+E78</f>
        <v>450</v>
      </c>
      <c r="H78" s="433"/>
      <c r="I78" s="433"/>
      <c r="J78" s="433">
        <f t="shared" ref="J78" si="72">+I78*H78+G78</f>
        <v>450</v>
      </c>
      <c r="K78" s="433">
        <f>+K77</f>
        <v>10</v>
      </c>
      <c r="L78" s="433">
        <v>1</v>
      </c>
      <c r="M78" s="435">
        <f t="shared" si="70"/>
        <v>4.5</v>
      </c>
      <c r="N78" s="435">
        <f t="shared" si="69"/>
        <v>0.61699999999999999</v>
      </c>
      <c r="O78" s="434">
        <f t="shared" si="71"/>
        <v>2.7765</v>
      </c>
      <c r="P78" s="510" t="s">
        <v>347</v>
      </c>
    </row>
    <row r="79" spans="1:19" s="442" customFormat="1" ht="15.75">
      <c r="A79" s="877" t="s">
        <v>540</v>
      </c>
      <c r="B79" s="409"/>
      <c r="C79" s="410" t="s">
        <v>321</v>
      </c>
      <c r="D79" s="403">
        <f>+(5535+4775)/2</f>
        <v>5155</v>
      </c>
      <c r="E79" s="409" t="s">
        <v>322</v>
      </c>
      <c r="F79" s="438"/>
      <c r="G79" s="439"/>
      <c r="H79" s="440"/>
      <c r="I79" s="440"/>
      <c r="J79" s="440"/>
      <c r="K79" s="440"/>
      <c r="L79" s="440"/>
      <c r="M79" s="441"/>
      <c r="N79" s="441"/>
      <c r="O79" s="436"/>
      <c r="P79" s="510"/>
    </row>
    <row r="80" spans="1:19" s="443" customFormat="1" ht="25.15" customHeight="1">
      <c r="A80" s="877"/>
      <c r="B80" s="401">
        <v>1</v>
      </c>
      <c r="C80" s="405">
        <v>150</v>
      </c>
      <c r="D80" s="406">
        <v>550</v>
      </c>
      <c r="E80" s="401">
        <v>150</v>
      </c>
      <c r="F80" s="431">
        <v>10</v>
      </c>
      <c r="G80" s="432">
        <f t="shared" ref="G80" si="73">C80+D80+E80</f>
        <v>850</v>
      </c>
      <c r="H80" s="433"/>
      <c r="I80" s="433"/>
      <c r="J80" s="433">
        <f>+I80*H80+G80</f>
        <v>850</v>
      </c>
      <c r="K80" s="433">
        <f>+ROUND(D79/200,0)+1</f>
        <v>27</v>
      </c>
      <c r="L80" s="433">
        <v>2</v>
      </c>
      <c r="M80" s="435">
        <f>J80*K80*L80/1000</f>
        <v>45.9</v>
      </c>
      <c r="N80" s="435">
        <f t="shared" ref="N80:N83" si="74">_xlfn.XLOOKUP(F80,$R$5:$Z$5,$R$6:$Z$6,"NOT_FOUND",0)</f>
        <v>0.61699999999999999</v>
      </c>
      <c r="O80" s="434">
        <f>M80*N80</f>
        <v>28.3203</v>
      </c>
      <c r="P80" s="510"/>
    </row>
    <row r="81" spans="1:19" s="443" customFormat="1" ht="25.15" customHeight="1">
      <c r="A81" s="877"/>
      <c r="B81" s="401">
        <v>2</v>
      </c>
      <c r="C81" s="405"/>
      <c r="D81" s="459">
        <f>D79+175+225</f>
        <v>5555</v>
      </c>
      <c r="E81" s="401"/>
      <c r="F81" s="431">
        <v>10</v>
      </c>
      <c r="G81" s="432">
        <f>C81+D81+E81</f>
        <v>5555</v>
      </c>
      <c r="H81" s="433">
        <f>ROUNDUP((D79/11.7/1000),0)-1</f>
        <v>0</v>
      </c>
      <c r="I81" s="433">
        <f>45*F81</f>
        <v>450</v>
      </c>
      <c r="J81" s="433">
        <f>+I81*H81+G81</f>
        <v>5555</v>
      </c>
      <c r="K81" s="433">
        <v>4</v>
      </c>
      <c r="L81" s="433">
        <v>2</v>
      </c>
      <c r="M81" s="435">
        <f t="shared" ref="M81:M83" si="75">J81*K81*L81/1000</f>
        <v>44.44</v>
      </c>
      <c r="N81" s="435">
        <f t="shared" si="74"/>
        <v>0.61699999999999999</v>
      </c>
      <c r="O81" s="434">
        <f>M81*N81</f>
        <v>27.419479999999997</v>
      </c>
      <c r="P81" s="510"/>
      <c r="S81" s="444"/>
    </row>
    <row r="82" spans="1:19" s="443" customFormat="1" ht="25.15" customHeight="1">
      <c r="A82" s="877"/>
      <c r="B82" s="401">
        <v>3</v>
      </c>
      <c r="C82" s="405">
        <v>60</v>
      </c>
      <c r="D82" s="406">
        <v>150</v>
      </c>
      <c r="E82" s="401">
        <v>60</v>
      </c>
      <c r="F82" s="431">
        <v>6</v>
      </c>
      <c r="G82" s="432">
        <f>C82+D82+E82</f>
        <v>270</v>
      </c>
      <c r="H82" s="433"/>
      <c r="I82" s="433"/>
      <c r="J82" s="433">
        <f t="shared" ref="J82:J83" si="76">+I82*H82+G82</f>
        <v>270</v>
      </c>
      <c r="K82" s="433">
        <f>+ROUND(D79/600,0)+1</f>
        <v>10</v>
      </c>
      <c r="L82" s="597">
        <v>1</v>
      </c>
      <c r="M82" s="435">
        <f t="shared" si="75"/>
        <v>2.7</v>
      </c>
      <c r="N82" s="435">
        <f t="shared" si="74"/>
        <v>0.222</v>
      </c>
      <c r="O82" s="434">
        <f t="shared" ref="O82:O83" si="77">M82*N82</f>
        <v>0.59940000000000004</v>
      </c>
      <c r="P82" s="510"/>
    </row>
    <row r="83" spans="1:19" s="443" customFormat="1" ht="25.15" customHeight="1">
      <c r="A83" s="877"/>
      <c r="B83" s="411">
        <v>4</v>
      </c>
      <c r="C83" s="405">
        <v>150</v>
      </c>
      <c r="D83" s="406">
        <v>300</v>
      </c>
      <c r="E83" s="401"/>
      <c r="F83" s="431">
        <v>10</v>
      </c>
      <c r="G83" s="432">
        <f>C83+D83+E83</f>
        <v>450</v>
      </c>
      <c r="H83" s="433"/>
      <c r="I83" s="433"/>
      <c r="J83" s="433">
        <f t="shared" si="76"/>
        <v>450</v>
      </c>
      <c r="K83" s="433">
        <f>+K82</f>
        <v>10</v>
      </c>
      <c r="L83" s="433">
        <v>1</v>
      </c>
      <c r="M83" s="435">
        <f t="shared" si="75"/>
        <v>4.5</v>
      </c>
      <c r="N83" s="435">
        <f t="shared" si="74"/>
        <v>0.61699999999999999</v>
      </c>
      <c r="O83" s="434">
        <f t="shared" si="77"/>
        <v>2.7765</v>
      </c>
      <c r="P83" s="510" t="s">
        <v>347</v>
      </c>
    </row>
    <row r="84" spans="1:19" s="430" customFormat="1" ht="25.15" customHeight="1">
      <c r="A84" s="588" t="s">
        <v>555</v>
      </c>
      <c r="B84" s="589"/>
      <c r="C84" s="590"/>
      <c r="D84" s="591"/>
      <c r="E84" s="589"/>
      <c r="F84" s="592"/>
      <c r="G84" s="593"/>
      <c r="H84" s="593"/>
      <c r="I84" s="593"/>
      <c r="J84" s="593"/>
      <c r="K84" s="593"/>
      <c r="L84" s="593"/>
      <c r="M84" s="594"/>
      <c r="N84" s="595"/>
      <c r="O84" s="595"/>
      <c r="P84" s="596"/>
    </row>
    <row r="85" spans="1:19" s="443" customFormat="1" ht="25.15" customHeight="1">
      <c r="A85" s="884" t="s">
        <v>554</v>
      </c>
      <c r="B85" s="599">
        <v>1</v>
      </c>
      <c r="C85" s="405">
        <v>150</v>
      </c>
      <c r="D85" s="406">
        <v>1340</v>
      </c>
      <c r="E85" s="401">
        <v>150</v>
      </c>
      <c r="F85" s="431">
        <v>10</v>
      </c>
      <c r="G85" s="432">
        <f t="shared" ref="G85" si="78">C85+D85+E85</f>
        <v>1640</v>
      </c>
      <c r="H85" s="433"/>
      <c r="I85" s="433"/>
      <c r="J85" s="433">
        <f>+I85*H85+G85</f>
        <v>1640</v>
      </c>
      <c r="K85" s="433">
        <f>+ROUND(11400/200,0)+1</f>
        <v>58</v>
      </c>
      <c r="L85" s="433">
        <v>2</v>
      </c>
      <c r="M85" s="435">
        <f>J85*K85*L85/1000</f>
        <v>190.24</v>
      </c>
      <c r="N85" s="435">
        <f t="shared" ref="N85:N92" si="79">_xlfn.XLOOKUP(F85,$R$5:$Z$5,$R$6:$Z$6,"NOT_FOUND",0)</f>
        <v>0.61699999999999999</v>
      </c>
      <c r="O85" s="434">
        <f>M85*N85</f>
        <v>117.37808000000001</v>
      </c>
      <c r="P85" s="715" t="s">
        <v>755</v>
      </c>
    </row>
    <row r="86" spans="1:19" s="443" customFormat="1" ht="25.15" customHeight="1">
      <c r="A86" s="885"/>
      <c r="B86" s="599">
        <v>2</v>
      </c>
      <c r="C86" s="405"/>
      <c r="D86" s="459">
        <v>12040</v>
      </c>
      <c r="E86" s="401"/>
      <c r="F86" s="431">
        <v>10</v>
      </c>
      <c r="G86" s="432">
        <f>C86+D86+E86</f>
        <v>12040</v>
      </c>
      <c r="H86" s="433">
        <f>ROUNDUP((D86/11.7/1000),0)-1</f>
        <v>1</v>
      </c>
      <c r="I86" s="433">
        <f>40*F86</f>
        <v>400</v>
      </c>
      <c r="J86" s="433">
        <f>+I86*H86+G86</f>
        <v>12440</v>
      </c>
      <c r="K86" s="433">
        <v>8</v>
      </c>
      <c r="L86" s="433">
        <v>1</v>
      </c>
      <c r="M86" s="435">
        <f t="shared" ref="M86:M89" si="80">J86*K86*L86/1000</f>
        <v>99.52</v>
      </c>
      <c r="N86" s="435">
        <f t="shared" si="79"/>
        <v>0.61699999999999999</v>
      </c>
      <c r="O86" s="434">
        <f>M86*N86</f>
        <v>61.403839999999995</v>
      </c>
      <c r="P86" s="510"/>
      <c r="S86" s="444"/>
    </row>
    <row r="87" spans="1:19" s="443" customFormat="1" ht="25.15" customHeight="1">
      <c r="A87" s="885"/>
      <c r="B87" s="599">
        <v>2</v>
      </c>
      <c r="C87" s="405"/>
      <c r="D87" s="459">
        <v>10760</v>
      </c>
      <c r="E87" s="401"/>
      <c r="F87" s="431">
        <v>10</v>
      </c>
      <c r="G87" s="432">
        <f>C87+D87+E87</f>
        <v>10760</v>
      </c>
      <c r="H87" s="433">
        <f>ROUNDUP((D87/11.7/1000),0)-1</f>
        <v>0</v>
      </c>
      <c r="I87" s="433">
        <f>40*F87</f>
        <v>400</v>
      </c>
      <c r="J87" s="433">
        <f>+I87*H87+G87</f>
        <v>10760</v>
      </c>
      <c r="K87" s="433">
        <v>8</v>
      </c>
      <c r="L87" s="433">
        <v>1</v>
      </c>
      <c r="M87" s="435">
        <f t="shared" si="80"/>
        <v>86.08</v>
      </c>
      <c r="N87" s="435">
        <f t="shared" si="79"/>
        <v>0.61699999999999999</v>
      </c>
      <c r="O87" s="434">
        <f>M87*N87</f>
        <v>53.111359999999998</v>
      </c>
      <c r="P87" s="510"/>
      <c r="S87" s="444"/>
    </row>
    <row r="88" spans="1:19" s="443" customFormat="1" ht="25.15" customHeight="1">
      <c r="A88" s="885"/>
      <c r="B88" s="599">
        <v>3</v>
      </c>
      <c r="C88" s="405">
        <v>60</v>
      </c>
      <c r="D88" s="406">
        <v>150</v>
      </c>
      <c r="E88" s="401">
        <v>60</v>
      </c>
      <c r="F88" s="431">
        <v>6</v>
      </c>
      <c r="G88" s="432">
        <f>C88+D88+E88</f>
        <v>270</v>
      </c>
      <c r="H88" s="433"/>
      <c r="I88" s="433"/>
      <c r="J88" s="433">
        <f t="shared" ref="J88:J89" si="81">+I88*H88+G88</f>
        <v>270</v>
      </c>
      <c r="K88" s="433">
        <f>+ROUND(D87/600,0)+1</f>
        <v>19</v>
      </c>
      <c r="L88" s="433">
        <v>2</v>
      </c>
      <c r="M88" s="435">
        <f t="shared" si="80"/>
        <v>10.26</v>
      </c>
      <c r="N88" s="435">
        <f t="shared" si="79"/>
        <v>0.222</v>
      </c>
      <c r="O88" s="434">
        <f t="shared" ref="O88:O89" si="82">M88*N88</f>
        <v>2.27772</v>
      </c>
      <c r="P88" s="510"/>
    </row>
    <row r="89" spans="1:19" s="443" customFormat="1" ht="25.15" customHeight="1">
      <c r="A89" s="885"/>
      <c r="B89" s="600">
        <v>4</v>
      </c>
      <c r="C89" s="405">
        <v>150</v>
      </c>
      <c r="D89" s="406">
        <v>300</v>
      </c>
      <c r="E89" s="401"/>
      <c r="F89" s="431">
        <v>10</v>
      </c>
      <c r="G89" s="432">
        <f>C89+D89+E89</f>
        <v>450</v>
      </c>
      <c r="H89" s="433"/>
      <c r="I89" s="433"/>
      <c r="J89" s="433">
        <f t="shared" si="81"/>
        <v>450</v>
      </c>
      <c r="K89" s="433">
        <f>+K88</f>
        <v>19</v>
      </c>
      <c r="L89" s="433">
        <v>1</v>
      </c>
      <c r="M89" s="435">
        <f t="shared" si="80"/>
        <v>8.5500000000000007</v>
      </c>
      <c r="N89" s="435">
        <f t="shared" si="79"/>
        <v>0.61699999999999999</v>
      </c>
      <c r="O89" s="434">
        <f t="shared" si="82"/>
        <v>5.2753500000000004</v>
      </c>
      <c r="P89" s="510" t="s">
        <v>347</v>
      </c>
      <c r="Q89" s="443">
        <f>7330+200*5</f>
        <v>8330</v>
      </c>
    </row>
    <row r="90" spans="1:19" s="443" customFormat="1" ht="25.15" customHeight="1">
      <c r="A90" s="885"/>
      <c r="B90" s="599">
        <v>9</v>
      </c>
      <c r="C90" s="405">
        <v>270</v>
      </c>
      <c r="D90" s="406">
        <v>150</v>
      </c>
      <c r="E90" s="401">
        <v>270</v>
      </c>
      <c r="F90" s="431">
        <v>10</v>
      </c>
      <c r="G90" s="432">
        <f t="shared" ref="G90:G92" si="83">C90+D90+E90</f>
        <v>690</v>
      </c>
      <c r="H90" s="433"/>
      <c r="I90" s="433"/>
      <c r="J90" s="433">
        <f>+I90*H90+G90</f>
        <v>690</v>
      </c>
      <c r="K90" s="433">
        <f>+ROUND(1640/200,0)+1</f>
        <v>9</v>
      </c>
      <c r="L90" s="433">
        <v>1</v>
      </c>
      <c r="M90" s="435">
        <f>J90*K90*L90/1000</f>
        <v>6.21</v>
      </c>
      <c r="N90" s="435">
        <f t="shared" si="79"/>
        <v>0.61699999999999999</v>
      </c>
      <c r="O90" s="434">
        <f>M90*N90</f>
        <v>3.8315700000000001</v>
      </c>
      <c r="P90" s="510"/>
    </row>
    <row r="91" spans="1:19" s="443" customFormat="1" ht="25.15" customHeight="1">
      <c r="A91" s="885"/>
      <c r="B91" s="599">
        <v>10</v>
      </c>
      <c r="C91" s="405"/>
      <c r="D91" s="459">
        <v>1960</v>
      </c>
      <c r="E91" s="401"/>
      <c r="F91" s="431">
        <v>10</v>
      </c>
      <c r="G91" s="432">
        <f t="shared" si="83"/>
        <v>1960</v>
      </c>
      <c r="H91" s="433"/>
      <c r="I91" s="433"/>
      <c r="J91" s="433">
        <f>+I91*H91+G91</f>
        <v>1960</v>
      </c>
      <c r="K91" s="433">
        <v>3</v>
      </c>
      <c r="L91" s="433">
        <v>1</v>
      </c>
      <c r="M91" s="435">
        <f>J91*K91*L91/1000</f>
        <v>5.88</v>
      </c>
      <c r="N91" s="435">
        <f t="shared" si="79"/>
        <v>0.61699999999999999</v>
      </c>
      <c r="O91" s="434">
        <f>M91*N91</f>
        <v>3.6279599999999999</v>
      </c>
      <c r="P91" s="510"/>
    </row>
    <row r="92" spans="1:19" s="443" customFormat="1" ht="25.15" customHeight="1">
      <c r="A92" s="886"/>
      <c r="B92" s="599">
        <v>10</v>
      </c>
      <c r="C92" s="405"/>
      <c r="D92" s="459">
        <v>1640</v>
      </c>
      <c r="E92" s="401"/>
      <c r="F92" s="431">
        <v>10</v>
      </c>
      <c r="G92" s="432">
        <f t="shared" si="83"/>
        <v>1640</v>
      </c>
      <c r="H92" s="433"/>
      <c r="I92" s="433"/>
      <c r="J92" s="433">
        <f>+I92*H92+G92</f>
        <v>1640</v>
      </c>
      <c r="K92" s="433">
        <v>3</v>
      </c>
      <c r="L92" s="433">
        <v>1</v>
      </c>
      <c r="M92" s="435">
        <f>J92*K92*L92/1000</f>
        <v>4.92</v>
      </c>
      <c r="N92" s="435">
        <f t="shared" si="79"/>
        <v>0.61699999999999999</v>
      </c>
      <c r="O92" s="434">
        <f>M92*N92</f>
        <v>3.0356399999999999</v>
      </c>
      <c r="P92" s="510"/>
    </row>
    <row r="93" spans="1:19" s="430" customFormat="1" ht="25.15" customHeight="1">
      <c r="A93" s="588" t="s">
        <v>541</v>
      </c>
      <c r="B93" s="589"/>
      <c r="C93" s="590"/>
      <c r="D93" s="591"/>
      <c r="E93" s="589"/>
      <c r="F93" s="592"/>
      <c r="G93" s="593"/>
      <c r="H93" s="593"/>
      <c r="I93" s="593"/>
      <c r="J93" s="593"/>
      <c r="K93" s="593"/>
      <c r="L93" s="593"/>
      <c r="M93" s="594"/>
      <c r="N93" s="595"/>
      <c r="O93" s="595"/>
      <c r="P93" s="596"/>
    </row>
    <row r="94" spans="1:19" s="442" customFormat="1" ht="15.75">
      <c r="A94" s="877" t="s">
        <v>542</v>
      </c>
      <c r="B94" s="409"/>
      <c r="C94" s="410" t="s">
        <v>321</v>
      </c>
      <c r="D94" s="403">
        <v>7930</v>
      </c>
      <c r="E94" s="409" t="s">
        <v>322</v>
      </c>
      <c r="F94" s="438"/>
      <c r="G94" s="439"/>
      <c r="H94" s="440"/>
      <c r="I94" s="440"/>
      <c r="J94" s="440"/>
      <c r="K94" s="440"/>
      <c r="L94" s="440"/>
      <c r="M94" s="441"/>
      <c r="N94" s="441"/>
      <c r="O94" s="436"/>
      <c r="P94" s="709" t="s">
        <v>756</v>
      </c>
    </row>
    <row r="95" spans="1:19" s="443" customFormat="1" ht="25.15" customHeight="1">
      <c r="A95" s="877"/>
      <c r="B95" s="401">
        <v>1</v>
      </c>
      <c r="C95" s="405">
        <v>150</v>
      </c>
      <c r="D95" s="406">
        <v>1350</v>
      </c>
      <c r="E95" s="401">
        <v>150</v>
      </c>
      <c r="F95" s="431">
        <v>10</v>
      </c>
      <c r="G95" s="432">
        <f t="shared" ref="G95" si="84">C95+D95+E95</f>
        <v>1650</v>
      </c>
      <c r="H95" s="433"/>
      <c r="I95" s="433"/>
      <c r="J95" s="433">
        <f>+I95*H95+G95</f>
        <v>1650</v>
      </c>
      <c r="K95" s="433">
        <f>+ROUND(D94/200,0)+1</f>
        <v>41</v>
      </c>
      <c r="L95" s="433">
        <v>2</v>
      </c>
      <c r="M95" s="435">
        <f>J95*K95*L95/1000</f>
        <v>135.30000000000001</v>
      </c>
      <c r="N95" s="435">
        <f t="shared" ref="N95:N98" si="85">_xlfn.XLOOKUP(F95,$R$5:$Z$5,$R$6:$Z$6,"NOT_FOUND",0)</f>
        <v>0.61699999999999999</v>
      </c>
      <c r="O95" s="434">
        <f>M95*N95</f>
        <v>83.480100000000007</v>
      </c>
      <c r="P95" s="510"/>
    </row>
    <row r="96" spans="1:19" s="443" customFormat="1" ht="25.15" customHeight="1">
      <c r="A96" s="877"/>
      <c r="B96" s="401">
        <v>2</v>
      </c>
      <c r="C96" s="405"/>
      <c r="D96" s="459">
        <v>8915</v>
      </c>
      <c r="E96" s="401"/>
      <c r="F96" s="431">
        <v>10</v>
      </c>
      <c r="G96" s="432">
        <f>C96+D96+E96</f>
        <v>8915</v>
      </c>
      <c r="H96" s="433">
        <f>ROUNDUP((D94/11.7/1000),0)-1</f>
        <v>0</v>
      </c>
      <c r="I96" s="433">
        <f>45*F96</f>
        <v>450</v>
      </c>
      <c r="J96" s="433">
        <f>+I96*H96+G96</f>
        <v>8915</v>
      </c>
      <c r="K96" s="433">
        <v>8</v>
      </c>
      <c r="L96" s="433">
        <v>2</v>
      </c>
      <c r="M96" s="435">
        <f t="shared" ref="M96:M98" si="86">J96*K96*L96/1000</f>
        <v>142.63999999999999</v>
      </c>
      <c r="N96" s="435">
        <f t="shared" si="85"/>
        <v>0.61699999999999999</v>
      </c>
      <c r="O96" s="434">
        <f>M96*N96</f>
        <v>88.008879999999991</v>
      </c>
      <c r="P96" s="510"/>
      <c r="S96" s="444"/>
    </row>
    <row r="97" spans="1:19" s="443" customFormat="1" ht="25.15" customHeight="1">
      <c r="A97" s="877"/>
      <c r="B97" s="401">
        <v>3</v>
      </c>
      <c r="C97" s="405">
        <v>60</v>
      </c>
      <c r="D97" s="406">
        <v>150</v>
      </c>
      <c r="E97" s="401">
        <v>60</v>
      </c>
      <c r="F97" s="431">
        <v>6</v>
      </c>
      <c r="G97" s="432">
        <f>C97+D97+E97</f>
        <v>270</v>
      </c>
      <c r="H97" s="433"/>
      <c r="I97" s="433"/>
      <c r="J97" s="433">
        <f t="shared" ref="J97:J98" si="87">+I97*H97+G97</f>
        <v>270</v>
      </c>
      <c r="K97" s="433">
        <f>+ROUND(D94/600,0)+1</f>
        <v>14</v>
      </c>
      <c r="L97" s="433">
        <v>3</v>
      </c>
      <c r="M97" s="435">
        <f t="shared" si="86"/>
        <v>11.34</v>
      </c>
      <c r="N97" s="435">
        <f t="shared" si="85"/>
        <v>0.222</v>
      </c>
      <c r="O97" s="434">
        <f t="shared" ref="O97:O98" si="88">M97*N97</f>
        <v>2.5174799999999999</v>
      </c>
      <c r="P97" s="510"/>
    </row>
    <row r="98" spans="1:19" s="443" customFormat="1" ht="25.15" customHeight="1">
      <c r="A98" s="877"/>
      <c r="B98" s="411">
        <v>4</v>
      </c>
      <c r="C98" s="405">
        <v>150</v>
      </c>
      <c r="D98" s="406">
        <v>300</v>
      </c>
      <c r="E98" s="401"/>
      <c r="F98" s="431">
        <v>10</v>
      </c>
      <c r="G98" s="432">
        <f>C98+D98+E98</f>
        <v>450</v>
      </c>
      <c r="H98" s="433"/>
      <c r="I98" s="433"/>
      <c r="J98" s="433">
        <f t="shared" si="87"/>
        <v>450</v>
      </c>
      <c r="K98" s="433">
        <f>+K97</f>
        <v>14</v>
      </c>
      <c r="L98" s="433">
        <v>1</v>
      </c>
      <c r="M98" s="435">
        <f t="shared" si="86"/>
        <v>6.3</v>
      </c>
      <c r="N98" s="435">
        <f t="shared" si="85"/>
        <v>0.61699999999999999</v>
      </c>
      <c r="O98" s="434">
        <f t="shared" si="88"/>
        <v>3.8870999999999998</v>
      </c>
      <c r="P98" s="510" t="s">
        <v>347</v>
      </c>
      <c r="Q98" s="443">
        <f>7330+200*5</f>
        <v>8330</v>
      </c>
    </row>
    <row r="99" spans="1:19" s="442" customFormat="1" ht="15.75">
      <c r="A99" s="877" t="s">
        <v>543</v>
      </c>
      <c r="B99" s="409"/>
      <c r="C99" s="410" t="s">
        <v>321</v>
      </c>
      <c r="D99" s="403">
        <v>8645</v>
      </c>
      <c r="E99" s="409" t="s">
        <v>322</v>
      </c>
      <c r="F99" s="438"/>
      <c r="G99" s="439"/>
      <c r="H99" s="440"/>
      <c r="I99" s="440"/>
      <c r="J99" s="440"/>
      <c r="K99" s="440"/>
      <c r="L99" s="440"/>
      <c r="M99" s="441"/>
      <c r="N99" s="441"/>
      <c r="O99" s="436"/>
      <c r="P99" s="709" t="s">
        <v>756</v>
      </c>
      <c r="Q99" s="442">
        <f>8250+200*4</f>
        <v>9050</v>
      </c>
    </row>
    <row r="100" spans="1:19" s="443" customFormat="1" ht="25.15" customHeight="1">
      <c r="A100" s="877"/>
      <c r="B100" s="401">
        <v>1</v>
      </c>
      <c r="C100" s="405">
        <v>150</v>
      </c>
      <c r="D100" s="406">
        <v>1350</v>
      </c>
      <c r="E100" s="401">
        <v>150</v>
      </c>
      <c r="F100" s="431">
        <v>10</v>
      </c>
      <c r="G100" s="432">
        <f t="shared" ref="G100" si="89">C100+D100+E100</f>
        <v>1650</v>
      </c>
      <c r="H100" s="433"/>
      <c r="I100" s="433"/>
      <c r="J100" s="433">
        <f>+I100*H100+G100</f>
        <v>1650</v>
      </c>
      <c r="K100" s="433">
        <f>+ROUND(D99/200,0)+1</f>
        <v>44</v>
      </c>
      <c r="L100" s="433">
        <v>2</v>
      </c>
      <c r="M100" s="435">
        <f>J100*K100*L100/1000</f>
        <v>145.19999999999999</v>
      </c>
      <c r="N100" s="435">
        <f t="shared" ref="N100:N103" si="90">_xlfn.XLOOKUP(F100,$R$5:$Z$5,$R$6:$Z$6,"NOT_FOUND",0)</f>
        <v>0.61699999999999999</v>
      </c>
      <c r="O100" s="434">
        <f>M100*N100</f>
        <v>89.588399999999993</v>
      </c>
      <c r="P100" s="510"/>
    </row>
    <row r="101" spans="1:19" s="443" customFormat="1" ht="25.15" customHeight="1">
      <c r="A101" s="877"/>
      <c r="B101" s="401">
        <v>2</v>
      </c>
      <c r="C101" s="405"/>
      <c r="D101" s="459">
        <v>9250</v>
      </c>
      <c r="E101" s="401"/>
      <c r="F101" s="431">
        <v>10</v>
      </c>
      <c r="G101" s="432">
        <f>C101+D101+E101</f>
        <v>9250</v>
      </c>
      <c r="H101" s="433">
        <f>ROUNDUP((D99/11.7/1000),0)-1</f>
        <v>0</v>
      </c>
      <c r="I101" s="433">
        <f>45*F101</f>
        <v>450</v>
      </c>
      <c r="J101" s="433">
        <f>+I101*H101+G101</f>
        <v>9250</v>
      </c>
      <c r="K101" s="433">
        <v>8</v>
      </c>
      <c r="L101" s="433">
        <v>2</v>
      </c>
      <c r="M101" s="435">
        <f t="shared" ref="M101:M103" si="91">J101*K101*L101/1000</f>
        <v>148</v>
      </c>
      <c r="N101" s="435">
        <f t="shared" si="90"/>
        <v>0.61699999999999999</v>
      </c>
      <c r="O101" s="434">
        <f>M101*N101</f>
        <v>91.316000000000003</v>
      </c>
      <c r="P101" s="510"/>
      <c r="S101" s="444"/>
    </row>
    <row r="102" spans="1:19" s="443" customFormat="1" ht="25.15" customHeight="1">
      <c r="A102" s="877"/>
      <c r="B102" s="401">
        <v>3</v>
      </c>
      <c r="C102" s="405">
        <v>60</v>
      </c>
      <c r="D102" s="406">
        <v>150</v>
      </c>
      <c r="E102" s="401">
        <v>60</v>
      </c>
      <c r="F102" s="431">
        <v>6</v>
      </c>
      <c r="G102" s="432">
        <f>C102+D102+E102</f>
        <v>270</v>
      </c>
      <c r="H102" s="433"/>
      <c r="I102" s="433"/>
      <c r="J102" s="433">
        <f t="shared" ref="J102:J103" si="92">+I102*H102+G102</f>
        <v>270</v>
      </c>
      <c r="K102" s="433">
        <f>+ROUND(D99/600,0)+1</f>
        <v>15</v>
      </c>
      <c r="L102" s="433">
        <v>3</v>
      </c>
      <c r="M102" s="435">
        <f t="shared" si="91"/>
        <v>12.15</v>
      </c>
      <c r="N102" s="435">
        <f t="shared" si="90"/>
        <v>0.222</v>
      </c>
      <c r="O102" s="434">
        <f t="shared" ref="O102:O103" si="93">M102*N102</f>
        <v>2.6973000000000003</v>
      </c>
      <c r="P102" s="510"/>
    </row>
    <row r="103" spans="1:19" s="443" customFormat="1" ht="25.15" customHeight="1">
      <c r="A103" s="877"/>
      <c r="B103" s="411">
        <v>4</v>
      </c>
      <c r="C103" s="405">
        <v>150</v>
      </c>
      <c r="D103" s="406">
        <v>300</v>
      </c>
      <c r="E103" s="401"/>
      <c r="F103" s="431">
        <v>10</v>
      </c>
      <c r="G103" s="432">
        <f>C103+D103+E103</f>
        <v>450</v>
      </c>
      <c r="H103" s="433"/>
      <c r="I103" s="433"/>
      <c r="J103" s="433">
        <f t="shared" si="92"/>
        <v>450</v>
      </c>
      <c r="K103" s="433">
        <f>+K102</f>
        <v>15</v>
      </c>
      <c r="L103" s="433">
        <v>1</v>
      </c>
      <c r="M103" s="435">
        <f t="shared" si="91"/>
        <v>6.75</v>
      </c>
      <c r="N103" s="435">
        <f t="shared" si="90"/>
        <v>0.61699999999999999</v>
      </c>
      <c r="O103" s="434">
        <f t="shared" si="93"/>
        <v>4.1647499999999997</v>
      </c>
      <c r="P103" s="510" t="s">
        <v>347</v>
      </c>
    </row>
    <row r="104" spans="1:19" s="442" customFormat="1" ht="15.75">
      <c r="A104" s="877" t="s">
        <v>544</v>
      </c>
      <c r="B104" s="409"/>
      <c r="C104" s="410" t="s">
        <v>321</v>
      </c>
      <c r="D104" s="403">
        <v>3545</v>
      </c>
      <c r="E104" s="409" t="s">
        <v>322</v>
      </c>
      <c r="F104" s="438"/>
      <c r="G104" s="439"/>
      <c r="H104" s="440"/>
      <c r="I104" s="440"/>
      <c r="J104" s="440"/>
      <c r="K104" s="440"/>
      <c r="L104" s="440"/>
      <c r="M104" s="441"/>
      <c r="N104" s="441"/>
      <c r="O104" s="436"/>
      <c r="P104" s="709" t="s">
        <v>756</v>
      </c>
    </row>
    <row r="105" spans="1:19" s="443" customFormat="1" ht="25.15" customHeight="1">
      <c r="A105" s="877"/>
      <c r="B105" s="401">
        <v>1</v>
      </c>
      <c r="C105" s="405">
        <v>150</v>
      </c>
      <c r="D105" s="406">
        <v>550</v>
      </c>
      <c r="E105" s="401">
        <v>150</v>
      </c>
      <c r="F105" s="431">
        <v>10</v>
      </c>
      <c r="G105" s="432">
        <f t="shared" ref="G105" si="94">C105+D105+E105</f>
        <v>850</v>
      </c>
      <c r="H105" s="433"/>
      <c r="I105" s="433"/>
      <c r="J105" s="433">
        <f>+I105*H105+G105</f>
        <v>850</v>
      </c>
      <c r="K105" s="433">
        <f>+ROUND(D104/200,0)+1</f>
        <v>19</v>
      </c>
      <c r="L105" s="433">
        <v>2</v>
      </c>
      <c r="M105" s="435">
        <f>J105*K105*L105/1000</f>
        <v>32.299999999999997</v>
      </c>
      <c r="N105" s="435">
        <f t="shared" ref="N105:N108" si="95">_xlfn.XLOOKUP(F105,$R$5:$Z$5,$R$6:$Z$6,"NOT_FOUND",0)</f>
        <v>0.61699999999999999</v>
      </c>
      <c r="O105" s="434">
        <f>M105*N105</f>
        <v>19.929099999999998</v>
      </c>
      <c r="P105" s="510"/>
    </row>
    <row r="106" spans="1:19" s="443" customFormat="1" ht="25.15" customHeight="1">
      <c r="A106" s="877"/>
      <c r="B106" s="401">
        <v>2</v>
      </c>
      <c r="C106" s="405"/>
      <c r="D106" s="459">
        <f>D104+800</f>
        <v>4345</v>
      </c>
      <c r="E106" s="401"/>
      <c r="F106" s="431">
        <v>10</v>
      </c>
      <c r="G106" s="432">
        <f>C106+D106+E106</f>
        <v>4345</v>
      </c>
      <c r="H106" s="433">
        <f>ROUNDUP((D104/11.7/1000),0)-1</f>
        <v>0</v>
      </c>
      <c r="I106" s="433">
        <f>45*F106</f>
        <v>450</v>
      </c>
      <c r="J106" s="433">
        <f>+I106*H106+G106</f>
        <v>4345</v>
      </c>
      <c r="K106" s="433">
        <v>4</v>
      </c>
      <c r="L106" s="433">
        <v>2</v>
      </c>
      <c r="M106" s="435">
        <f t="shared" ref="M106:M108" si="96">J106*K106*L106/1000</f>
        <v>34.76</v>
      </c>
      <c r="N106" s="435">
        <f t="shared" si="95"/>
        <v>0.61699999999999999</v>
      </c>
      <c r="O106" s="434">
        <f>M106*N106</f>
        <v>21.446919999999999</v>
      </c>
      <c r="P106" s="510"/>
      <c r="S106" s="444"/>
    </row>
    <row r="107" spans="1:19" s="443" customFormat="1" ht="25.15" customHeight="1">
      <c r="A107" s="877"/>
      <c r="B107" s="401">
        <v>3</v>
      </c>
      <c r="C107" s="405">
        <v>60</v>
      </c>
      <c r="D107" s="406">
        <v>150</v>
      </c>
      <c r="E107" s="401">
        <v>60</v>
      </c>
      <c r="F107" s="431">
        <v>6</v>
      </c>
      <c r="G107" s="432">
        <f>C107+D107+E107</f>
        <v>270</v>
      </c>
      <c r="H107" s="433"/>
      <c r="I107" s="433"/>
      <c r="J107" s="433">
        <f t="shared" ref="J107:J108" si="97">+I107*H107+G107</f>
        <v>270</v>
      </c>
      <c r="K107" s="433">
        <f>+ROUND(D104/600,0)+1</f>
        <v>7</v>
      </c>
      <c r="L107" s="597">
        <v>1</v>
      </c>
      <c r="M107" s="435">
        <f t="shared" si="96"/>
        <v>1.89</v>
      </c>
      <c r="N107" s="435">
        <f t="shared" si="95"/>
        <v>0.222</v>
      </c>
      <c r="O107" s="434">
        <f t="shared" ref="O107:O108" si="98">M107*N107</f>
        <v>0.41958000000000001</v>
      </c>
      <c r="P107" s="510"/>
    </row>
    <row r="108" spans="1:19" s="443" customFormat="1" ht="25.15" customHeight="1">
      <c r="A108" s="877"/>
      <c r="B108" s="411">
        <v>4</v>
      </c>
      <c r="C108" s="405">
        <v>150</v>
      </c>
      <c r="D108" s="406">
        <v>300</v>
      </c>
      <c r="E108" s="401"/>
      <c r="F108" s="431">
        <v>10</v>
      </c>
      <c r="G108" s="432">
        <f>C108+D108+E108</f>
        <v>450</v>
      </c>
      <c r="H108" s="433"/>
      <c r="I108" s="433"/>
      <c r="J108" s="433">
        <f t="shared" si="97"/>
        <v>450</v>
      </c>
      <c r="K108" s="433">
        <f>+K107</f>
        <v>7</v>
      </c>
      <c r="L108" s="433">
        <v>1</v>
      </c>
      <c r="M108" s="435">
        <f t="shared" si="96"/>
        <v>3.15</v>
      </c>
      <c r="N108" s="435">
        <f t="shared" si="95"/>
        <v>0.61699999999999999</v>
      </c>
      <c r="O108" s="434">
        <f t="shared" si="98"/>
        <v>1.9435499999999999</v>
      </c>
      <c r="P108" s="510" t="s">
        <v>347</v>
      </c>
    </row>
    <row r="109" spans="1:19" s="442" customFormat="1" ht="15.75">
      <c r="A109" s="877" t="s">
        <v>545</v>
      </c>
      <c r="B109" s="409"/>
      <c r="C109" s="410" t="s">
        <v>321</v>
      </c>
      <c r="D109" s="403">
        <f>+(3606+2228)/2</f>
        <v>2917</v>
      </c>
      <c r="E109" s="409" t="s">
        <v>322</v>
      </c>
      <c r="F109" s="438"/>
      <c r="G109" s="439"/>
      <c r="H109" s="440"/>
      <c r="I109" s="440"/>
      <c r="J109" s="440"/>
      <c r="K109" s="440"/>
      <c r="L109" s="440"/>
      <c r="M109" s="441"/>
      <c r="N109" s="441"/>
      <c r="O109" s="436"/>
      <c r="P109" s="709" t="s">
        <v>756</v>
      </c>
    </row>
    <row r="110" spans="1:19" s="443" customFormat="1" ht="25.15" customHeight="1">
      <c r="A110" s="877"/>
      <c r="B110" s="401">
        <v>1</v>
      </c>
      <c r="C110" s="405">
        <v>150</v>
      </c>
      <c r="D110" s="598">
        <v>1350</v>
      </c>
      <c r="E110" s="401">
        <v>150</v>
      </c>
      <c r="F110" s="431">
        <v>10</v>
      </c>
      <c r="G110" s="432">
        <f t="shared" ref="G110" si="99">C110+D110+E110</f>
        <v>1650</v>
      </c>
      <c r="H110" s="433"/>
      <c r="I110" s="433"/>
      <c r="J110" s="433">
        <f>+I110*H110+G110</f>
        <v>1650</v>
      </c>
      <c r="K110" s="433">
        <f>+ROUND(D109/200,0)+1</f>
        <v>16</v>
      </c>
      <c r="L110" s="433">
        <v>2</v>
      </c>
      <c r="M110" s="435">
        <f>J110*K110*L110/1000</f>
        <v>52.8</v>
      </c>
      <c r="N110" s="435">
        <f t="shared" ref="N110:N113" si="100">_xlfn.XLOOKUP(F110,$R$5:$Z$5,$R$6:$Z$6,"NOT_FOUND",0)</f>
        <v>0.61699999999999999</v>
      </c>
      <c r="O110" s="434">
        <f>M110*N110</f>
        <v>32.577599999999997</v>
      </c>
      <c r="P110" s="510"/>
    </row>
    <row r="111" spans="1:19" s="443" customFormat="1" ht="25.15" customHeight="1">
      <c r="A111" s="877"/>
      <c r="B111" s="401">
        <v>2</v>
      </c>
      <c r="C111" s="405"/>
      <c r="D111" s="459">
        <f>D109+800</f>
        <v>3717</v>
      </c>
      <c r="E111" s="401"/>
      <c r="F111" s="431">
        <v>10</v>
      </c>
      <c r="G111" s="432">
        <f>C111+D111+E111</f>
        <v>3717</v>
      </c>
      <c r="H111" s="433">
        <f>ROUNDUP((D109/11.7/1000),0)-1</f>
        <v>0</v>
      </c>
      <c r="I111" s="433">
        <f>45*F111</f>
        <v>450</v>
      </c>
      <c r="J111" s="433">
        <f>+I111*H111+G111</f>
        <v>3717</v>
      </c>
      <c r="K111" s="597">
        <v>8</v>
      </c>
      <c r="L111" s="433">
        <v>2</v>
      </c>
      <c r="M111" s="435">
        <f t="shared" ref="M111:M113" si="101">J111*K111*L111/1000</f>
        <v>59.472000000000001</v>
      </c>
      <c r="N111" s="435">
        <f t="shared" si="100"/>
        <v>0.61699999999999999</v>
      </c>
      <c r="O111" s="434">
        <f>M111*N111</f>
        <v>36.694223999999998</v>
      </c>
      <c r="P111" s="510"/>
      <c r="S111" s="444"/>
    </row>
    <row r="112" spans="1:19" s="443" customFormat="1" ht="25.15" customHeight="1">
      <c r="A112" s="877"/>
      <c r="B112" s="401">
        <v>3</v>
      </c>
      <c r="C112" s="405">
        <v>60</v>
      </c>
      <c r="D112" s="406">
        <v>150</v>
      </c>
      <c r="E112" s="401">
        <v>60</v>
      </c>
      <c r="F112" s="431">
        <v>6</v>
      </c>
      <c r="G112" s="432">
        <f>C112+D112+E112</f>
        <v>270</v>
      </c>
      <c r="H112" s="433"/>
      <c r="I112" s="433"/>
      <c r="J112" s="433">
        <f t="shared" ref="J112:J113" si="102">+I112*H112+G112</f>
        <v>270</v>
      </c>
      <c r="K112" s="433">
        <f>+ROUND(D109/600,0)+1</f>
        <v>6</v>
      </c>
      <c r="L112" s="433">
        <v>3</v>
      </c>
      <c r="M112" s="435">
        <f t="shared" si="101"/>
        <v>4.8600000000000003</v>
      </c>
      <c r="N112" s="435">
        <f t="shared" si="100"/>
        <v>0.222</v>
      </c>
      <c r="O112" s="434">
        <f t="shared" ref="O112:O113" si="103">M112*N112</f>
        <v>1.0789200000000001</v>
      </c>
      <c r="P112" s="510"/>
    </row>
    <row r="113" spans="1:19" s="443" customFormat="1" ht="25.15" customHeight="1">
      <c r="A113" s="877"/>
      <c r="B113" s="411">
        <v>4</v>
      </c>
      <c r="C113" s="405">
        <v>150</v>
      </c>
      <c r="D113" s="406">
        <v>300</v>
      </c>
      <c r="E113" s="401"/>
      <c r="F113" s="431">
        <v>10</v>
      </c>
      <c r="G113" s="432">
        <f>C113+D113+E113</f>
        <v>450</v>
      </c>
      <c r="H113" s="433"/>
      <c r="I113" s="433"/>
      <c r="J113" s="433">
        <f t="shared" si="102"/>
        <v>450</v>
      </c>
      <c r="K113" s="433">
        <f>+K112</f>
        <v>6</v>
      </c>
      <c r="L113" s="433">
        <v>1</v>
      </c>
      <c r="M113" s="435">
        <f t="shared" si="101"/>
        <v>2.7</v>
      </c>
      <c r="N113" s="435">
        <f t="shared" si="100"/>
        <v>0.61699999999999999</v>
      </c>
      <c r="O113" s="434">
        <f t="shared" si="103"/>
        <v>1.6659000000000002</v>
      </c>
      <c r="P113" s="510" t="s">
        <v>347</v>
      </c>
    </row>
    <row r="114" spans="1:19" s="442" customFormat="1" ht="15.75">
      <c r="A114" s="877" t="s">
        <v>546</v>
      </c>
      <c r="B114" s="409"/>
      <c r="C114" s="410" t="s">
        <v>321</v>
      </c>
      <c r="D114" s="403">
        <v>2960</v>
      </c>
      <c r="E114" s="409" t="s">
        <v>322</v>
      </c>
      <c r="F114" s="438"/>
      <c r="G114" s="439"/>
      <c r="H114" s="440"/>
      <c r="I114" s="440"/>
      <c r="J114" s="440"/>
      <c r="K114" s="440"/>
      <c r="L114" s="440"/>
      <c r="M114" s="441"/>
      <c r="N114" s="441"/>
      <c r="O114" s="436"/>
      <c r="P114" s="709" t="s">
        <v>756</v>
      </c>
    </row>
    <row r="115" spans="1:19" s="443" customFormat="1" ht="25.15" customHeight="1">
      <c r="A115" s="877"/>
      <c r="B115" s="401">
        <v>1</v>
      </c>
      <c r="C115" s="405">
        <v>150</v>
      </c>
      <c r="D115" s="406">
        <v>550</v>
      </c>
      <c r="E115" s="401">
        <v>150</v>
      </c>
      <c r="F115" s="431">
        <v>10</v>
      </c>
      <c r="G115" s="432">
        <f t="shared" ref="G115" si="104">C115+D115+E115</f>
        <v>850</v>
      </c>
      <c r="H115" s="433"/>
      <c r="I115" s="433"/>
      <c r="J115" s="433">
        <f>+I115*H115+G115</f>
        <v>850</v>
      </c>
      <c r="K115" s="433">
        <f>+ROUND(D114/200,0)+1</f>
        <v>16</v>
      </c>
      <c r="L115" s="433">
        <v>2</v>
      </c>
      <c r="M115" s="435">
        <f>J115*K115*L115/1000</f>
        <v>27.2</v>
      </c>
      <c r="N115" s="435">
        <f t="shared" ref="N115:N118" si="105">_xlfn.XLOOKUP(F115,$R$5:$Z$5,$R$6:$Z$6,"NOT_FOUND",0)</f>
        <v>0.61699999999999999</v>
      </c>
      <c r="O115" s="434">
        <f>M115*N115</f>
        <v>16.782399999999999</v>
      </c>
      <c r="P115" s="510"/>
    </row>
    <row r="116" spans="1:19" s="443" customFormat="1" ht="25.15" customHeight="1">
      <c r="A116" s="877"/>
      <c r="B116" s="401">
        <v>2</v>
      </c>
      <c r="C116" s="405"/>
      <c r="D116" s="459">
        <f>D114+800</f>
        <v>3760</v>
      </c>
      <c r="E116" s="401"/>
      <c r="F116" s="431">
        <v>10</v>
      </c>
      <c r="G116" s="432">
        <f>C116+D116+E116</f>
        <v>3760</v>
      </c>
      <c r="H116" s="433">
        <f>ROUNDUP((D114/11.7/1000),0)-1</f>
        <v>0</v>
      </c>
      <c r="I116" s="433">
        <f>45*F116</f>
        <v>450</v>
      </c>
      <c r="J116" s="433">
        <f>+I116*H116+G116</f>
        <v>3760</v>
      </c>
      <c r="K116" s="433">
        <v>4</v>
      </c>
      <c r="L116" s="433">
        <v>2</v>
      </c>
      <c r="M116" s="435">
        <f t="shared" ref="M116:M118" si="106">J116*K116*L116/1000</f>
        <v>30.08</v>
      </c>
      <c r="N116" s="435">
        <f t="shared" si="105"/>
        <v>0.61699999999999999</v>
      </c>
      <c r="O116" s="434">
        <f>M116*N116</f>
        <v>18.559359999999998</v>
      </c>
      <c r="P116" s="510"/>
      <c r="S116" s="444"/>
    </row>
    <row r="117" spans="1:19" s="443" customFormat="1" ht="25.15" customHeight="1">
      <c r="A117" s="877"/>
      <c r="B117" s="401">
        <v>3</v>
      </c>
      <c r="C117" s="405">
        <v>60</v>
      </c>
      <c r="D117" s="406">
        <v>150</v>
      </c>
      <c r="E117" s="401">
        <v>60</v>
      </c>
      <c r="F117" s="431">
        <v>6</v>
      </c>
      <c r="G117" s="432">
        <f>C117+D117+E117</f>
        <v>270</v>
      </c>
      <c r="H117" s="433"/>
      <c r="I117" s="433"/>
      <c r="J117" s="433">
        <f t="shared" ref="J117:J118" si="107">+I117*H117+G117</f>
        <v>270</v>
      </c>
      <c r="K117" s="433">
        <f>+ROUND(D114/600,0)+1</f>
        <v>6</v>
      </c>
      <c r="L117" s="597">
        <v>1</v>
      </c>
      <c r="M117" s="435">
        <f t="shared" si="106"/>
        <v>1.62</v>
      </c>
      <c r="N117" s="435">
        <f t="shared" si="105"/>
        <v>0.222</v>
      </c>
      <c r="O117" s="434">
        <f t="shared" ref="O117:O118" si="108">M117*N117</f>
        <v>0.35964000000000002</v>
      </c>
      <c r="P117" s="510"/>
    </row>
    <row r="118" spans="1:19" s="443" customFormat="1" ht="25.15" customHeight="1">
      <c r="A118" s="877"/>
      <c r="B118" s="411">
        <v>4</v>
      </c>
      <c r="C118" s="405">
        <v>150</v>
      </c>
      <c r="D118" s="406">
        <v>300</v>
      </c>
      <c r="E118" s="401"/>
      <c r="F118" s="431">
        <v>10</v>
      </c>
      <c r="G118" s="432">
        <f>C118+D118+E118</f>
        <v>450</v>
      </c>
      <c r="H118" s="433"/>
      <c r="I118" s="433"/>
      <c r="J118" s="433">
        <f t="shared" si="107"/>
        <v>450</v>
      </c>
      <c r="K118" s="433">
        <f>+K117</f>
        <v>6</v>
      </c>
      <c r="L118" s="433">
        <v>1</v>
      </c>
      <c r="M118" s="435">
        <f t="shared" si="106"/>
        <v>2.7</v>
      </c>
      <c r="N118" s="435">
        <f t="shared" si="105"/>
        <v>0.61699999999999999</v>
      </c>
      <c r="O118" s="434">
        <f t="shared" si="108"/>
        <v>1.6659000000000002</v>
      </c>
      <c r="P118" s="510" t="s">
        <v>347</v>
      </c>
    </row>
    <row r="119" spans="1:19" s="442" customFormat="1" ht="15.75">
      <c r="A119" s="877" t="s">
        <v>547</v>
      </c>
      <c r="B119" s="409"/>
      <c r="C119" s="410" t="s">
        <v>321</v>
      </c>
      <c r="D119" s="403">
        <f>+(3097+2857)/2</f>
        <v>2977</v>
      </c>
      <c r="E119" s="409" t="s">
        <v>322</v>
      </c>
      <c r="F119" s="438"/>
      <c r="G119" s="439"/>
      <c r="H119" s="440"/>
      <c r="I119" s="440"/>
      <c r="J119" s="440"/>
      <c r="K119" s="440"/>
      <c r="L119" s="440"/>
      <c r="M119" s="441"/>
      <c r="N119" s="441"/>
      <c r="O119" s="436"/>
      <c r="P119" s="709" t="s">
        <v>756</v>
      </c>
    </row>
    <row r="120" spans="1:19" s="443" customFormat="1" ht="25.15" customHeight="1">
      <c r="A120" s="877"/>
      <c r="B120" s="401">
        <v>1</v>
      </c>
      <c r="C120" s="405">
        <v>150</v>
      </c>
      <c r="D120" s="598">
        <v>1350</v>
      </c>
      <c r="E120" s="401">
        <v>150</v>
      </c>
      <c r="F120" s="431">
        <v>10</v>
      </c>
      <c r="G120" s="432">
        <f t="shared" ref="G120" si="109">C120+D120+E120</f>
        <v>1650</v>
      </c>
      <c r="H120" s="433"/>
      <c r="I120" s="433"/>
      <c r="J120" s="433">
        <f>+I120*H120+G120</f>
        <v>1650</v>
      </c>
      <c r="K120" s="433">
        <f>+ROUND(D119/200,0)+1</f>
        <v>16</v>
      </c>
      <c r="L120" s="433">
        <v>2</v>
      </c>
      <c r="M120" s="435">
        <f>J120*K120*L120/1000</f>
        <v>52.8</v>
      </c>
      <c r="N120" s="435">
        <f t="shared" ref="N120:N123" si="110">_xlfn.XLOOKUP(F120,$R$5:$Z$5,$R$6:$Z$6,"NOT_FOUND",0)</f>
        <v>0.61699999999999999</v>
      </c>
      <c r="O120" s="434">
        <f>M120*N120</f>
        <v>32.577599999999997</v>
      </c>
      <c r="P120" s="510"/>
    </row>
    <row r="121" spans="1:19" s="443" customFormat="1" ht="25.15" customHeight="1">
      <c r="A121" s="877"/>
      <c r="B121" s="401">
        <v>2</v>
      </c>
      <c r="C121" s="405"/>
      <c r="D121" s="459">
        <f>D119+800</f>
        <v>3777</v>
      </c>
      <c r="E121" s="401"/>
      <c r="F121" s="431">
        <v>10</v>
      </c>
      <c r="G121" s="432">
        <f>C121+D121+E121</f>
        <v>3777</v>
      </c>
      <c r="H121" s="433">
        <f>ROUNDUP((D119/11.7/1000),0)-1</f>
        <v>0</v>
      </c>
      <c r="I121" s="433">
        <f>45*F121</f>
        <v>450</v>
      </c>
      <c r="J121" s="433">
        <f>+I121*H121+G121</f>
        <v>3777</v>
      </c>
      <c r="K121" s="597">
        <v>8</v>
      </c>
      <c r="L121" s="433">
        <v>2</v>
      </c>
      <c r="M121" s="435">
        <f t="shared" ref="M121:M123" si="111">J121*K121*L121/1000</f>
        <v>60.432000000000002</v>
      </c>
      <c r="N121" s="435">
        <f t="shared" si="110"/>
        <v>0.61699999999999999</v>
      </c>
      <c r="O121" s="434">
        <f>M121*N121</f>
        <v>37.286543999999999</v>
      </c>
      <c r="P121" s="510"/>
      <c r="S121" s="444"/>
    </row>
    <row r="122" spans="1:19" s="443" customFormat="1" ht="25.15" customHeight="1">
      <c r="A122" s="877"/>
      <c r="B122" s="401">
        <v>3</v>
      </c>
      <c r="C122" s="405">
        <v>60</v>
      </c>
      <c r="D122" s="406">
        <v>150</v>
      </c>
      <c r="E122" s="401">
        <v>60</v>
      </c>
      <c r="F122" s="431">
        <v>6</v>
      </c>
      <c r="G122" s="432">
        <f>C122+D122+E122</f>
        <v>270</v>
      </c>
      <c r="H122" s="433"/>
      <c r="I122" s="433"/>
      <c r="J122" s="433">
        <f t="shared" ref="J122:J123" si="112">+I122*H122+G122</f>
        <v>270</v>
      </c>
      <c r="K122" s="433">
        <f>+ROUND(D119/600,0)+1</f>
        <v>6</v>
      </c>
      <c r="L122" s="433">
        <v>3</v>
      </c>
      <c r="M122" s="435">
        <f t="shared" si="111"/>
        <v>4.8600000000000003</v>
      </c>
      <c r="N122" s="435">
        <f t="shared" si="110"/>
        <v>0.222</v>
      </c>
      <c r="O122" s="434">
        <f t="shared" ref="O122:O123" si="113">M122*N122</f>
        <v>1.0789200000000001</v>
      </c>
      <c r="P122" s="510"/>
    </row>
    <row r="123" spans="1:19" s="443" customFormat="1" ht="25.15" customHeight="1">
      <c r="A123" s="877"/>
      <c r="B123" s="411">
        <v>4</v>
      </c>
      <c r="C123" s="405">
        <v>150</v>
      </c>
      <c r="D123" s="406">
        <v>300</v>
      </c>
      <c r="E123" s="401"/>
      <c r="F123" s="431">
        <v>10</v>
      </c>
      <c r="G123" s="432">
        <f>C123+D123+E123</f>
        <v>450</v>
      </c>
      <c r="H123" s="433"/>
      <c r="I123" s="433"/>
      <c r="J123" s="433">
        <f t="shared" si="112"/>
        <v>450</v>
      </c>
      <c r="K123" s="433">
        <f>+K122</f>
        <v>6</v>
      </c>
      <c r="L123" s="433">
        <v>1</v>
      </c>
      <c r="M123" s="435">
        <f t="shared" si="111"/>
        <v>2.7</v>
      </c>
      <c r="N123" s="435">
        <f t="shared" si="110"/>
        <v>0.61699999999999999</v>
      </c>
      <c r="O123" s="434">
        <f t="shared" si="113"/>
        <v>1.6659000000000002</v>
      </c>
      <c r="P123" s="510" t="s">
        <v>347</v>
      </c>
    </row>
    <row r="124" spans="1:19" s="442" customFormat="1" ht="15.75">
      <c r="A124" s="877" t="s">
        <v>548</v>
      </c>
      <c r="B124" s="409"/>
      <c r="C124" s="410" t="s">
        <v>321</v>
      </c>
      <c r="D124" s="403">
        <v>6890</v>
      </c>
      <c r="E124" s="409" t="s">
        <v>322</v>
      </c>
      <c r="F124" s="438"/>
      <c r="G124" s="439"/>
      <c r="H124" s="440"/>
      <c r="I124" s="440"/>
      <c r="J124" s="440"/>
      <c r="K124" s="440"/>
      <c r="L124" s="440"/>
      <c r="M124" s="441"/>
      <c r="N124" s="441"/>
      <c r="O124" s="436"/>
      <c r="P124" s="709" t="s">
        <v>756</v>
      </c>
    </row>
    <row r="125" spans="1:19" s="443" customFormat="1" ht="25.15" customHeight="1">
      <c r="A125" s="877"/>
      <c r="B125" s="401">
        <v>1</v>
      </c>
      <c r="C125" s="405">
        <v>150</v>
      </c>
      <c r="D125" s="406">
        <v>550</v>
      </c>
      <c r="E125" s="401">
        <v>150</v>
      </c>
      <c r="F125" s="431">
        <v>10</v>
      </c>
      <c r="G125" s="432">
        <f t="shared" ref="G125" si="114">C125+D125+E125</f>
        <v>850</v>
      </c>
      <c r="H125" s="433"/>
      <c r="I125" s="433"/>
      <c r="J125" s="433">
        <f>+I125*H125+G125</f>
        <v>850</v>
      </c>
      <c r="K125" s="433">
        <f>+ROUND(D124/200,0)+1</f>
        <v>35</v>
      </c>
      <c r="L125" s="433">
        <v>2</v>
      </c>
      <c r="M125" s="435">
        <f>J125*K125*L125/1000</f>
        <v>59.5</v>
      </c>
      <c r="N125" s="435">
        <f t="shared" ref="N125:N128" si="115">_xlfn.XLOOKUP(F125,$R$5:$Z$5,$R$6:$Z$6,"NOT_FOUND",0)</f>
        <v>0.61699999999999999</v>
      </c>
      <c r="O125" s="434">
        <f>M125*N125</f>
        <v>36.711500000000001</v>
      </c>
      <c r="P125" s="510"/>
    </row>
    <row r="126" spans="1:19" s="443" customFormat="1" ht="25.15" customHeight="1">
      <c r="A126" s="877"/>
      <c r="B126" s="401">
        <v>2</v>
      </c>
      <c r="C126" s="405"/>
      <c r="D126" s="459">
        <f>D124+225*2</f>
        <v>7340</v>
      </c>
      <c r="E126" s="401"/>
      <c r="F126" s="431">
        <v>10</v>
      </c>
      <c r="G126" s="432">
        <f>C126+D126+E126</f>
        <v>7340</v>
      </c>
      <c r="H126" s="433">
        <f>ROUNDUP((D124/11.7/1000),0)-1</f>
        <v>0</v>
      </c>
      <c r="I126" s="433">
        <f>45*F126</f>
        <v>450</v>
      </c>
      <c r="J126" s="433">
        <f>+I126*H126+G126</f>
        <v>7340</v>
      </c>
      <c r="K126" s="433">
        <v>4</v>
      </c>
      <c r="L126" s="433">
        <v>2</v>
      </c>
      <c r="M126" s="435">
        <f t="shared" ref="M126:M128" si="116">J126*K126*L126/1000</f>
        <v>58.72</v>
      </c>
      <c r="N126" s="435">
        <f t="shared" si="115"/>
        <v>0.61699999999999999</v>
      </c>
      <c r="O126" s="434">
        <f>M126*N126</f>
        <v>36.230240000000002</v>
      </c>
      <c r="P126" s="510"/>
      <c r="S126" s="444"/>
    </row>
    <row r="127" spans="1:19" s="443" customFormat="1" ht="25.15" customHeight="1">
      <c r="A127" s="877"/>
      <c r="B127" s="401">
        <v>3</v>
      </c>
      <c r="C127" s="405">
        <v>60</v>
      </c>
      <c r="D127" s="406">
        <v>150</v>
      </c>
      <c r="E127" s="401">
        <v>60</v>
      </c>
      <c r="F127" s="431">
        <v>6</v>
      </c>
      <c r="G127" s="432">
        <f>C127+D127+E127</f>
        <v>270</v>
      </c>
      <c r="H127" s="433"/>
      <c r="I127" s="433"/>
      <c r="J127" s="433">
        <f t="shared" ref="J127:J128" si="117">+I127*H127+G127</f>
        <v>270</v>
      </c>
      <c r="K127" s="433">
        <f>+ROUND(D124/600,0)+1</f>
        <v>12</v>
      </c>
      <c r="L127" s="597">
        <v>1</v>
      </c>
      <c r="M127" s="435">
        <f t="shared" si="116"/>
        <v>3.24</v>
      </c>
      <c r="N127" s="435">
        <f t="shared" si="115"/>
        <v>0.222</v>
      </c>
      <c r="O127" s="434">
        <f t="shared" ref="O127:O128" si="118">M127*N127</f>
        <v>0.71928000000000003</v>
      </c>
      <c r="P127" s="510"/>
    </row>
    <row r="128" spans="1:19" s="443" customFormat="1" ht="25.15" customHeight="1">
      <c r="A128" s="877"/>
      <c r="B128" s="411">
        <v>4</v>
      </c>
      <c r="C128" s="405">
        <v>150</v>
      </c>
      <c r="D128" s="406">
        <v>300</v>
      </c>
      <c r="E128" s="401"/>
      <c r="F128" s="431">
        <v>10</v>
      </c>
      <c r="G128" s="432">
        <f>C128+D128+E128</f>
        <v>450</v>
      </c>
      <c r="H128" s="433"/>
      <c r="I128" s="433"/>
      <c r="J128" s="433">
        <f t="shared" si="117"/>
        <v>450</v>
      </c>
      <c r="K128" s="433">
        <f>+K127</f>
        <v>12</v>
      </c>
      <c r="L128" s="433">
        <v>1</v>
      </c>
      <c r="M128" s="435">
        <f t="shared" si="116"/>
        <v>5.4</v>
      </c>
      <c r="N128" s="435">
        <f t="shared" si="115"/>
        <v>0.61699999999999999</v>
      </c>
      <c r="O128" s="434">
        <f t="shared" si="118"/>
        <v>3.3318000000000003</v>
      </c>
      <c r="P128" s="510" t="s">
        <v>347</v>
      </c>
    </row>
    <row r="129" spans="1:19" s="442" customFormat="1" ht="15.75">
      <c r="A129" s="877" t="s">
        <v>549</v>
      </c>
      <c r="B129" s="409"/>
      <c r="C129" s="410" t="s">
        <v>321</v>
      </c>
      <c r="D129" s="403">
        <v>6960</v>
      </c>
      <c r="E129" s="409" t="s">
        <v>322</v>
      </c>
      <c r="F129" s="438"/>
      <c r="G129" s="439"/>
      <c r="H129" s="440"/>
      <c r="I129" s="440"/>
      <c r="J129" s="440"/>
      <c r="K129" s="440"/>
      <c r="L129" s="440"/>
      <c r="M129" s="441"/>
      <c r="N129" s="441"/>
      <c r="O129" s="436"/>
      <c r="P129" s="709" t="s">
        <v>756</v>
      </c>
    </row>
    <row r="130" spans="1:19" s="443" customFormat="1" ht="25.15" customHeight="1">
      <c r="A130" s="877"/>
      <c r="B130" s="401">
        <v>1</v>
      </c>
      <c r="C130" s="405">
        <v>150</v>
      </c>
      <c r="D130" s="406">
        <v>550</v>
      </c>
      <c r="E130" s="401">
        <v>150</v>
      </c>
      <c r="F130" s="431">
        <v>10</v>
      </c>
      <c r="G130" s="432">
        <f t="shared" ref="G130" si="119">C130+D130+E130</f>
        <v>850</v>
      </c>
      <c r="H130" s="433"/>
      <c r="I130" s="433"/>
      <c r="J130" s="433">
        <f>+I130*H130+G130</f>
        <v>850</v>
      </c>
      <c r="K130" s="433">
        <f>+ROUND(D129/200,0)+1</f>
        <v>36</v>
      </c>
      <c r="L130" s="433">
        <v>2</v>
      </c>
      <c r="M130" s="435">
        <f>J130*K130*L130/1000</f>
        <v>61.2</v>
      </c>
      <c r="N130" s="435">
        <f t="shared" ref="N130:N133" si="120">_xlfn.XLOOKUP(F130,$R$5:$Z$5,$R$6:$Z$6,"NOT_FOUND",0)</f>
        <v>0.61699999999999999</v>
      </c>
      <c r="O130" s="434">
        <f>M130*N130</f>
        <v>37.760400000000004</v>
      </c>
      <c r="P130" s="510"/>
    </row>
    <row r="131" spans="1:19" s="443" customFormat="1" ht="25.15" customHeight="1">
      <c r="A131" s="877"/>
      <c r="B131" s="401">
        <v>2</v>
      </c>
      <c r="C131" s="405"/>
      <c r="D131" s="459">
        <f>D129+225*2</f>
        <v>7410</v>
      </c>
      <c r="E131" s="401"/>
      <c r="F131" s="431">
        <v>10</v>
      </c>
      <c r="G131" s="432">
        <f>C131+D131+E131</f>
        <v>7410</v>
      </c>
      <c r="H131" s="433">
        <f>ROUNDUP((D129/11.7/1000),0)-1</f>
        <v>0</v>
      </c>
      <c r="I131" s="433">
        <f>45*F131</f>
        <v>450</v>
      </c>
      <c r="J131" s="433">
        <f>+I131*H131+G131</f>
        <v>7410</v>
      </c>
      <c r="K131" s="433">
        <v>4</v>
      </c>
      <c r="L131" s="433">
        <v>2</v>
      </c>
      <c r="M131" s="435">
        <f t="shared" ref="M131:M133" si="121">J131*K131*L131/1000</f>
        <v>59.28</v>
      </c>
      <c r="N131" s="435">
        <f t="shared" si="120"/>
        <v>0.61699999999999999</v>
      </c>
      <c r="O131" s="434">
        <f>M131*N131</f>
        <v>36.575760000000002</v>
      </c>
      <c r="P131" s="510"/>
      <c r="S131" s="444"/>
    </row>
    <row r="132" spans="1:19" s="443" customFormat="1" ht="25.15" customHeight="1">
      <c r="A132" s="877"/>
      <c r="B132" s="401">
        <v>3</v>
      </c>
      <c r="C132" s="405">
        <v>60</v>
      </c>
      <c r="D132" s="406">
        <v>150</v>
      </c>
      <c r="E132" s="401">
        <v>60</v>
      </c>
      <c r="F132" s="431">
        <v>6</v>
      </c>
      <c r="G132" s="432">
        <f>C132+D132+E132</f>
        <v>270</v>
      </c>
      <c r="H132" s="433"/>
      <c r="I132" s="433"/>
      <c r="J132" s="433">
        <f t="shared" ref="J132:J133" si="122">+I132*H132+G132</f>
        <v>270</v>
      </c>
      <c r="K132" s="433">
        <f>+ROUND(D129/600,0)+1</f>
        <v>13</v>
      </c>
      <c r="L132" s="597">
        <v>1</v>
      </c>
      <c r="M132" s="435">
        <f t="shared" si="121"/>
        <v>3.51</v>
      </c>
      <c r="N132" s="435">
        <f t="shared" si="120"/>
        <v>0.222</v>
      </c>
      <c r="O132" s="434">
        <f t="shared" ref="O132:O133" si="123">M132*N132</f>
        <v>0.77921999999999991</v>
      </c>
      <c r="P132" s="510"/>
    </row>
    <row r="133" spans="1:19" s="443" customFormat="1" ht="25.15" customHeight="1">
      <c r="A133" s="877"/>
      <c r="B133" s="411">
        <v>4</v>
      </c>
      <c r="C133" s="405">
        <v>150</v>
      </c>
      <c r="D133" s="406">
        <v>300</v>
      </c>
      <c r="E133" s="401"/>
      <c r="F133" s="431">
        <v>10</v>
      </c>
      <c r="G133" s="432">
        <f>C133+D133+E133</f>
        <v>450</v>
      </c>
      <c r="H133" s="433"/>
      <c r="I133" s="433"/>
      <c r="J133" s="433">
        <f t="shared" si="122"/>
        <v>450</v>
      </c>
      <c r="K133" s="433">
        <f>+K132</f>
        <v>13</v>
      </c>
      <c r="L133" s="433">
        <v>1</v>
      </c>
      <c r="M133" s="435">
        <f t="shared" si="121"/>
        <v>5.85</v>
      </c>
      <c r="N133" s="435">
        <f t="shared" si="120"/>
        <v>0.61699999999999999</v>
      </c>
      <c r="O133" s="434">
        <f t="shared" si="123"/>
        <v>3.6094499999999998</v>
      </c>
      <c r="P133" s="510" t="s">
        <v>347</v>
      </c>
    </row>
    <row r="134" spans="1:19" s="442" customFormat="1" ht="15.75">
      <c r="A134" s="877" t="s">
        <v>550</v>
      </c>
      <c r="B134" s="409"/>
      <c r="C134" s="410" t="s">
        <v>321</v>
      </c>
      <c r="D134" s="403">
        <v>6770</v>
      </c>
      <c r="E134" s="409" t="s">
        <v>322</v>
      </c>
      <c r="F134" s="438"/>
      <c r="G134" s="439"/>
      <c r="H134" s="440"/>
      <c r="I134" s="440"/>
      <c r="J134" s="440"/>
      <c r="K134" s="440"/>
      <c r="L134" s="440"/>
      <c r="M134" s="441"/>
      <c r="N134" s="441"/>
      <c r="O134" s="436"/>
      <c r="P134" s="709" t="s">
        <v>756</v>
      </c>
    </row>
    <row r="135" spans="1:19" s="443" customFormat="1" ht="25.15" customHeight="1">
      <c r="A135" s="877"/>
      <c r="B135" s="401">
        <v>1</v>
      </c>
      <c r="C135" s="405">
        <v>150</v>
      </c>
      <c r="D135" s="406">
        <v>550</v>
      </c>
      <c r="E135" s="401">
        <v>150</v>
      </c>
      <c r="F135" s="431">
        <v>10</v>
      </c>
      <c r="G135" s="432">
        <f t="shared" ref="G135" si="124">C135+D135+E135</f>
        <v>850</v>
      </c>
      <c r="H135" s="433"/>
      <c r="I135" s="433"/>
      <c r="J135" s="433">
        <f>+I135*H135+G135</f>
        <v>850</v>
      </c>
      <c r="K135" s="433">
        <f>+ROUND(D134/200,0)+1</f>
        <v>35</v>
      </c>
      <c r="L135" s="433">
        <v>2</v>
      </c>
      <c r="M135" s="435">
        <f>J135*K135*L135/1000</f>
        <v>59.5</v>
      </c>
      <c r="N135" s="435">
        <f t="shared" ref="N135:N138" si="125">_xlfn.XLOOKUP(F135,$R$5:$Z$5,$R$6:$Z$6,"NOT_FOUND",0)</f>
        <v>0.61699999999999999</v>
      </c>
      <c r="O135" s="434">
        <f>M135*N135</f>
        <v>36.711500000000001</v>
      </c>
      <c r="P135" s="510"/>
    </row>
    <row r="136" spans="1:19" s="443" customFormat="1" ht="25.15" customHeight="1">
      <c r="A136" s="877"/>
      <c r="B136" s="401">
        <v>2</v>
      </c>
      <c r="C136" s="405"/>
      <c r="D136" s="459">
        <f>D134+225*2</f>
        <v>7220</v>
      </c>
      <c r="E136" s="401"/>
      <c r="F136" s="431">
        <v>10</v>
      </c>
      <c r="G136" s="432">
        <f>C136+D136+E136</f>
        <v>7220</v>
      </c>
      <c r="H136" s="433">
        <f>ROUNDUP((D134/11.7/1000),0)-1</f>
        <v>0</v>
      </c>
      <c r="I136" s="433">
        <f>45*F136</f>
        <v>450</v>
      </c>
      <c r="J136" s="433">
        <f>+I136*H136+G136</f>
        <v>7220</v>
      </c>
      <c r="K136" s="433">
        <v>4</v>
      </c>
      <c r="L136" s="433">
        <v>2</v>
      </c>
      <c r="M136" s="435">
        <f t="shared" ref="M136:M138" si="126">J136*K136*L136/1000</f>
        <v>57.76</v>
      </c>
      <c r="N136" s="435">
        <f t="shared" si="125"/>
        <v>0.61699999999999999</v>
      </c>
      <c r="O136" s="434">
        <f>M136*N136</f>
        <v>35.637920000000001</v>
      </c>
      <c r="P136" s="510"/>
      <c r="S136" s="444"/>
    </row>
    <row r="137" spans="1:19" s="443" customFormat="1" ht="25.15" customHeight="1">
      <c r="A137" s="877"/>
      <c r="B137" s="401">
        <v>3</v>
      </c>
      <c r="C137" s="405">
        <v>60</v>
      </c>
      <c r="D137" s="406">
        <v>150</v>
      </c>
      <c r="E137" s="401">
        <v>60</v>
      </c>
      <c r="F137" s="431">
        <v>6</v>
      </c>
      <c r="G137" s="432">
        <f>C137+D137+E137</f>
        <v>270</v>
      </c>
      <c r="H137" s="433"/>
      <c r="I137" s="433"/>
      <c r="J137" s="433">
        <f t="shared" ref="J137:J138" si="127">+I137*H137+G137</f>
        <v>270</v>
      </c>
      <c r="K137" s="433">
        <f>+ROUND(D134/600,0)+1</f>
        <v>12</v>
      </c>
      <c r="L137" s="597">
        <v>1</v>
      </c>
      <c r="M137" s="435">
        <f t="shared" si="126"/>
        <v>3.24</v>
      </c>
      <c r="N137" s="435">
        <f t="shared" si="125"/>
        <v>0.222</v>
      </c>
      <c r="O137" s="434">
        <f t="shared" ref="O137:O138" si="128">M137*N137</f>
        <v>0.71928000000000003</v>
      </c>
      <c r="P137" s="510"/>
    </row>
    <row r="138" spans="1:19" s="443" customFormat="1" ht="25.15" customHeight="1">
      <c r="A138" s="877"/>
      <c r="B138" s="411">
        <v>4</v>
      </c>
      <c r="C138" s="405">
        <v>150</v>
      </c>
      <c r="D138" s="406">
        <v>300</v>
      </c>
      <c r="E138" s="401"/>
      <c r="F138" s="431">
        <v>10</v>
      </c>
      <c r="G138" s="432">
        <f>C138+D138+E138</f>
        <v>450</v>
      </c>
      <c r="H138" s="433"/>
      <c r="I138" s="433"/>
      <c r="J138" s="433">
        <f t="shared" si="127"/>
        <v>450</v>
      </c>
      <c r="K138" s="433">
        <f>+K137</f>
        <v>12</v>
      </c>
      <c r="L138" s="433">
        <v>1</v>
      </c>
      <c r="M138" s="435">
        <f t="shared" si="126"/>
        <v>5.4</v>
      </c>
      <c r="N138" s="435">
        <f t="shared" si="125"/>
        <v>0.61699999999999999</v>
      </c>
      <c r="O138" s="434">
        <f t="shared" si="128"/>
        <v>3.3318000000000003</v>
      </c>
      <c r="P138" s="510" t="s">
        <v>347</v>
      </c>
    </row>
    <row r="139" spans="1:19" s="442" customFormat="1" ht="15.75">
      <c r="A139" s="877" t="s">
        <v>551</v>
      </c>
      <c r="B139" s="409"/>
      <c r="C139" s="410" t="s">
        <v>321</v>
      </c>
      <c r="D139" s="403">
        <v>2255</v>
      </c>
      <c r="E139" s="409" t="s">
        <v>322</v>
      </c>
      <c r="F139" s="438"/>
      <c r="G139" s="439"/>
      <c r="H139" s="440"/>
      <c r="I139" s="440"/>
      <c r="J139" s="440"/>
      <c r="K139" s="440"/>
      <c r="L139" s="440"/>
      <c r="M139" s="441"/>
      <c r="N139" s="441"/>
      <c r="O139" s="436"/>
      <c r="P139" s="709" t="s">
        <v>756</v>
      </c>
    </row>
    <row r="140" spans="1:19" s="443" customFormat="1" ht="25.15" customHeight="1">
      <c r="A140" s="877"/>
      <c r="B140" s="401">
        <v>1</v>
      </c>
      <c r="C140" s="405">
        <v>150</v>
      </c>
      <c r="D140" s="406">
        <v>550</v>
      </c>
      <c r="E140" s="401">
        <v>150</v>
      </c>
      <c r="F140" s="431">
        <v>10</v>
      </c>
      <c r="G140" s="432">
        <f t="shared" ref="G140" si="129">C140+D140+E140</f>
        <v>850</v>
      </c>
      <c r="H140" s="433"/>
      <c r="I140" s="433"/>
      <c r="J140" s="433">
        <f>+I140*H140+G140</f>
        <v>850</v>
      </c>
      <c r="K140" s="433">
        <f>+ROUND(D139/200,0)+1</f>
        <v>12</v>
      </c>
      <c r="L140" s="433">
        <v>2</v>
      </c>
      <c r="M140" s="435">
        <f>J140*K140*L140/1000</f>
        <v>20.399999999999999</v>
      </c>
      <c r="N140" s="435">
        <f t="shared" ref="N140:N143" si="130">_xlfn.XLOOKUP(F140,$R$5:$Z$5,$R$6:$Z$6,"NOT_FOUND",0)</f>
        <v>0.61699999999999999</v>
      </c>
      <c r="O140" s="434">
        <f>M140*N140</f>
        <v>12.586799999999998</v>
      </c>
      <c r="P140" s="510"/>
    </row>
    <row r="141" spans="1:19" s="443" customFormat="1" ht="25.15" customHeight="1">
      <c r="A141" s="877"/>
      <c r="B141" s="401">
        <v>2</v>
      </c>
      <c r="C141" s="405"/>
      <c r="D141" s="459">
        <f>D139+175+225</f>
        <v>2655</v>
      </c>
      <c r="E141" s="401"/>
      <c r="F141" s="431">
        <v>10</v>
      </c>
      <c r="G141" s="432">
        <f>C141+D141+E141</f>
        <v>2655</v>
      </c>
      <c r="H141" s="433">
        <f>ROUNDUP((D139/11.7/1000),0)-1</f>
        <v>0</v>
      </c>
      <c r="I141" s="433">
        <f>45*F141</f>
        <v>450</v>
      </c>
      <c r="J141" s="433">
        <f>+I141*H141+G141</f>
        <v>2655</v>
      </c>
      <c r="K141" s="433">
        <v>4</v>
      </c>
      <c r="L141" s="433">
        <v>2</v>
      </c>
      <c r="M141" s="435">
        <f t="shared" ref="M141:M143" si="131">J141*K141*L141/1000</f>
        <v>21.24</v>
      </c>
      <c r="N141" s="435">
        <f t="shared" si="130"/>
        <v>0.61699999999999999</v>
      </c>
      <c r="O141" s="434">
        <f>M141*N141</f>
        <v>13.105079999999999</v>
      </c>
      <c r="P141" s="510"/>
      <c r="S141" s="444"/>
    </row>
    <row r="142" spans="1:19" s="443" customFormat="1" ht="25.15" customHeight="1">
      <c r="A142" s="877"/>
      <c r="B142" s="401">
        <v>3</v>
      </c>
      <c r="C142" s="405">
        <v>60</v>
      </c>
      <c r="D142" s="406">
        <v>150</v>
      </c>
      <c r="E142" s="401">
        <v>60</v>
      </c>
      <c r="F142" s="431">
        <v>6</v>
      </c>
      <c r="G142" s="432">
        <f>C142+D142+E142</f>
        <v>270</v>
      </c>
      <c r="H142" s="433"/>
      <c r="I142" s="433"/>
      <c r="J142" s="433">
        <f t="shared" ref="J142:J143" si="132">+I142*H142+G142</f>
        <v>270</v>
      </c>
      <c r="K142" s="433">
        <f>+ROUND(D139/600,0)+1</f>
        <v>5</v>
      </c>
      <c r="L142" s="597">
        <v>1</v>
      </c>
      <c r="M142" s="435">
        <f t="shared" si="131"/>
        <v>1.35</v>
      </c>
      <c r="N142" s="435">
        <f t="shared" si="130"/>
        <v>0.222</v>
      </c>
      <c r="O142" s="434">
        <f t="shared" ref="O142:O143" si="133">M142*N142</f>
        <v>0.29970000000000002</v>
      </c>
      <c r="P142" s="510"/>
    </row>
    <row r="143" spans="1:19" s="443" customFormat="1" ht="25.15" customHeight="1">
      <c r="A143" s="877"/>
      <c r="B143" s="411">
        <v>4</v>
      </c>
      <c r="C143" s="405">
        <v>150</v>
      </c>
      <c r="D143" s="406">
        <v>300</v>
      </c>
      <c r="E143" s="401"/>
      <c r="F143" s="431">
        <v>10</v>
      </c>
      <c r="G143" s="432">
        <f>C143+D143+E143</f>
        <v>450</v>
      </c>
      <c r="H143" s="433"/>
      <c r="I143" s="433"/>
      <c r="J143" s="433">
        <f t="shared" si="132"/>
        <v>450</v>
      </c>
      <c r="K143" s="433">
        <f>+K142</f>
        <v>5</v>
      </c>
      <c r="L143" s="433">
        <v>1</v>
      </c>
      <c r="M143" s="435">
        <f t="shared" si="131"/>
        <v>2.25</v>
      </c>
      <c r="N143" s="435">
        <f t="shared" si="130"/>
        <v>0.61699999999999999</v>
      </c>
      <c r="O143" s="434">
        <f t="shared" si="133"/>
        <v>1.38825</v>
      </c>
      <c r="P143" s="510" t="s">
        <v>347</v>
      </c>
    </row>
    <row r="144" spans="1:19" s="442" customFormat="1" ht="15.75">
      <c r="A144" s="877" t="s">
        <v>552</v>
      </c>
      <c r="B144" s="409"/>
      <c r="C144" s="410" t="s">
        <v>321</v>
      </c>
      <c r="D144" s="403">
        <v>2290</v>
      </c>
      <c r="E144" s="409" t="s">
        <v>322</v>
      </c>
      <c r="F144" s="438"/>
      <c r="G144" s="439"/>
      <c r="H144" s="440"/>
      <c r="I144" s="440"/>
      <c r="J144" s="440"/>
      <c r="K144" s="440"/>
      <c r="L144" s="440"/>
      <c r="M144" s="441"/>
      <c r="N144" s="441"/>
      <c r="O144" s="436"/>
      <c r="P144" s="709" t="s">
        <v>756</v>
      </c>
    </row>
    <row r="145" spans="1:19" s="443" customFormat="1" ht="25.15" customHeight="1">
      <c r="A145" s="877"/>
      <c r="B145" s="401">
        <v>1</v>
      </c>
      <c r="C145" s="405">
        <v>150</v>
      </c>
      <c r="D145" s="406">
        <v>550</v>
      </c>
      <c r="E145" s="401">
        <v>150</v>
      </c>
      <c r="F145" s="431">
        <v>10</v>
      </c>
      <c r="G145" s="432">
        <f t="shared" ref="G145" si="134">C145+D145+E145</f>
        <v>850</v>
      </c>
      <c r="H145" s="433"/>
      <c r="I145" s="433"/>
      <c r="J145" s="433">
        <f>+I145*H145+G145</f>
        <v>850</v>
      </c>
      <c r="K145" s="433">
        <f>+ROUND(D144/200,0)+1</f>
        <v>12</v>
      </c>
      <c r="L145" s="433">
        <v>2</v>
      </c>
      <c r="M145" s="435">
        <f>J145*K145*L145/1000</f>
        <v>20.399999999999999</v>
      </c>
      <c r="N145" s="435">
        <f t="shared" ref="N145:N148" si="135">_xlfn.XLOOKUP(F145,$R$5:$Z$5,$R$6:$Z$6,"NOT_FOUND",0)</f>
        <v>0.61699999999999999</v>
      </c>
      <c r="O145" s="434">
        <f>M145*N145</f>
        <v>12.586799999999998</v>
      </c>
      <c r="P145" s="510"/>
    </row>
    <row r="146" spans="1:19" s="443" customFormat="1" ht="25.15" customHeight="1">
      <c r="A146" s="877"/>
      <c r="B146" s="401">
        <v>2</v>
      </c>
      <c r="C146" s="405"/>
      <c r="D146" s="459">
        <f>D144+175+225</f>
        <v>2690</v>
      </c>
      <c r="E146" s="401"/>
      <c r="F146" s="431">
        <v>10</v>
      </c>
      <c r="G146" s="432">
        <f>C146+D146+E146</f>
        <v>2690</v>
      </c>
      <c r="H146" s="433">
        <f>ROUNDUP((D144/11.7/1000),0)-1</f>
        <v>0</v>
      </c>
      <c r="I146" s="433">
        <f>45*F146</f>
        <v>450</v>
      </c>
      <c r="J146" s="433">
        <f>+I146*H146+G146</f>
        <v>2690</v>
      </c>
      <c r="K146" s="433">
        <v>4</v>
      </c>
      <c r="L146" s="433">
        <v>2</v>
      </c>
      <c r="M146" s="435">
        <f t="shared" ref="M146:M148" si="136">J146*K146*L146/1000</f>
        <v>21.52</v>
      </c>
      <c r="N146" s="435">
        <f t="shared" si="135"/>
        <v>0.61699999999999999</v>
      </c>
      <c r="O146" s="434">
        <f>M146*N146</f>
        <v>13.277839999999999</v>
      </c>
      <c r="P146" s="510"/>
      <c r="S146" s="444"/>
    </row>
    <row r="147" spans="1:19" s="443" customFormat="1" ht="25.15" customHeight="1">
      <c r="A147" s="877"/>
      <c r="B147" s="401">
        <v>3</v>
      </c>
      <c r="C147" s="405">
        <v>60</v>
      </c>
      <c r="D147" s="406">
        <v>150</v>
      </c>
      <c r="E147" s="401">
        <v>60</v>
      </c>
      <c r="F147" s="431">
        <v>6</v>
      </c>
      <c r="G147" s="432">
        <f>C147+D147+E147</f>
        <v>270</v>
      </c>
      <c r="H147" s="433"/>
      <c r="I147" s="433"/>
      <c r="J147" s="433">
        <f t="shared" ref="J147:J148" si="137">+I147*H147+G147</f>
        <v>270</v>
      </c>
      <c r="K147" s="433">
        <f>+ROUND(D144/600,0)+1</f>
        <v>5</v>
      </c>
      <c r="L147" s="597">
        <v>1</v>
      </c>
      <c r="M147" s="435">
        <f t="shared" si="136"/>
        <v>1.35</v>
      </c>
      <c r="N147" s="435">
        <f t="shared" si="135"/>
        <v>0.222</v>
      </c>
      <c r="O147" s="434">
        <f t="shared" ref="O147:O148" si="138">M147*N147</f>
        <v>0.29970000000000002</v>
      </c>
      <c r="P147" s="510"/>
    </row>
    <row r="148" spans="1:19" s="443" customFormat="1" ht="25.15" customHeight="1">
      <c r="A148" s="877"/>
      <c r="B148" s="411">
        <v>4</v>
      </c>
      <c r="C148" s="405">
        <v>150</v>
      </c>
      <c r="D148" s="406">
        <v>300</v>
      </c>
      <c r="E148" s="401"/>
      <c r="F148" s="431">
        <v>10</v>
      </c>
      <c r="G148" s="432">
        <f>C148+D148+E148</f>
        <v>450</v>
      </c>
      <c r="H148" s="433"/>
      <c r="I148" s="433"/>
      <c r="J148" s="433">
        <f t="shared" si="137"/>
        <v>450</v>
      </c>
      <c r="K148" s="433">
        <f>+K147</f>
        <v>5</v>
      </c>
      <c r="L148" s="433">
        <v>1</v>
      </c>
      <c r="M148" s="435">
        <f t="shared" si="136"/>
        <v>2.25</v>
      </c>
      <c r="N148" s="435">
        <f t="shared" si="135"/>
        <v>0.61699999999999999</v>
      </c>
      <c r="O148" s="434">
        <f t="shared" si="138"/>
        <v>1.38825</v>
      </c>
      <c r="P148" s="510" t="s">
        <v>347</v>
      </c>
    </row>
    <row r="149" spans="1:19" s="430" customFormat="1" ht="25.15" customHeight="1">
      <c r="A149" s="588" t="s">
        <v>553</v>
      </c>
      <c r="B149" s="589"/>
      <c r="C149" s="590"/>
      <c r="D149" s="591"/>
      <c r="E149" s="589"/>
      <c r="F149" s="592"/>
      <c r="G149" s="593"/>
      <c r="H149" s="593"/>
      <c r="I149" s="593"/>
      <c r="J149" s="593"/>
      <c r="K149" s="593"/>
      <c r="L149" s="593"/>
      <c r="M149" s="594"/>
      <c r="N149" s="595"/>
      <c r="O149" s="595"/>
      <c r="P149" s="596"/>
    </row>
    <row r="150" spans="1:19" s="443" customFormat="1" ht="25.15" customHeight="1">
      <c r="A150" s="884" t="s">
        <v>554</v>
      </c>
      <c r="B150" s="599">
        <v>1</v>
      </c>
      <c r="C150" s="405">
        <v>150</v>
      </c>
      <c r="D150" s="406">
        <v>1340</v>
      </c>
      <c r="E150" s="401">
        <v>150</v>
      </c>
      <c r="F150" s="431">
        <v>10</v>
      </c>
      <c r="G150" s="432">
        <f t="shared" ref="G150" si="139">C150+D150+E150</f>
        <v>1640</v>
      </c>
      <c r="H150" s="433"/>
      <c r="I150" s="433"/>
      <c r="J150" s="433">
        <f>+I150*H150+G150</f>
        <v>1640</v>
      </c>
      <c r="K150" s="433">
        <f>+ROUND(12000/200,0)+1</f>
        <v>61</v>
      </c>
      <c r="L150" s="433">
        <v>2</v>
      </c>
      <c r="M150" s="435">
        <f>J150*K150*L150/1000</f>
        <v>200.08</v>
      </c>
      <c r="N150" s="435">
        <f t="shared" ref="N150:N156" si="140">_xlfn.XLOOKUP(F150,$R$5:$Z$5,$R$6:$Z$6,"NOT_FOUND",0)</f>
        <v>0.61699999999999999</v>
      </c>
      <c r="O150" s="434">
        <f>M150*N150</f>
        <v>123.44936000000001</v>
      </c>
      <c r="P150" s="715" t="s">
        <v>757</v>
      </c>
    </row>
    <row r="151" spans="1:19" s="443" customFormat="1" ht="25.15" customHeight="1">
      <c r="A151" s="885"/>
      <c r="B151" s="599">
        <v>2</v>
      </c>
      <c r="C151" s="405"/>
      <c r="D151" s="459">
        <v>12640</v>
      </c>
      <c r="E151" s="401"/>
      <c r="F151" s="431">
        <v>10</v>
      </c>
      <c r="G151" s="432">
        <f>C151+D151+E151</f>
        <v>12640</v>
      </c>
      <c r="H151" s="433">
        <f>ROUNDUP((D151/11.7/1000),0)-1</f>
        <v>1</v>
      </c>
      <c r="I151" s="433">
        <f>40*F151</f>
        <v>400</v>
      </c>
      <c r="J151" s="433">
        <f>+I151*H151+G151</f>
        <v>13040</v>
      </c>
      <c r="K151" s="433">
        <v>8</v>
      </c>
      <c r="L151" s="433">
        <v>1</v>
      </c>
      <c r="M151" s="435">
        <f t="shared" ref="M151:M154" si="141">J151*K151*L151/1000</f>
        <v>104.32</v>
      </c>
      <c r="N151" s="435">
        <f t="shared" si="140"/>
        <v>0.61699999999999999</v>
      </c>
      <c r="O151" s="434">
        <f>M151*N151</f>
        <v>64.365439999999992</v>
      </c>
      <c r="P151" s="510"/>
      <c r="S151" s="444"/>
    </row>
    <row r="152" spans="1:19" s="443" customFormat="1" ht="25.15" customHeight="1">
      <c r="A152" s="885"/>
      <c r="B152" s="599">
        <v>2</v>
      </c>
      <c r="C152" s="405"/>
      <c r="D152" s="459">
        <v>11360</v>
      </c>
      <c r="E152" s="401"/>
      <c r="F152" s="431">
        <v>10</v>
      </c>
      <c r="G152" s="432">
        <f>C152+D152+E152</f>
        <v>11360</v>
      </c>
      <c r="H152" s="433">
        <f>ROUNDUP((D152/11.7/1000),0)-1</f>
        <v>0</v>
      </c>
      <c r="I152" s="433">
        <f>40*F152</f>
        <v>400</v>
      </c>
      <c r="J152" s="433">
        <f>+I152*H152+G152</f>
        <v>11360</v>
      </c>
      <c r="K152" s="433">
        <v>8</v>
      </c>
      <c r="L152" s="433">
        <v>1</v>
      </c>
      <c r="M152" s="435">
        <f t="shared" ref="M152" si="142">J152*K152*L152/1000</f>
        <v>90.88</v>
      </c>
      <c r="N152" s="435">
        <f t="shared" ref="N152" si="143">_xlfn.XLOOKUP(F152,$R$5:$Z$5,$R$6:$Z$6,"NOT_FOUND",0)</f>
        <v>0.61699999999999999</v>
      </c>
      <c r="O152" s="434">
        <f>M152*N152</f>
        <v>56.072959999999995</v>
      </c>
      <c r="P152" s="510"/>
      <c r="S152" s="444"/>
    </row>
    <row r="153" spans="1:19" s="443" customFormat="1" ht="25.15" customHeight="1">
      <c r="A153" s="885"/>
      <c r="B153" s="599">
        <v>3</v>
      </c>
      <c r="C153" s="405">
        <v>60</v>
      </c>
      <c r="D153" s="406">
        <v>150</v>
      </c>
      <c r="E153" s="401">
        <v>60</v>
      </c>
      <c r="F153" s="431">
        <v>6</v>
      </c>
      <c r="G153" s="432">
        <f>C153+D153+E153</f>
        <v>270</v>
      </c>
      <c r="H153" s="433"/>
      <c r="I153" s="433"/>
      <c r="J153" s="433">
        <f t="shared" ref="J153:J154" si="144">+I153*H153+G153</f>
        <v>270</v>
      </c>
      <c r="K153" s="433">
        <f>+ROUND(D152/600,0)+1</f>
        <v>20</v>
      </c>
      <c r="L153" s="433">
        <v>2</v>
      </c>
      <c r="M153" s="435">
        <f t="shared" si="141"/>
        <v>10.8</v>
      </c>
      <c r="N153" s="435">
        <f t="shared" si="140"/>
        <v>0.222</v>
      </c>
      <c r="O153" s="434">
        <f t="shared" ref="O153:O154" si="145">M153*N153</f>
        <v>2.3976000000000002</v>
      </c>
      <c r="P153" s="510"/>
    </row>
    <row r="154" spans="1:19" s="443" customFormat="1" ht="25.15" customHeight="1">
      <c r="A154" s="885"/>
      <c r="B154" s="600">
        <v>4</v>
      </c>
      <c r="C154" s="405">
        <v>150</v>
      </c>
      <c r="D154" s="406">
        <v>300</v>
      </c>
      <c r="E154" s="401"/>
      <c r="F154" s="431">
        <v>10</v>
      </c>
      <c r="G154" s="432">
        <f>C154+D154+E154</f>
        <v>450</v>
      </c>
      <c r="H154" s="433"/>
      <c r="I154" s="433"/>
      <c r="J154" s="433">
        <f t="shared" si="144"/>
        <v>450</v>
      </c>
      <c r="K154" s="433">
        <f>+K153</f>
        <v>20</v>
      </c>
      <c r="L154" s="433">
        <v>1</v>
      </c>
      <c r="M154" s="435">
        <f t="shared" si="141"/>
        <v>9</v>
      </c>
      <c r="N154" s="435">
        <f t="shared" si="140"/>
        <v>0.61699999999999999</v>
      </c>
      <c r="O154" s="434">
        <f t="shared" si="145"/>
        <v>5.5529999999999999</v>
      </c>
      <c r="P154" s="510" t="s">
        <v>347</v>
      </c>
    </row>
    <row r="155" spans="1:19" s="443" customFormat="1" ht="25.15" customHeight="1">
      <c r="A155" s="885"/>
      <c r="B155" s="599">
        <v>9</v>
      </c>
      <c r="C155" s="405">
        <v>270</v>
      </c>
      <c r="D155" s="406">
        <v>150</v>
      </c>
      <c r="E155" s="401">
        <v>270</v>
      </c>
      <c r="F155" s="431">
        <v>10</v>
      </c>
      <c r="G155" s="432">
        <f t="shared" ref="G155" si="146">C155+D155+E155</f>
        <v>690</v>
      </c>
      <c r="H155" s="433"/>
      <c r="I155" s="433"/>
      <c r="J155" s="433">
        <f>+I155*H155+G155</f>
        <v>690</v>
      </c>
      <c r="K155" s="433">
        <f>+ROUND(1640/200,0)+1</f>
        <v>9</v>
      </c>
      <c r="L155" s="433">
        <v>1</v>
      </c>
      <c r="M155" s="435">
        <f>J155*K155*L155/1000</f>
        <v>6.21</v>
      </c>
      <c r="N155" s="435">
        <f t="shared" ref="N155" si="147">_xlfn.XLOOKUP(F155,$R$5:$Z$5,$R$6:$Z$6,"NOT_FOUND",0)</f>
        <v>0.61699999999999999</v>
      </c>
      <c r="O155" s="434">
        <f>M155*N155</f>
        <v>3.8315700000000001</v>
      </c>
      <c r="P155" s="510"/>
    </row>
    <row r="156" spans="1:19" s="443" customFormat="1" ht="25.15" customHeight="1">
      <c r="A156" s="885"/>
      <c r="B156" s="599">
        <v>10</v>
      </c>
      <c r="C156" s="405"/>
      <c r="D156" s="459">
        <v>1960</v>
      </c>
      <c r="E156" s="401"/>
      <c r="F156" s="431">
        <v>10</v>
      </c>
      <c r="G156" s="432">
        <f t="shared" ref="G156" si="148">C156+D156+E156</f>
        <v>1960</v>
      </c>
      <c r="H156" s="433"/>
      <c r="I156" s="433"/>
      <c r="J156" s="433">
        <f>+I156*H156+G156</f>
        <v>1960</v>
      </c>
      <c r="K156" s="433">
        <v>3</v>
      </c>
      <c r="L156" s="433">
        <v>1</v>
      </c>
      <c r="M156" s="435">
        <f>J156*K156*L156/1000</f>
        <v>5.88</v>
      </c>
      <c r="N156" s="435">
        <f t="shared" si="140"/>
        <v>0.61699999999999999</v>
      </c>
      <c r="O156" s="434">
        <f>M156*N156</f>
        <v>3.6279599999999999</v>
      </c>
      <c r="P156" s="510"/>
    </row>
    <row r="157" spans="1:19" s="443" customFormat="1" ht="25.15" customHeight="1">
      <c r="A157" s="886"/>
      <c r="B157" s="599">
        <v>10</v>
      </c>
      <c r="C157" s="405"/>
      <c r="D157" s="459">
        <v>1640</v>
      </c>
      <c r="E157" s="401"/>
      <c r="F157" s="431">
        <v>10</v>
      </c>
      <c r="G157" s="432">
        <f t="shared" ref="G157" si="149">C157+D157+E157</f>
        <v>1640</v>
      </c>
      <c r="H157" s="433"/>
      <c r="I157" s="433"/>
      <c r="J157" s="433">
        <f>+I157*H157+G157</f>
        <v>1640</v>
      </c>
      <c r="K157" s="433">
        <v>3</v>
      </c>
      <c r="L157" s="433">
        <v>1</v>
      </c>
      <c r="M157" s="435">
        <f>J157*K157*L157/1000</f>
        <v>4.92</v>
      </c>
      <c r="N157" s="435">
        <f t="shared" ref="N157" si="150">_xlfn.XLOOKUP(F157,$R$5:$Z$5,$R$6:$Z$6,"NOT_FOUND",0)</f>
        <v>0.61699999999999999</v>
      </c>
      <c r="O157" s="434">
        <f>M157*N157</f>
        <v>3.0356399999999999</v>
      </c>
      <c r="P157" s="510"/>
    </row>
    <row r="158" spans="1:19" s="430" customFormat="1" ht="25.15" customHeight="1">
      <c r="A158" s="588" t="s">
        <v>556</v>
      </c>
      <c r="B158" s="589"/>
      <c r="C158" s="590"/>
      <c r="D158" s="591"/>
      <c r="E158" s="589"/>
      <c r="F158" s="592"/>
      <c r="G158" s="593"/>
      <c r="H158" s="593"/>
      <c r="I158" s="593"/>
      <c r="J158" s="593"/>
      <c r="K158" s="593"/>
      <c r="L158" s="593"/>
      <c r="M158" s="594"/>
      <c r="N158" s="595"/>
      <c r="O158" s="595"/>
      <c r="P158" s="596"/>
    </row>
    <row r="159" spans="1:19" s="442" customFormat="1" ht="15.75">
      <c r="A159" s="877" t="s">
        <v>557</v>
      </c>
      <c r="B159" s="409"/>
      <c r="C159" s="410" t="s">
        <v>321</v>
      </c>
      <c r="D159" s="403">
        <f>+(3285+3917)/2</f>
        <v>3601</v>
      </c>
      <c r="E159" s="409" t="s">
        <v>322</v>
      </c>
      <c r="F159" s="438"/>
      <c r="G159" s="439"/>
      <c r="H159" s="440"/>
      <c r="I159" s="440"/>
      <c r="J159" s="440"/>
      <c r="K159" s="440"/>
      <c r="L159" s="440"/>
      <c r="M159" s="441"/>
      <c r="N159" s="441"/>
      <c r="O159" s="436"/>
      <c r="P159" s="709" t="s">
        <v>756</v>
      </c>
    </row>
    <row r="160" spans="1:19" s="443" customFormat="1" ht="25.15" customHeight="1">
      <c r="A160" s="877"/>
      <c r="B160" s="401">
        <v>1</v>
      </c>
      <c r="C160" s="405">
        <v>150</v>
      </c>
      <c r="D160" s="406">
        <v>1350</v>
      </c>
      <c r="E160" s="401">
        <v>150</v>
      </c>
      <c r="F160" s="431">
        <v>10</v>
      </c>
      <c r="G160" s="432">
        <f t="shared" ref="G160" si="151">C160+D160+E160</f>
        <v>1650</v>
      </c>
      <c r="H160" s="433"/>
      <c r="I160" s="433"/>
      <c r="J160" s="433">
        <f>+I160*H160+G160</f>
        <v>1650</v>
      </c>
      <c r="K160" s="433">
        <f>+ROUND(D159/200,0)+1</f>
        <v>19</v>
      </c>
      <c r="L160" s="433">
        <v>4</v>
      </c>
      <c r="M160" s="435">
        <f>J160*K160*L160/1000</f>
        <v>125.4</v>
      </c>
      <c r="N160" s="435">
        <f t="shared" ref="N160:N163" si="152">_xlfn.XLOOKUP(F160,$R$5:$Z$5,$R$6:$Z$6,"NOT_FOUND",0)</f>
        <v>0.61699999999999999</v>
      </c>
      <c r="O160" s="434">
        <f>M160*N160</f>
        <v>77.371800000000007</v>
      </c>
      <c r="P160" s="510"/>
    </row>
    <row r="161" spans="1:19" s="443" customFormat="1" ht="25.15" customHeight="1">
      <c r="A161" s="877"/>
      <c r="B161" s="401">
        <v>2</v>
      </c>
      <c r="C161" s="405"/>
      <c r="D161" s="459">
        <f>+D159+800</f>
        <v>4401</v>
      </c>
      <c r="E161" s="401"/>
      <c r="F161" s="431">
        <v>10</v>
      </c>
      <c r="G161" s="432">
        <f>C161+D161+E161</f>
        <v>4401</v>
      </c>
      <c r="H161" s="433">
        <f>ROUNDUP((D159/11.7/1000),0)-1</f>
        <v>0</v>
      </c>
      <c r="I161" s="433">
        <f>45*F161</f>
        <v>450</v>
      </c>
      <c r="J161" s="433">
        <f>+I161*H161+G161</f>
        <v>4401</v>
      </c>
      <c r="K161" s="597">
        <v>8</v>
      </c>
      <c r="L161" s="433">
        <v>4</v>
      </c>
      <c r="M161" s="435">
        <f t="shared" ref="M161:M163" si="153">J161*K161*L161/1000</f>
        <v>140.83199999999999</v>
      </c>
      <c r="N161" s="435">
        <f t="shared" si="152"/>
        <v>0.61699999999999999</v>
      </c>
      <c r="O161" s="434">
        <f>M161*N161</f>
        <v>86.893343999999999</v>
      </c>
      <c r="P161" s="510"/>
      <c r="S161" s="444"/>
    </row>
    <row r="162" spans="1:19" s="443" customFormat="1" ht="25.15" customHeight="1">
      <c r="A162" s="877"/>
      <c r="B162" s="401">
        <v>3</v>
      </c>
      <c r="C162" s="405">
        <v>60</v>
      </c>
      <c r="D162" s="406">
        <v>150</v>
      </c>
      <c r="E162" s="401">
        <v>60</v>
      </c>
      <c r="F162" s="431">
        <v>6</v>
      </c>
      <c r="G162" s="432">
        <f>C162+D162+E162</f>
        <v>270</v>
      </c>
      <c r="H162" s="433"/>
      <c r="I162" s="433"/>
      <c r="J162" s="433">
        <f t="shared" ref="J162:J163" si="154">+I162*H162+G162</f>
        <v>270</v>
      </c>
      <c r="K162" s="433">
        <f>+ROUND(D159/600,0)+1</f>
        <v>7</v>
      </c>
      <c r="L162" s="433">
        <v>6</v>
      </c>
      <c r="M162" s="435">
        <f t="shared" si="153"/>
        <v>11.34</v>
      </c>
      <c r="N162" s="435">
        <f t="shared" si="152"/>
        <v>0.222</v>
      </c>
      <c r="O162" s="434">
        <f t="shared" ref="O162:O163" si="155">M162*N162</f>
        <v>2.5174799999999999</v>
      </c>
      <c r="P162" s="510"/>
    </row>
    <row r="163" spans="1:19" s="443" customFormat="1" ht="25.15" customHeight="1">
      <c r="A163" s="877"/>
      <c r="B163" s="411">
        <v>4</v>
      </c>
      <c r="C163" s="405">
        <v>150</v>
      </c>
      <c r="D163" s="406">
        <v>300</v>
      </c>
      <c r="E163" s="401"/>
      <c r="F163" s="431">
        <v>10</v>
      </c>
      <c r="G163" s="432">
        <f>C163+D163+E163</f>
        <v>450</v>
      </c>
      <c r="H163" s="433"/>
      <c r="I163" s="433"/>
      <c r="J163" s="433">
        <f t="shared" si="154"/>
        <v>450</v>
      </c>
      <c r="K163" s="433">
        <f>+K162</f>
        <v>7</v>
      </c>
      <c r="L163" s="433">
        <v>2</v>
      </c>
      <c r="M163" s="435">
        <f t="shared" si="153"/>
        <v>6.3</v>
      </c>
      <c r="N163" s="435">
        <f t="shared" si="152"/>
        <v>0.61699999999999999</v>
      </c>
      <c r="O163" s="434">
        <f t="shared" si="155"/>
        <v>3.8870999999999998</v>
      </c>
      <c r="P163" s="510" t="s">
        <v>347</v>
      </c>
    </row>
    <row r="164" spans="1:19" s="442" customFormat="1" ht="15.75">
      <c r="A164" s="877" t="s">
        <v>558</v>
      </c>
      <c r="B164" s="409"/>
      <c r="C164" s="410" t="s">
        <v>321</v>
      </c>
      <c r="D164" s="403">
        <v>3170</v>
      </c>
      <c r="E164" s="409" t="s">
        <v>322</v>
      </c>
      <c r="F164" s="438"/>
      <c r="G164" s="439"/>
      <c r="H164" s="440"/>
      <c r="I164" s="440"/>
      <c r="J164" s="440"/>
      <c r="K164" s="440"/>
      <c r="L164" s="440"/>
      <c r="M164" s="441"/>
      <c r="N164" s="441"/>
      <c r="O164" s="436"/>
      <c r="P164" s="709" t="s">
        <v>756</v>
      </c>
    </row>
    <row r="165" spans="1:19" s="443" customFormat="1" ht="25.15" customHeight="1">
      <c r="A165" s="877"/>
      <c r="B165" s="401">
        <v>1</v>
      </c>
      <c r="C165" s="405">
        <v>150</v>
      </c>
      <c r="D165" s="406">
        <v>1350</v>
      </c>
      <c r="E165" s="401">
        <v>150</v>
      </c>
      <c r="F165" s="431">
        <v>10</v>
      </c>
      <c r="G165" s="432">
        <f t="shared" ref="G165" si="156">C165+D165+E165</f>
        <v>1650</v>
      </c>
      <c r="H165" s="433"/>
      <c r="I165" s="433"/>
      <c r="J165" s="433">
        <f>+I165*H165+G165</f>
        <v>1650</v>
      </c>
      <c r="K165" s="433">
        <f>+ROUND(D164/200,0)+1</f>
        <v>17</v>
      </c>
      <c r="L165" s="433">
        <v>2</v>
      </c>
      <c r="M165" s="435">
        <f>J165*K165*L165/1000</f>
        <v>56.1</v>
      </c>
      <c r="N165" s="435">
        <f t="shared" ref="N165:N168" si="157">_xlfn.XLOOKUP(F165,$R$5:$Z$5,$R$6:$Z$6,"NOT_FOUND",0)</f>
        <v>0.61699999999999999</v>
      </c>
      <c r="O165" s="434">
        <f>M165*N165</f>
        <v>34.613700000000001</v>
      </c>
      <c r="P165" s="510"/>
    </row>
    <row r="166" spans="1:19" s="443" customFormat="1" ht="25.15" customHeight="1">
      <c r="A166" s="877"/>
      <c r="B166" s="401">
        <v>2</v>
      </c>
      <c r="C166" s="405"/>
      <c r="D166" s="459">
        <f>+D164+800</f>
        <v>3970</v>
      </c>
      <c r="E166" s="401"/>
      <c r="F166" s="431">
        <v>10</v>
      </c>
      <c r="G166" s="432">
        <f>C166+D166+E166</f>
        <v>3970</v>
      </c>
      <c r="H166" s="433">
        <f>ROUNDUP((D164/11.7/1000),0)-1</f>
        <v>0</v>
      </c>
      <c r="I166" s="433">
        <f>45*F166</f>
        <v>450</v>
      </c>
      <c r="J166" s="433">
        <f>+I166*H166+G166</f>
        <v>3970</v>
      </c>
      <c r="K166" s="433">
        <v>4</v>
      </c>
      <c r="L166" s="433">
        <v>2</v>
      </c>
      <c r="M166" s="435">
        <f t="shared" ref="M166:M168" si="158">J166*K166*L166/1000</f>
        <v>31.76</v>
      </c>
      <c r="N166" s="435">
        <f t="shared" si="157"/>
        <v>0.61699999999999999</v>
      </c>
      <c r="O166" s="434">
        <f>M166*N166</f>
        <v>19.59592</v>
      </c>
      <c r="P166" s="510"/>
      <c r="S166" s="444"/>
    </row>
    <row r="167" spans="1:19" s="443" customFormat="1" ht="25.15" customHeight="1">
      <c r="A167" s="877"/>
      <c r="B167" s="401">
        <v>3</v>
      </c>
      <c r="C167" s="405">
        <v>60</v>
      </c>
      <c r="D167" s="406">
        <v>150</v>
      </c>
      <c r="E167" s="401">
        <v>60</v>
      </c>
      <c r="F167" s="431">
        <v>6</v>
      </c>
      <c r="G167" s="432">
        <f>C167+D167+E167</f>
        <v>270</v>
      </c>
      <c r="H167" s="433"/>
      <c r="I167" s="433"/>
      <c r="J167" s="433">
        <f t="shared" ref="J167:J168" si="159">+I167*H167+G167</f>
        <v>270</v>
      </c>
      <c r="K167" s="433">
        <f>+ROUND(D164/600,0)+1</f>
        <v>6</v>
      </c>
      <c r="L167" s="597">
        <v>1</v>
      </c>
      <c r="M167" s="435">
        <f t="shared" si="158"/>
        <v>1.62</v>
      </c>
      <c r="N167" s="435">
        <f t="shared" si="157"/>
        <v>0.222</v>
      </c>
      <c r="O167" s="434">
        <f t="shared" ref="O167:O168" si="160">M167*N167</f>
        <v>0.35964000000000002</v>
      </c>
      <c r="P167" s="510"/>
    </row>
    <row r="168" spans="1:19" s="443" customFormat="1" ht="25.15" customHeight="1">
      <c r="A168" s="877"/>
      <c r="B168" s="411">
        <v>4</v>
      </c>
      <c r="C168" s="405">
        <v>150</v>
      </c>
      <c r="D168" s="406">
        <v>300</v>
      </c>
      <c r="E168" s="401"/>
      <c r="F168" s="431">
        <v>10</v>
      </c>
      <c r="G168" s="432">
        <f>C168+D168+E168</f>
        <v>450</v>
      </c>
      <c r="H168" s="433"/>
      <c r="I168" s="433"/>
      <c r="J168" s="433">
        <f t="shared" si="159"/>
        <v>450</v>
      </c>
      <c r="K168" s="433">
        <f>+K167</f>
        <v>6</v>
      </c>
      <c r="L168" s="433">
        <v>1</v>
      </c>
      <c r="M168" s="435">
        <f t="shared" si="158"/>
        <v>2.7</v>
      </c>
      <c r="N168" s="435">
        <f t="shared" si="157"/>
        <v>0.61699999999999999</v>
      </c>
      <c r="O168" s="434">
        <f t="shared" si="160"/>
        <v>1.6659000000000002</v>
      </c>
      <c r="P168" s="510" t="s">
        <v>347</v>
      </c>
    </row>
    <row r="169" spans="1:19" s="442" customFormat="1" ht="15.75">
      <c r="A169" s="877" t="s">
        <v>559</v>
      </c>
      <c r="B169" s="409"/>
      <c r="C169" s="410" t="s">
        <v>321</v>
      </c>
      <c r="D169" s="403">
        <v>4550</v>
      </c>
      <c r="E169" s="409" t="s">
        <v>322</v>
      </c>
      <c r="F169" s="438"/>
      <c r="G169" s="439"/>
      <c r="H169" s="440"/>
      <c r="I169" s="440"/>
      <c r="J169" s="440"/>
      <c r="K169" s="440"/>
      <c r="L169" s="440"/>
      <c r="M169" s="441"/>
      <c r="N169" s="441"/>
      <c r="O169" s="436"/>
      <c r="P169" s="510"/>
    </row>
    <row r="170" spans="1:19" s="443" customFormat="1" ht="25.15" customHeight="1">
      <c r="A170" s="877"/>
      <c r="B170" s="401">
        <v>1</v>
      </c>
      <c r="C170" s="405">
        <v>150</v>
      </c>
      <c r="D170" s="406">
        <v>1350</v>
      </c>
      <c r="E170" s="401">
        <v>150</v>
      </c>
      <c r="F170" s="431">
        <v>10</v>
      </c>
      <c r="G170" s="432">
        <f t="shared" ref="G170" si="161">C170+D170+E170</f>
        <v>1650</v>
      </c>
      <c r="H170" s="433"/>
      <c r="I170" s="433"/>
      <c r="J170" s="433">
        <f>+I170*H170+G170</f>
        <v>1650</v>
      </c>
      <c r="K170" s="433">
        <f>+ROUND(D169/200,0)+1</f>
        <v>24</v>
      </c>
      <c r="L170" s="433">
        <v>2</v>
      </c>
      <c r="M170" s="435">
        <f>J170*K170*L170/1000</f>
        <v>79.2</v>
      </c>
      <c r="N170" s="435">
        <f t="shared" ref="N170:N173" si="162">_xlfn.XLOOKUP(F170,$R$5:$Z$5,$R$6:$Z$6,"NOT_FOUND",0)</f>
        <v>0.61699999999999999</v>
      </c>
      <c r="O170" s="434">
        <f>M170*N170</f>
        <v>48.866399999999999</v>
      </c>
      <c r="P170" s="510"/>
    </row>
    <row r="171" spans="1:19" s="443" customFormat="1" ht="25.15" customHeight="1">
      <c r="A171" s="877"/>
      <c r="B171" s="401">
        <v>2</v>
      </c>
      <c r="C171" s="405"/>
      <c r="D171" s="459">
        <f>+D169+225+175</f>
        <v>4950</v>
      </c>
      <c r="E171" s="401"/>
      <c r="F171" s="431">
        <v>10</v>
      </c>
      <c r="G171" s="432">
        <f>C171+D171+E171</f>
        <v>4950</v>
      </c>
      <c r="H171" s="433">
        <f>ROUNDUP((D169/11.7/1000),0)-1</f>
        <v>0</v>
      </c>
      <c r="I171" s="433">
        <f>45*F171</f>
        <v>450</v>
      </c>
      <c r="J171" s="433">
        <f>+I171*H171+G171</f>
        <v>4950</v>
      </c>
      <c r="K171" s="433">
        <v>4</v>
      </c>
      <c r="L171" s="433">
        <v>2</v>
      </c>
      <c r="M171" s="435">
        <f t="shared" ref="M171:M173" si="163">J171*K171*L171/1000</f>
        <v>39.6</v>
      </c>
      <c r="N171" s="435">
        <f t="shared" si="162"/>
        <v>0.61699999999999999</v>
      </c>
      <c r="O171" s="434">
        <f>M171*N171</f>
        <v>24.433199999999999</v>
      </c>
      <c r="P171" s="510"/>
      <c r="S171" s="444"/>
    </row>
    <row r="172" spans="1:19" s="443" customFormat="1" ht="25.15" customHeight="1">
      <c r="A172" s="877"/>
      <c r="B172" s="401">
        <v>3</v>
      </c>
      <c r="C172" s="405">
        <v>60</v>
      </c>
      <c r="D172" s="406">
        <v>150</v>
      </c>
      <c r="E172" s="401">
        <v>60</v>
      </c>
      <c r="F172" s="431">
        <v>6</v>
      </c>
      <c r="G172" s="432">
        <f>C172+D172+E172</f>
        <v>270</v>
      </c>
      <c r="H172" s="433"/>
      <c r="I172" s="433"/>
      <c r="J172" s="433">
        <f t="shared" ref="J172:J173" si="164">+I172*H172+G172</f>
        <v>270</v>
      </c>
      <c r="K172" s="433">
        <f>+ROUND(D169/600,0)+1</f>
        <v>9</v>
      </c>
      <c r="L172" s="597">
        <v>1</v>
      </c>
      <c r="M172" s="435">
        <f t="shared" si="163"/>
        <v>2.4300000000000002</v>
      </c>
      <c r="N172" s="435">
        <f t="shared" si="162"/>
        <v>0.222</v>
      </c>
      <c r="O172" s="434">
        <f t="shared" ref="O172:O173" si="165">M172*N172</f>
        <v>0.53946000000000005</v>
      </c>
      <c r="P172" s="510"/>
    </row>
    <row r="173" spans="1:19" s="443" customFormat="1" ht="25.15" customHeight="1">
      <c r="A173" s="877"/>
      <c r="B173" s="411">
        <v>4</v>
      </c>
      <c r="C173" s="405">
        <v>150</v>
      </c>
      <c r="D173" s="406">
        <v>300</v>
      </c>
      <c r="E173" s="401"/>
      <c r="F173" s="431">
        <v>10</v>
      </c>
      <c r="G173" s="432">
        <f>C173+D173+E173</f>
        <v>450</v>
      </c>
      <c r="H173" s="433"/>
      <c r="I173" s="433"/>
      <c r="J173" s="433">
        <f t="shared" si="164"/>
        <v>450</v>
      </c>
      <c r="K173" s="433">
        <f>+K172</f>
        <v>9</v>
      </c>
      <c r="L173" s="433">
        <v>1</v>
      </c>
      <c r="M173" s="435">
        <f t="shared" si="163"/>
        <v>4.05</v>
      </c>
      <c r="N173" s="435">
        <f t="shared" si="162"/>
        <v>0.61699999999999999</v>
      </c>
      <c r="O173" s="434">
        <f t="shared" si="165"/>
        <v>2.49885</v>
      </c>
      <c r="P173" s="510" t="s">
        <v>347</v>
      </c>
    </row>
    <row r="174" spans="1:19" s="442" customFormat="1" ht="15.75">
      <c r="A174" s="877" t="s">
        <v>560</v>
      </c>
      <c r="B174" s="409"/>
      <c r="C174" s="410" t="s">
        <v>321</v>
      </c>
      <c r="D174" s="403">
        <v>4740</v>
      </c>
      <c r="E174" s="409" t="s">
        <v>322</v>
      </c>
      <c r="F174" s="438"/>
      <c r="G174" s="439"/>
      <c r="H174" s="440"/>
      <c r="I174" s="440"/>
      <c r="J174" s="440"/>
      <c r="K174" s="440"/>
      <c r="L174" s="440"/>
      <c r="M174" s="441"/>
      <c r="N174" s="441"/>
      <c r="O174" s="436"/>
      <c r="P174" s="709" t="s">
        <v>756</v>
      </c>
    </row>
    <row r="175" spans="1:19" s="443" customFormat="1" ht="25.15" customHeight="1">
      <c r="A175" s="877"/>
      <c r="B175" s="401">
        <v>1</v>
      </c>
      <c r="C175" s="405">
        <v>150</v>
      </c>
      <c r="D175" s="406">
        <v>1350</v>
      </c>
      <c r="E175" s="401">
        <v>150</v>
      </c>
      <c r="F175" s="431">
        <v>10</v>
      </c>
      <c r="G175" s="432">
        <f t="shared" ref="G175" si="166">C175+D175+E175</f>
        <v>1650</v>
      </c>
      <c r="H175" s="433"/>
      <c r="I175" s="433"/>
      <c r="J175" s="433">
        <f>+I175*H175+G175</f>
        <v>1650</v>
      </c>
      <c r="K175" s="433">
        <f>+ROUND(D174/200,0)+1</f>
        <v>25</v>
      </c>
      <c r="L175" s="433">
        <v>2</v>
      </c>
      <c r="M175" s="435">
        <f>J175*K175*L175/1000</f>
        <v>82.5</v>
      </c>
      <c r="N175" s="435">
        <f t="shared" ref="N175:N178" si="167">_xlfn.XLOOKUP(F175,$R$5:$Z$5,$R$6:$Z$6,"NOT_FOUND",0)</f>
        <v>0.61699999999999999</v>
      </c>
      <c r="O175" s="434">
        <f>M175*N175</f>
        <v>50.902499999999996</v>
      </c>
      <c r="P175" s="510"/>
    </row>
    <row r="176" spans="1:19" s="443" customFormat="1" ht="25.15" customHeight="1">
      <c r="A176" s="877"/>
      <c r="B176" s="401">
        <v>2</v>
      </c>
      <c r="C176" s="405"/>
      <c r="D176" s="459">
        <f>+D174+225+175</f>
        <v>5140</v>
      </c>
      <c r="E176" s="401"/>
      <c r="F176" s="431">
        <v>10</v>
      </c>
      <c r="G176" s="432">
        <f>C176+D176+E176</f>
        <v>5140</v>
      </c>
      <c r="H176" s="433">
        <f>ROUNDUP((D174/11.7/1000),0)-1</f>
        <v>0</v>
      </c>
      <c r="I176" s="433">
        <f>45*F176</f>
        <v>450</v>
      </c>
      <c r="J176" s="433">
        <f>+I176*H176+G176</f>
        <v>5140</v>
      </c>
      <c r="K176" s="433">
        <v>4</v>
      </c>
      <c r="L176" s="433">
        <v>2</v>
      </c>
      <c r="M176" s="435">
        <f t="shared" ref="M176:M178" si="168">J176*K176*L176/1000</f>
        <v>41.12</v>
      </c>
      <c r="N176" s="435">
        <f t="shared" si="167"/>
        <v>0.61699999999999999</v>
      </c>
      <c r="O176" s="434">
        <f>M176*N176</f>
        <v>25.371039999999997</v>
      </c>
      <c r="P176" s="510"/>
      <c r="S176" s="444"/>
    </row>
    <row r="177" spans="1:19" s="443" customFormat="1" ht="25.15" customHeight="1">
      <c r="A177" s="877"/>
      <c r="B177" s="401">
        <v>3</v>
      </c>
      <c r="C177" s="405">
        <v>60</v>
      </c>
      <c r="D177" s="406">
        <v>150</v>
      </c>
      <c r="E177" s="401">
        <v>60</v>
      </c>
      <c r="F177" s="431">
        <v>6</v>
      </c>
      <c r="G177" s="432">
        <f>C177+D177+E177</f>
        <v>270</v>
      </c>
      <c r="H177" s="433"/>
      <c r="I177" s="433"/>
      <c r="J177" s="433">
        <f t="shared" ref="J177:J178" si="169">+I177*H177+G177</f>
        <v>270</v>
      </c>
      <c r="K177" s="433">
        <f>+ROUND(D174/600,0)+1</f>
        <v>9</v>
      </c>
      <c r="L177" s="597">
        <v>1</v>
      </c>
      <c r="M177" s="435">
        <f t="shared" si="168"/>
        <v>2.4300000000000002</v>
      </c>
      <c r="N177" s="435">
        <f t="shared" si="167"/>
        <v>0.222</v>
      </c>
      <c r="O177" s="434">
        <f t="shared" ref="O177:O178" si="170">M177*N177</f>
        <v>0.53946000000000005</v>
      </c>
      <c r="P177" s="510"/>
    </row>
    <row r="178" spans="1:19" s="443" customFormat="1" ht="25.15" customHeight="1">
      <c r="A178" s="877"/>
      <c r="B178" s="411">
        <v>4</v>
      </c>
      <c r="C178" s="405">
        <v>150</v>
      </c>
      <c r="D178" s="406">
        <v>300</v>
      </c>
      <c r="E178" s="401"/>
      <c r="F178" s="431">
        <v>10</v>
      </c>
      <c r="G178" s="432">
        <f>C178+D178+E178</f>
        <v>450</v>
      </c>
      <c r="H178" s="433"/>
      <c r="I178" s="433"/>
      <c r="J178" s="433">
        <f t="shared" si="169"/>
        <v>450</v>
      </c>
      <c r="K178" s="433">
        <f>+K177</f>
        <v>9</v>
      </c>
      <c r="L178" s="433">
        <v>1</v>
      </c>
      <c r="M178" s="435">
        <f t="shared" si="168"/>
        <v>4.05</v>
      </c>
      <c r="N178" s="435">
        <f t="shared" si="167"/>
        <v>0.61699999999999999</v>
      </c>
      <c r="O178" s="434">
        <f t="shared" si="170"/>
        <v>2.49885</v>
      </c>
      <c r="P178" s="510" t="s">
        <v>347</v>
      </c>
    </row>
    <row r="179" spans="1:19" s="442" customFormat="1" ht="15.75">
      <c r="A179" s="877" t="s">
        <v>561</v>
      </c>
      <c r="B179" s="409"/>
      <c r="C179" s="410" t="s">
        <v>321</v>
      </c>
      <c r="D179" s="403">
        <v>4820</v>
      </c>
      <c r="E179" s="409" t="s">
        <v>322</v>
      </c>
      <c r="F179" s="438"/>
      <c r="G179" s="439"/>
      <c r="H179" s="440"/>
      <c r="I179" s="440"/>
      <c r="J179" s="440"/>
      <c r="K179" s="440"/>
      <c r="L179" s="440"/>
      <c r="M179" s="441"/>
      <c r="N179" s="441"/>
      <c r="O179" s="436"/>
      <c r="P179" s="709" t="s">
        <v>756</v>
      </c>
    </row>
    <row r="180" spans="1:19" s="443" customFormat="1" ht="25.15" customHeight="1">
      <c r="A180" s="877"/>
      <c r="B180" s="401">
        <v>1</v>
      </c>
      <c r="C180" s="405">
        <v>150</v>
      </c>
      <c r="D180" s="406">
        <v>1350</v>
      </c>
      <c r="E180" s="401">
        <v>150</v>
      </c>
      <c r="F180" s="431">
        <v>10</v>
      </c>
      <c r="G180" s="432">
        <f t="shared" ref="G180" si="171">C180+D180+E180</f>
        <v>1650</v>
      </c>
      <c r="H180" s="433"/>
      <c r="I180" s="433"/>
      <c r="J180" s="433">
        <f>+I180*H180+G180</f>
        <v>1650</v>
      </c>
      <c r="K180" s="433">
        <f>+ROUND(D179/200,0)+1</f>
        <v>25</v>
      </c>
      <c r="L180" s="433">
        <v>2</v>
      </c>
      <c r="M180" s="435">
        <f>J180*K180*L180/1000</f>
        <v>82.5</v>
      </c>
      <c r="N180" s="435">
        <f t="shared" ref="N180:N183" si="172">_xlfn.XLOOKUP(F180,$R$5:$Z$5,$R$6:$Z$6,"NOT_FOUND",0)</f>
        <v>0.61699999999999999</v>
      </c>
      <c r="O180" s="434">
        <f>M180*N180</f>
        <v>50.902499999999996</v>
      </c>
      <c r="P180" s="510"/>
    </row>
    <row r="181" spans="1:19" s="443" customFormat="1" ht="25.15" customHeight="1">
      <c r="A181" s="877"/>
      <c r="B181" s="401">
        <v>2</v>
      </c>
      <c r="C181" s="405"/>
      <c r="D181" s="459">
        <f>+D179+225+175</f>
        <v>5220</v>
      </c>
      <c r="E181" s="401"/>
      <c r="F181" s="431">
        <v>10</v>
      </c>
      <c r="G181" s="432">
        <f>C181+D181+E181</f>
        <v>5220</v>
      </c>
      <c r="H181" s="433">
        <f>ROUNDUP((D179/11.7/1000),0)-1</f>
        <v>0</v>
      </c>
      <c r="I181" s="433">
        <f>45*F181</f>
        <v>450</v>
      </c>
      <c r="J181" s="433">
        <f>+I181*H181+G181</f>
        <v>5220</v>
      </c>
      <c r="K181" s="433">
        <v>4</v>
      </c>
      <c r="L181" s="433">
        <v>2</v>
      </c>
      <c r="M181" s="435">
        <f t="shared" ref="M181:M183" si="173">J181*K181*L181/1000</f>
        <v>41.76</v>
      </c>
      <c r="N181" s="435">
        <f t="shared" si="172"/>
        <v>0.61699999999999999</v>
      </c>
      <c r="O181" s="434">
        <f>M181*N181</f>
        <v>25.765919999999998</v>
      </c>
      <c r="P181" s="510"/>
      <c r="S181" s="444"/>
    </row>
    <row r="182" spans="1:19" s="443" customFormat="1" ht="25.15" customHeight="1">
      <c r="A182" s="877"/>
      <c r="B182" s="401">
        <v>3</v>
      </c>
      <c r="C182" s="405">
        <v>60</v>
      </c>
      <c r="D182" s="406">
        <v>150</v>
      </c>
      <c r="E182" s="401">
        <v>60</v>
      </c>
      <c r="F182" s="431">
        <v>6</v>
      </c>
      <c r="G182" s="432">
        <f>C182+D182+E182</f>
        <v>270</v>
      </c>
      <c r="H182" s="433"/>
      <c r="I182" s="433"/>
      <c r="J182" s="433">
        <f t="shared" ref="J182:J183" si="174">+I182*H182+G182</f>
        <v>270</v>
      </c>
      <c r="K182" s="433">
        <f>+ROUND(D179/600,0)+1</f>
        <v>9</v>
      </c>
      <c r="L182" s="597">
        <v>1</v>
      </c>
      <c r="M182" s="435">
        <f t="shared" si="173"/>
        <v>2.4300000000000002</v>
      </c>
      <c r="N182" s="435">
        <f t="shared" si="172"/>
        <v>0.222</v>
      </c>
      <c r="O182" s="434">
        <f t="shared" ref="O182:O183" si="175">M182*N182</f>
        <v>0.53946000000000005</v>
      </c>
      <c r="P182" s="510"/>
    </row>
    <row r="183" spans="1:19" s="443" customFormat="1" ht="25.15" customHeight="1">
      <c r="A183" s="877"/>
      <c r="B183" s="411">
        <v>4</v>
      </c>
      <c r="C183" s="405">
        <v>150</v>
      </c>
      <c r="D183" s="406">
        <v>300</v>
      </c>
      <c r="E183" s="401"/>
      <c r="F183" s="431">
        <v>10</v>
      </c>
      <c r="G183" s="432">
        <f>C183+D183+E183</f>
        <v>450</v>
      </c>
      <c r="H183" s="433"/>
      <c r="I183" s="433"/>
      <c r="J183" s="433">
        <f t="shared" si="174"/>
        <v>450</v>
      </c>
      <c r="K183" s="433">
        <f>+K182</f>
        <v>9</v>
      </c>
      <c r="L183" s="433">
        <v>1</v>
      </c>
      <c r="M183" s="435">
        <f t="shared" si="173"/>
        <v>4.05</v>
      </c>
      <c r="N183" s="435">
        <f t="shared" si="172"/>
        <v>0.61699999999999999</v>
      </c>
      <c r="O183" s="434">
        <f t="shared" si="175"/>
        <v>2.49885</v>
      </c>
      <c r="P183" s="510" t="s">
        <v>347</v>
      </c>
    </row>
    <row r="184" spans="1:19" s="442" customFormat="1" ht="15.75">
      <c r="A184" s="877" t="s">
        <v>562</v>
      </c>
      <c r="B184" s="409"/>
      <c r="C184" s="410" t="s">
        <v>321</v>
      </c>
      <c r="D184" s="403">
        <v>4730</v>
      </c>
      <c r="E184" s="409" t="s">
        <v>322</v>
      </c>
      <c r="F184" s="438"/>
      <c r="G184" s="439"/>
      <c r="H184" s="440"/>
      <c r="I184" s="440"/>
      <c r="J184" s="440"/>
      <c r="K184" s="440"/>
      <c r="L184" s="440"/>
      <c r="M184" s="441"/>
      <c r="N184" s="441"/>
      <c r="O184" s="436"/>
      <c r="P184" s="709" t="s">
        <v>756</v>
      </c>
    </row>
    <row r="185" spans="1:19" s="443" customFormat="1" ht="25.15" customHeight="1">
      <c r="A185" s="877"/>
      <c r="B185" s="401">
        <v>1</v>
      </c>
      <c r="C185" s="405">
        <v>150</v>
      </c>
      <c r="D185" s="406">
        <v>1350</v>
      </c>
      <c r="E185" s="401">
        <v>150</v>
      </c>
      <c r="F185" s="431">
        <v>10</v>
      </c>
      <c r="G185" s="432">
        <f t="shared" ref="G185" si="176">C185+D185+E185</f>
        <v>1650</v>
      </c>
      <c r="H185" s="433"/>
      <c r="I185" s="433"/>
      <c r="J185" s="433">
        <f>+I185*H185+G185</f>
        <v>1650</v>
      </c>
      <c r="K185" s="433">
        <f>+ROUND(D184/200,0)+1</f>
        <v>25</v>
      </c>
      <c r="L185" s="433">
        <v>2</v>
      </c>
      <c r="M185" s="435">
        <f>J185*K185*L185/1000</f>
        <v>82.5</v>
      </c>
      <c r="N185" s="435">
        <f t="shared" ref="N185:N188" si="177">_xlfn.XLOOKUP(F185,$R$5:$Z$5,$R$6:$Z$6,"NOT_FOUND",0)</f>
        <v>0.61699999999999999</v>
      </c>
      <c r="O185" s="434">
        <f>M185*N185</f>
        <v>50.902499999999996</v>
      </c>
      <c r="P185" s="510"/>
    </row>
    <row r="186" spans="1:19" s="443" customFormat="1" ht="25.15" customHeight="1">
      <c r="A186" s="877"/>
      <c r="B186" s="401">
        <v>2</v>
      </c>
      <c r="C186" s="405"/>
      <c r="D186" s="459">
        <f>+D184+225+175</f>
        <v>5130</v>
      </c>
      <c r="E186" s="401"/>
      <c r="F186" s="431">
        <v>10</v>
      </c>
      <c r="G186" s="432">
        <f>C186+D186+E186</f>
        <v>5130</v>
      </c>
      <c r="H186" s="433">
        <f>ROUNDUP((D184/11.7/1000),0)-1</f>
        <v>0</v>
      </c>
      <c r="I186" s="433">
        <f>45*F186</f>
        <v>450</v>
      </c>
      <c r="J186" s="433">
        <f>+I186*H186+G186</f>
        <v>5130</v>
      </c>
      <c r="K186" s="433">
        <v>4</v>
      </c>
      <c r="L186" s="433">
        <v>2</v>
      </c>
      <c r="M186" s="435">
        <f t="shared" ref="M186:M188" si="178">J186*K186*L186/1000</f>
        <v>41.04</v>
      </c>
      <c r="N186" s="435">
        <f t="shared" si="177"/>
        <v>0.61699999999999999</v>
      </c>
      <c r="O186" s="434">
        <f>M186*N186</f>
        <v>25.321680000000001</v>
      </c>
      <c r="P186" s="510"/>
      <c r="S186" s="444"/>
    </row>
    <row r="187" spans="1:19" s="443" customFormat="1" ht="25.15" customHeight="1">
      <c r="A187" s="877"/>
      <c r="B187" s="401">
        <v>3</v>
      </c>
      <c r="C187" s="405">
        <v>60</v>
      </c>
      <c r="D187" s="406">
        <v>150</v>
      </c>
      <c r="E187" s="401">
        <v>60</v>
      </c>
      <c r="F187" s="431">
        <v>6</v>
      </c>
      <c r="G187" s="432">
        <f>C187+D187+E187</f>
        <v>270</v>
      </c>
      <c r="H187" s="433"/>
      <c r="I187" s="433"/>
      <c r="J187" s="433">
        <f t="shared" ref="J187:J188" si="179">+I187*H187+G187</f>
        <v>270</v>
      </c>
      <c r="K187" s="433">
        <f>+ROUND(D184/600,0)+1</f>
        <v>9</v>
      </c>
      <c r="L187" s="597">
        <v>1</v>
      </c>
      <c r="M187" s="435">
        <f t="shared" si="178"/>
        <v>2.4300000000000002</v>
      </c>
      <c r="N187" s="435">
        <f t="shared" si="177"/>
        <v>0.222</v>
      </c>
      <c r="O187" s="434">
        <f t="shared" ref="O187:O188" si="180">M187*N187</f>
        <v>0.53946000000000005</v>
      </c>
      <c r="P187" s="510"/>
    </row>
    <row r="188" spans="1:19" s="443" customFormat="1" ht="25.15" customHeight="1">
      <c r="A188" s="877"/>
      <c r="B188" s="411">
        <v>4</v>
      </c>
      <c r="C188" s="405">
        <v>150</v>
      </c>
      <c r="D188" s="406">
        <v>300</v>
      </c>
      <c r="E188" s="401"/>
      <c r="F188" s="431">
        <v>10</v>
      </c>
      <c r="G188" s="432">
        <f>C188+D188+E188</f>
        <v>450</v>
      </c>
      <c r="H188" s="433"/>
      <c r="I188" s="433"/>
      <c r="J188" s="433">
        <f t="shared" si="179"/>
        <v>450</v>
      </c>
      <c r="K188" s="433">
        <f>+K187</f>
        <v>9</v>
      </c>
      <c r="L188" s="433">
        <v>1</v>
      </c>
      <c r="M188" s="435">
        <f t="shared" si="178"/>
        <v>4.05</v>
      </c>
      <c r="N188" s="435">
        <f t="shared" si="177"/>
        <v>0.61699999999999999</v>
      </c>
      <c r="O188" s="434">
        <f t="shared" si="180"/>
        <v>2.49885</v>
      </c>
      <c r="P188" s="510" t="s">
        <v>347</v>
      </c>
    </row>
    <row r="189" spans="1:19" s="442" customFormat="1" ht="15.75">
      <c r="A189" s="877" t="s">
        <v>563</v>
      </c>
      <c r="B189" s="409"/>
      <c r="C189" s="410" t="s">
        <v>321</v>
      </c>
      <c r="D189" s="403">
        <v>3405</v>
      </c>
      <c r="E189" s="409" t="s">
        <v>322</v>
      </c>
      <c r="F189" s="438"/>
      <c r="G189" s="439"/>
      <c r="H189" s="440"/>
      <c r="I189" s="440"/>
      <c r="J189" s="440"/>
      <c r="K189" s="440"/>
      <c r="L189" s="440"/>
      <c r="M189" s="441"/>
      <c r="N189" s="441"/>
      <c r="O189" s="436"/>
      <c r="P189" s="709" t="s">
        <v>756</v>
      </c>
    </row>
    <row r="190" spans="1:19" s="443" customFormat="1" ht="25.15" customHeight="1">
      <c r="A190" s="877"/>
      <c r="B190" s="401">
        <v>1</v>
      </c>
      <c r="C190" s="405">
        <v>150</v>
      </c>
      <c r="D190" s="406">
        <v>1350</v>
      </c>
      <c r="E190" s="401">
        <v>150</v>
      </c>
      <c r="F190" s="431">
        <v>10</v>
      </c>
      <c r="G190" s="432">
        <f t="shared" ref="G190" si="181">C190+D190+E190</f>
        <v>1650</v>
      </c>
      <c r="H190" s="433"/>
      <c r="I190" s="433"/>
      <c r="J190" s="433">
        <f>+I190*H190+G190</f>
        <v>1650</v>
      </c>
      <c r="K190" s="433">
        <f>+ROUND(D189/200,0)+1</f>
        <v>18</v>
      </c>
      <c r="L190" s="433">
        <v>2</v>
      </c>
      <c r="M190" s="435">
        <f>J190*K190*L190/1000</f>
        <v>59.4</v>
      </c>
      <c r="N190" s="435">
        <f t="shared" ref="N190:N193" si="182">_xlfn.XLOOKUP(F190,$R$5:$Z$5,$R$6:$Z$6,"NOT_FOUND",0)</f>
        <v>0.61699999999999999</v>
      </c>
      <c r="O190" s="434">
        <f>M190*N190</f>
        <v>36.649799999999999</v>
      </c>
      <c r="P190" s="510"/>
    </row>
    <row r="191" spans="1:19" s="443" customFormat="1" ht="25.15" customHeight="1">
      <c r="A191" s="877"/>
      <c r="B191" s="401">
        <v>2</v>
      </c>
      <c r="C191" s="405"/>
      <c r="D191" s="459">
        <f>+D189+225+175</f>
        <v>3805</v>
      </c>
      <c r="E191" s="401"/>
      <c r="F191" s="431">
        <v>10</v>
      </c>
      <c r="G191" s="432">
        <f>C191+D191+E191</f>
        <v>3805</v>
      </c>
      <c r="H191" s="433">
        <f>ROUNDUP((D189/11.7/1000),0)-1</f>
        <v>0</v>
      </c>
      <c r="I191" s="433">
        <f>45*F191</f>
        <v>450</v>
      </c>
      <c r="J191" s="433">
        <f>+I191*H191+G191</f>
        <v>3805</v>
      </c>
      <c r="K191" s="433">
        <v>4</v>
      </c>
      <c r="L191" s="433">
        <v>2</v>
      </c>
      <c r="M191" s="435">
        <f t="shared" ref="M191:M193" si="183">J191*K191*L191/1000</f>
        <v>30.44</v>
      </c>
      <c r="N191" s="435">
        <f t="shared" si="182"/>
        <v>0.61699999999999999</v>
      </c>
      <c r="O191" s="434">
        <f>M191*N191</f>
        <v>18.781480000000002</v>
      </c>
      <c r="P191" s="510"/>
      <c r="S191" s="444"/>
    </row>
    <row r="192" spans="1:19" s="443" customFormat="1" ht="25.15" customHeight="1">
      <c r="A192" s="877"/>
      <c r="B192" s="401">
        <v>3</v>
      </c>
      <c r="C192" s="405">
        <v>60</v>
      </c>
      <c r="D192" s="406">
        <v>150</v>
      </c>
      <c r="E192" s="401">
        <v>60</v>
      </c>
      <c r="F192" s="431">
        <v>6</v>
      </c>
      <c r="G192" s="432">
        <f>C192+D192+E192</f>
        <v>270</v>
      </c>
      <c r="H192" s="433"/>
      <c r="I192" s="433"/>
      <c r="J192" s="433">
        <f t="shared" ref="J192:J193" si="184">+I192*H192+G192</f>
        <v>270</v>
      </c>
      <c r="K192" s="433">
        <f>+ROUND(D189/600,0)+1</f>
        <v>7</v>
      </c>
      <c r="L192" s="597">
        <v>1</v>
      </c>
      <c r="M192" s="435">
        <f t="shared" si="183"/>
        <v>1.89</v>
      </c>
      <c r="N192" s="435">
        <f t="shared" si="182"/>
        <v>0.222</v>
      </c>
      <c r="O192" s="434">
        <f t="shared" ref="O192:O193" si="185">M192*N192</f>
        <v>0.41958000000000001</v>
      </c>
      <c r="P192" s="510"/>
    </row>
    <row r="193" spans="1:16" s="443" customFormat="1" ht="25.15" customHeight="1">
      <c r="A193" s="877"/>
      <c r="B193" s="411">
        <v>4</v>
      </c>
      <c r="C193" s="405">
        <v>150</v>
      </c>
      <c r="D193" s="406">
        <v>300</v>
      </c>
      <c r="E193" s="401"/>
      <c r="F193" s="431">
        <v>10</v>
      </c>
      <c r="G193" s="432">
        <f>C193+D193+E193</f>
        <v>450</v>
      </c>
      <c r="H193" s="433"/>
      <c r="I193" s="433"/>
      <c r="J193" s="433">
        <f t="shared" si="184"/>
        <v>450</v>
      </c>
      <c r="K193" s="433">
        <f>+K192</f>
        <v>7</v>
      </c>
      <c r="L193" s="433">
        <v>1</v>
      </c>
      <c r="M193" s="435">
        <f t="shared" si="183"/>
        <v>3.15</v>
      </c>
      <c r="N193" s="435">
        <f t="shared" si="182"/>
        <v>0.61699999999999999</v>
      </c>
      <c r="O193" s="434">
        <f t="shared" si="185"/>
        <v>1.9435499999999999</v>
      </c>
      <c r="P193" s="510" t="s">
        <v>347</v>
      </c>
    </row>
    <row r="194" spans="1:16" s="442" customFormat="1" ht="25.15" customHeight="1">
      <c r="A194" s="840" t="s">
        <v>270</v>
      </c>
      <c r="B194" s="841"/>
      <c r="C194" s="841"/>
      <c r="D194" s="841"/>
      <c r="E194" s="841"/>
      <c r="F194" s="841"/>
      <c r="G194" s="841"/>
      <c r="H194" s="841"/>
      <c r="I194" s="841"/>
      <c r="J194" s="841"/>
      <c r="K194" s="841"/>
      <c r="L194" s="841"/>
      <c r="M194" s="841"/>
      <c r="N194" s="842"/>
      <c r="O194" s="436">
        <f>SUM(O8:O193)</f>
        <v>7960.7300619999978</v>
      </c>
      <c r="P194" s="408"/>
    </row>
    <row r="195" spans="1:16" s="442" customFormat="1" ht="25.15" customHeight="1">
      <c r="A195" s="873" t="s">
        <v>564</v>
      </c>
      <c r="B195" s="874"/>
      <c r="C195" s="874"/>
      <c r="D195" s="874"/>
      <c r="E195" s="874"/>
      <c r="F195" s="874"/>
      <c r="G195" s="874"/>
      <c r="H195" s="874"/>
      <c r="I195" s="874"/>
      <c r="J195" s="874"/>
      <c r="K195" s="874"/>
      <c r="L195" s="874"/>
      <c r="M195" s="874"/>
      <c r="N195" s="875"/>
      <c r="O195" s="461">
        <f>SUMIF(B9:B193,"4",O9:O193)</f>
        <v>202.96214999999995</v>
      </c>
      <c r="P195" s="464"/>
    </row>
    <row r="196" spans="1:16" s="442" customFormat="1" ht="25.15" customHeight="1">
      <c r="A196" s="876" t="s">
        <v>626</v>
      </c>
      <c r="B196" s="876"/>
      <c r="C196" s="876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  <c r="O196" s="445">
        <f>O194-O195</f>
        <v>7757.7679119999975</v>
      </c>
      <c r="P196" s="465"/>
    </row>
    <row r="197" spans="1:16" s="430" customFormat="1" ht="15.75">
      <c r="A197" s="413"/>
      <c r="B197" s="413"/>
      <c r="C197" s="413"/>
      <c r="D197" s="414"/>
      <c r="E197" s="414"/>
      <c r="F197" s="710"/>
      <c r="G197" s="413"/>
      <c r="H197" s="413"/>
      <c r="I197" s="413"/>
      <c r="J197" s="413"/>
      <c r="K197" s="415"/>
      <c r="L197" s="415"/>
      <c r="M197" s="527"/>
      <c r="N197" s="416"/>
      <c r="O197" s="416"/>
      <c r="P197" s="511"/>
    </row>
    <row r="198" spans="1:16" s="448" customFormat="1" ht="20.25" customHeight="1">
      <c r="A198" s="446"/>
      <c r="B198" s="843" t="s">
        <v>85</v>
      </c>
      <c r="C198" s="843"/>
      <c r="D198" s="843"/>
      <c r="E198" s="447"/>
      <c r="F198" s="711"/>
      <c r="G198" s="447"/>
      <c r="H198" s="449"/>
      <c r="L198" s="340"/>
      <c r="M198" s="531"/>
      <c r="N198" s="843" t="s">
        <v>82</v>
      </c>
      <c r="O198" s="843"/>
      <c r="P198" s="843"/>
    </row>
    <row r="199" spans="1:16" s="450" customFormat="1" ht="25.15" customHeight="1">
      <c r="A199" s="413"/>
      <c r="B199" s="413"/>
      <c r="C199" s="413"/>
      <c r="D199" s="414"/>
      <c r="E199" s="414"/>
      <c r="F199" s="710"/>
      <c r="G199" s="413"/>
      <c r="H199" s="413"/>
      <c r="I199" s="413"/>
      <c r="J199" s="413"/>
      <c r="K199" s="415"/>
      <c r="L199" s="415"/>
      <c r="M199" s="527"/>
      <c r="N199" s="417"/>
      <c r="O199" s="418"/>
      <c r="P199" s="512"/>
    </row>
    <row r="200" spans="1:16" s="450" customFormat="1" ht="22.9" customHeight="1">
      <c r="A200" s="413"/>
      <c r="B200" s="413"/>
      <c r="C200" s="413"/>
      <c r="D200" s="414"/>
      <c r="E200" s="414"/>
      <c r="F200" s="710"/>
      <c r="G200" s="413"/>
      <c r="H200" s="413"/>
      <c r="I200" s="413"/>
      <c r="J200" s="413"/>
      <c r="K200" s="415"/>
      <c r="L200" s="415"/>
      <c r="M200" s="527"/>
      <c r="N200" s="417"/>
      <c r="O200" s="418"/>
      <c r="P200" s="512"/>
    </row>
    <row r="201" spans="1:16" s="450" customFormat="1" ht="22.9" customHeight="1">
      <c r="A201" s="413"/>
      <c r="B201" s="413"/>
      <c r="C201" s="413"/>
      <c r="D201" s="414"/>
      <c r="E201" s="414"/>
      <c r="F201" s="712">
        <v>6</v>
      </c>
      <c r="G201" s="642" t="s">
        <v>107</v>
      </c>
      <c r="H201" s="642">
        <f>+SUMIF($F$8:$F$193,F201,$O$8:$O$193)</f>
        <v>78.341580000000008</v>
      </c>
      <c r="I201" s="413"/>
      <c r="J201" s="413"/>
      <c r="K201" s="415"/>
      <c r="L201" s="415"/>
      <c r="M201" s="527"/>
      <c r="N201" s="417"/>
      <c r="O201" s="418"/>
      <c r="P201" s="512"/>
    </row>
    <row r="202" spans="1:16" s="450" customFormat="1" ht="22.9" customHeight="1">
      <c r="A202" s="413"/>
      <c r="B202" s="413"/>
      <c r="C202" s="413"/>
      <c r="D202" s="414"/>
      <c r="E202" s="414"/>
      <c r="F202" s="712">
        <v>8</v>
      </c>
      <c r="G202" s="642" t="s">
        <v>107</v>
      </c>
      <c r="H202" s="642">
        <f t="shared" ref="H202:H204" si="186">+SUMIF($F$8:$F$193,F202,$O$8:$O$193)</f>
        <v>0</v>
      </c>
      <c r="I202" s="413"/>
      <c r="J202" s="413"/>
      <c r="K202" s="415"/>
      <c r="L202" s="415"/>
      <c r="M202" s="527"/>
      <c r="N202" s="417"/>
      <c r="O202" s="418"/>
      <c r="P202" s="512"/>
    </row>
    <row r="203" spans="1:16" s="450" customFormat="1" ht="22.9" customHeight="1">
      <c r="A203" s="413"/>
      <c r="B203" s="413"/>
      <c r="C203" s="413"/>
      <c r="D203" s="414"/>
      <c r="E203" s="414"/>
      <c r="F203" s="712">
        <v>10</v>
      </c>
      <c r="G203" s="642" t="s">
        <v>107</v>
      </c>
      <c r="H203" s="642">
        <f t="shared" si="186"/>
        <v>7882.3884819999976</v>
      </c>
      <c r="I203" s="413"/>
      <c r="J203" s="413"/>
      <c r="K203" s="415"/>
      <c r="L203" s="415"/>
      <c r="M203" s="527"/>
      <c r="N203" s="417"/>
      <c r="O203" s="418"/>
      <c r="P203" s="512"/>
    </row>
    <row r="204" spans="1:16" ht="22.9" customHeight="1">
      <c r="F204" s="713">
        <v>12</v>
      </c>
      <c r="G204" s="642" t="s">
        <v>107</v>
      </c>
      <c r="H204" s="642">
        <f t="shared" si="186"/>
        <v>0</v>
      </c>
    </row>
  </sheetData>
  <mergeCells count="58">
    <mergeCell ref="B198:D198"/>
    <mergeCell ref="N198:P198"/>
    <mergeCell ref="A194:N194"/>
    <mergeCell ref="A195:N195"/>
    <mergeCell ref="A196:N196"/>
    <mergeCell ref="A8:A12"/>
    <mergeCell ref="C7:E7"/>
    <mergeCell ref="M5:M6"/>
    <mergeCell ref="N5:N6"/>
    <mergeCell ref="O5:O6"/>
    <mergeCell ref="K5:K6"/>
    <mergeCell ref="L5:L6"/>
    <mergeCell ref="A1:P1"/>
    <mergeCell ref="A2:P2"/>
    <mergeCell ref="A3:P3"/>
    <mergeCell ref="A5:A6"/>
    <mergeCell ref="B5:B6"/>
    <mergeCell ref="C5:E6"/>
    <mergeCell ref="F5:F6"/>
    <mergeCell ref="G5:G6"/>
    <mergeCell ref="H5:H6"/>
    <mergeCell ref="I5:I6"/>
    <mergeCell ref="P5:P6"/>
    <mergeCell ref="J5:J6"/>
    <mergeCell ref="A13:A17"/>
    <mergeCell ref="A18:A22"/>
    <mergeCell ref="A23:A27"/>
    <mergeCell ref="A28:A32"/>
    <mergeCell ref="A33:A37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94:A98"/>
    <mergeCell ref="A150:A157"/>
    <mergeCell ref="A85:A92"/>
    <mergeCell ref="A159:A163"/>
    <mergeCell ref="A124:A128"/>
    <mergeCell ref="A129:A133"/>
    <mergeCell ref="A134:A138"/>
    <mergeCell ref="A139:A143"/>
    <mergeCell ref="A144:A148"/>
    <mergeCell ref="A99:A103"/>
    <mergeCell ref="A104:A108"/>
    <mergeCell ref="A109:A113"/>
    <mergeCell ref="A114:A118"/>
    <mergeCell ref="A119:A123"/>
    <mergeCell ref="A189:A193"/>
    <mergeCell ref="A164:A168"/>
    <mergeCell ref="A169:A173"/>
    <mergeCell ref="A174:A178"/>
    <mergeCell ref="A179:A183"/>
    <mergeCell ref="A184:A188"/>
  </mergeCells>
  <printOptions horizontalCentered="1"/>
  <pageMargins left="0.47244094488188981" right="0.15748031496062992" top="0.39370078740157483" bottom="0.39370078740157483" header="0.27559055118110237" footer="0.19685039370078741"/>
  <pageSetup paperSize="9" scale="83" fitToHeight="0" orientation="landscape" r:id="rId1"/>
  <headerFooter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9C0D-E121-4F1C-81FA-E223EAAC2843}">
  <sheetPr codeName="Sheet13">
    <pageSetUpPr fitToPage="1"/>
  </sheetPr>
  <dimension ref="A1:Z256"/>
  <sheetViews>
    <sheetView view="pageBreakPreview" topLeftCell="A235" zoomScale="70" zoomScaleNormal="80" zoomScaleSheetLayoutView="70" workbookViewId="0">
      <selection activeCell="G121" sqref="G121"/>
    </sheetView>
  </sheetViews>
  <sheetFormatPr defaultColWidth="9" defaultRowHeight="14.25" outlineLevelRow="1"/>
  <cols>
    <col min="1" max="1" width="20.125" style="451" customWidth="1"/>
    <col min="2" max="2" width="5.5" style="451" customWidth="1"/>
    <col min="3" max="3" width="4.125" style="451" customWidth="1"/>
    <col min="4" max="4" width="13.125" style="610" customWidth="1"/>
    <col min="5" max="5" width="5" style="452" customWidth="1"/>
    <col min="6" max="6" width="6.125" style="452" customWidth="1"/>
    <col min="7" max="10" width="10" style="451" customWidth="1"/>
    <col min="11" max="11" width="7.875" style="453" customWidth="1"/>
    <col min="12" max="12" width="9" style="453" customWidth="1"/>
    <col min="13" max="13" width="9.25" style="532" customWidth="1"/>
    <col min="14" max="14" width="9.375" style="455" customWidth="1"/>
    <col min="15" max="15" width="11.875" style="530" bestFit="1" customWidth="1"/>
    <col min="16" max="16" width="28.5" style="457" customWidth="1"/>
    <col min="17" max="17" width="10.625" style="458" customWidth="1"/>
    <col min="18" max="18" width="13.25" style="458" customWidth="1"/>
    <col min="19" max="22" width="9" style="458"/>
    <col min="23" max="23" width="11.25" style="458" bestFit="1" customWidth="1"/>
    <col min="24" max="26" width="11.75" style="458" bestFit="1" customWidth="1"/>
    <col min="27" max="16384" width="9" style="458"/>
  </cols>
  <sheetData>
    <row r="1" spans="1:26" s="429" customFormat="1" ht="26.25" customHeight="1" outlineLevel="1">
      <c r="A1" s="844" t="s">
        <v>739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 outlineLevel="1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 outlineLevel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 outlineLevel="1">
      <c r="A4" s="400"/>
      <c r="B4" s="400"/>
      <c r="C4" s="400"/>
      <c r="D4" s="607"/>
      <c r="E4" s="400"/>
      <c r="F4" s="400"/>
      <c r="G4" s="491"/>
      <c r="H4" s="491"/>
      <c r="I4" s="491"/>
      <c r="J4" s="491"/>
      <c r="K4" s="491"/>
      <c r="L4" s="491"/>
      <c r="M4" s="524"/>
      <c r="N4" s="400"/>
      <c r="O4" s="524"/>
      <c r="P4" s="515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78" t="s">
        <v>323</v>
      </c>
      <c r="I5" s="878" t="s">
        <v>113</v>
      </c>
      <c r="J5" s="857" t="s">
        <v>492</v>
      </c>
      <c r="K5" s="859" t="s">
        <v>344</v>
      </c>
      <c r="L5" s="860" t="s">
        <v>345</v>
      </c>
      <c r="M5" s="865" t="s">
        <v>114</v>
      </c>
      <c r="N5" s="861" t="s">
        <v>115</v>
      </c>
      <c r="O5" s="865" t="s">
        <v>320</v>
      </c>
      <c r="P5" s="861" t="s">
        <v>2</v>
      </c>
      <c r="R5" s="640">
        <v>6</v>
      </c>
      <c r="S5" s="640">
        <v>8</v>
      </c>
      <c r="T5" s="640">
        <v>10</v>
      </c>
      <c r="U5" s="640">
        <v>12</v>
      </c>
      <c r="V5" s="640">
        <v>14</v>
      </c>
      <c r="W5" s="640">
        <v>16</v>
      </c>
      <c r="X5" s="640">
        <v>18</v>
      </c>
      <c r="Y5" s="640">
        <v>20</v>
      </c>
      <c r="Z5" s="64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79"/>
      <c r="I6" s="879"/>
      <c r="J6" s="858"/>
      <c r="K6" s="859"/>
      <c r="L6" s="860"/>
      <c r="M6" s="866"/>
      <c r="N6" s="862"/>
      <c r="O6" s="866"/>
      <c r="P6" s="862"/>
      <c r="R6" s="640">
        <v>0.222</v>
      </c>
      <c r="S6" s="640">
        <v>0.39500000000000002</v>
      </c>
      <c r="T6" s="640">
        <v>0.61699999999999999</v>
      </c>
      <c r="U6" s="640">
        <v>0.88800000000000001</v>
      </c>
      <c r="V6" s="640">
        <v>1.21</v>
      </c>
      <c r="W6" s="640">
        <v>1.58</v>
      </c>
      <c r="X6" s="640">
        <v>2</v>
      </c>
      <c r="Y6" s="640">
        <v>2.4700000000000002</v>
      </c>
      <c r="Z6" s="64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/>
      <c r="I7" s="508"/>
      <c r="J7" s="508"/>
      <c r="K7" s="508" t="s">
        <v>28</v>
      </c>
      <c r="L7" s="508" t="s">
        <v>29</v>
      </c>
      <c r="M7" s="525" t="s">
        <v>30</v>
      </c>
      <c r="N7" s="505" t="s">
        <v>31</v>
      </c>
      <c r="O7" s="525" t="s">
        <v>326</v>
      </c>
      <c r="P7" s="506" t="s">
        <v>342</v>
      </c>
    </row>
    <row r="8" spans="1:26" s="519" customFormat="1" ht="22.15" customHeight="1">
      <c r="A8" s="649" t="s">
        <v>621</v>
      </c>
      <c r="B8" s="650"/>
      <c r="C8" s="651"/>
      <c r="D8" s="652"/>
      <c r="E8" s="653"/>
      <c r="F8" s="654"/>
      <c r="G8" s="654"/>
      <c r="H8" s="654"/>
      <c r="I8" s="654"/>
      <c r="J8" s="654"/>
      <c r="K8" s="654"/>
      <c r="L8" s="654"/>
      <c r="M8" s="655"/>
      <c r="N8" s="654"/>
      <c r="O8" s="655"/>
      <c r="P8" s="656"/>
    </row>
    <row r="9" spans="1:26" s="519" customFormat="1" ht="22.15" customHeight="1">
      <c r="A9" s="636" t="s">
        <v>622</v>
      </c>
      <c r="B9" s="631"/>
      <c r="C9" s="632"/>
      <c r="D9" s="633"/>
      <c r="E9" s="634"/>
      <c r="F9" s="637"/>
      <c r="G9" s="637"/>
      <c r="H9" s="637"/>
      <c r="I9" s="637"/>
      <c r="J9" s="637"/>
      <c r="K9" s="637"/>
      <c r="L9" s="637"/>
      <c r="M9" s="638"/>
      <c r="N9" s="637"/>
      <c r="O9" s="639"/>
      <c r="P9" s="635"/>
    </row>
    <row r="10" spans="1:26" s="443" customFormat="1" ht="31.5" customHeight="1">
      <c r="A10" s="834" t="s">
        <v>585</v>
      </c>
      <c r="B10" s="401">
        <v>1</v>
      </c>
      <c r="C10" s="405"/>
      <c r="D10" s="608">
        <v>87901</v>
      </c>
      <c r="E10" s="459"/>
      <c r="F10" s="420">
        <v>10</v>
      </c>
      <c r="G10" s="432">
        <f>C10+D10+E10</f>
        <v>87901</v>
      </c>
      <c r="H10" s="611">
        <v>0</v>
      </c>
      <c r="I10" s="433">
        <f>45*F10</f>
        <v>450</v>
      </c>
      <c r="J10" s="433">
        <f>+I10*H10+G10</f>
        <v>87901</v>
      </c>
      <c r="K10" s="433">
        <v>1</v>
      </c>
      <c r="L10" s="433">
        <v>1</v>
      </c>
      <c r="M10" s="435">
        <f>J10*K10*L10/1000</f>
        <v>87.900999999999996</v>
      </c>
      <c r="N10" s="435">
        <f>_xlfn.XLOOKUP(F10,$R$5:$Z$5,$R$6:$Z$6,"NOT_FOUND",0)</f>
        <v>0.61699999999999999</v>
      </c>
      <c r="O10" s="460">
        <f>M10*N10</f>
        <v>54.234916999999996</v>
      </c>
      <c r="P10" s="412" t="s">
        <v>349</v>
      </c>
      <c r="R10" s="643">
        <f>359561/92+500</f>
        <v>4408.271739130435</v>
      </c>
      <c r="S10" s="443">
        <v>92</v>
      </c>
      <c r="T10" s="443">
        <v>0.61699999999999999</v>
      </c>
      <c r="U10" s="443">
        <f>+R10*S10*T10/1000</f>
        <v>250.23113699999999</v>
      </c>
    </row>
    <row r="11" spans="1:26" s="443" customFormat="1" ht="31.5" customHeight="1">
      <c r="A11" s="835"/>
      <c r="B11" s="401">
        <v>2</v>
      </c>
      <c r="C11" s="405"/>
      <c r="D11" s="608">
        <v>52321</v>
      </c>
      <c r="E11" s="459"/>
      <c r="F11" s="420">
        <v>10</v>
      </c>
      <c r="G11" s="432">
        <f t="shared" ref="G11:G23" si="0">C11+D11+E11</f>
        <v>52321</v>
      </c>
      <c r="H11" s="611"/>
      <c r="I11" s="433">
        <f t="shared" ref="I11:I16" si="1">45*F11</f>
        <v>450</v>
      </c>
      <c r="J11" s="433">
        <f t="shared" ref="J11:J16" si="2">+I11*H11+G11</f>
        <v>52321</v>
      </c>
      <c r="K11" s="421">
        <v>1</v>
      </c>
      <c r="L11" s="421">
        <v>1</v>
      </c>
      <c r="M11" s="435">
        <f t="shared" ref="M11:M16" si="3">J11*K11*L11/1000</f>
        <v>52.320999999999998</v>
      </c>
      <c r="N11" s="435">
        <f t="shared" ref="N11:N16" si="4">_xlfn.XLOOKUP(F11,$R$5:$Z$5,$R$6:$Z$6,"NOT_FOUND",0)</f>
        <v>0.61699999999999999</v>
      </c>
      <c r="O11" s="460">
        <f t="shared" ref="O11:O16" si="5">M11*N11</f>
        <v>32.282057000000002</v>
      </c>
      <c r="P11" s="518"/>
    </row>
    <row r="12" spans="1:26" s="443" customFormat="1" ht="31.5" customHeight="1">
      <c r="A12" s="835"/>
      <c r="B12" s="401">
        <v>3</v>
      </c>
      <c r="C12" s="405"/>
      <c r="D12" s="608">
        <v>52320</v>
      </c>
      <c r="E12" s="459"/>
      <c r="F12" s="420">
        <v>10</v>
      </c>
      <c r="G12" s="432">
        <f t="shared" si="0"/>
        <v>52320</v>
      </c>
      <c r="H12" s="611"/>
      <c r="I12" s="433">
        <f t="shared" si="1"/>
        <v>450</v>
      </c>
      <c r="J12" s="433">
        <f t="shared" si="2"/>
        <v>52320</v>
      </c>
      <c r="K12" s="421">
        <v>1</v>
      </c>
      <c r="L12" s="421">
        <v>1</v>
      </c>
      <c r="M12" s="435">
        <f t="shared" si="3"/>
        <v>52.32</v>
      </c>
      <c r="N12" s="435">
        <f t="shared" si="4"/>
        <v>0.61699999999999999</v>
      </c>
      <c r="O12" s="460">
        <f t="shared" si="5"/>
        <v>32.281439999999996</v>
      </c>
      <c r="P12" s="518"/>
    </row>
    <row r="13" spans="1:26" s="443" customFormat="1" ht="31.5" customHeight="1">
      <c r="A13" s="835"/>
      <c r="B13" s="401">
        <v>4</v>
      </c>
      <c r="C13" s="405"/>
      <c r="D13" s="608">
        <v>52320</v>
      </c>
      <c r="E13" s="459"/>
      <c r="F13" s="420">
        <v>10</v>
      </c>
      <c r="G13" s="432">
        <f t="shared" si="0"/>
        <v>52320</v>
      </c>
      <c r="H13" s="611"/>
      <c r="I13" s="433">
        <f t="shared" si="1"/>
        <v>450</v>
      </c>
      <c r="J13" s="433">
        <f t="shared" si="2"/>
        <v>52320</v>
      </c>
      <c r="K13" s="421">
        <v>1</v>
      </c>
      <c r="L13" s="421">
        <v>1</v>
      </c>
      <c r="M13" s="435">
        <f t="shared" si="3"/>
        <v>52.32</v>
      </c>
      <c r="N13" s="435">
        <f t="shared" si="4"/>
        <v>0.61699999999999999</v>
      </c>
      <c r="O13" s="460">
        <f t="shared" si="5"/>
        <v>32.281439999999996</v>
      </c>
      <c r="P13" s="518"/>
    </row>
    <row r="14" spans="1:26" s="443" customFormat="1" ht="31.5" customHeight="1">
      <c r="A14" s="835"/>
      <c r="B14" s="401">
        <v>5</v>
      </c>
      <c r="C14" s="405"/>
      <c r="D14" s="608">
        <v>47960</v>
      </c>
      <c r="E14" s="459"/>
      <c r="F14" s="420">
        <v>10</v>
      </c>
      <c r="G14" s="432">
        <f t="shared" si="0"/>
        <v>47960</v>
      </c>
      <c r="H14" s="611"/>
      <c r="I14" s="433">
        <f t="shared" si="1"/>
        <v>450</v>
      </c>
      <c r="J14" s="433">
        <f t="shared" si="2"/>
        <v>47960</v>
      </c>
      <c r="K14" s="421">
        <v>1</v>
      </c>
      <c r="L14" s="421">
        <v>1</v>
      </c>
      <c r="M14" s="435">
        <f t="shared" si="3"/>
        <v>47.96</v>
      </c>
      <c r="N14" s="435">
        <f t="shared" si="4"/>
        <v>0.61699999999999999</v>
      </c>
      <c r="O14" s="460">
        <f t="shared" si="5"/>
        <v>29.59132</v>
      </c>
      <c r="P14" s="518"/>
    </row>
    <row r="15" spans="1:26" s="443" customFormat="1" ht="31.5" customHeight="1">
      <c r="A15" s="835"/>
      <c r="B15" s="401">
        <v>6</v>
      </c>
      <c r="C15" s="405"/>
      <c r="D15" s="608">
        <v>50368</v>
      </c>
      <c r="E15" s="459"/>
      <c r="F15" s="420">
        <v>10</v>
      </c>
      <c r="G15" s="432">
        <f t="shared" si="0"/>
        <v>50368</v>
      </c>
      <c r="H15" s="611"/>
      <c r="I15" s="433">
        <f t="shared" si="1"/>
        <v>450</v>
      </c>
      <c r="J15" s="433">
        <f t="shared" si="2"/>
        <v>50368</v>
      </c>
      <c r="K15" s="421">
        <v>1</v>
      </c>
      <c r="L15" s="421">
        <v>1</v>
      </c>
      <c r="M15" s="435">
        <f t="shared" si="3"/>
        <v>50.368000000000002</v>
      </c>
      <c r="N15" s="435">
        <f t="shared" si="4"/>
        <v>0.61699999999999999</v>
      </c>
      <c r="O15" s="460">
        <f t="shared" ref="O15" si="6">M15*N15</f>
        <v>31.077056000000002</v>
      </c>
      <c r="P15" s="518"/>
    </row>
    <row r="16" spans="1:26" s="443" customFormat="1" ht="31.5" customHeight="1">
      <c r="A16" s="835"/>
      <c r="B16" s="401">
        <v>7</v>
      </c>
      <c r="C16" s="405"/>
      <c r="D16" s="608">
        <v>66697</v>
      </c>
      <c r="E16" s="459"/>
      <c r="F16" s="420">
        <v>10</v>
      </c>
      <c r="G16" s="432">
        <f t="shared" si="0"/>
        <v>66697</v>
      </c>
      <c r="H16" s="611"/>
      <c r="I16" s="433">
        <f t="shared" si="1"/>
        <v>450</v>
      </c>
      <c r="J16" s="433">
        <f t="shared" si="2"/>
        <v>66697</v>
      </c>
      <c r="K16" s="421">
        <v>1</v>
      </c>
      <c r="L16" s="421">
        <v>1</v>
      </c>
      <c r="M16" s="435">
        <f t="shared" si="3"/>
        <v>66.697000000000003</v>
      </c>
      <c r="N16" s="435">
        <f t="shared" si="4"/>
        <v>0.61699999999999999</v>
      </c>
      <c r="O16" s="460">
        <f t="shared" si="5"/>
        <v>41.152048999999998</v>
      </c>
      <c r="P16" s="518"/>
    </row>
    <row r="17" spans="1:16" s="443" customFormat="1" ht="31.5" customHeight="1">
      <c r="A17" s="834" t="s">
        <v>586</v>
      </c>
      <c r="B17" s="401">
        <v>9</v>
      </c>
      <c r="C17" s="405"/>
      <c r="D17" s="608">
        <v>90712</v>
      </c>
      <c r="E17" s="459"/>
      <c r="F17" s="420">
        <v>10</v>
      </c>
      <c r="G17" s="432">
        <f t="shared" si="0"/>
        <v>90712</v>
      </c>
      <c r="H17" s="611"/>
      <c r="I17" s="433">
        <f>45*F17</f>
        <v>450</v>
      </c>
      <c r="J17" s="433">
        <f>+I17*H17+G17</f>
        <v>90712</v>
      </c>
      <c r="K17" s="433">
        <v>1</v>
      </c>
      <c r="L17" s="433">
        <v>1</v>
      </c>
      <c r="M17" s="435">
        <f>J17*K17*L17/1000</f>
        <v>90.712000000000003</v>
      </c>
      <c r="N17" s="435">
        <f>_xlfn.XLOOKUP(F17,$R$5:$Z$5,$R$6:$Z$6,"NOT_FOUND",0)</f>
        <v>0.61699999999999999</v>
      </c>
      <c r="O17" s="460">
        <f>M17*N17</f>
        <v>55.969304000000001</v>
      </c>
      <c r="P17" s="412" t="s">
        <v>349</v>
      </c>
    </row>
    <row r="18" spans="1:16" s="443" customFormat="1" ht="31.5" customHeight="1">
      <c r="A18" s="835"/>
      <c r="B18" s="401">
        <v>10</v>
      </c>
      <c r="C18" s="405"/>
      <c r="D18" s="608">
        <v>55975</v>
      </c>
      <c r="E18" s="459"/>
      <c r="F18" s="420">
        <v>10</v>
      </c>
      <c r="G18" s="432">
        <f t="shared" si="0"/>
        <v>55975</v>
      </c>
      <c r="H18" s="611"/>
      <c r="I18" s="433">
        <f t="shared" ref="I18:I23" si="7">45*F18</f>
        <v>450</v>
      </c>
      <c r="J18" s="433">
        <f t="shared" ref="J18:J23" si="8">+I18*H18+G18</f>
        <v>55975</v>
      </c>
      <c r="K18" s="433">
        <v>1</v>
      </c>
      <c r="L18" s="421">
        <v>1</v>
      </c>
      <c r="M18" s="435">
        <f t="shared" ref="M18:M23" si="9">J18*K18*L18/1000</f>
        <v>55.975000000000001</v>
      </c>
      <c r="N18" s="435">
        <f t="shared" ref="N18:N23" si="10">_xlfn.XLOOKUP(F18,$R$5:$Z$5,$R$6:$Z$6,"NOT_FOUND",0)</f>
        <v>0.61699999999999999</v>
      </c>
      <c r="O18" s="460">
        <f t="shared" ref="O18:O23" si="11">M18*N18</f>
        <v>34.536574999999999</v>
      </c>
      <c r="P18" s="518"/>
    </row>
    <row r="19" spans="1:16" s="443" customFormat="1" ht="31.5" customHeight="1">
      <c r="A19" s="835"/>
      <c r="B19" s="401">
        <v>11</v>
      </c>
      <c r="C19" s="405"/>
      <c r="D19" s="608">
        <v>67367</v>
      </c>
      <c r="E19" s="459"/>
      <c r="F19" s="420">
        <v>10</v>
      </c>
      <c r="G19" s="432">
        <f t="shared" si="0"/>
        <v>67367</v>
      </c>
      <c r="H19" s="611"/>
      <c r="I19" s="433">
        <f t="shared" si="7"/>
        <v>450</v>
      </c>
      <c r="J19" s="433">
        <f t="shared" si="8"/>
        <v>67367</v>
      </c>
      <c r="K19" s="433">
        <v>1</v>
      </c>
      <c r="L19" s="421">
        <v>1</v>
      </c>
      <c r="M19" s="435">
        <f t="shared" si="9"/>
        <v>67.367000000000004</v>
      </c>
      <c r="N19" s="435">
        <f t="shared" si="10"/>
        <v>0.61699999999999999</v>
      </c>
      <c r="O19" s="460">
        <f t="shared" si="11"/>
        <v>41.565439000000005</v>
      </c>
      <c r="P19" s="518"/>
    </row>
    <row r="20" spans="1:16" s="443" customFormat="1" ht="31.5" customHeight="1">
      <c r="A20" s="835"/>
      <c r="B20" s="401">
        <v>12</v>
      </c>
      <c r="C20" s="405"/>
      <c r="D20" s="608">
        <v>78480</v>
      </c>
      <c r="E20" s="459"/>
      <c r="F20" s="420">
        <v>10</v>
      </c>
      <c r="G20" s="432">
        <f t="shared" si="0"/>
        <v>78480</v>
      </c>
      <c r="H20" s="611"/>
      <c r="I20" s="433">
        <f t="shared" si="7"/>
        <v>450</v>
      </c>
      <c r="J20" s="433">
        <f t="shared" si="8"/>
        <v>78480</v>
      </c>
      <c r="K20" s="433">
        <v>1</v>
      </c>
      <c r="L20" s="421">
        <v>1</v>
      </c>
      <c r="M20" s="435">
        <f t="shared" si="9"/>
        <v>78.48</v>
      </c>
      <c r="N20" s="435">
        <f t="shared" si="10"/>
        <v>0.61699999999999999</v>
      </c>
      <c r="O20" s="460">
        <f t="shared" si="11"/>
        <v>48.422160000000005</v>
      </c>
      <c r="P20" s="518"/>
    </row>
    <row r="21" spans="1:16" s="443" customFormat="1" ht="31.5" customHeight="1">
      <c r="A21" s="835"/>
      <c r="B21" s="401">
        <v>13</v>
      </c>
      <c r="C21" s="405"/>
      <c r="D21" s="608">
        <v>78480</v>
      </c>
      <c r="E21" s="459"/>
      <c r="F21" s="420">
        <v>10</v>
      </c>
      <c r="G21" s="432">
        <f t="shared" si="0"/>
        <v>78480</v>
      </c>
      <c r="H21" s="611"/>
      <c r="I21" s="433">
        <f t="shared" si="7"/>
        <v>450</v>
      </c>
      <c r="J21" s="433">
        <f t="shared" si="8"/>
        <v>78480</v>
      </c>
      <c r="K21" s="433">
        <v>1</v>
      </c>
      <c r="L21" s="421">
        <v>1</v>
      </c>
      <c r="M21" s="435">
        <f t="shared" si="9"/>
        <v>78.48</v>
      </c>
      <c r="N21" s="435">
        <f t="shared" si="10"/>
        <v>0.61699999999999999</v>
      </c>
      <c r="O21" s="460">
        <f t="shared" si="11"/>
        <v>48.422160000000005</v>
      </c>
      <c r="P21" s="518"/>
    </row>
    <row r="22" spans="1:16" s="443" customFormat="1" ht="31.5" customHeight="1">
      <c r="A22" s="835"/>
      <c r="B22" s="401">
        <v>14</v>
      </c>
      <c r="C22" s="405"/>
      <c r="D22" s="608">
        <v>78480</v>
      </c>
      <c r="E22" s="459"/>
      <c r="F22" s="420">
        <v>10</v>
      </c>
      <c r="G22" s="432">
        <f t="shared" si="0"/>
        <v>78480</v>
      </c>
      <c r="H22" s="611"/>
      <c r="I22" s="433">
        <f t="shared" si="7"/>
        <v>450</v>
      </c>
      <c r="J22" s="433">
        <f t="shared" si="8"/>
        <v>78480</v>
      </c>
      <c r="K22" s="433">
        <v>1</v>
      </c>
      <c r="L22" s="421">
        <v>1</v>
      </c>
      <c r="M22" s="435">
        <f t="shared" si="9"/>
        <v>78.48</v>
      </c>
      <c r="N22" s="435">
        <f t="shared" si="10"/>
        <v>0.61699999999999999</v>
      </c>
      <c r="O22" s="460">
        <f t="shared" si="11"/>
        <v>48.422160000000005</v>
      </c>
      <c r="P22" s="518"/>
    </row>
    <row r="23" spans="1:16" s="443" customFormat="1" ht="31.5" customHeight="1">
      <c r="A23" s="835"/>
      <c r="B23" s="401">
        <v>15</v>
      </c>
      <c r="C23" s="405"/>
      <c r="D23" s="608">
        <v>99232</v>
      </c>
      <c r="E23" s="459"/>
      <c r="F23" s="420">
        <v>10</v>
      </c>
      <c r="G23" s="432">
        <f t="shared" si="0"/>
        <v>99232</v>
      </c>
      <c r="H23" s="611"/>
      <c r="I23" s="433">
        <f t="shared" si="7"/>
        <v>450</v>
      </c>
      <c r="J23" s="433">
        <f t="shared" si="8"/>
        <v>99232</v>
      </c>
      <c r="K23" s="433">
        <v>1</v>
      </c>
      <c r="L23" s="421">
        <v>1</v>
      </c>
      <c r="M23" s="435">
        <f t="shared" si="9"/>
        <v>99.231999999999999</v>
      </c>
      <c r="N23" s="435">
        <f t="shared" si="10"/>
        <v>0.61699999999999999</v>
      </c>
      <c r="O23" s="460">
        <f t="shared" si="11"/>
        <v>61.226143999999998</v>
      </c>
      <c r="P23" s="518"/>
    </row>
    <row r="24" spans="1:16" s="443" customFormat="1" ht="31.5" customHeight="1">
      <c r="A24" s="834" t="s">
        <v>606</v>
      </c>
      <c r="B24" s="401">
        <v>16</v>
      </c>
      <c r="C24" s="405"/>
      <c r="D24" s="608">
        <v>47950</v>
      </c>
      <c r="E24" s="459"/>
      <c r="F24" s="420">
        <v>10</v>
      </c>
      <c r="G24" s="432">
        <f t="shared" ref="G24:G143" si="12">C24+D24+E24</f>
        <v>47950</v>
      </c>
      <c r="H24" s="611"/>
      <c r="I24" s="433">
        <f>45*F24</f>
        <v>450</v>
      </c>
      <c r="J24" s="433">
        <f>+I24*H24+G24</f>
        <v>47950</v>
      </c>
      <c r="K24" s="433">
        <v>1</v>
      </c>
      <c r="L24" s="433">
        <v>1</v>
      </c>
      <c r="M24" s="435">
        <f>J24*K24*L24/1000</f>
        <v>47.95</v>
      </c>
      <c r="N24" s="435">
        <f>_xlfn.XLOOKUP(F24,$R$5:$Z$5,$R$6:$Z$6,"NOT_FOUND",0)</f>
        <v>0.61699999999999999</v>
      </c>
      <c r="O24" s="460">
        <f>M24*N24</f>
        <v>29.585150000000002</v>
      </c>
      <c r="P24" s="412" t="s">
        <v>349</v>
      </c>
    </row>
    <row r="25" spans="1:16" s="443" customFormat="1" ht="31.5" customHeight="1">
      <c r="A25" s="835"/>
      <c r="B25" s="401">
        <v>17</v>
      </c>
      <c r="C25" s="405"/>
      <c r="D25" s="608">
        <v>61598</v>
      </c>
      <c r="E25" s="459"/>
      <c r="F25" s="420">
        <v>10</v>
      </c>
      <c r="G25" s="432">
        <f t="shared" si="12"/>
        <v>61598</v>
      </c>
      <c r="H25" s="611"/>
      <c r="I25" s="433">
        <f t="shared" ref="I25:I30" si="13">45*F25</f>
        <v>450</v>
      </c>
      <c r="J25" s="433">
        <f t="shared" ref="J25:J30" si="14">+I25*H25+G25</f>
        <v>61598</v>
      </c>
      <c r="K25" s="421">
        <v>1</v>
      </c>
      <c r="L25" s="421">
        <v>1</v>
      </c>
      <c r="M25" s="435">
        <f t="shared" ref="M25:M30" si="15">J25*K25*L25/1000</f>
        <v>61.597999999999999</v>
      </c>
      <c r="N25" s="435">
        <f t="shared" ref="N25:N30" si="16">_xlfn.XLOOKUP(F25,$R$5:$Z$5,$R$6:$Z$6,"NOT_FOUND",0)</f>
        <v>0.61699999999999999</v>
      </c>
      <c r="O25" s="460">
        <f t="shared" ref="O25:O30" si="17">M25*N25</f>
        <v>38.005966000000001</v>
      </c>
      <c r="P25" s="518"/>
    </row>
    <row r="26" spans="1:16" s="443" customFormat="1" ht="31.5" customHeight="1">
      <c r="A26" s="835"/>
      <c r="B26" s="401">
        <v>18</v>
      </c>
      <c r="C26" s="405"/>
      <c r="D26" s="608">
        <v>72650</v>
      </c>
      <c r="E26" s="459"/>
      <c r="F26" s="420">
        <v>10</v>
      </c>
      <c r="G26" s="432">
        <f t="shared" si="12"/>
        <v>72650</v>
      </c>
      <c r="H26" s="611"/>
      <c r="I26" s="433">
        <f t="shared" si="13"/>
        <v>450</v>
      </c>
      <c r="J26" s="433">
        <f t="shared" si="14"/>
        <v>72650</v>
      </c>
      <c r="K26" s="421">
        <v>1</v>
      </c>
      <c r="L26" s="421">
        <v>1</v>
      </c>
      <c r="M26" s="435">
        <f t="shared" si="15"/>
        <v>72.650000000000006</v>
      </c>
      <c r="N26" s="435">
        <f t="shared" si="16"/>
        <v>0.61699999999999999</v>
      </c>
      <c r="O26" s="460">
        <f t="shared" si="17"/>
        <v>44.825050000000005</v>
      </c>
      <c r="P26" s="518"/>
    </row>
    <row r="27" spans="1:16" s="443" customFormat="1" ht="31.5" customHeight="1">
      <c r="A27" s="835"/>
      <c r="B27" s="401">
        <v>19</v>
      </c>
      <c r="C27" s="405"/>
      <c r="D27" s="608">
        <v>61270</v>
      </c>
      <c r="E27" s="459"/>
      <c r="F27" s="420">
        <v>10</v>
      </c>
      <c r="G27" s="432">
        <f t="shared" si="12"/>
        <v>61270</v>
      </c>
      <c r="H27" s="611"/>
      <c r="I27" s="433">
        <f t="shared" si="13"/>
        <v>450</v>
      </c>
      <c r="J27" s="433">
        <f t="shared" si="14"/>
        <v>61270</v>
      </c>
      <c r="K27" s="421">
        <v>1</v>
      </c>
      <c r="L27" s="421">
        <v>1</v>
      </c>
      <c r="M27" s="435">
        <f t="shared" si="15"/>
        <v>61.27</v>
      </c>
      <c r="N27" s="435">
        <f t="shared" si="16"/>
        <v>0.61699999999999999</v>
      </c>
      <c r="O27" s="460">
        <f t="shared" si="17"/>
        <v>37.80359</v>
      </c>
      <c r="P27" s="518"/>
    </row>
    <row r="28" spans="1:16" s="443" customFormat="1" ht="31.5" customHeight="1">
      <c r="A28" s="835"/>
      <c r="B28" s="401">
        <v>20</v>
      </c>
      <c r="C28" s="405"/>
      <c r="D28" s="608">
        <v>57398</v>
      </c>
      <c r="E28" s="459"/>
      <c r="F28" s="420">
        <v>10</v>
      </c>
      <c r="G28" s="432">
        <f t="shared" si="12"/>
        <v>57398</v>
      </c>
      <c r="H28" s="611"/>
      <c r="I28" s="433">
        <f t="shared" si="13"/>
        <v>450</v>
      </c>
      <c r="J28" s="433">
        <f t="shared" si="14"/>
        <v>57398</v>
      </c>
      <c r="K28" s="421">
        <v>1</v>
      </c>
      <c r="L28" s="421">
        <v>1</v>
      </c>
      <c r="M28" s="435">
        <f t="shared" si="15"/>
        <v>57.398000000000003</v>
      </c>
      <c r="N28" s="435">
        <f t="shared" si="16"/>
        <v>0.61699999999999999</v>
      </c>
      <c r="O28" s="460">
        <f t="shared" si="17"/>
        <v>35.414566000000001</v>
      </c>
      <c r="P28" s="518"/>
    </row>
    <row r="29" spans="1:16" s="443" customFormat="1" ht="31.5" customHeight="1">
      <c r="A29" s="835"/>
      <c r="B29" s="401">
        <v>21</v>
      </c>
      <c r="C29" s="405"/>
      <c r="D29" s="608">
        <v>94688</v>
      </c>
      <c r="E29" s="459"/>
      <c r="F29" s="420">
        <v>10</v>
      </c>
      <c r="G29" s="432">
        <f t="shared" ref="G29" si="18">C29+D29+E29</f>
        <v>94688</v>
      </c>
      <c r="H29" s="611">
        <v>7</v>
      </c>
      <c r="I29" s="433">
        <f t="shared" ref="I29" si="19">45*F29</f>
        <v>450</v>
      </c>
      <c r="J29" s="433">
        <f t="shared" ref="J29" si="20">+I29*H29+G29</f>
        <v>97838</v>
      </c>
      <c r="K29" s="421">
        <v>1</v>
      </c>
      <c r="L29" s="421">
        <v>1</v>
      </c>
      <c r="M29" s="435">
        <f t="shared" ref="M29" si="21">J29*K29*L29/1000</f>
        <v>97.837999999999994</v>
      </c>
      <c r="N29" s="435">
        <f t="shared" ref="N29" si="22">_xlfn.XLOOKUP(F29,$R$5:$Z$5,$R$6:$Z$6,"NOT_FOUND",0)</f>
        <v>0.61699999999999999</v>
      </c>
      <c r="O29" s="460">
        <f t="shared" ref="O29" si="23">M29*N29</f>
        <v>60.366045999999997</v>
      </c>
      <c r="P29" s="518"/>
    </row>
    <row r="30" spans="1:16" s="443" customFormat="1" ht="31.5" customHeight="1">
      <c r="A30" s="835"/>
      <c r="B30" s="401">
        <v>22</v>
      </c>
      <c r="C30" s="405"/>
      <c r="D30" s="608">
        <v>42560</v>
      </c>
      <c r="E30" s="459"/>
      <c r="F30" s="420">
        <v>10</v>
      </c>
      <c r="G30" s="432">
        <f t="shared" si="12"/>
        <v>42560</v>
      </c>
      <c r="H30" s="611"/>
      <c r="I30" s="433">
        <f t="shared" si="13"/>
        <v>450</v>
      </c>
      <c r="J30" s="433">
        <f t="shared" si="14"/>
        <v>42560</v>
      </c>
      <c r="K30" s="421">
        <v>1</v>
      </c>
      <c r="L30" s="421">
        <v>1</v>
      </c>
      <c r="M30" s="435">
        <f t="shared" si="15"/>
        <v>42.56</v>
      </c>
      <c r="N30" s="435">
        <f t="shared" si="16"/>
        <v>0.61699999999999999</v>
      </c>
      <c r="O30" s="460">
        <f t="shared" si="17"/>
        <v>26.259520000000002</v>
      </c>
      <c r="P30" s="518"/>
    </row>
    <row r="31" spans="1:16" s="443" customFormat="1" ht="31.5" customHeight="1">
      <c r="A31" s="835"/>
      <c r="B31" s="401">
        <v>23</v>
      </c>
      <c r="C31" s="405"/>
      <c r="D31" s="608">
        <v>47637</v>
      </c>
      <c r="E31" s="459"/>
      <c r="F31" s="420">
        <v>10</v>
      </c>
      <c r="G31" s="432">
        <f t="shared" ref="G31" si="24">C31+D31+E31</f>
        <v>47637</v>
      </c>
      <c r="H31" s="611"/>
      <c r="I31" s="433">
        <f t="shared" ref="I31" si="25">45*F31</f>
        <v>450</v>
      </c>
      <c r="J31" s="433">
        <f t="shared" ref="J31" si="26">+I31*H31+G31</f>
        <v>47637</v>
      </c>
      <c r="K31" s="421">
        <v>1</v>
      </c>
      <c r="L31" s="421">
        <v>1</v>
      </c>
      <c r="M31" s="435">
        <f t="shared" ref="M31" si="27">J31*K31*L31/1000</f>
        <v>47.637</v>
      </c>
      <c r="N31" s="435">
        <f t="shared" ref="N31" si="28">_xlfn.XLOOKUP(F31,$R$5:$Z$5,$R$6:$Z$6,"NOT_FOUND",0)</f>
        <v>0.61699999999999999</v>
      </c>
      <c r="O31" s="460">
        <f t="shared" ref="O31" si="29">M31*N31</f>
        <v>29.392029000000001</v>
      </c>
      <c r="P31" s="518"/>
    </row>
    <row r="32" spans="1:16" s="443" customFormat="1" ht="31.5" customHeight="1">
      <c r="A32" s="888" t="s">
        <v>598</v>
      </c>
      <c r="B32" s="612">
        <v>24</v>
      </c>
      <c r="C32" s="613"/>
      <c r="D32" s="614">
        <v>52320</v>
      </c>
      <c r="E32" s="615"/>
      <c r="F32" s="616">
        <v>10</v>
      </c>
      <c r="G32" s="617">
        <f t="shared" ref="G32:G38" si="30">C32+D32+E32</f>
        <v>52320</v>
      </c>
      <c r="H32" s="618"/>
      <c r="I32" s="619">
        <f>45*F32</f>
        <v>450</v>
      </c>
      <c r="J32" s="619">
        <f>+I32*H32+G32</f>
        <v>52320</v>
      </c>
      <c r="K32" s="619">
        <v>1</v>
      </c>
      <c r="L32" s="619">
        <v>1</v>
      </c>
      <c r="M32" s="620">
        <f>J32*K32*L32/1000</f>
        <v>52.32</v>
      </c>
      <c r="N32" s="620">
        <f>_xlfn.XLOOKUP(F32,$R$5:$Z$5,$R$6:$Z$6,"NOT_FOUND",0)</f>
        <v>0.61699999999999999</v>
      </c>
      <c r="O32" s="621">
        <f>M32*N32</f>
        <v>32.281439999999996</v>
      </c>
      <c r="P32" s="622" t="s">
        <v>349</v>
      </c>
    </row>
    <row r="33" spans="1:16" s="443" customFormat="1" ht="31.5" customHeight="1">
      <c r="A33" s="835"/>
      <c r="B33" s="401">
        <v>25</v>
      </c>
      <c r="C33" s="405"/>
      <c r="D33" s="608">
        <v>56680</v>
      </c>
      <c r="E33" s="459"/>
      <c r="F33" s="420">
        <v>10</v>
      </c>
      <c r="G33" s="432">
        <f t="shared" si="30"/>
        <v>56680</v>
      </c>
      <c r="H33" s="611"/>
      <c r="I33" s="433">
        <f t="shared" ref="I33:I38" si="31">45*F33</f>
        <v>450</v>
      </c>
      <c r="J33" s="433">
        <f t="shared" ref="J33:J38" si="32">+I33*H33+G33</f>
        <v>56680</v>
      </c>
      <c r="K33" s="619">
        <v>1</v>
      </c>
      <c r="L33" s="421">
        <v>1</v>
      </c>
      <c r="M33" s="435">
        <f t="shared" ref="M33:M38" si="33">J33*K33*L33/1000</f>
        <v>56.68</v>
      </c>
      <c r="N33" s="435">
        <f t="shared" ref="N33:N38" si="34">_xlfn.XLOOKUP(F33,$R$5:$Z$5,$R$6:$Z$6,"NOT_FOUND",0)</f>
        <v>0.61699999999999999</v>
      </c>
      <c r="O33" s="460">
        <f t="shared" ref="O33:O37" si="35">M33*N33</f>
        <v>34.971559999999997</v>
      </c>
      <c r="P33" s="518"/>
    </row>
    <row r="34" spans="1:16" s="443" customFormat="1" ht="31.5" customHeight="1">
      <c r="A34" s="835"/>
      <c r="B34" s="401">
        <v>26</v>
      </c>
      <c r="C34" s="405"/>
      <c r="D34" s="608">
        <v>56680</v>
      </c>
      <c r="E34" s="459"/>
      <c r="F34" s="420">
        <v>10</v>
      </c>
      <c r="G34" s="432">
        <f t="shared" si="30"/>
        <v>56680</v>
      </c>
      <c r="H34" s="611"/>
      <c r="I34" s="433">
        <f t="shared" si="31"/>
        <v>450</v>
      </c>
      <c r="J34" s="433">
        <f t="shared" si="32"/>
        <v>56680</v>
      </c>
      <c r="K34" s="619">
        <v>1</v>
      </c>
      <c r="L34" s="421">
        <v>1</v>
      </c>
      <c r="M34" s="435">
        <f t="shared" si="33"/>
        <v>56.68</v>
      </c>
      <c r="N34" s="435">
        <f t="shared" si="34"/>
        <v>0.61699999999999999</v>
      </c>
      <c r="O34" s="460">
        <f t="shared" si="35"/>
        <v>34.971559999999997</v>
      </c>
      <c r="P34" s="518"/>
    </row>
    <row r="35" spans="1:16" s="443" customFormat="1" ht="31.5" customHeight="1">
      <c r="A35" s="835"/>
      <c r="B35" s="401">
        <v>27</v>
      </c>
      <c r="C35" s="405"/>
      <c r="D35" s="608">
        <v>56680</v>
      </c>
      <c r="E35" s="459"/>
      <c r="F35" s="420">
        <v>10</v>
      </c>
      <c r="G35" s="432">
        <f t="shared" si="30"/>
        <v>56680</v>
      </c>
      <c r="H35" s="611"/>
      <c r="I35" s="433">
        <f t="shared" si="31"/>
        <v>450</v>
      </c>
      <c r="J35" s="433">
        <f t="shared" si="32"/>
        <v>56680</v>
      </c>
      <c r="K35" s="619">
        <v>1</v>
      </c>
      <c r="L35" s="421">
        <v>1</v>
      </c>
      <c r="M35" s="435">
        <f t="shared" si="33"/>
        <v>56.68</v>
      </c>
      <c r="N35" s="435">
        <f>_xlfn.XLOOKUP(F35,$R$5:$Z$5,$R$6:$Z$6,"NOT_FOUND",0)</f>
        <v>0.61699999999999999</v>
      </c>
      <c r="O35" s="460">
        <f t="shared" si="35"/>
        <v>34.971559999999997</v>
      </c>
      <c r="P35" s="518"/>
    </row>
    <row r="36" spans="1:16" s="443" customFormat="1" ht="31.5" customHeight="1">
      <c r="A36" s="835"/>
      <c r="B36" s="401">
        <v>28</v>
      </c>
      <c r="C36" s="405"/>
      <c r="D36" s="608">
        <v>61040</v>
      </c>
      <c r="E36" s="459"/>
      <c r="F36" s="420">
        <v>10</v>
      </c>
      <c r="G36" s="432">
        <f t="shared" si="30"/>
        <v>61040</v>
      </c>
      <c r="H36" s="611"/>
      <c r="I36" s="433">
        <f t="shared" si="31"/>
        <v>450</v>
      </c>
      <c r="J36" s="433">
        <f t="shared" si="32"/>
        <v>61040</v>
      </c>
      <c r="K36" s="619">
        <v>1</v>
      </c>
      <c r="L36" s="421">
        <v>1</v>
      </c>
      <c r="M36" s="435">
        <f t="shared" si="33"/>
        <v>61.04</v>
      </c>
      <c r="N36" s="435">
        <f t="shared" si="34"/>
        <v>0.61699999999999999</v>
      </c>
      <c r="O36" s="460">
        <f t="shared" si="35"/>
        <v>37.661679999999997</v>
      </c>
      <c r="P36" s="518"/>
    </row>
    <row r="37" spans="1:16" s="443" customFormat="1" ht="31.5" customHeight="1">
      <c r="A37" s="835"/>
      <c r="B37" s="401">
        <v>29</v>
      </c>
      <c r="C37" s="405"/>
      <c r="D37" s="608">
        <v>61043</v>
      </c>
      <c r="E37" s="459"/>
      <c r="F37" s="420">
        <v>10</v>
      </c>
      <c r="G37" s="432">
        <f t="shared" si="30"/>
        <v>61043</v>
      </c>
      <c r="H37" s="611"/>
      <c r="I37" s="433">
        <f t="shared" si="31"/>
        <v>450</v>
      </c>
      <c r="J37" s="433">
        <f t="shared" si="32"/>
        <v>61043</v>
      </c>
      <c r="K37" s="619">
        <v>1</v>
      </c>
      <c r="L37" s="421">
        <v>1</v>
      </c>
      <c r="M37" s="435">
        <f t="shared" si="33"/>
        <v>61.042999999999999</v>
      </c>
      <c r="N37" s="435">
        <f t="shared" si="34"/>
        <v>0.61699999999999999</v>
      </c>
      <c r="O37" s="460">
        <f t="shared" si="35"/>
        <v>37.663530999999999</v>
      </c>
      <c r="P37" s="518"/>
    </row>
    <row r="38" spans="1:16" s="443" customFormat="1" ht="31.5" customHeight="1">
      <c r="A38" s="835"/>
      <c r="B38" s="401">
        <v>30</v>
      </c>
      <c r="C38" s="405"/>
      <c r="D38" s="608">
        <v>42483</v>
      </c>
      <c r="E38" s="459"/>
      <c r="F38" s="420">
        <v>10</v>
      </c>
      <c r="G38" s="432">
        <f t="shared" si="30"/>
        <v>42483</v>
      </c>
      <c r="H38" s="611"/>
      <c r="I38" s="433">
        <f t="shared" si="31"/>
        <v>450</v>
      </c>
      <c r="J38" s="433">
        <f t="shared" si="32"/>
        <v>42483</v>
      </c>
      <c r="K38" s="619">
        <v>1</v>
      </c>
      <c r="L38" s="421">
        <v>1</v>
      </c>
      <c r="M38" s="435">
        <f t="shared" si="33"/>
        <v>42.482999999999997</v>
      </c>
      <c r="N38" s="435">
        <f t="shared" si="34"/>
        <v>0.61699999999999999</v>
      </c>
      <c r="O38" s="460">
        <f>M38*N38</f>
        <v>26.212010999999997</v>
      </c>
      <c r="P38" s="518"/>
    </row>
    <row r="39" spans="1:16" s="443" customFormat="1" ht="31.5" customHeight="1">
      <c r="A39" s="834" t="s">
        <v>607</v>
      </c>
      <c r="B39" s="401" t="s">
        <v>605</v>
      </c>
      <c r="C39" s="405"/>
      <c r="D39" s="608">
        <v>51990</v>
      </c>
      <c r="E39" s="459"/>
      <c r="F39" s="420">
        <v>10</v>
      </c>
      <c r="G39" s="432">
        <f t="shared" ref="G39:G44" si="36">C39+D39+E39</f>
        <v>51990</v>
      </c>
      <c r="H39" s="611"/>
      <c r="I39" s="433">
        <f>45*F39</f>
        <v>450</v>
      </c>
      <c r="J39" s="433">
        <f>+I39*H39+G39</f>
        <v>51990</v>
      </c>
      <c r="K39" s="433">
        <v>1</v>
      </c>
      <c r="L39" s="433">
        <v>1</v>
      </c>
      <c r="M39" s="435">
        <f>J39*K39*L39/1000</f>
        <v>51.99</v>
      </c>
      <c r="N39" s="435">
        <f>_xlfn.XLOOKUP(F39,$R$5:$Z$5,$R$6:$Z$6,"NOT_FOUND",0)</f>
        <v>0.61699999999999999</v>
      </c>
      <c r="O39" s="460">
        <f>M39*N39</f>
        <v>32.077829999999999</v>
      </c>
      <c r="P39" s="412" t="s">
        <v>349</v>
      </c>
    </row>
    <row r="40" spans="1:16" s="443" customFormat="1" ht="31.5" customHeight="1">
      <c r="A40" s="835"/>
      <c r="B40" s="401" t="s">
        <v>604</v>
      </c>
      <c r="C40" s="405"/>
      <c r="D40" s="608">
        <v>59383</v>
      </c>
      <c r="E40" s="459"/>
      <c r="F40" s="420">
        <v>10</v>
      </c>
      <c r="G40" s="432">
        <f t="shared" si="36"/>
        <v>59383</v>
      </c>
      <c r="H40" s="611"/>
      <c r="I40" s="433">
        <f t="shared" ref="I40:I46" si="37">45*F40</f>
        <v>450</v>
      </c>
      <c r="J40" s="433">
        <f t="shared" ref="J40:J46" si="38">+I40*H40+G40</f>
        <v>59383</v>
      </c>
      <c r="K40" s="421">
        <v>1</v>
      </c>
      <c r="L40" s="421">
        <v>1</v>
      </c>
      <c r="M40" s="435">
        <f t="shared" ref="M40:M46" si="39">J40*K40*L40/1000</f>
        <v>59.383000000000003</v>
      </c>
      <c r="N40" s="435">
        <f t="shared" ref="N40:N46" si="40">_xlfn.XLOOKUP(F40,$R$5:$Z$5,$R$6:$Z$6,"NOT_FOUND",0)</f>
        <v>0.61699999999999999</v>
      </c>
      <c r="O40" s="460">
        <f t="shared" ref="O40:O46" si="41">M40*N40</f>
        <v>36.639310999999999</v>
      </c>
      <c r="P40" s="518"/>
    </row>
    <row r="41" spans="1:16" s="443" customFormat="1" ht="31.5" customHeight="1">
      <c r="A41" s="835"/>
      <c r="B41" s="401" t="s">
        <v>603</v>
      </c>
      <c r="C41" s="405"/>
      <c r="D41" s="608">
        <v>71185</v>
      </c>
      <c r="E41" s="459"/>
      <c r="F41" s="420">
        <v>10</v>
      </c>
      <c r="G41" s="432">
        <f t="shared" si="36"/>
        <v>71185</v>
      </c>
      <c r="H41" s="611"/>
      <c r="I41" s="433">
        <f t="shared" si="37"/>
        <v>450</v>
      </c>
      <c r="J41" s="433">
        <f t="shared" si="38"/>
        <v>71185</v>
      </c>
      <c r="K41" s="421">
        <v>1</v>
      </c>
      <c r="L41" s="421">
        <v>1</v>
      </c>
      <c r="M41" s="435">
        <f t="shared" si="39"/>
        <v>71.185000000000002</v>
      </c>
      <c r="N41" s="435">
        <f t="shared" si="40"/>
        <v>0.61699999999999999</v>
      </c>
      <c r="O41" s="460">
        <f t="shared" si="41"/>
        <v>43.921145000000003</v>
      </c>
      <c r="P41" s="518"/>
    </row>
    <row r="42" spans="1:16" s="443" customFormat="1" ht="31.5" customHeight="1">
      <c r="A42" s="835"/>
      <c r="B42" s="401" t="s">
        <v>602</v>
      </c>
      <c r="C42" s="405"/>
      <c r="D42" s="608">
        <v>69680</v>
      </c>
      <c r="E42" s="459"/>
      <c r="F42" s="420">
        <v>10</v>
      </c>
      <c r="G42" s="432">
        <f t="shared" si="36"/>
        <v>69680</v>
      </c>
      <c r="H42" s="611"/>
      <c r="I42" s="433">
        <f t="shared" si="37"/>
        <v>450</v>
      </c>
      <c r="J42" s="433">
        <f t="shared" si="38"/>
        <v>69680</v>
      </c>
      <c r="K42" s="421">
        <v>1</v>
      </c>
      <c r="L42" s="421">
        <v>1</v>
      </c>
      <c r="M42" s="435">
        <f t="shared" si="39"/>
        <v>69.680000000000007</v>
      </c>
      <c r="N42" s="435">
        <f t="shared" si="40"/>
        <v>0.61699999999999999</v>
      </c>
      <c r="O42" s="460">
        <f t="shared" si="41"/>
        <v>42.992560000000005</v>
      </c>
      <c r="P42" s="518"/>
    </row>
    <row r="43" spans="1:16" s="443" customFormat="1" ht="31.5" customHeight="1">
      <c r="A43" s="835"/>
      <c r="B43" s="401" t="s">
        <v>601</v>
      </c>
      <c r="C43" s="405"/>
      <c r="D43" s="608">
        <v>67950</v>
      </c>
      <c r="E43" s="459"/>
      <c r="F43" s="420">
        <v>10</v>
      </c>
      <c r="G43" s="432">
        <f t="shared" si="36"/>
        <v>67950</v>
      </c>
      <c r="H43" s="611"/>
      <c r="I43" s="433">
        <f t="shared" si="37"/>
        <v>450</v>
      </c>
      <c r="J43" s="433">
        <f t="shared" si="38"/>
        <v>67950</v>
      </c>
      <c r="K43" s="421">
        <v>1</v>
      </c>
      <c r="L43" s="421">
        <v>1</v>
      </c>
      <c r="M43" s="435">
        <f t="shared" si="39"/>
        <v>67.95</v>
      </c>
      <c r="N43" s="435">
        <f t="shared" si="40"/>
        <v>0.61699999999999999</v>
      </c>
      <c r="O43" s="460">
        <f t="shared" si="41"/>
        <v>41.925150000000002</v>
      </c>
      <c r="P43" s="518"/>
    </row>
    <row r="44" spans="1:16" s="443" customFormat="1" ht="31.5" customHeight="1">
      <c r="A44" s="835"/>
      <c r="B44" s="401" t="s">
        <v>600</v>
      </c>
      <c r="C44" s="405"/>
      <c r="D44" s="608">
        <v>66377</v>
      </c>
      <c r="E44" s="459"/>
      <c r="F44" s="420">
        <v>10</v>
      </c>
      <c r="G44" s="432">
        <f t="shared" si="36"/>
        <v>66377</v>
      </c>
      <c r="H44" s="611"/>
      <c r="I44" s="433">
        <f t="shared" si="37"/>
        <v>450</v>
      </c>
      <c r="J44" s="433">
        <f t="shared" si="38"/>
        <v>66377</v>
      </c>
      <c r="K44" s="421">
        <v>1</v>
      </c>
      <c r="L44" s="421">
        <v>1</v>
      </c>
      <c r="M44" s="435">
        <f t="shared" si="39"/>
        <v>66.376999999999995</v>
      </c>
      <c r="N44" s="435">
        <f t="shared" si="40"/>
        <v>0.61699999999999999</v>
      </c>
      <c r="O44" s="460">
        <f t="shared" si="41"/>
        <v>40.954608999999998</v>
      </c>
      <c r="P44" s="518"/>
    </row>
    <row r="45" spans="1:16" s="443" customFormat="1" ht="31.5" customHeight="1">
      <c r="A45" s="835"/>
      <c r="B45" s="401" t="s">
        <v>599</v>
      </c>
      <c r="C45" s="405"/>
      <c r="D45" s="608">
        <v>67300</v>
      </c>
      <c r="E45" s="459"/>
      <c r="F45" s="420">
        <v>10</v>
      </c>
      <c r="G45" s="432">
        <f t="shared" ref="G45" si="42">C45+D45+E45</f>
        <v>67300</v>
      </c>
      <c r="H45" s="611"/>
      <c r="I45" s="433">
        <f t="shared" ref="I45" si="43">45*F45</f>
        <v>450</v>
      </c>
      <c r="J45" s="433">
        <f t="shared" ref="J45" si="44">+I45*H45+G45</f>
        <v>67300</v>
      </c>
      <c r="K45" s="421">
        <v>1</v>
      </c>
      <c r="L45" s="421">
        <v>1</v>
      </c>
      <c r="M45" s="435">
        <f t="shared" ref="M45" si="45">J45*K45*L45/1000</f>
        <v>67.3</v>
      </c>
      <c r="N45" s="435">
        <f t="shared" ref="N45" si="46">_xlfn.XLOOKUP(F45,$R$5:$Z$5,$R$6:$Z$6,"NOT_FOUND",0)</f>
        <v>0.61699999999999999</v>
      </c>
      <c r="O45" s="460">
        <f t="shared" ref="O45" si="47">M45*N45</f>
        <v>41.524099999999997</v>
      </c>
      <c r="P45" s="518"/>
    </row>
    <row r="46" spans="1:16" s="443" customFormat="1" ht="31.5" customHeight="1">
      <c r="A46" s="835"/>
      <c r="B46" s="401" t="s">
        <v>713</v>
      </c>
      <c r="C46" s="405"/>
      <c r="D46" s="608">
        <v>81991</v>
      </c>
      <c r="E46" s="459"/>
      <c r="F46" s="420">
        <v>10</v>
      </c>
      <c r="G46" s="432">
        <f t="shared" ref="G46:G51" si="48">C46+D46+E46</f>
        <v>81991</v>
      </c>
      <c r="H46" s="611"/>
      <c r="I46" s="433">
        <f t="shared" si="37"/>
        <v>450</v>
      </c>
      <c r="J46" s="433">
        <f t="shared" si="38"/>
        <v>81991</v>
      </c>
      <c r="K46" s="421">
        <v>1</v>
      </c>
      <c r="L46" s="421">
        <v>1</v>
      </c>
      <c r="M46" s="435">
        <f t="shared" si="39"/>
        <v>81.991</v>
      </c>
      <c r="N46" s="435">
        <f t="shared" si="40"/>
        <v>0.61699999999999999</v>
      </c>
      <c r="O46" s="460">
        <f t="shared" si="41"/>
        <v>50.588447000000002</v>
      </c>
      <c r="P46" s="518"/>
    </row>
    <row r="47" spans="1:16" s="443" customFormat="1" ht="31.5" customHeight="1">
      <c r="A47" s="834" t="s">
        <v>608</v>
      </c>
      <c r="B47" s="401" t="s">
        <v>714</v>
      </c>
      <c r="C47" s="405"/>
      <c r="D47" s="608">
        <v>104486</v>
      </c>
      <c r="E47" s="459"/>
      <c r="F47" s="420">
        <v>10</v>
      </c>
      <c r="G47" s="432">
        <f t="shared" si="48"/>
        <v>104486</v>
      </c>
      <c r="H47" s="611"/>
      <c r="I47" s="433">
        <f>45*F47</f>
        <v>450</v>
      </c>
      <c r="J47" s="433">
        <f>+I47*H47+G47</f>
        <v>104486</v>
      </c>
      <c r="K47" s="433">
        <v>1</v>
      </c>
      <c r="L47" s="433">
        <v>1</v>
      </c>
      <c r="M47" s="435">
        <f>J47*K47*L47/1000</f>
        <v>104.486</v>
      </c>
      <c r="N47" s="435">
        <f>_xlfn.XLOOKUP(F47,$R$5:$Z$5,$R$6:$Z$6,"NOT_FOUND",0)</f>
        <v>0.61699999999999999</v>
      </c>
      <c r="O47" s="460">
        <f>M47*N47</f>
        <v>64.467861999999997</v>
      </c>
      <c r="P47" s="412" t="s">
        <v>349</v>
      </c>
    </row>
    <row r="48" spans="1:16" s="443" customFormat="1" ht="31.5" customHeight="1">
      <c r="A48" s="835"/>
      <c r="B48" s="401" t="s">
        <v>715</v>
      </c>
      <c r="C48" s="405"/>
      <c r="D48" s="608">
        <v>72172</v>
      </c>
      <c r="E48" s="459"/>
      <c r="F48" s="420">
        <v>10</v>
      </c>
      <c r="G48" s="432">
        <f t="shared" si="48"/>
        <v>72172</v>
      </c>
      <c r="H48" s="611"/>
      <c r="I48" s="433">
        <f t="shared" ref="I48:I53" si="49">45*F48</f>
        <v>450</v>
      </c>
      <c r="J48" s="433">
        <f t="shared" ref="J48:J53" si="50">+I48*H48+G48</f>
        <v>72172</v>
      </c>
      <c r="K48" s="433">
        <v>1</v>
      </c>
      <c r="L48" s="421">
        <v>1</v>
      </c>
      <c r="M48" s="435">
        <f t="shared" ref="M48:M53" si="51">J48*K48*L48/1000</f>
        <v>72.171999999999997</v>
      </c>
      <c r="N48" s="435">
        <f t="shared" ref="N48:N53" si="52">_xlfn.XLOOKUP(F48,$R$5:$Z$5,$R$6:$Z$6,"NOT_FOUND",0)</f>
        <v>0.61699999999999999</v>
      </c>
      <c r="O48" s="460">
        <f t="shared" ref="O48:O53" si="53">M48*N48</f>
        <v>44.530124000000001</v>
      </c>
      <c r="P48" s="518"/>
    </row>
    <row r="49" spans="1:16" s="443" customFormat="1" ht="31.5" customHeight="1">
      <c r="A49" s="835"/>
      <c r="B49" s="401" t="s">
        <v>716</v>
      </c>
      <c r="C49" s="405"/>
      <c r="D49" s="608">
        <v>80021</v>
      </c>
      <c r="E49" s="459"/>
      <c r="F49" s="420">
        <v>10</v>
      </c>
      <c r="G49" s="432">
        <f t="shared" si="48"/>
        <v>80021</v>
      </c>
      <c r="H49" s="611"/>
      <c r="I49" s="433">
        <f t="shared" si="49"/>
        <v>450</v>
      </c>
      <c r="J49" s="433">
        <f t="shared" si="50"/>
        <v>80021</v>
      </c>
      <c r="K49" s="433">
        <v>1</v>
      </c>
      <c r="L49" s="421">
        <v>1</v>
      </c>
      <c r="M49" s="435">
        <f t="shared" si="51"/>
        <v>80.021000000000001</v>
      </c>
      <c r="N49" s="435">
        <f t="shared" si="52"/>
        <v>0.61699999999999999</v>
      </c>
      <c r="O49" s="460">
        <f t="shared" si="53"/>
        <v>49.372957</v>
      </c>
      <c r="P49" s="518"/>
    </row>
    <row r="50" spans="1:16" s="443" customFormat="1" ht="31.5" customHeight="1">
      <c r="A50" s="835"/>
      <c r="B50" s="401" t="s">
        <v>717</v>
      </c>
      <c r="C50" s="405"/>
      <c r="D50" s="608">
        <v>93690</v>
      </c>
      <c r="E50" s="459"/>
      <c r="F50" s="420">
        <v>10</v>
      </c>
      <c r="G50" s="432">
        <f t="shared" si="48"/>
        <v>93690</v>
      </c>
      <c r="H50" s="611"/>
      <c r="I50" s="433">
        <f t="shared" si="49"/>
        <v>450</v>
      </c>
      <c r="J50" s="433">
        <f t="shared" si="50"/>
        <v>93690</v>
      </c>
      <c r="K50" s="433">
        <v>1</v>
      </c>
      <c r="L50" s="421">
        <v>1</v>
      </c>
      <c r="M50" s="435">
        <f t="shared" si="51"/>
        <v>93.69</v>
      </c>
      <c r="N50" s="435">
        <f t="shared" si="52"/>
        <v>0.61699999999999999</v>
      </c>
      <c r="O50" s="460">
        <f t="shared" si="53"/>
        <v>57.806729999999995</v>
      </c>
      <c r="P50" s="518"/>
    </row>
    <row r="51" spans="1:16" s="443" customFormat="1" ht="31.5" customHeight="1">
      <c r="A51" s="835"/>
      <c r="B51" s="401" t="s">
        <v>718</v>
      </c>
      <c r="C51" s="405"/>
      <c r="D51" s="608">
        <v>94150</v>
      </c>
      <c r="E51" s="459"/>
      <c r="F51" s="420">
        <v>10</v>
      </c>
      <c r="G51" s="432">
        <f t="shared" si="48"/>
        <v>94150</v>
      </c>
      <c r="H51" s="611"/>
      <c r="I51" s="433">
        <f t="shared" si="49"/>
        <v>450</v>
      </c>
      <c r="J51" s="433">
        <f t="shared" si="50"/>
        <v>94150</v>
      </c>
      <c r="K51" s="433">
        <v>1</v>
      </c>
      <c r="L51" s="421">
        <v>1</v>
      </c>
      <c r="M51" s="435">
        <f t="shared" si="51"/>
        <v>94.15</v>
      </c>
      <c r="N51" s="435">
        <f t="shared" si="52"/>
        <v>0.61699999999999999</v>
      </c>
      <c r="O51" s="460">
        <f t="shared" si="53"/>
        <v>58.09055</v>
      </c>
      <c r="P51" s="518"/>
    </row>
    <row r="52" spans="1:16" s="443" customFormat="1" ht="31.5" customHeight="1">
      <c r="A52" s="835"/>
      <c r="B52" s="401" t="s">
        <v>719</v>
      </c>
      <c r="C52" s="405"/>
      <c r="D52" s="608">
        <v>94021</v>
      </c>
      <c r="E52" s="459"/>
      <c r="F52" s="420">
        <v>10</v>
      </c>
      <c r="G52" s="432">
        <f t="shared" ref="G52" si="54">C52+D52+E52</f>
        <v>94021</v>
      </c>
      <c r="H52" s="611"/>
      <c r="I52" s="433">
        <f t="shared" ref="I52" si="55">45*F52</f>
        <v>450</v>
      </c>
      <c r="J52" s="433">
        <f t="shared" ref="J52" si="56">+I52*H52+G52</f>
        <v>94021</v>
      </c>
      <c r="K52" s="433">
        <v>1</v>
      </c>
      <c r="L52" s="421">
        <v>1</v>
      </c>
      <c r="M52" s="435">
        <f t="shared" ref="M52" si="57">J52*K52*L52/1000</f>
        <v>94.021000000000001</v>
      </c>
      <c r="N52" s="435">
        <f t="shared" ref="N52" si="58">_xlfn.XLOOKUP(F52,$R$5:$Z$5,$R$6:$Z$6,"NOT_FOUND",0)</f>
        <v>0.61699999999999999</v>
      </c>
      <c r="O52" s="460">
        <f t="shared" ref="O52" si="59">M52*N52</f>
        <v>58.010956999999998</v>
      </c>
      <c r="P52" s="518"/>
    </row>
    <row r="53" spans="1:16" s="443" customFormat="1" ht="31.5" customHeight="1">
      <c r="A53" s="835"/>
      <c r="B53" s="401" t="s">
        <v>720</v>
      </c>
      <c r="C53" s="405"/>
      <c r="D53" s="608">
        <v>130958</v>
      </c>
      <c r="E53" s="459"/>
      <c r="F53" s="420">
        <v>10</v>
      </c>
      <c r="G53" s="432">
        <f t="shared" ref="G53:G67" si="60">C53+D53+E53</f>
        <v>130958</v>
      </c>
      <c r="H53" s="611"/>
      <c r="I53" s="433">
        <f t="shared" si="49"/>
        <v>450</v>
      </c>
      <c r="J53" s="433">
        <f t="shared" si="50"/>
        <v>130958</v>
      </c>
      <c r="K53" s="433">
        <v>1</v>
      </c>
      <c r="L53" s="421">
        <v>1</v>
      </c>
      <c r="M53" s="435">
        <f t="shared" si="51"/>
        <v>130.958</v>
      </c>
      <c r="N53" s="435">
        <f t="shared" si="52"/>
        <v>0.61699999999999999</v>
      </c>
      <c r="O53" s="460">
        <f t="shared" si="53"/>
        <v>80.801085999999998</v>
      </c>
      <c r="P53" s="518"/>
    </row>
    <row r="54" spans="1:16" s="443" customFormat="1" ht="31.5" customHeight="1">
      <c r="A54" s="834" t="s">
        <v>610</v>
      </c>
      <c r="B54" s="401" t="s">
        <v>597</v>
      </c>
      <c r="C54" s="405"/>
      <c r="D54" s="608">
        <v>63630</v>
      </c>
      <c r="E54" s="459"/>
      <c r="F54" s="420">
        <v>10</v>
      </c>
      <c r="G54" s="432">
        <f t="shared" si="60"/>
        <v>63630</v>
      </c>
      <c r="H54" s="611"/>
      <c r="I54" s="433">
        <f>45*F54</f>
        <v>450</v>
      </c>
      <c r="J54" s="433">
        <f>+I54*H54+G54</f>
        <v>63630</v>
      </c>
      <c r="K54" s="433">
        <v>1</v>
      </c>
      <c r="L54" s="433">
        <v>1</v>
      </c>
      <c r="M54" s="435">
        <f>J54*K54*L54/1000</f>
        <v>63.63</v>
      </c>
      <c r="N54" s="435">
        <f>_xlfn.XLOOKUP(F54,$R$5:$Z$5,$R$6:$Z$6,"NOT_FOUND",0)</f>
        <v>0.61699999999999999</v>
      </c>
      <c r="O54" s="460">
        <f>M54*N54</f>
        <v>39.259709999999998</v>
      </c>
      <c r="P54" s="412" t="s">
        <v>349</v>
      </c>
    </row>
    <row r="55" spans="1:16" s="443" customFormat="1" ht="31.5" customHeight="1">
      <c r="A55" s="835"/>
      <c r="B55" s="401" t="s">
        <v>596</v>
      </c>
      <c r="C55" s="405"/>
      <c r="D55" s="608">
        <v>76817</v>
      </c>
      <c r="E55" s="459"/>
      <c r="F55" s="420">
        <v>10</v>
      </c>
      <c r="G55" s="432">
        <f t="shared" si="60"/>
        <v>76817</v>
      </c>
      <c r="H55" s="611"/>
      <c r="I55" s="433">
        <f t="shared" ref="I55:I60" si="61">45*F55</f>
        <v>450</v>
      </c>
      <c r="J55" s="433">
        <f t="shared" ref="J55:J60" si="62">+I55*H55+G55</f>
        <v>76817</v>
      </c>
      <c r="K55" s="433">
        <v>1</v>
      </c>
      <c r="L55" s="421">
        <v>1</v>
      </c>
      <c r="M55" s="435">
        <f t="shared" ref="M55:M60" si="63">J55*K55*L55/1000</f>
        <v>76.816999999999993</v>
      </c>
      <c r="N55" s="435">
        <f t="shared" ref="N55:N60" si="64">_xlfn.XLOOKUP(F55,$R$5:$Z$5,$R$6:$Z$6,"NOT_FOUND",0)</f>
        <v>0.61699999999999999</v>
      </c>
      <c r="O55" s="460">
        <f t="shared" ref="O55:O60" si="65">M55*N55</f>
        <v>47.396088999999996</v>
      </c>
      <c r="P55" s="518"/>
    </row>
    <row r="56" spans="1:16" s="443" customFormat="1" ht="31.5" customHeight="1">
      <c r="A56" s="835"/>
      <c r="B56" s="401" t="s">
        <v>595</v>
      </c>
      <c r="C56" s="405"/>
      <c r="D56" s="608">
        <v>87491</v>
      </c>
      <c r="E56" s="459"/>
      <c r="F56" s="420">
        <v>10</v>
      </c>
      <c r="G56" s="432">
        <f t="shared" si="60"/>
        <v>87491</v>
      </c>
      <c r="H56" s="611"/>
      <c r="I56" s="433">
        <f t="shared" si="61"/>
        <v>450</v>
      </c>
      <c r="J56" s="433">
        <f t="shared" si="62"/>
        <v>87491</v>
      </c>
      <c r="K56" s="433">
        <v>1</v>
      </c>
      <c r="L56" s="421">
        <v>1</v>
      </c>
      <c r="M56" s="435">
        <f t="shared" si="63"/>
        <v>87.491</v>
      </c>
      <c r="N56" s="435">
        <f t="shared" si="64"/>
        <v>0.61699999999999999</v>
      </c>
      <c r="O56" s="460">
        <f t="shared" si="65"/>
        <v>53.981946999999998</v>
      </c>
      <c r="P56" s="518"/>
    </row>
    <row r="57" spans="1:16" s="443" customFormat="1" ht="31.5" customHeight="1">
      <c r="A57" s="835"/>
      <c r="B57" s="401" t="s">
        <v>594</v>
      </c>
      <c r="C57" s="405"/>
      <c r="D57" s="608">
        <v>68130</v>
      </c>
      <c r="E57" s="459"/>
      <c r="F57" s="420">
        <v>10</v>
      </c>
      <c r="G57" s="432">
        <f t="shared" si="60"/>
        <v>68130</v>
      </c>
      <c r="H57" s="611"/>
      <c r="I57" s="433">
        <f t="shared" si="61"/>
        <v>450</v>
      </c>
      <c r="J57" s="433">
        <f t="shared" si="62"/>
        <v>68130</v>
      </c>
      <c r="K57" s="433">
        <v>1</v>
      </c>
      <c r="L57" s="421">
        <v>1</v>
      </c>
      <c r="M57" s="435">
        <f t="shared" si="63"/>
        <v>68.13</v>
      </c>
      <c r="N57" s="435">
        <f t="shared" si="64"/>
        <v>0.61699999999999999</v>
      </c>
      <c r="O57" s="460">
        <f t="shared" si="65"/>
        <v>42.036209999999997</v>
      </c>
      <c r="P57" s="518"/>
    </row>
    <row r="58" spans="1:16" s="443" customFormat="1" ht="31.5" customHeight="1">
      <c r="A58" s="835"/>
      <c r="B58" s="401" t="s">
        <v>593</v>
      </c>
      <c r="C58" s="405"/>
      <c r="D58" s="608">
        <v>212131</v>
      </c>
      <c r="E58" s="459"/>
      <c r="F58" s="420">
        <v>10</v>
      </c>
      <c r="G58" s="432">
        <f t="shared" si="60"/>
        <v>212131</v>
      </c>
      <c r="H58" s="611"/>
      <c r="I58" s="433">
        <f t="shared" si="61"/>
        <v>450</v>
      </c>
      <c r="J58" s="433">
        <f t="shared" si="62"/>
        <v>212131</v>
      </c>
      <c r="K58" s="433">
        <v>1</v>
      </c>
      <c r="L58" s="421">
        <v>1</v>
      </c>
      <c r="M58" s="435">
        <f t="shared" si="63"/>
        <v>212.131</v>
      </c>
      <c r="N58" s="435">
        <f t="shared" si="64"/>
        <v>0.61699999999999999</v>
      </c>
      <c r="O58" s="460">
        <f t="shared" si="65"/>
        <v>130.884827</v>
      </c>
      <c r="P58" s="518"/>
    </row>
    <row r="59" spans="1:16" s="443" customFormat="1" ht="31.5" customHeight="1">
      <c r="A59" s="835"/>
      <c r="B59" s="401" t="s">
        <v>592</v>
      </c>
      <c r="C59" s="405"/>
      <c r="D59" s="608">
        <v>55341</v>
      </c>
      <c r="E59" s="459"/>
      <c r="F59" s="420">
        <v>10</v>
      </c>
      <c r="G59" s="432">
        <f t="shared" si="60"/>
        <v>55341</v>
      </c>
      <c r="H59" s="611"/>
      <c r="I59" s="433">
        <f t="shared" si="61"/>
        <v>450</v>
      </c>
      <c r="J59" s="433">
        <f t="shared" si="62"/>
        <v>55341</v>
      </c>
      <c r="K59" s="433">
        <v>1</v>
      </c>
      <c r="L59" s="421">
        <v>1</v>
      </c>
      <c r="M59" s="435">
        <f t="shared" si="63"/>
        <v>55.341000000000001</v>
      </c>
      <c r="N59" s="435">
        <f t="shared" si="64"/>
        <v>0.61699999999999999</v>
      </c>
      <c r="O59" s="460">
        <f t="shared" si="65"/>
        <v>34.145397000000003</v>
      </c>
      <c r="P59" s="518"/>
    </row>
    <row r="60" spans="1:16" s="443" customFormat="1" ht="31.5" customHeight="1">
      <c r="A60" s="835"/>
      <c r="B60" s="623" t="s">
        <v>611</v>
      </c>
      <c r="C60" s="405"/>
      <c r="D60" s="608">
        <v>59252</v>
      </c>
      <c r="E60" s="459"/>
      <c r="F60" s="420">
        <v>10</v>
      </c>
      <c r="G60" s="432">
        <f t="shared" si="60"/>
        <v>59252</v>
      </c>
      <c r="H60" s="611"/>
      <c r="I60" s="433">
        <f t="shared" si="61"/>
        <v>450</v>
      </c>
      <c r="J60" s="433">
        <f t="shared" si="62"/>
        <v>59252</v>
      </c>
      <c r="K60" s="433">
        <v>1</v>
      </c>
      <c r="L60" s="421">
        <v>1</v>
      </c>
      <c r="M60" s="435">
        <f t="shared" si="63"/>
        <v>59.252000000000002</v>
      </c>
      <c r="N60" s="435">
        <f t="shared" si="64"/>
        <v>0.61699999999999999</v>
      </c>
      <c r="O60" s="460">
        <f t="shared" si="65"/>
        <v>36.558484</v>
      </c>
      <c r="P60" s="518"/>
    </row>
    <row r="61" spans="1:16" s="443" customFormat="1" ht="31.5" customHeight="1">
      <c r="A61" s="888" t="s">
        <v>612</v>
      </c>
      <c r="B61" s="612" t="s">
        <v>591</v>
      </c>
      <c r="C61" s="613"/>
      <c r="D61" s="614">
        <v>71792</v>
      </c>
      <c r="E61" s="615"/>
      <c r="F61" s="616">
        <v>10</v>
      </c>
      <c r="G61" s="617">
        <f t="shared" si="60"/>
        <v>71792</v>
      </c>
      <c r="H61" s="618"/>
      <c r="I61" s="619">
        <f>45*F61</f>
        <v>450</v>
      </c>
      <c r="J61" s="619">
        <f>+I61*H61+G61</f>
        <v>71792</v>
      </c>
      <c r="K61" s="619">
        <v>1</v>
      </c>
      <c r="L61" s="619">
        <v>1</v>
      </c>
      <c r="M61" s="620">
        <f>J61*K61*L61/1000</f>
        <v>71.792000000000002</v>
      </c>
      <c r="N61" s="620">
        <f>_xlfn.XLOOKUP(F61,$R$5:$Z$5,$R$6:$Z$6,"NOT_FOUND",0)</f>
        <v>0.61699999999999999</v>
      </c>
      <c r="O61" s="621">
        <f>M61*N61</f>
        <v>44.295664000000002</v>
      </c>
      <c r="P61" s="622" t="s">
        <v>349</v>
      </c>
    </row>
    <row r="62" spans="1:16" s="443" customFormat="1" ht="31.5" customHeight="1">
      <c r="A62" s="835"/>
      <c r="B62" s="401" t="s">
        <v>590</v>
      </c>
      <c r="C62" s="405"/>
      <c r="D62" s="608">
        <v>72100</v>
      </c>
      <c r="E62" s="459"/>
      <c r="F62" s="420">
        <v>10</v>
      </c>
      <c r="G62" s="432">
        <f t="shared" si="60"/>
        <v>72100</v>
      </c>
      <c r="H62" s="611"/>
      <c r="I62" s="433">
        <f t="shared" ref="I62:I67" si="66">45*F62</f>
        <v>450</v>
      </c>
      <c r="J62" s="433">
        <f t="shared" ref="J62:J67" si="67">+I62*H62+G62</f>
        <v>72100</v>
      </c>
      <c r="K62" s="619">
        <v>1</v>
      </c>
      <c r="L62" s="421">
        <v>1</v>
      </c>
      <c r="M62" s="435">
        <f t="shared" ref="M62:M67" si="68">J62*K62*L62/1000</f>
        <v>72.099999999999994</v>
      </c>
      <c r="N62" s="435">
        <f t="shared" ref="N62:N63" si="69">_xlfn.XLOOKUP(F62,$R$5:$Z$5,$R$6:$Z$6,"NOT_FOUND",0)</f>
        <v>0.61699999999999999</v>
      </c>
      <c r="O62" s="460">
        <f t="shared" ref="O62:O66" si="70">M62*N62</f>
        <v>44.485699999999994</v>
      </c>
      <c r="P62" s="518"/>
    </row>
    <row r="63" spans="1:16" s="443" customFormat="1" ht="31.5" customHeight="1">
      <c r="A63" s="835"/>
      <c r="B63" s="401" t="s">
        <v>589</v>
      </c>
      <c r="C63" s="405"/>
      <c r="D63" s="608">
        <v>73225</v>
      </c>
      <c r="E63" s="459"/>
      <c r="F63" s="420">
        <v>10</v>
      </c>
      <c r="G63" s="432">
        <f t="shared" si="60"/>
        <v>73225</v>
      </c>
      <c r="H63" s="611"/>
      <c r="I63" s="433">
        <f t="shared" si="66"/>
        <v>450</v>
      </c>
      <c r="J63" s="433">
        <f t="shared" si="67"/>
        <v>73225</v>
      </c>
      <c r="K63" s="619">
        <v>1</v>
      </c>
      <c r="L63" s="421">
        <v>1</v>
      </c>
      <c r="M63" s="435">
        <f t="shared" si="68"/>
        <v>73.224999999999994</v>
      </c>
      <c r="N63" s="435">
        <f t="shared" si="69"/>
        <v>0.61699999999999999</v>
      </c>
      <c r="O63" s="460">
        <f t="shared" si="70"/>
        <v>45.179824999999994</v>
      </c>
      <c r="P63" s="518"/>
    </row>
    <row r="64" spans="1:16" s="443" customFormat="1" ht="31.5" customHeight="1">
      <c r="A64" s="835"/>
      <c r="B64" s="401" t="s">
        <v>588</v>
      </c>
      <c r="C64" s="405"/>
      <c r="D64" s="608">
        <v>75396</v>
      </c>
      <c r="E64" s="459"/>
      <c r="F64" s="420">
        <v>10</v>
      </c>
      <c r="G64" s="432">
        <f t="shared" si="60"/>
        <v>75396</v>
      </c>
      <c r="H64" s="611"/>
      <c r="I64" s="433">
        <f t="shared" si="66"/>
        <v>450</v>
      </c>
      <c r="J64" s="433">
        <f t="shared" si="67"/>
        <v>75396</v>
      </c>
      <c r="K64" s="619">
        <v>1</v>
      </c>
      <c r="L64" s="421">
        <v>1</v>
      </c>
      <c r="M64" s="435">
        <f t="shared" si="68"/>
        <v>75.396000000000001</v>
      </c>
      <c r="N64" s="435">
        <f>_xlfn.XLOOKUP(F64,$R$5:$Z$5,$R$6:$Z$6,"NOT_FOUND",0)</f>
        <v>0.61699999999999999</v>
      </c>
      <c r="O64" s="460">
        <f t="shared" si="70"/>
        <v>46.519331999999999</v>
      </c>
      <c r="P64" s="518"/>
    </row>
    <row r="65" spans="1:18" s="443" customFormat="1" ht="31.5" customHeight="1">
      <c r="A65" s="835"/>
      <c r="B65" s="401" t="s">
        <v>609</v>
      </c>
      <c r="C65" s="405"/>
      <c r="D65" s="608">
        <v>77125</v>
      </c>
      <c r="E65" s="459"/>
      <c r="F65" s="420">
        <v>10</v>
      </c>
      <c r="G65" s="432">
        <f t="shared" si="60"/>
        <v>77125</v>
      </c>
      <c r="H65" s="611"/>
      <c r="I65" s="433">
        <f t="shared" si="66"/>
        <v>450</v>
      </c>
      <c r="J65" s="433">
        <f t="shared" si="67"/>
        <v>77125</v>
      </c>
      <c r="K65" s="619">
        <v>1</v>
      </c>
      <c r="L65" s="421">
        <v>1</v>
      </c>
      <c r="M65" s="435">
        <f t="shared" si="68"/>
        <v>77.125</v>
      </c>
      <c r="N65" s="435">
        <f t="shared" ref="N65:N67" si="71">_xlfn.XLOOKUP(F65,$R$5:$Z$5,$R$6:$Z$6,"NOT_FOUND",0)</f>
        <v>0.61699999999999999</v>
      </c>
      <c r="O65" s="460">
        <f t="shared" si="70"/>
        <v>47.586125000000003</v>
      </c>
      <c r="P65" s="518"/>
    </row>
    <row r="66" spans="1:18" s="443" customFormat="1" ht="31.5" customHeight="1">
      <c r="A66" s="835"/>
      <c r="B66" s="401" t="s">
        <v>721</v>
      </c>
      <c r="C66" s="405"/>
      <c r="D66" s="608">
        <v>76346</v>
      </c>
      <c r="E66" s="459"/>
      <c r="F66" s="420">
        <v>10</v>
      </c>
      <c r="G66" s="432">
        <f t="shared" si="60"/>
        <v>76346</v>
      </c>
      <c r="H66" s="611"/>
      <c r="I66" s="433">
        <f t="shared" si="66"/>
        <v>450</v>
      </c>
      <c r="J66" s="433">
        <f t="shared" si="67"/>
        <v>76346</v>
      </c>
      <c r="K66" s="619">
        <v>1</v>
      </c>
      <c r="L66" s="421">
        <v>1</v>
      </c>
      <c r="M66" s="435">
        <f t="shared" si="68"/>
        <v>76.346000000000004</v>
      </c>
      <c r="N66" s="435">
        <f t="shared" si="71"/>
        <v>0.61699999999999999</v>
      </c>
      <c r="O66" s="460">
        <f t="shared" si="70"/>
        <v>47.105482000000002</v>
      </c>
      <c r="P66" s="518"/>
    </row>
    <row r="67" spans="1:18" s="443" customFormat="1" ht="31.5" customHeight="1">
      <c r="A67" s="835"/>
      <c r="B67" s="401" t="s">
        <v>587</v>
      </c>
      <c r="C67" s="405"/>
      <c r="D67" s="608">
        <v>49129</v>
      </c>
      <c r="E67" s="459"/>
      <c r="F67" s="420">
        <v>10</v>
      </c>
      <c r="G67" s="432">
        <f t="shared" si="60"/>
        <v>49129</v>
      </c>
      <c r="H67" s="611"/>
      <c r="I67" s="433">
        <f t="shared" si="66"/>
        <v>450</v>
      </c>
      <c r="J67" s="433">
        <f t="shared" si="67"/>
        <v>49129</v>
      </c>
      <c r="K67" s="619">
        <v>1</v>
      </c>
      <c r="L67" s="421">
        <v>1</v>
      </c>
      <c r="M67" s="435">
        <f t="shared" si="68"/>
        <v>49.128999999999998</v>
      </c>
      <c r="N67" s="435">
        <f t="shared" si="71"/>
        <v>0.61699999999999999</v>
      </c>
      <c r="O67" s="460">
        <f>M67*N67</f>
        <v>30.312593</v>
      </c>
      <c r="P67" s="518"/>
    </row>
    <row r="68" spans="1:18" s="519" customFormat="1" ht="22.15" customHeight="1">
      <c r="A68" s="636" t="s">
        <v>623</v>
      </c>
      <c r="B68" s="631"/>
      <c r="C68" s="632"/>
      <c r="D68" s="633"/>
      <c r="E68" s="634"/>
      <c r="F68" s="637"/>
      <c r="G68" s="637"/>
      <c r="H68" s="637"/>
      <c r="I68" s="637"/>
      <c r="J68" s="637"/>
      <c r="K68" s="637"/>
      <c r="L68" s="637"/>
      <c r="M68" s="638"/>
      <c r="N68" s="637"/>
      <c r="O68" s="639"/>
      <c r="P68" s="635"/>
    </row>
    <row r="69" spans="1:18" s="443" customFormat="1" ht="31.5" customHeight="1">
      <c r="A69" s="834" t="s">
        <v>585</v>
      </c>
      <c r="B69" s="401">
        <v>1</v>
      </c>
      <c r="C69" s="405"/>
      <c r="D69" s="608">
        <v>82503</v>
      </c>
      <c r="E69" s="459"/>
      <c r="F69" s="420">
        <v>10</v>
      </c>
      <c r="G69" s="432">
        <f>C69+D69+E69</f>
        <v>82503</v>
      </c>
      <c r="H69" s="611"/>
      <c r="I69" s="433">
        <f>45*F69</f>
        <v>450</v>
      </c>
      <c r="J69" s="433">
        <f>+I69*H69+G69</f>
        <v>82503</v>
      </c>
      <c r="K69" s="433">
        <v>1</v>
      </c>
      <c r="L69" s="433">
        <v>1</v>
      </c>
      <c r="M69" s="435">
        <f>J69*K69*L69/1000</f>
        <v>82.503</v>
      </c>
      <c r="N69" s="435">
        <f>_xlfn.XLOOKUP(F69,$R$5:$Z$5,$R$6:$Z$6,"NOT_FOUND",0)</f>
        <v>0.61699999999999999</v>
      </c>
      <c r="O69" s="460">
        <f>M69*N69</f>
        <v>50.904350999999998</v>
      </c>
      <c r="P69" s="412" t="s">
        <v>349</v>
      </c>
      <c r="R69" s="643"/>
    </row>
    <row r="70" spans="1:18" s="443" customFormat="1" ht="31.5" customHeight="1">
      <c r="A70" s="835"/>
      <c r="B70" s="401">
        <v>2</v>
      </c>
      <c r="C70" s="405"/>
      <c r="D70" s="608">
        <v>48720</v>
      </c>
      <c r="E70" s="459"/>
      <c r="F70" s="420">
        <v>10</v>
      </c>
      <c r="G70" s="432">
        <f t="shared" ref="G70:G97" si="72">C70+D70+E70</f>
        <v>48720</v>
      </c>
      <c r="H70" s="611"/>
      <c r="I70" s="433">
        <f t="shared" ref="I70:I75" si="73">45*F70</f>
        <v>450</v>
      </c>
      <c r="J70" s="433">
        <f t="shared" ref="J70:J75" si="74">+I70*H70+G70</f>
        <v>48720</v>
      </c>
      <c r="K70" s="433">
        <v>1</v>
      </c>
      <c r="L70" s="421">
        <v>1</v>
      </c>
      <c r="M70" s="435">
        <f t="shared" ref="M70:M75" si="75">J70*K70*L70/1000</f>
        <v>48.72</v>
      </c>
      <c r="N70" s="435">
        <f t="shared" ref="N70:N75" si="76">_xlfn.XLOOKUP(F70,$R$5:$Z$5,$R$6:$Z$6,"NOT_FOUND",0)</f>
        <v>0.61699999999999999</v>
      </c>
      <c r="O70" s="460">
        <f t="shared" ref="O70:O75" si="77">M70*N70</f>
        <v>30.06024</v>
      </c>
      <c r="P70" s="518"/>
    </row>
    <row r="71" spans="1:18" s="443" customFormat="1" ht="31.5" customHeight="1">
      <c r="A71" s="835"/>
      <c r="B71" s="401">
        <v>3</v>
      </c>
      <c r="C71" s="405"/>
      <c r="D71" s="608">
        <v>48720</v>
      </c>
      <c r="E71" s="459"/>
      <c r="F71" s="420">
        <v>10</v>
      </c>
      <c r="G71" s="432">
        <f t="shared" si="72"/>
        <v>48720</v>
      </c>
      <c r="H71" s="611"/>
      <c r="I71" s="433">
        <f t="shared" si="73"/>
        <v>450</v>
      </c>
      <c r="J71" s="433">
        <f t="shared" si="74"/>
        <v>48720</v>
      </c>
      <c r="K71" s="433">
        <v>1</v>
      </c>
      <c r="L71" s="421">
        <v>1</v>
      </c>
      <c r="M71" s="435">
        <f t="shared" si="75"/>
        <v>48.72</v>
      </c>
      <c r="N71" s="435">
        <f t="shared" si="76"/>
        <v>0.61699999999999999</v>
      </c>
      <c r="O71" s="460">
        <f t="shared" si="77"/>
        <v>30.06024</v>
      </c>
      <c r="P71" s="518"/>
    </row>
    <row r="72" spans="1:18" s="443" customFormat="1" ht="31.5" customHeight="1">
      <c r="A72" s="835"/>
      <c r="B72" s="401">
        <v>4</v>
      </c>
      <c r="C72" s="405"/>
      <c r="D72" s="608">
        <v>48720</v>
      </c>
      <c r="E72" s="459"/>
      <c r="F72" s="420">
        <v>10</v>
      </c>
      <c r="G72" s="432">
        <f t="shared" si="72"/>
        <v>48720</v>
      </c>
      <c r="H72" s="611"/>
      <c r="I72" s="433">
        <f t="shared" si="73"/>
        <v>450</v>
      </c>
      <c r="J72" s="433">
        <f t="shared" si="74"/>
        <v>48720</v>
      </c>
      <c r="K72" s="433">
        <v>1</v>
      </c>
      <c r="L72" s="421">
        <v>1</v>
      </c>
      <c r="M72" s="435">
        <f t="shared" si="75"/>
        <v>48.72</v>
      </c>
      <c r="N72" s="435">
        <f t="shared" si="76"/>
        <v>0.61699999999999999</v>
      </c>
      <c r="O72" s="460">
        <f t="shared" si="77"/>
        <v>30.06024</v>
      </c>
      <c r="P72" s="518"/>
    </row>
    <row r="73" spans="1:18" s="443" customFormat="1" ht="31.5" customHeight="1">
      <c r="A73" s="835"/>
      <c r="B73" s="401">
        <v>5</v>
      </c>
      <c r="C73" s="405"/>
      <c r="D73" s="608">
        <v>44660</v>
      </c>
      <c r="E73" s="459"/>
      <c r="F73" s="420">
        <v>10</v>
      </c>
      <c r="G73" s="432">
        <f t="shared" si="72"/>
        <v>44660</v>
      </c>
      <c r="H73" s="611"/>
      <c r="I73" s="433">
        <f t="shared" si="73"/>
        <v>450</v>
      </c>
      <c r="J73" s="433">
        <f t="shared" si="74"/>
        <v>44660</v>
      </c>
      <c r="K73" s="433">
        <v>1</v>
      </c>
      <c r="L73" s="421">
        <v>1</v>
      </c>
      <c r="M73" s="435">
        <f t="shared" si="75"/>
        <v>44.66</v>
      </c>
      <c r="N73" s="435">
        <f t="shared" si="76"/>
        <v>0.61699999999999999</v>
      </c>
      <c r="O73" s="460">
        <f t="shared" si="77"/>
        <v>27.555219999999998</v>
      </c>
      <c r="P73" s="518"/>
    </row>
    <row r="74" spans="1:18" s="443" customFormat="1" ht="31.5" customHeight="1">
      <c r="A74" s="835"/>
      <c r="B74" s="401">
        <v>6</v>
      </c>
      <c r="C74" s="405"/>
      <c r="D74" s="608">
        <v>46770</v>
      </c>
      <c r="E74" s="459"/>
      <c r="F74" s="420">
        <v>10</v>
      </c>
      <c r="G74" s="432">
        <f t="shared" si="72"/>
        <v>46770</v>
      </c>
      <c r="H74" s="611"/>
      <c r="I74" s="433">
        <f t="shared" si="73"/>
        <v>450</v>
      </c>
      <c r="J74" s="433">
        <f t="shared" si="74"/>
        <v>46770</v>
      </c>
      <c r="K74" s="433">
        <v>1</v>
      </c>
      <c r="L74" s="421">
        <v>1</v>
      </c>
      <c r="M74" s="435">
        <f t="shared" si="75"/>
        <v>46.77</v>
      </c>
      <c r="N74" s="435">
        <f t="shared" si="76"/>
        <v>0.61699999999999999</v>
      </c>
      <c r="O74" s="460">
        <f t="shared" si="77"/>
        <v>28.857090000000003</v>
      </c>
      <c r="P74" s="518"/>
    </row>
    <row r="75" spans="1:18" s="443" customFormat="1" ht="31.5" customHeight="1">
      <c r="A75" s="835"/>
      <c r="B75" s="401">
        <v>7</v>
      </c>
      <c r="C75" s="405"/>
      <c r="D75" s="608">
        <v>61898</v>
      </c>
      <c r="E75" s="459"/>
      <c r="F75" s="420">
        <v>10</v>
      </c>
      <c r="G75" s="432">
        <f t="shared" si="72"/>
        <v>61898</v>
      </c>
      <c r="H75" s="611"/>
      <c r="I75" s="433">
        <f t="shared" si="73"/>
        <v>450</v>
      </c>
      <c r="J75" s="433">
        <f t="shared" si="74"/>
        <v>61898</v>
      </c>
      <c r="K75" s="433">
        <v>1</v>
      </c>
      <c r="L75" s="421">
        <v>1</v>
      </c>
      <c r="M75" s="435">
        <f t="shared" si="75"/>
        <v>61.898000000000003</v>
      </c>
      <c r="N75" s="435">
        <f t="shared" si="76"/>
        <v>0.61699999999999999</v>
      </c>
      <c r="O75" s="460">
        <f t="shared" si="77"/>
        <v>38.191065999999999</v>
      </c>
      <c r="P75" s="518"/>
    </row>
    <row r="76" spans="1:18" s="443" customFormat="1" ht="31.5" customHeight="1">
      <c r="A76" s="834" t="s">
        <v>586</v>
      </c>
      <c r="B76" s="401">
        <v>9</v>
      </c>
      <c r="C76" s="405"/>
      <c r="D76" s="608">
        <v>84088</v>
      </c>
      <c r="E76" s="459"/>
      <c r="F76" s="420">
        <v>10</v>
      </c>
      <c r="G76" s="432">
        <f t="shared" si="72"/>
        <v>84088</v>
      </c>
      <c r="H76" s="611"/>
      <c r="I76" s="433">
        <f>45*F76</f>
        <v>450</v>
      </c>
      <c r="J76" s="433">
        <f>+I76*H76+G76</f>
        <v>84088</v>
      </c>
      <c r="K76" s="433">
        <v>1</v>
      </c>
      <c r="L76" s="433">
        <v>1</v>
      </c>
      <c r="M76" s="435">
        <f>J76*K76*L76/1000</f>
        <v>84.087999999999994</v>
      </c>
      <c r="N76" s="435">
        <f>_xlfn.XLOOKUP(F76,$R$5:$Z$5,$R$6:$Z$6,"NOT_FOUND",0)</f>
        <v>0.61699999999999999</v>
      </c>
      <c r="O76" s="460">
        <f>M76*N76</f>
        <v>51.882295999999997</v>
      </c>
      <c r="P76" s="412" t="s">
        <v>349</v>
      </c>
    </row>
    <row r="77" spans="1:18" s="443" customFormat="1" ht="31.5" customHeight="1">
      <c r="A77" s="835"/>
      <c r="B77" s="401">
        <v>10</v>
      </c>
      <c r="C77" s="405"/>
      <c r="D77" s="608">
        <v>52075</v>
      </c>
      <c r="E77" s="459"/>
      <c r="F77" s="420">
        <v>10</v>
      </c>
      <c r="G77" s="432">
        <f t="shared" si="72"/>
        <v>52075</v>
      </c>
      <c r="H77" s="611"/>
      <c r="I77" s="433">
        <f t="shared" ref="I77:I82" si="78">45*F77</f>
        <v>450</v>
      </c>
      <c r="J77" s="433">
        <f t="shared" ref="J77:J82" si="79">+I77*H77+G77</f>
        <v>52075</v>
      </c>
      <c r="K77" s="433">
        <v>1</v>
      </c>
      <c r="L77" s="421">
        <v>1</v>
      </c>
      <c r="M77" s="435">
        <f t="shared" ref="M77:M82" si="80">J77*K77*L77/1000</f>
        <v>52.075000000000003</v>
      </c>
      <c r="N77" s="435">
        <f t="shared" ref="N77:N82" si="81">_xlfn.XLOOKUP(F77,$R$5:$Z$5,$R$6:$Z$6,"NOT_FOUND",0)</f>
        <v>0.61699999999999999</v>
      </c>
      <c r="O77" s="460">
        <f t="shared" ref="O77:O82" si="82">M77*N77</f>
        <v>32.130275000000005</v>
      </c>
      <c r="P77" s="518"/>
    </row>
    <row r="78" spans="1:18" s="443" customFormat="1" ht="31.5" customHeight="1">
      <c r="A78" s="835"/>
      <c r="B78" s="401">
        <v>11</v>
      </c>
      <c r="C78" s="405"/>
      <c r="D78" s="608">
        <v>61967</v>
      </c>
      <c r="E78" s="459"/>
      <c r="F78" s="420">
        <v>10</v>
      </c>
      <c r="G78" s="432">
        <f t="shared" si="72"/>
        <v>61967</v>
      </c>
      <c r="H78" s="611"/>
      <c r="I78" s="433">
        <f t="shared" si="78"/>
        <v>450</v>
      </c>
      <c r="J78" s="433">
        <f t="shared" si="79"/>
        <v>61967</v>
      </c>
      <c r="K78" s="433">
        <v>1</v>
      </c>
      <c r="L78" s="421">
        <v>1</v>
      </c>
      <c r="M78" s="435">
        <f t="shared" si="80"/>
        <v>61.966999999999999</v>
      </c>
      <c r="N78" s="435">
        <f t="shared" si="81"/>
        <v>0.61699999999999999</v>
      </c>
      <c r="O78" s="460">
        <f t="shared" si="82"/>
        <v>38.233638999999997</v>
      </c>
      <c r="P78" s="518"/>
    </row>
    <row r="79" spans="1:18" s="443" customFormat="1" ht="31.5" customHeight="1">
      <c r="A79" s="835"/>
      <c r="B79" s="401">
        <v>12</v>
      </c>
      <c r="C79" s="405"/>
      <c r="D79" s="608">
        <v>73080</v>
      </c>
      <c r="E79" s="459"/>
      <c r="F79" s="420">
        <v>10</v>
      </c>
      <c r="G79" s="432">
        <f t="shared" si="72"/>
        <v>73080</v>
      </c>
      <c r="H79" s="611"/>
      <c r="I79" s="433">
        <f t="shared" si="78"/>
        <v>450</v>
      </c>
      <c r="J79" s="433">
        <f t="shared" si="79"/>
        <v>73080</v>
      </c>
      <c r="K79" s="433">
        <v>1</v>
      </c>
      <c r="L79" s="421">
        <v>1</v>
      </c>
      <c r="M79" s="435">
        <f t="shared" si="80"/>
        <v>73.08</v>
      </c>
      <c r="N79" s="435">
        <f t="shared" si="81"/>
        <v>0.61699999999999999</v>
      </c>
      <c r="O79" s="460">
        <f t="shared" si="82"/>
        <v>45.090359999999997</v>
      </c>
      <c r="P79" s="518"/>
    </row>
    <row r="80" spans="1:18" s="443" customFormat="1" ht="31.5" customHeight="1">
      <c r="A80" s="835"/>
      <c r="B80" s="401">
        <v>13</v>
      </c>
      <c r="C80" s="405"/>
      <c r="D80" s="608">
        <v>73080</v>
      </c>
      <c r="E80" s="459"/>
      <c r="F80" s="420">
        <v>10</v>
      </c>
      <c r="G80" s="432">
        <f t="shared" si="72"/>
        <v>73080</v>
      </c>
      <c r="H80" s="611"/>
      <c r="I80" s="433">
        <f t="shared" si="78"/>
        <v>450</v>
      </c>
      <c r="J80" s="433">
        <f t="shared" si="79"/>
        <v>73080</v>
      </c>
      <c r="K80" s="433">
        <v>1</v>
      </c>
      <c r="L80" s="421">
        <v>1</v>
      </c>
      <c r="M80" s="435">
        <f t="shared" si="80"/>
        <v>73.08</v>
      </c>
      <c r="N80" s="435">
        <f t="shared" si="81"/>
        <v>0.61699999999999999</v>
      </c>
      <c r="O80" s="460">
        <f t="shared" si="82"/>
        <v>45.090359999999997</v>
      </c>
      <c r="P80" s="518"/>
    </row>
    <row r="81" spans="1:16" s="443" customFormat="1" ht="31.5" customHeight="1">
      <c r="A81" s="835"/>
      <c r="B81" s="401">
        <v>14</v>
      </c>
      <c r="C81" s="405"/>
      <c r="D81" s="608">
        <v>73080</v>
      </c>
      <c r="E81" s="459"/>
      <c r="F81" s="420">
        <v>10</v>
      </c>
      <c r="G81" s="432">
        <f t="shared" si="72"/>
        <v>73080</v>
      </c>
      <c r="H81" s="611"/>
      <c r="I81" s="433">
        <f t="shared" si="78"/>
        <v>450</v>
      </c>
      <c r="J81" s="433">
        <f t="shared" si="79"/>
        <v>73080</v>
      </c>
      <c r="K81" s="433">
        <v>1</v>
      </c>
      <c r="L81" s="421">
        <v>1</v>
      </c>
      <c r="M81" s="435">
        <f t="shared" si="80"/>
        <v>73.08</v>
      </c>
      <c r="N81" s="435">
        <f t="shared" si="81"/>
        <v>0.61699999999999999</v>
      </c>
      <c r="O81" s="460">
        <f t="shared" si="82"/>
        <v>45.090359999999997</v>
      </c>
      <c r="P81" s="518"/>
    </row>
    <row r="82" spans="1:16" s="443" customFormat="1" ht="31.5" customHeight="1">
      <c r="A82" s="835"/>
      <c r="B82" s="401">
        <v>15</v>
      </c>
      <c r="C82" s="405"/>
      <c r="D82" s="608">
        <v>92930</v>
      </c>
      <c r="E82" s="459"/>
      <c r="F82" s="420">
        <v>10</v>
      </c>
      <c r="G82" s="432">
        <f t="shared" si="72"/>
        <v>92930</v>
      </c>
      <c r="H82" s="611"/>
      <c r="I82" s="433">
        <f t="shared" si="78"/>
        <v>450</v>
      </c>
      <c r="J82" s="433">
        <f t="shared" si="79"/>
        <v>92930</v>
      </c>
      <c r="K82" s="433">
        <v>1</v>
      </c>
      <c r="L82" s="421">
        <v>1</v>
      </c>
      <c r="M82" s="435">
        <f t="shared" si="80"/>
        <v>92.93</v>
      </c>
      <c r="N82" s="435">
        <f t="shared" si="81"/>
        <v>0.61699999999999999</v>
      </c>
      <c r="O82" s="460">
        <f t="shared" si="82"/>
        <v>57.337810000000005</v>
      </c>
      <c r="P82" s="518"/>
    </row>
    <row r="83" spans="1:16" s="443" customFormat="1" ht="31.5" customHeight="1">
      <c r="A83" s="834" t="s">
        <v>606</v>
      </c>
      <c r="B83" s="401">
        <v>16</v>
      </c>
      <c r="C83" s="405"/>
      <c r="D83" s="608">
        <v>44660</v>
      </c>
      <c r="E83" s="459"/>
      <c r="F83" s="420">
        <v>10</v>
      </c>
      <c r="G83" s="432">
        <f t="shared" si="72"/>
        <v>44660</v>
      </c>
      <c r="H83" s="611"/>
      <c r="I83" s="433">
        <f>45*F83</f>
        <v>450</v>
      </c>
      <c r="J83" s="433">
        <f>+I83*H83+G83</f>
        <v>44660</v>
      </c>
      <c r="K83" s="433">
        <v>1</v>
      </c>
      <c r="L83" s="433">
        <v>1</v>
      </c>
      <c r="M83" s="435">
        <f>J83*K83*L83/1000</f>
        <v>44.66</v>
      </c>
      <c r="N83" s="435">
        <f>_xlfn.XLOOKUP(F83,$R$5:$Z$5,$R$6:$Z$6,"NOT_FOUND",0)</f>
        <v>0.61699999999999999</v>
      </c>
      <c r="O83" s="460">
        <f>M83*N83</f>
        <v>27.555219999999998</v>
      </c>
      <c r="P83" s="412" t="s">
        <v>349</v>
      </c>
    </row>
    <row r="84" spans="1:16" s="443" customFormat="1" ht="31.5" customHeight="1">
      <c r="A84" s="835"/>
      <c r="B84" s="401">
        <v>17</v>
      </c>
      <c r="C84" s="405"/>
      <c r="D84" s="608">
        <v>57100</v>
      </c>
      <c r="E84" s="459"/>
      <c r="F84" s="420">
        <v>10</v>
      </c>
      <c r="G84" s="432">
        <f t="shared" si="72"/>
        <v>57100</v>
      </c>
      <c r="H84" s="611"/>
      <c r="I84" s="433">
        <f t="shared" ref="I84:I90" si="83">45*F84</f>
        <v>450</v>
      </c>
      <c r="J84" s="433">
        <f t="shared" ref="J84:J90" si="84">+I84*H84+G84</f>
        <v>57100</v>
      </c>
      <c r="K84" s="433">
        <v>1</v>
      </c>
      <c r="L84" s="421">
        <v>1</v>
      </c>
      <c r="M84" s="435">
        <f t="shared" ref="M84:M90" si="85">J84*K84*L84/1000</f>
        <v>57.1</v>
      </c>
      <c r="N84" s="435">
        <f t="shared" ref="N84:N90" si="86">_xlfn.XLOOKUP(F84,$R$5:$Z$5,$R$6:$Z$6,"NOT_FOUND",0)</f>
        <v>0.61699999999999999</v>
      </c>
      <c r="O84" s="460">
        <f t="shared" ref="O84:O90" si="87">M84*N84</f>
        <v>35.230699999999999</v>
      </c>
      <c r="P84" s="518"/>
    </row>
    <row r="85" spans="1:16" s="443" customFormat="1" ht="31.5" customHeight="1">
      <c r="A85" s="835"/>
      <c r="B85" s="401">
        <v>18</v>
      </c>
      <c r="C85" s="405"/>
      <c r="D85" s="608">
        <v>67540</v>
      </c>
      <c r="E85" s="459"/>
      <c r="F85" s="420">
        <v>10</v>
      </c>
      <c r="G85" s="432">
        <f t="shared" si="72"/>
        <v>67540</v>
      </c>
      <c r="H85" s="611"/>
      <c r="I85" s="433">
        <f t="shared" si="83"/>
        <v>450</v>
      </c>
      <c r="J85" s="433">
        <f t="shared" si="84"/>
        <v>67540</v>
      </c>
      <c r="K85" s="433">
        <v>1</v>
      </c>
      <c r="L85" s="421">
        <v>1</v>
      </c>
      <c r="M85" s="435">
        <f t="shared" si="85"/>
        <v>67.540000000000006</v>
      </c>
      <c r="N85" s="435">
        <f t="shared" si="86"/>
        <v>0.61699999999999999</v>
      </c>
      <c r="O85" s="460">
        <f t="shared" si="87"/>
        <v>41.672180000000004</v>
      </c>
      <c r="P85" s="518"/>
    </row>
    <row r="86" spans="1:16" s="443" customFormat="1" ht="31.5" customHeight="1">
      <c r="A86" s="835"/>
      <c r="B86" s="401">
        <v>19</v>
      </c>
      <c r="C86" s="405"/>
      <c r="D86" s="608">
        <v>55870</v>
      </c>
      <c r="E86" s="459"/>
      <c r="F86" s="420">
        <v>10</v>
      </c>
      <c r="G86" s="432">
        <f t="shared" si="72"/>
        <v>55870</v>
      </c>
      <c r="H86" s="611"/>
      <c r="I86" s="433">
        <f t="shared" si="83"/>
        <v>450</v>
      </c>
      <c r="J86" s="433">
        <f t="shared" si="84"/>
        <v>55870</v>
      </c>
      <c r="K86" s="433">
        <v>1</v>
      </c>
      <c r="L86" s="421">
        <v>1</v>
      </c>
      <c r="M86" s="435">
        <f t="shared" si="85"/>
        <v>55.87</v>
      </c>
      <c r="N86" s="435">
        <f t="shared" si="86"/>
        <v>0.61699999999999999</v>
      </c>
      <c r="O86" s="460">
        <f t="shared" si="87"/>
        <v>34.471789999999999</v>
      </c>
      <c r="P86" s="518"/>
    </row>
    <row r="87" spans="1:16" s="443" customFormat="1" ht="31.5" customHeight="1">
      <c r="A87" s="835"/>
      <c r="B87" s="401">
        <v>20</v>
      </c>
      <c r="C87" s="405"/>
      <c r="D87" s="608">
        <v>52734</v>
      </c>
      <c r="E87" s="459"/>
      <c r="F87" s="420">
        <v>10</v>
      </c>
      <c r="G87" s="432">
        <f t="shared" si="72"/>
        <v>52734</v>
      </c>
      <c r="H87" s="611"/>
      <c r="I87" s="433">
        <f t="shared" si="83"/>
        <v>450</v>
      </c>
      <c r="J87" s="433">
        <f t="shared" si="84"/>
        <v>52734</v>
      </c>
      <c r="K87" s="433">
        <v>1</v>
      </c>
      <c r="L87" s="421">
        <v>1</v>
      </c>
      <c r="M87" s="435">
        <f t="shared" si="85"/>
        <v>52.734000000000002</v>
      </c>
      <c r="N87" s="435">
        <f t="shared" si="86"/>
        <v>0.61699999999999999</v>
      </c>
      <c r="O87" s="460">
        <f t="shared" si="87"/>
        <v>32.536878000000002</v>
      </c>
      <c r="P87" s="518"/>
    </row>
    <row r="88" spans="1:16" s="443" customFormat="1" ht="31.5" customHeight="1">
      <c r="A88" s="835"/>
      <c r="B88" s="401">
        <v>21</v>
      </c>
      <c r="C88" s="405"/>
      <c r="D88" s="608">
        <v>92588</v>
      </c>
      <c r="E88" s="459"/>
      <c r="F88" s="420">
        <v>10</v>
      </c>
      <c r="G88" s="432">
        <f t="shared" si="72"/>
        <v>92588</v>
      </c>
      <c r="H88" s="611">
        <f t="shared" ref="H88" si="88">ROUNDUP((G88/11.7/1000),0)-1</f>
        <v>7</v>
      </c>
      <c r="I88" s="433">
        <f t="shared" si="83"/>
        <v>450</v>
      </c>
      <c r="J88" s="433">
        <f t="shared" si="84"/>
        <v>95738</v>
      </c>
      <c r="K88" s="433">
        <v>1</v>
      </c>
      <c r="L88" s="421">
        <v>1</v>
      </c>
      <c r="M88" s="435">
        <f t="shared" si="85"/>
        <v>95.738</v>
      </c>
      <c r="N88" s="435">
        <f t="shared" si="86"/>
        <v>0.61699999999999999</v>
      </c>
      <c r="O88" s="460">
        <f t="shared" si="87"/>
        <v>59.070346000000001</v>
      </c>
      <c r="P88" s="518"/>
    </row>
    <row r="89" spans="1:16" s="443" customFormat="1" ht="31.5" customHeight="1">
      <c r="A89" s="835"/>
      <c r="B89" s="401">
        <v>22</v>
      </c>
      <c r="C89" s="405"/>
      <c r="D89" s="608">
        <v>39147</v>
      </c>
      <c r="E89" s="459"/>
      <c r="F89" s="420">
        <v>10</v>
      </c>
      <c r="G89" s="432">
        <f t="shared" si="72"/>
        <v>39147</v>
      </c>
      <c r="H89" s="611"/>
      <c r="I89" s="433">
        <f t="shared" si="83"/>
        <v>450</v>
      </c>
      <c r="J89" s="433">
        <f t="shared" si="84"/>
        <v>39147</v>
      </c>
      <c r="K89" s="433">
        <v>1</v>
      </c>
      <c r="L89" s="421">
        <v>1</v>
      </c>
      <c r="M89" s="435">
        <f t="shared" si="85"/>
        <v>39.146999999999998</v>
      </c>
      <c r="N89" s="435">
        <f t="shared" si="86"/>
        <v>0.61699999999999999</v>
      </c>
      <c r="O89" s="460">
        <f t="shared" si="87"/>
        <v>24.153699</v>
      </c>
      <c r="P89" s="518"/>
    </row>
    <row r="90" spans="1:16" s="443" customFormat="1" ht="31.5" customHeight="1">
      <c r="A90" s="835"/>
      <c r="B90" s="401">
        <v>23</v>
      </c>
      <c r="C90" s="405"/>
      <c r="D90" s="608">
        <v>43737</v>
      </c>
      <c r="E90" s="459"/>
      <c r="F90" s="420">
        <v>10</v>
      </c>
      <c r="G90" s="432">
        <f t="shared" si="72"/>
        <v>43737</v>
      </c>
      <c r="H90" s="611"/>
      <c r="I90" s="433">
        <f t="shared" si="83"/>
        <v>450</v>
      </c>
      <c r="J90" s="433">
        <f t="shared" si="84"/>
        <v>43737</v>
      </c>
      <c r="K90" s="433">
        <v>1</v>
      </c>
      <c r="L90" s="421">
        <v>1</v>
      </c>
      <c r="M90" s="435">
        <f t="shared" si="85"/>
        <v>43.737000000000002</v>
      </c>
      <c r="N90" s="435">
        <f t="shared" si="86"/>
        <v>0.61699999999999999</v>
      </c>
      <c r="O90" s="460">
        <f t="shared" si="87"/>
        <v>26.985728999999999</v>
      </c>
      <c r="P90" s="518"/>
    </row>
    <row r="91" spans="1:16" s="443" customFormat="1" ht="31.5" customHeight="1">
      <c r="A91" s="888" t="s">
        <v>598</v>
      </c>
      <c r="B91" s="401">
        <v>24</v>
      </c>
      <c r="C91" s="405"/>
      <c r="D91" s="608">
        <v>48722</v>
      </c>
      <c r="E91" s="459"/>
      <c r="F91" s="420">
        <v>10</v>
      </c>
      <c r="G91" s="432">
        <f t="shared" ref="G91:G92" si="89">C91+D91+E91</f>
        <v>48722</v>
      </c>
      <c r="H91" s="611"/>
      <c r="I91" s="433">
        <f t="shared" ref="I91:I92" si="90">45*F91</f>
        <v>450</v>
      </c>
      <c r="J91" s="433">
        <f t="shared" ref="J91:J92" si="91">+I91*H91+G91</f>
        <v>48722</v>
      </c>
      <c r="K91" s="433">
        <v>1</v>
      </c>
      <c r="L91" s="421">
        <v>1</v>
      </c>
      <c r="M91" s="435">
        <f t="shared" ref="M91:M92" si="92">J91*K91*L91/1000</f>
        <v>48.722000000000001</v>
      </c>
      <c r="N91" s="435">
        <f t="shared" ref="N91:N92" si="93">_xlfn.XLOOKUP(F91,$R$5:$Z$5,$R$6:$Z$6,"NOT_FOUND",0)</f>
        <v>0.61699999999999999</v>
      </c>
      <c r="O91" s="460">
        <f t="shared" ref="O91:O92" si="94">M91*N91</f>
        <v>30.061474</v>
      </c>
      <c r="P91" s="518"/>
    </row>
    <row r="92" spans="1:16" s="443" customFormat="1" ht="31.5" customHeight="1">
      <c r="A92" s="835"/>
      <c r="B92" s="401">
        <v>25</v>
      </c>
      <c r="C92" s="405"/>
      <c r="D92" s="624">
        <v>52780</v>
      </c>
      <c r="E92" s="459"/>
      <c r="F92" s="420">
        <v>10</v>
      </c>
      <c r="G92" s="625">
        <f t="shared" si="89"/>
        <v>52780</v>
      </c>
      <c r="H92" s="626"/>
      <c r="I92" s="627">
        <f t="shared" si="90"/>
        <v>450</v>
      </c>
      <c r="J92" s="627">
        <f t="shared" si="91"/>
        <v>52780</v>
      </c>
      <c r="K92" s="433">
        <v>1</v>
      </c>
      <c r="L92" s="421">
        <v>1</v>
      </c>
      <c r="M92" s="628">
        <f t="shared" si="92"/>
        <v>52.78</v>
      </c>
      <c r="N92" s="628">
        <f t="shared" si="93"/>
        <v>0.61699999999999999</v>
      </c>
      <c r="O92" s="460">
        <f t="shared" si="94"/>
        <v>32.565260000000002</v>
      </c>
      <c r="P92" s="518"/>
    </row>
    <row r="93" spans="1:16" s="443" customFormat="1" ht="31.5" customHeight="1">
      <c r="A93" s="835"/>
      <c r="B93" s="401">
        <v>26</v>
      </c>
      <c r="C93" s="405"/>
      <c r="D93" s="614">
        <v>52780</v>
      </c>
      <c r="E93" s="459"/>
      <c r="F93" s="616">
        <v>10</v>
      </c>
      <c r="G93" s="617">
        <f t="shared" si="72"/>
        <v>52780</v>
      </c>
      <c r="H93" s="618"/>
      <c r="I93" s="619">
        <f>45*F93</f>
        <v>450</v>
      </c>
      <c r="J93" s="619">
        <f>+I93*H93+G93</f>
        <v>52780</v>
      </c>
      <c r="K93" s="619">
        <v>1</v>
      </c>
      <c r="L93" s="619">
        <v>1</v>
      </c>
      <c r="M93" s="620">
        <f>J93*K93*L93/1000</f>
        <v>52.78</v>
      </c>
      <c r="N93" s="620">
        <f>_xlfn.XLOOKUP(F93,$R$5:$Z$5,$R$6:$Z$6,"NOT_FOUND",0)</f>
        <v>0.61699999999999999</v>
      </c>
      <c r="O93" s="621">
        <f>M93*N93</f>
        <v>32.565260000000002</v>
      </c>
      <c r="P93" s="622" t="s">
        <v>349</v>
      </c>
    </row>
    <row r="94" spans="1:16" s="443" customFormat="1" ht="31.5" customHeight="1">
      <c r="A94" s="835"/>
      <c r="B94" s="401">
        <v>27</v>
      </c>
      <c r="C94" s="405"/>
      <c r="D94" s="608">
        <v>52780</v>
      </c>
      <c r="E94" s="459"/>
      <c r="F94" s="420">
        <v>10</v>
      </c>
      <c r="G94" s="432">
        <f t="shared" si="72"/>
        <v>52780</v>
      </c>
      <c r="H94" s="611"/>
      <c r="I94" s="433">
        <f t="shared" ref="I94:I97" si="95">45*F94</f>
        <v>450</v>
      </c>
      <c r="J94" s="433">
        <f t="shared" ref="J94:J97" si="96">+I94*H94+G94</f>
        <v>52780</v>
      </c>
      <c r="K94" s="421">
        <v>1</v>
      </c>
      <c r="L94" s="421">
        <v>1</v>
      </c>
      <c r="M94" s="435">
        <f t="shared" ref="M94:M97" si="97">J94*K94*L94/1000</f>
        <v>52.78</v>
      </c>
      <c r="N94" s="435">
        <f t="shared" ref="N94:N95" si="98">_xlfn.XLOOKUP(F94,$R$5:$Z$5,$R$6:$Z$6,"NOT_FOUND",0)</f>
        <v>0.61699999999999999</v>
      </c>
      <c r="O94" s="460">
        <f t="shared" ref="O94:O97" si="99">M94*N94</f>
        <v>32.565260000000002</v>
      </c>
      <c r="P94" s="518"/>
    </row>
    <row r="95" spans="1:16" s="443" customFormat="1" ht="31.5" customHeight="1">
      <c r="A95" s="835"/>
      <c r="B95" s="401">
        <v>28</v>
      </c>
      <c r="C95" s="405"/>
      <c r="D95" s="608">
        <v>56841</v>
      </c>
      <c r="E95" s="459"/>
      <c r="F95" s="420">
        <v>10</v>
      </c>
      <c r="G95" s="432">
        <f t="shared" si="72"/>
        <v>56841</v>
      </c>
      <c r="H95" s="611"/>
      <c r="I95" s="433">
        <f t="shared" si="95"/>
        <v>450</v>
      </c>
      <c r="J95" s="433">
        <f t="shared" si="96"/>
        <v>56841</v>
      </c>
      <c r="K95" s="421">
        <v>1</v>
      </c>
      <c r="L95" s="421">
        <v>1</v>
      </c>
      <c r="M95" s="435">
        <f t="shared" si="97"/>
        <v>56.841000000000001</v>
      </c>
      <c r="N95" s="435">
        <f t="shared" si="98"/>
        <v>0.61699999999999999</v>
      </c>
      <c r="O95" s="460">
        <f t="shared" si="99"/>
        <v>35.070897000000002</v>
      </c>
      <c r="P95" s="518"/>
    </row>
    <row r="96" spans="1:16" s="443" customFormat="1" ht="31.5" customHeight="1">
      <c r="A96" s="835"/>
      <c r="B96" s="401">
        <v>29</v>
      </c>
      <c r="C96" s="405"/>
      <c r="D96" s="608">
        <v>56841</v>
      </c>
      <c r="E96" s="459"/>
      <c r="F96" s="420">
        <v>10</v>
      </c>
      <c r="G96" s="432">
        <f t="shared" si="72"/>
        <v>56841</v>
      </c>
      <c r="H96" s="611"/>
      <c r="I96" s="433">
        <f t="shared" si="95"/>
        <v>450</v>
      </c>
      <c r="J96" s="433">
        <f t="shared" si="96"/>
        <v>56841</v>
      </c>
      <c r="K96" s="421">
        <v>1</v>
      </c>
      <c r="L96" s="421">
        <v>1</v>
      </c>
      <c r="M96" s="435">
        <f t="shared" si="97"/>
        <v>56.841000000000001</v>
      </c>
      <c r="N96" s="435">
        <f>_xlfn.XLOOKUP(F96,$R$5:$Z$5,$R$6:$Z$6,"NOT_FOUND",0)</f>
        <v>0.61699999999999999</v>
      </c>
      <c r="O96" s="460">
        <f t="shared" si="99"/>
        <v>35.070897000000002</v>
      </c>
      <c r="P96" s="518"/>
    </row>
    <row r="97" spans="1:16" s="443" customFormat="1" ht="31.5" customHeight="1">
      <c r="A97" s="835"/>
      <c r="B97" s="401">
        <v>30</v>
      </c>
      <c r="C97" s="405"/>
      <c r="D97" s="608">
        <v>38582</v>
      </c>
      <c r="E97" s="459"/>
      <c r="F97" s="420">
        <v>10</v>
      </c>
      <c r="G97" s="432">
        <f t="shared" si="72"/>
        <v>38582</v>
      </c>
      <c r="H97" s="611"/>
      <c r="I97" s="433">
        <f t="shared" si="95"/>
        <v>450</v>
      </c>
      <c r="J97" s="433">
        <f t="shared" si="96"/>
        <v>38582</v>
      </c>
      <c r="K97" s="421">
        <v>1</v>
      </c>
      <c r="L97" s="421">
        <v>1</v>
      </c>
      <c r="M97" s="435">
        <f t="shared" si="97"/>
        <v>38.582000000000001</v>
      </c>
      <c r="N97" s="435">
        <f t="shared" ref="N97" si="100">_xlfn.XLOOKUP(F97,$R$5:$Z$5,$R$6:$Z$6,"NOT_FOUND",0)</f>
        <v>0.61699999999999999</v>
      </c>
      <c r="O97" s="460">
        <f t="shared" si="99"/>
        <v>23.805094</v>
      </c>
      <c r="P97" s="518"/>
    </row>
    <row r="98" spans="1:16" s="443" customFormat="1" ht="31.5" customHeight="1">
      <c r="A98" s="834" t="s">
        <v>607</v>
      </c>
      <c r="B98" s="401" t="s">
        <v>605</v>
      </c>
      <c r="C98" s="405"/>
      <c r="D98" s="608">
        <v>44462</v>
      </c>
      <c r="E98" s="459"/>
      <c r="F98" s="420">
        <v>10</v>
      </c>
      <c r="G98" s="432">
        <f>C98+D98+E98</f>
        <v>44462</v>
      </c>
      <c r="H98" s="611"/>
      <c r="I98" s="433">
        <f>45*F98</f>
        <v>450</v>
      </c>
      <c r="J98" s="433">
        <f>+I98*H98+G98</f>
        <v>44462</v>
      </c>
      <c r="K98" s="433">
        <v>1</v>
      </c>
      <c r="L98" s="433">
        <v>1</v>
      </c>
      <c r="M98" s="435">
        <f>J98*K98*L98/1000</f>
        <v>44.462000000000003</v>
      </c>
      <c r="N98" s="435">
        <f>_xlfn.XLOOKUP(F98,$R$5:$Z$5,$R$6:$Z$6,"NOT_FOUND",0)</f>
        <v>0.61699999999999999</v>
      </c>
      <c r="O98" s="460">
        <f>M98*N98</f>
        <v>27.433054000000002</v>
      </c>
      <c r="P98" s="412" t="s">
        <v>349</v>
      </c>
    </row>
    <row r="99" spans="1:16" s="443" customFormat="1" ht="31.5" customHeight="1">
      <c r="A99" s="835"/>
      <c r="B99" s="401" t="s">
        <v>604</v>
      </c>
      <c r="C99" s="405"/>
      <c r="D99" s="608">
        <v>52783</v>
      </c>
      <c r="E99" s="459"/>
      <c r="F99" s="420">
        <v>10</v>
      </c>
      <c r="G99" s="432">
        <f t="shared" ref="G99:G126" si="101">C99+D99+E99</f>
        <v>52783</v>
      </c>
      <c r="H99" s="611"/>
      <c r="I99" s="433">
        <f t="shared" ref="I99:I105" si="102">45*F99</f>
        <v>450</v>
      </c>
      <c r="J99" s="433">
        <f t="shared" ref="J99:J105" si="103">+I99*H99+G99</f>
        <v>52783</v>
      </c>
      <c r="K99" s="433">
        <v>1</v>
      </c>
      <c r="L99" s="421">
        <v>1</v>
      </c>
      <c r="M99" s="435">
        <f t="shared" ref="M99:M105" si="104">J99*K99*L99/1000</f>
        <v>52.783000000000001</v>
      </c>
      <c r="N99" s="435">
        <f t="shared" ref="N99:N105" si="105">_xlfn.XLOOKUP(F99,$R$5:$Z$5,$R$6:$Z$6,"NOT_FOUND",0)</f>
        <v>0.61699999999999999</v>
      </c>
      <c r="O99" s="460">
        <f t="shared" ref="O99:O105" si="106">M99*N99</f>
        <v>32.567110999999997</v>
      </c>
      <c r="P99" s="518"/>
    </row>
    <row r="100" spans="1:16" s="443" customFormat="1" ht="31.5" customHeight="1">
      <c r="A100" s="835"/>
      <c r="B100" s="401" t="s">
        <v>603</v>
      </c>
      <c r="C100" s="405"/>
      <c r="D100" s="608">
        <v>63085</v>
      </c>
      <c r="E100" s="459"/>
      <c r="F100" s="420">
        <v>10</v>
      </c>
      <c r="G100" s="432">
        <f t="shared" si="101"/>
        <v>63085</v>
      </c>
      <c r="H100" s="611"/>
      <c r="I100" s="433">
        <f t="shared" si="102"/>
        <v>450</v>
      </c>
      <c r="J100" s="433">
        <f t="shared" si="103"/>
        <v>63085</v>
      </c>
      <c r="K100" s="433">
        <v>1</v>
      </c>
      <c r="L100" s="421">
        <v>1</v>
      </c>
      <c r="M100" s="435">
        <f t="shared" si="104"/>
        <v>63.085000000000001</v>
      </c>
      <c r="N100" s="435">
        <f t="shared" si="105"/>
        <v>0.61699999999999999</v>
      </c>
      <c r="O100" s="460">
        <f t="shared" si="106"/>
        <v>38.923445000000001</v>
      </c>
      <c r="P100" s="518"/>
    </row>
    <row r="101" spans="1:16" s="443" customFormat="1" ht="31.5" customHeight="1">
      <c r="A101" s="835"/>
      <c r="B101" s="401" t="s">
        <v>602</v>
      </c>
      <c r="C101" s="405"/>
      <c r="D101" s="608">
        <v>61580</v>
      </c>
      <c r="E101" s="459"/>
      <c r="F101" s="420">
        <v>10</v>
      </c>
      <c r="G101" s="432">
        <f t="shared" si="101"/>
        <v>61580</v>
      </c>
      <c r="H101" s="611"/>
      <c r="I101" s="433">
        <f t="shared" si="102"/>
        <v>450</v>
      </c>
      <c r="J101" s="433">
        <f t="shared" si="103"/>
        <v>61580</v>
      </c>
      <c r="K101" s="433">
        <v>1</v>
      </c>
      <c r="L101" s="421">
        <v>1</v>
      </c>
      <c r="M101" s="435">
        <f t="shared" si="104"/>
        <v>61.58</v>
      </c>
      <c r="N101" s="435">
        <f t="shared" si="105"/>
        <v>0.61699999999999999</v>
      </c>
      <c r="O101" s="460">
        <f t="shared" si="106"/>
        <v>37.994859999999996</v>
      </c>
      <c r="P101" s="518"/>
    </row>
    <row r="102" spans="1:16" s="443" customFormat="1" ht="31.5" customHeight="1">
      <c r="A102" s="835"/>
      <c r="B102" s="401" t="s">
        <v>601</v>
      </c>
      <c r="C102" s="405"/>
      <c r="D102" s="608">
        <v>59850</v>
      </c>
      <c r="E102" s="459"/>
      <c r="F102" s="420">
        <v>10</v>
      </c>
      <c r="G102" s="432">
        <f t="shared" si="101"/>
        <v>59850</v>
      </c>
      <c r="H102" s="611"/>
      <c r="I102" s="433">
        <f t="shared" si="102"/>
        <v>450</v>
      </c>
      <c r="J102" s="433">
        <f t="shared" si="103"/>
        <v>59850</v>
      </c>
      <c r="K102" s="433">
        <v>1</v>
      </c>
      <c r="L102" s="421">
        <v>1</v>
      </c>
      <c r="M102" s="435">
        <f t="shared" si="104"/>
        <v>59.85</v>
      </c>
      <c r="N102" s="435">
        <f t="shared" si="105"/>
        <v>0.61699999999999999</v>
      </c>
      <c r="O102" s="460">
        <f t="shared" si="106"/>
        <v>36.92745</v>
      </c>
      <c r="P102" s="518"/>
    </row>
    <row r="103" spans="1:16" s="443" customFormat="1" ht="31.5" customHeight="1">
      <c r="A103" s="835"/>
      <c r="B103" s="401" t="s">
        <v>600</v>
      </c>
      <c r="C103" s="405"/>
      <c r="D103" s="608">
        <v>58277</v>
      </c>
      <c r="E103" s="459"/>
      <c r="F103" s="420">
        <v>10</v>
      </c>
      <c r="G103" s="432">
        <f t="shared" si="101"/>
        <v>58277</v>
      </c>
      <c r="H103" s="611"/>
      <c r="I103" s="433">
        <f t="shared" si="102"/>
        <v>450</v>
      </c>
      <c r="J103" s="433">
        <f t="shared" si="103"/>
        <v>58277</v>
      </c>
      <c r="K103" s="433">
        <v>1</v>
      </c>
      <c r="L103" s="421">
        <v>1</v>
      </c>
      <c r="M103" s="435">
        <f t="shared" si="104"/>
        <v>58.277000000000001</v>
      </c>
      <c r="N103" s="435">
        <f t="shared" si="105"/>
        <v>0.61699999999999999</v>
      </c>
      <c r="O103" s="460">
        <f t="shared" si="106"/>
        <v>35.956909000000003</v>
      </c>
      <c r="P103" s="518"/>
    </row>
    <row r="104" spans="1:16" s="443" customFormat="1" ht="31.5" customHeight="1">
      <c r="A104" s="835"/>
      <c r="B104" s="401" t="s">
        <v>599</v>
      </c>
      <c r="C104" s="405"/>
      <c r="D104" s="608">
        <v>59200</v>
      </c>
      <c r="E104" s="459"/>
      <c r="F104" s="420">
        <v>10</v>
      </c>
      <c r="G104" s="432">
        <f t="shared" si="101"/>
        <v>59200</v>
      </c>
      <c r="H104" s="611"/>
      <c r="I104" s="433">
        <f t="shared" si="102"/>
        <v>450</v>
      </c>
      <c r="J104" s="433">
        <f t="shared" si="103"/>
        <v>59200</v>
      </c>
      <c r="K104" s="433">
        <v>1</v>
      </c>
      <c r="L104" s="421">
        <v>1</v>
      </c>
      <c r="M104" s="435">
        <f t="shared" si="104"/>
        <v>59.2</v>
      </c>
      <c r="N104" s="435">
        <f t="shared" si="105"/>
        <v>0.61699999999999999</v>
      </c>
      <c r="O104" s="460">
        <f t="shared" si="106"/>
        <v>36.526400000000002</v>
      </c>
      <c r="P104" s="518"/>
    </row>
    <row r="105" spans="1:16" s="443" customFormat="1" ht="31.5" customHeight="1">
      <c r="A105" s="835"/>
      <c r="B105" s="401" t="s">
        <v>713</v>
      </c>
      <c r="C105" s="405"/>
      <c r="D105" s="608">
        <v>73891</v>
      </c>
      <c r="E105" s="459"/>
      <c r="F105" s="420">
        <v>10</v>
      </c>
      <c r="G105" s="432">
        <f t="shared" si="101"/>
        <v>73891</v>
      </c>
      <c r="H105" s="611"/>
      <c r="I105" s="433">
        <f t="shared" si="102"/>
        <v>450</v>
      </c>
      <c r="J105" s="433">
        <f t="shared" si="103"/>
        <v>73891</v>
      </c>
      <c r="K105" s="433">
        <v>1</v>
      </c>
      <c r="L105" s="421">
        <v>1</v>
      </c>
      <c r="M105" s="435">
        <f t="shared" si="104"/>
        <v>73.891000000000005</v>
      </c>
      <c r="N105" s="435">
        <f t="shared" si="105"/>
        <v>0.61699999999999999</v>
      </c>
      <c r="O105" s="460">
        <f t="shared" si="106"/>
        <v>45.590747</v>
      </c>
      <c r="P105" s="518"/>
    </row>
    <row r="106" spans="1:16" s="443" customFormat="1" ht="31.5" customHeight="1">
      <c r="A106" s="834" t="s">
        <v>608</v>
      </c>
      <c r="B106" s="401" t="s">
        <v>714</v>
      </c>
      <c r="C106" s="405"/>
      <c r="D106" s="608">
        <v>96084</v>
      </c>
      <c r="E106" s="459"/>
      <c r="F106" s="420">
        <v>10</v>
      </c>
      <c r="G106" s="432">
        <f t="shared" si="101"/>
        <v>96084</v>
      </c>
      <c r="H106" s="611"/>
      <c r="I106" s="433">
        <f>45*F106</f>
        <v>450</v>
      </c>
      <c r="J106" s="433">
        <f>+I106*H106+G106</f>
        <v>96084</v>
      </c>
      <c r="K106" s="433">
        <v>1</v>
      </c>
      <c r="L106" s="433">
        <v>1</v>
      </c>
      <c r="M106" s="435">
        <f>J106*K106*L106/1000</f>
        <v>96.084000000000003</v>
      </c>
      <c r="N106" s="435">
        <f>_xlfn.XLOOKUP(F106,$R$5:$Z$5,$R$6:$Z$6,"NOT_FOUND",0)</f>
        <v>0.61699999999999999</v>
      </c>
      <c r="O106" s="460">
        <f>M106*N106</f>
        <v>59.283828</v>
      </c>
      <c r="P106" s="412" t="s">
        <v>349</v>
      </c>
    </row>
    <row r="107" spans="1:16" s="443" customFormat="1" ht="31.5" customHeight="1">
      <c r="A107" s="835"/>
      <c r="B107" s="401" t="s">
        <v>715</v>
      </c>
      <c r="C107" s="405"/>
      <c r="D107" s="608">
        <v>64072</v>
      </c>
      <c r="E107" s="459"/>
      <c r="F107" s="420">
        <v>10</v>
      </c>
      <c r="G107" s="432">
        <f t="shared" si="101"/>
        <v>64072</v>
      </c>
      <c r="H107" s="611"/>
      <c r="I107" s="433">
        <f t="shared" ref="I107:I112" si="107">45*F107</f>
        <v>450</v>
      </c>
      <c r="J107" s="433">
        <f t="shared" ref="J107:J112" si="108">+I107*H107+G107</f>
        <v>64072</v>
      </c>
      <c r="K107" s="433">
        <v>1</v>
      </c>
      <c r="L107" s="421">
        <v>1</v>
      </c>
      <c r="M107" s="435">
        <f t="shared" ref="M107:M112" si="109">J107*K107*L107/1000</f>
        <v>64.072000000000003</v>
      </c>
      <c r="N107" s="435">
        <f t="shared" ref="N107:N112" si="110">_xlfn.XLOOKUP(F107,$R$5:$Z$5,$R$6:$Z$6,"NOT_FOUND",0)</f>
        <v>0.61699999999999999</v>
      </c>
      <c r="O107" s="460">
        <f t="shared" ref="O107:O112" si="111">M107*N107</f>
        <v>39.532423999999999</v>
      </c>
      <c r="P107" s="518"/>
    </row>
    <row r="108" spans="1:16" s="443" customFormat="1" ht="31.5" customHeight="1">
      <c r="A108" s="835"/>
      <c r="B108" s="401" t="s">
        <v>716</v>
      </c>
      <c r="C108" s="405"/>
      <c r="D108" s="608">
        <v>72523</v>
      </c>
      <c r="E108" s="459"/>
      <c r="F108" s="420">
        <v>10</v>
      </c>
      <c r="G108" s="432">
        <f t="shared" si="101"/>
        <v>72523</v>
      </c>
      <c r="H108" s="611"/>
      <c r="I108" s="433">
        <f t="shared" si="107"/>
        <v>450</v>
      </c>
      <c r="J108" s="433">
        <f t="shared" si="108"/>
        <v>72523</v>
      </c>
      <c r="K108" s="433">
        <v>1</v>
      </c>
      <c r="L108" s="421">
        <v>1</v>
      </c>
      <c r="M108" s="435">
        <f t="shared" si="109"/>
        <v>72.522999999999996</v>
      </c>
      <c r="N108" s="435">
        <f t="shared" si="110"/>
        <v>0.61699999999999999</v>
      </c>
      <c r="O108" s="460">
        <f t="shared" si="111"/>
        <v>44.746690999999998</v>
      </c>
      <c r="P108" s="518"/>
    </row>
    <row r="109" spans="1:16" s="443" customFormat="1" ht="31.5" customHeight="1">
      <c r="A109" s="835"/>
      <c r="B109" s="401" t="s">
        <v>717</v>
      </c>
      <c r="C109" s="405"/>
      <c r="D109" s="608">
        <v>85590</v>
      </c>
      <c r="E109" s="459"/>
      <c r="F109" s="420">
        <v>10</v>
      </c>
      <c r="G109" s="432">
        <f t="shared" si="101"/>
        <v>85590</v>
      </c>
      <c r="H109" s="611"/>
      <c r="I109" s="433">
        <f t="shared" si="107"/>
        <v>450</v>
      </c>
      <c r="J109" s="433">
        <f t="shared" si="108"/>
        <v>85590</v>
      </c>
      <c r="K109" s="433">
        <v>1</v>
      </c>
      <c r="L109" s="421">
        <v>1</v>
      </c>
      <c r="M109" s="435">
        <f t="shared" si="109"/>
        <v>85.59</v>
      </c>
      <c r="N109" s="435">
        <f t="shared" si="110"/>
        <v>0.61699999999999999</v>
      </c>
      <c r="O109" s="460">
        <f t="shared" si="111"/>
        <v>52.80903</v>
      </c>
      <c r="P109" s="518"/>
    </row>
    <row r="110" spans="1:16" s="443" customFormat="1" ht="31.5" customHeight="1">
      <c r="A110" s="835"/>
      <c r="B110" s="401" t="s">
        <v>718</v>
      </c>
      <c r="C110" s="405"/>
      <c r="D110" s="608">
        <v>86050</v>
      </c>
      <c r="E110" s="459"/>
      <c r="F110" s="420">
        <v>10</v>
      </c>
      <c r="G110" s="432">
        <f t="shared" si="101"/>
        <v>86050</v>
      </c>
      <c r="H110" s="611"/>
      <c r="I110" s="433">
        <f t="shared" si="107"/>
        <v>450</v>
      </c>
      <c r="J110" s="433">
        <f t="shared" si="108"/>
        <v>86050</v>
      </c>
      <c r="K110" s="433">
        <v>1</v>
      </c>
      <c r="L110" s="421">
        <v>1</v>
      </c>
      <c r="M110" s="435">
        <f>J110*K110*L110/1000</f>
        <v>86.05</v>
      </c>
      <c r="N110" s="435">
        <f t="shared" si="110"/>
        <v>0.61699999999999999</v>
      </c>
      <c r="O110" s="460">
        <f t="shared" si="111"/>
        <v>53.092849999999999</v>
      </c>
      <c r="P110" s="518"/>
    </row>
    <row r="111" spans="1:16" s="443" customFormat="1" ht="31.5" customHeight="1">
      <c r="A111" s="835"/>
      <c r="B111" s="401" t="s">
        <v>719</v>
      </c>
      <c r="C111" s="405"/>
      <c r="D111" s="608">
        <v>85925</v>
      </c>
      <c r="E111" s="459"/>
      <c r="F111" s="420">
        <v>10</v>
      </c>
      <c r="G111" s="432">
        <f t="shared" si="101"/>
        <v>85925</v>
      </c>
      <c r="H111" s="611"/>
      <c r="I111" s="433">
        <f t="shared" si="107"/>
        <v>450</v>
      </c>
      <c r="J111" s="433">
        <f t="shared" si="108"/>
        <v>85925</v>
      </c>
      <c r="K111" s="433">
        <v>1</v>
      </c>
      <c r="L111" s="421">
        <v>1</v>
      </c>
      <c r="M111" s="435">
        <f t="shared" si="109"/>
        <v>85.924999999999997</v>
      </c>
      <c r="N111" s="435">
        <f t="shared" si="110"/>
        <v>0.61699999999999999</v>
      </c>
      <c r="O111" s="460">
        <f t="shared" si="111"/>
        <v>53.015724999999996</v>
      </c>
      <c r="P111" s="518"/>
    </row>
    <row r="112" spans="1:16" s="443" customFormat="1" ht="31.5" customHeight="1">
      <c r="A112" s="835"/>
      <c r="B112" s="401" t="s">
        <v>720</v>
      </c>
      <c r="C112" s="405"/>
      <c r="D112" s="608">
        <v>114456</v>
      </c>
      <c r="E112" s="459"/>
      <c r="F112" s="420">
        <v>10</v>
      </c>
      <c r="G112" s="432">
        <f t="shared" si="101"/>
        <v>114456</v>
      </c>
      <c r="H112" s="611"/>
      <c r="I112" s="433">
        <f t="shared" si="107"/>
        <v>450</v>
      </c>
      <c r="J112" s="433">
        <f t="shared" si="108"/>
        <v>114456</v>
      </c>
      <c r="K112" s="433">
        <v>1</v>
      </c>
      <c r="L112" s="421">
        <v>1</v>
      </c>
      <c r="M112" s="435">
        <f t="shared" si="109"/>
        <v>114.456</v>
      </c>
      <c r="N112" s="435">
        <f t="shared" si="110"/>
        <v>0.61699999999999999</v>
      </c>
      <c r="O112" s="460">
        <f t="shared" si="111"/>
        <v>70.619352000000006</v>
      </c>
      <c r="P112" s="518"/>
    </row>
    <row r="113" spans="1:21" s="443" customFormat="1" ht="31.5" customHeight="1">
      <c r="A113" s="834" t="s">
        <v>610</v>
      </c>
      <c r="B113" s="401" t="s">
        <v>597</v>
      </c>
      <c r="C113" s="405"/>
      <c r="D113" s="608">
        <v>55503</v>
      </c>
      <c r="E113" s="459"/>
      <c r="F113" s="420">
        <v>10</v>
      </c>
      <c r="G113" s="432">
        <f t="shared" si="101"/>
        <v>55503</v>
      </c>
      <c r="H113" s="611"/>
      <c r="I113" s="433">
        <f>45*F113</f>
        <v>450</v>
      </c>
      <c r="J113" s="433">
        <f>+I113*H113+G113</f>
        <v>55503</v>
      </c>
      <c r="K113" s="433">
        <v>1</v>
      </c>
      <c r="L113" s="433">
        <v>1</v>
      </c>
      <c r="M113" s="435">
        <f>J113*K113*L113/1000</f>
        <v>55.503</v>
      </c>
      <c r="N113" s="435">
        <f>_xlfn.XLOOKUP(F113,$R$5:$Z$5,$R$6:$Z$6,"NOT_FOUND",0)</f>
        <v>0.61699999999999999</v>
      </c>
      <c r="O113" s="460">
        <f>M113*N113</f>
        <v>34.245350999999999</v>
      </c>
      <c r="P113" s="412" t="s">
        <v>349</v>
      </c>
    </row>
    <row r="114" spans="1:21" s="443" customFormat="1" ht="31.5" customHeight="1">
      <c r="A114" s="835"/>
      <c r="B114" s="401" t="s">
        <v>596</v>
      </c>
      <c r="C114" s="405"/>
      <c r="D114" s="608">
        <v>68717</v>
      </c>
      <c r="E114" s="459"/>
      <c r="F114" s="420">
        <v>10</v>
      </c>
      <c r="G114" s="432">
        <f t="shared" si="101"/>
        <v>68717</v>
      </c>
      <c r="H114" s="611"/>
      <c r="I114" s="433">
        <f t="shared" ref="I114:I119" si="112">45*F114</f>
        <v>450</v>
      </c>
      <c r="J114" s="433">
        <f t="shared" ref="J114:J119" si="113">+I114*H114+G114</f>
        <v>68717</v>
      </c>
      <c r="K114" s="433">
        <v>1</v>
      </c>
      <c r="L114" s="421">
        <v>1</v>
      </c>
      <c r="M114" s="435">
        <f t="shared" ref="M114:M119" si="114">J114*K114*L114/1000</f>
        <v>68.716999999999999</v>
      </c>
      <c r="N114" s="435">
        <f t="shared" ref="N114:N119" si="115">_xlfn.XLOOKUP(F114,$R$5:$Z$5,$R$6:$Z$6,"NOT_FOUND",0)</f>
        <v>0.61699999999999999</v>
      </c>
      <c r="O114" s="460">
        <f t="shared" ref="O114:O119" si="116">M114*N114</f>
        <v>42.398389000000002</v>
      </c>
      <c r="P114" s="518"/>
    </row>
    <row r="115" spans="1:21" s="443" customFormat="1" ht="31.5" customHeight="1">
      <c r="A115" s="835"/>
      <c r="B115" s="401" t="s">
        <v>595</v>
      </c>
      <c r="C115" s="405"/>
      <c r="D115" s="608">
        <v>79392</v>
      </c>
      <c r="E115" s="459"/>
      <c r="F115" s="420">
        <v>10</v>
      </c>
      <c r="G115" s="432">
        <f t="shared" si="101"/>
        <v>79392</v>
      </c>
      <c r="H115" s="611"/>
      <c r="I115" s="433">
        <f t="shared" si="112"/>
        <v>450</v>
      </c>
      <c r="J115" s="433">
        <f t="shared" si="113"/>
        <v>79392</v>
      </c>
      <c r="K115" s="433">
        <v>1</v>
      </c>
      <c r="L115" s="421">
        <v>1</v>
      </c>
      <c r="M115" s="435">
        <f t="shared" si="114"/>
        <v>79.391999999999996</v>
      </c>
      <c r="N115" s="435">
        <f t="shared" si="115"/>
        <v>0.61699999999999999</v>
      </c>
      <c r="O115" s="460">
        <f t="shared" si="116"/>
        <v>48.984863999999995</v>
      </c>
      <c r="P115" s="518"/>
    </row>
    <row r="116" spans="1:21" s="443" customFormat="1" ht="31.5" customHeight="1">
      <c r="A116" s="835"/>
      <c r="B116" s="401" t="s">
        <v>594</v>
      </c>
      <c r="C116" s="405"/>
      <c r="D116" s="608">
        <v>62130</v>
      </c>
      <c r="E116" s="459"/>
      <c r="F116" s="420">
        <v>10</v>
      </c>
      <c r="G116" s="432">
        <f t="shared" si="101"/>
        <v>62130</v>
      </c>
      <c r="H116" s="611"/>
      <c r="I116" s="433">
        <f t="shared" si="112"/>
        <v>450</v>
      </c>
      <c r="J116" s="433">
        <f t="shared" si="113"/>
        <v>62130</v>
      </c>
      <c r="K116" s="433">
        <v>1</v>
      </c>
      <c r="L116" s="421">
        <v>1</v>
      </c>
      <c r="M116" s="435">
        <f t="shared" si="114"/>
        <v>62.13</v>
      </c>
      <c r="N116" s="435">
        <f t="shared" si="115"/>
        <v>0.61699999999999999</v>
      </c>
      <c r="O116" s="460">
        <f t="shared" si="116"/>
        <v>38.334209999999999</v>
      </c>
      <c r="P116" s="518"/>
    </row>
    <row r="117" spans="1:21" s="443" customFormat="1" ht="31.5" customHeight="1">
      <c r="A117" s="835"/>
      <c r="B117" s="401" t="s">
        <v>593</v>
      </c>
      <c r="C117" s="405"/>
      <c r="D117" s="608">
        <v>185430</v>
      </c>
      <c r="E117" s="459"/>
      <c r="F117" s="420">
        <v>10</v>
      </c>
      <c r="G117" s="432">
        <f t="shared" si="101"/>
        <v>185430</v>
      </c>
      <c r="H117" s="611"/>
      <c r="I117" s="433">
        <f t="shared" si="112"/>
        <v>450</v>
      </c>
      <c r="J117" s="433">
        <f t="shared" si="113"/>
        <v>185430</v>
      </c>
      <c r="K117" s="433">
        <v>1</v>
      </c>
      <c r="L117" s="421">
        <v>1</v>
      </c>
      <c r="M117" s="435">
        <f t="shared" si="114"/>
        <v>185.43</v>
      </c>
      <c r="N117" s="435">
        <f t="shared" si="115"/>
        <v>0.61699999999999999</v>
      </c>
      <c r="O117" s="460">
        <f t="shared" si="116"/>
        <v>114.41031000000001</v>
      </c>
      <c r="P117" s="518"/>
    </row>
    <row r="118" spans="1:21" s="443" customFormat="1" ht="31.5" customHeight="1">
      <c r="A118" s="835"/>
      <c r="B118" s="401" t="s">
        <v>592</v>
      </c>
      <c r="C118" s="405"/>
      <c r="D118" s="608">
        <v>48441</v>
      </c>
      <c r="E118" s="459"/>
      <c r="F118" s="420">
        <v>10</v>
      </c>
      <c r="G118" s="432">
        <f t="shared" si="101"/>
        <v>48441</v>
      </c>
      <c r="H118" s="611"/>
      <c r="I118" s="433">
        <f t="shared" si="112"/>
        <v>450</v>
      </c>
      <c r="J118" s="433">
        <f t="shared" si="113"/>
        <v>48441</v>
      </c>
      <c r="K118" s="433">
        <v>1</v>
      </c>
      <c r="L118" s="421">
        <v>1</v>
      </c>
      <c r="M118" s="435">
        <f t="shared" si="114"/>
        <v>48.441000000000003</v>
      </c>
      <c r="N118" s="435">
        <f t="shared" si="115"/>
        <v>0.61699999999999999</v>
      </c>
      <c r="O118" s="460">
        <f t="shared" si="116"/>
        <v>29.888097000000002</v>
      </c>
      <c r="P118" s="518"/>
    </row>
    <row r="119" spans="1:21" s="443" customFormat="1" ht="31.5" customHeight="1">
      <c r="A119" s="835"/>
      <c r="B119" s="623" t="s">
        <v>611</v>
      </c>
      <c r="C119" s="405"/>
      <c r="D119" s="608">
        <v>52352</v>
      </c>
      <c r="E119" s="459"/>
      <c r="F119" s="420">
        <v>10</v>
      </c>
      <c r="G119" s="432">
        <f t="shared" si="101"/>
        <v>52352</v>
      </c>
      <c r="H119" s="611"/>
      <c r="I119" s="433">
        <f t="shared" si="112"/>
        <v>450</v>
      </c>
      <c r="J119" s="433">
        <f t="shared" si="113"/>
        <v>52352</v>
      </c>
      <c r="K119" s="433">
        <v>1</v>
      </c>
      <c r="L119" s="421">
        <v>1</v>
      </c>
      <c r="M119" s="435">
        <f t="shared" si="114"/>
        <v>52.351999999999997</v>
      </c>
      <c r="N119" s="435">
        <f t="shared" si="115"/>
        <v>0.61699999999999999</v>
      </c>
      <c r="O119" s="460">
        <f t="shared" si="116"/>
        <v>32.301183999999999</v>
      </c>
      <c r="P119" s="518"/>
    </row>
    <row r="120" spans="1:21" s="443" customFormat="1" ht="31.5" customHeight="1">
      <c r="A120" s="888" t="s">
        <v>612</v>
      </c>
      <c r="B120" s="612" t="s">
        <v>591</v>
      </c>
      <c r="C120" s="405"/>
      <c r="D120" s="614">
        <v>63692</v>
      </c>
      <c r="E120" s="459"/>
      <c r="F120" s="616">
        <v>10</v>
      </c>
      <c r="G120" s="617">
        <f t="shared" si="101"/>
        <v>63692</v>
      </c>
      <c r="H120" s="618"/>
      <c r="I120" s="619">
        <f>45*F120</f>
        <v>450</v>
      </c>
      <c r="J120" s="619">
        <f>+I120*H120+G120</f>
        <v>63692</v>
      </c>
      <c r="K120" s="619">
        <v>1</v>
      </c>
      <c r="L120" s="619">
        <v>1</v>
      </c>
      <c r="M120" s="620">
        <f>J120*K120*L120/1000</f>
        <v>63.692</v>
      </c>
      <c r="N120" s="620">
        <f>_xlfn.XLOOKUP(F120,$R$5:$Z$5,$R$6:$Z$6,"NOT_FOUND",0)</f>
        <v>0.61699999999999999</v>
      </c>
      <c r="O120" s="621">
        <f>M120*N120</f>
        <v>39.297964</v>
      </c>
      <c r="P120" s="622" t="s">
        <v>349</v>
      </c>
    </row>
    <row r="121" spans="1:21" s="443" customFormat="1" ht="31.5" customHeight="1">
      <c r="A121" s="835"/>
      <c r="B121" s="401" t="s">
        <v>590</v>
      </c>
      <c r="C121" s="405"/>
      <c r="D121" s="608">
        <v>64000</v>
      </c>
      <c r="E121" s="459"/>
      <c r="F121" s="420">
        <v>10</v>
      </c>
      <c r="G121" s="432">
        <f t="shared" si="101"/>
        <v>64000</v>
      </c>
      <c r="H121" s="611"/>
      <c r="I121" s="433">
        <f t="shared" ref="I121:I126" si="117">45*F121</f>
        <v>450</v>
      </c>
      <c r="J121" s="433">
        <f t="shared" ref="J121:J126" si="118">+I121*H121+G121</f>
        <v>64000</v>
      </c>
      <c r="K121" s="619">
        <v>1</v>
      </c>
      <c r="L121" s="421">
        <v>1</v>
      </c>
      <c r="M121" s="435">
        <f t="shared" ref="M121:M126" si="119">J121*K121*L121/1000</f>
        <v>64</v>
      </c>
      <c r="N121" s="435">
        <f t="shared" ref="N121:N122" si="120">_xlfn.XLOOKUP(F121,$R$5:$Z$5,$R$6:$Z$6,"NOT_FOUND",0)</f>
        <v>0.61699999999999999</v>
      </c>
      <c r="O121" s="460">
        <f t="shared" ref="O121:O123" si="121">M121*N121</f>
        <v>39.488</v>
      </c>
      <c r="P121" s="518"/>
    </row>
    <row r="122" spans="1:21" s="443" customFormat="1" ht="31.5" customHeight="1">
      <c r="A122" s="835"/>
      <c r="B122" s="401" t="s">
        <v>589</v>
      </c>
      <c r="C122" s="405"/>
      <c r="D122" s="608">
        <v>65125</v>
      </c>
      <c r="E122" s="459"/>
      <c r="F122" s="420">
        <v>10</v>
      </c>
      <c r="G122" s="432">
        <f t="shared" si="101"/>
        <v>65125</v>
      </c>
      <c r="H122" s="611"/>
      <c r="I122" s="433">
        <f t="shared" si="117"/>
        <v>450</v>
      </c>
      <c r="J122" s="433">
        <f t="shared" si="118"/>
        <v>65125</v>
      </c>
      <c r="K122" s="619">
        <v>1</v>
      </c>
      <c r="L122" s="421">
        <v>1</v>
      </c>
      <c r="M122" s="435">
        <f t="shared" si="119"/>
        <v>65.125</v>
      </c>
      <c r="N122" s="435">
        <f t="shared" si="120"/>
        <v>0.61699999999999999</v>
      </c>
      <c r="O122" s="460">
        <f t="shared" si="121"/>
        <v>40.182124999999999</v>
      </c>
      <c r="P122" s="518"/>
    </row>
    <row r="123" spans="1:21" s="443" customFormat="1" ht="31.5" customHeight="1">
      <c r="A123" s="835"/>
      <c r="B123" s="401" t="s">
        <v>588</v>
      </c>
      <c r="C123" s="405"/>
      <c r="D123" s="608">
        <v>67296</v>
      </c>
      <c r="E123" s="459"/>
      <c r="F123" s="420">
        <v>10</v>
      </c>
      <c r="G123" s="432">
        <f t="shared" si="101"/>
        <v>67296</v>
      </c>
      <c r="H123" s="611"/>
      <c r="I123" s="433">
        <f t="shared" si="117"/>
        <v>450</v>
      </c>
      <c r="J123" s="433">
        <f t="shared" si="118"/>
        <v>67296</v>
      </c>
      <c r="K123" s="619">
        <v>1</v>
      </c>
      <c r="L123" s="421">
        <v>1</v>
      </c>
      <c r="M123" s="435">
        <f t="shared" si="119"/>
        <v>67.296000000000006</v>
      </c>
      <c r="N123" s="435">
        <f>_xlfn.XLOOKUP(F123,$R$5:$Z$5,$R$6:$Z$6,"NOT_FOUND",0)</f>
        <v>0.61699999999999999</v>
      </c>
      <c r="O123" s="460">
        <f t="shared" si="121"/>
        <v>41.521632000000004</v>
      </c>
      <c r="P123" s="518"/>
    </row>
    <row r="124" spans="1:21" s="443" customFormat="1" ht="31.5" customHeight="1">
      <c r="A124" s="835"/>
      <c r="B124" s="401" t="s">
        <v>609</v>
      </c>
      <c r="C124" s="405"/>
      <c r="D124" s="608">
        <v>69025</v>
      </c>
      <c r="E124" s="459"/>
      <c r="F124" s="420">
        <v>10</v>
      </c>
      <c r="G124" s="432">
        <f t="shared" si="101"/>
        <v>69025</v>
      </c>
      <c r="H124" s="611"/>
      <c r="I124" s="433">
        <f t="shared" si="117"/>
        <v>450</v>
      </c>
      <c r="J124" s="433">
        <f t="shared" si="118"/>
        <v>69025</v>
      </c>
      <c r="K124" s="619">
        <v>1</v>
      </c>
      <c r="L124" s="421">
        <v>1</v>
      </c>
      <c r="M124" s="435">
        <f t="shared" si="119"/>
        <v>69.025000000000006</v>
      </c>
      <c r="N124" s="435">
        <f t="shared" ref="N124:N126" si="122">_xlfn.XLOOKUP(F124,$R$5:$Z$5,$R$6:$Z$6,"NOT_FOUND",0)</f>
        <v>0.61699999999999999</v>
      </c>
      <c r="O124" s="460">
        <f>M124*N124</f>
        <v>42.588425000000001</v>
      </c>
      <c r="P124" s="518"/>
    </row>
    <row r="125" spans="1:21" s="443" customFormat="1" ht="31.5" customHeight="1">
      <c r="A125" s="835"/>
      <c r="B125" s="401" t="s">
        <v>721</v>
      </c>
      <c r="C125" s="405"/>
      <c r="D125" s="608">
        <v>68246</v>
      </c>
      <c r="E125" s="459"/>
      <c r="F125" s="420">
        <v>10</v>
      </c>
      <c r="G125" s="432">
        <f t="shared" si="101"/>
        <v>68246</v>
      </c>
      <c r="H125" s="611"/>
      <c r="I125" s="433">
        <f t="shared" si="117"/>
        <v>450</v>
      </c>
      <c r="J125" s="433">
        <f t="shared" si="118"/>
        <v>68246</v>
      </c>
      <c r="K125" s="619">
        <v>1</v>
      </c>
      <c r="L125" s="421">
        <v>1</v>
      </c>
      <c r="M125" s="435">
        <f t="shared" si="119"/>
        <v>68.245999999999995</v>
      </c>
      <c r="N125" s="435">
        <f t="shared" si="122"/>
        <v>0.61699999999999999</v>
      </c>
      <c r="O125" s="460">
        <f>M125*N125</f>
        <v>42.107781999999993</v>
      </c>
      <c r="P125" s="518"/>
    </row>
    <row r="126" spans="1:21" s="443" customFormat="1" ht="31.5" customHeight="1">
      <c r="A126" s="835"/>
      <c r="B126" s="401" t="s">
        <v>587</v>
      </c>
      <c r="C126" s="405"/>
      <c r="D126" s="608">
        <v>43722</v>
      </c>
      <c r="E126" s="459"/>
      <c r="F126" s="420">
        <v>10</v>
      </c>
      <c r="G126" s="432">
        <f t="shared" si="101"/>
        <v>43722</v>
      </c>
      <c r="H126" s="611"/>
      <c r="I126" s="433">
        <f t="shared" si="117"/>
        <v>450</v>
      </c>
      <c r="J126" s="433">
        <f t="shared" si="118"/>
        <v>43722</v>
      </c>
      <c r="K126" s="619">
        <v>1</v>
      </c>
      <c r="L126" s="421">
        <v>1</v>
      </c>
      <c r="M126" s="435">
        <f t="shared" si="119"/>
        <v>43.722000000000001</v>
      </c>
      <c r="N126" s="435">
        <f t="shared" si="122"/>
        <v>0.61699999999999999</v>
      </c>
      <c r="O126" s="460">
        <f>M126*N126</f>
        <v>26.976474</v>
      </c>
      <c r="P126" s="518"/>
    </row>
    <row r="127" spans="1:21" s="670" customFormat="1" ht="22.15" customHeight="1">
      <c r="A127" s="636" t="s">
        <v>724</v>
      </c>
      <c r="B127" s="631"/>
      <c r="C127" s="632"/>
      <c r="D127" s="633"/>
      <c r="E127" s="634"/>
      <c r="F127" s="637"/>
      <c r="G127" s="637"/>
      <c r="H127" s="637"/>
      <c r="I127" s="637"/>
      <c r="J127" s="637"/>
      <c r="K127" s="637"/>
      <c r="L127" s="637"/>
      <c r="M127" s="638"/>
      <c r="N127" s="637"/>
      <c r="O127" s="639"/>
      <c r="P127" s="635"/>
    </row>
    <row r="128" spans="1:21" s="443" customFormat="1" ht="31.5" customHeight="1">
      <c r="A128" s="888" t="s">
        <v>722</v>
      </c>
      <c r="B128" s="612">
        <v>1</v>
      </c>
      <c r="C128" s="613"/>
      <c r="D128" s="614">
        <v>550280</v>
      </c>
      <c r="E128" s="615"/>
      <c r="F128" s="616">
        <v>10</v>
      </c>
      <c r="G128" s="617">
        <f t="shared" ref="G128:G133" si="123">C128+D128+E128</f>
        <v>550280</v>
      </c>
      <c r="H128" s="618"/>
      <c r="I128" s="619">
        <f>45*F128</f>
        <v>450</v>
      </c>
      <c r="J128" s="619">
        <f>+I128*H128+G128</f>
        <v>550280</v>
      </c>
      <c r="K128" s="619">
        <v>1</v>
      </c>
      <c r="L128" s="619">
        <v>1</v>
      </c>
      <c r="M128" s="620">
        <f>J128*K128*L128/1000</f>
        <v>550.28</v>
      </c>
      <c r="N128" s="620">
        <f>_xlfn.XLOOKUP(F128,$R$5:$Z$5,$R$6:$Z$6,"NOT_FOUND",0)</f>
        <v>0.61699999999999999</v>
      </c>
      <c r="O128" s="621">
        <f>M128*N128</f>
        <v>339.52276000000001</v>
      </c>
      <c r="P128" s="622" t="s">
        <v>349</v>
      </c>
      <c r="R128" s="643">
        <f>848018/100+500</f>
        <v>8980.18</v>
      </c>
      <c r="S128" s="443">
        <v>100</v>
      </c>
      <c r="T128" s="443">
        <v>0.61699999999999999</v>
      </c>
      <c r="U128" s="443">
        <f>+R128*S128*T128/1000</f>
        <v>554.07710600000007</v>
      </c>
    </row>
    <row r="129" spans="1:16" s="443" customFormat="1" ht="31.5" customHeight="1">
      <c r="A129" s="835"/>
      <c r="B129" s="612">
        <v>2</v>
      </c>
      <c r="C129" s="405"/>
      <c r="D129" s="608">
        <v>347474</v>
      </c>
      <c r="E129" s="459"/>
      <c r="F129" s="420">
        <v>10</v>
      </c>
      <c r="G129" s="432">
        <f t="shared" si="123"/>
        <v>347474</v>
      </c>
      <c r="H129" s="611">
        <f>6+6*3</f>
        <v>24</v>
      </c>
      <c r="I129" s="433">
        <f t="shared" ref="I129" si="124">45*F129</f>
        <v>450</v>
      </c>
      <c r="J129" s="433">
        <f t="shared" ref="J129" si="125">+I129*H129+G129</f>
        <v>358274</v>
      </c>
      <c r="K129" s="421">
        <v>1</v>
      </c>
      <c r="L129" s="421">
        <v>1</v>
      </c>
      <c r="M129" s="435">
        <f t="shared" ref="M129" si="126">J129*K129*L129/1000</f>
        <v>358.274</v>
      </c>
      <c r="N129" s="435">
        <f t="shared" ref="N129" si="127">_xlfn.XLOOKUP(F129,$R$5:$Z$5,$R$6:$Z$6,"NOT_FOUND",0)</f>
        <v>0.61699999999999999</v>
      </c>
      <c r="O129" s="460">
        <f t="shared" ref="O129" si="128">M129*N129</f>
        <v>221.055058</v>
      </c>
      <c r="P129" s="518"/>
    </row>
    <row r="130" spans="1:16" s="443" customFormat="1" ht="31.5" customHeight="1">
      <c r="A130" s="835"/>
      <c r="B130" s="612">
        <v>3</v>
      </c>
      <c r="C130" s="405"/>
      <c r="D130" s="608">
        <v>999944</v>
      </c>
      <c r="E130" s="459"/>
      <c r="F130" s="420">
        <v>10</v>
      </c>
      <c r="G130" s="432">
        <f t="shared" ref="G130:G131" si="129">C130+D130+E130</f>
        <v>999944</v>
      </c>
      <c r="H130" s="611"/>
      <c r="I130" s="433">
        <f t="shared" ref="I130:I131" si="130">45*F130</f>
        <v>450</v>
      </c>
      <c r="J130" s="433">
        <f t="shared" ref="J130:J131" si="131">+I130*H130+G130</f>
        <v>999944</v>
      </c>
      <c r="K130" s="421">
        <v>1</v>
      </c>
      <c r="L130" s="421">
        <v>1</v>
      </c>
      <c r="M130" s="435">
        <f t="shared" ref="M130:M131" si="132">J130*K130*L130/1000</f>
        <v>999.94399999999996</v>
      </c>
      <c r="N130" s="435">
        <f t="shared" ref="N130:N131" si="133">_xlfn.XLOOKUP(F130,$R$5:$Z$5,$R$6:$Z$6,"NOT_FOUND",0)</f>
        <v>0.61699999999999999</v>
      </c>
      <c r="O130" s="460">
        <f t="shared" ref="O130:O131" si="134">M130*N130</f>
        <v>616.96544799999992</v>
      </c>
      <c r="P130" s="518"/>
    </row>
    <row r="131" spans="1:16" s="443" customFormat="1" ht="31.5" customHeight="1">
      <c r="A131" s="835"/>
      <c r="B131" s="612">
        <v>4</v>
      </c>
      <c r="C131" s="405"/>
      <c r="D131" s="608">
        <v>523251</v>
      </c>
      <c r="E131" s="459"/>
      <c r="F131" s="420">
        <v>10</v>
      </c>
      <c r="G131" s="432">
        <f t="shared" si="129"/>
        <v>523251</v>
      </c>
      <c r="H131" s="611"/>
      <c r="I131" s="433">
        <f t="shared" si="130"/>
        <v>450</v>
      </c>
      <c r="J131" s="433">
        <f t="shared" si="131"/>
        <v>523251</v>
      </c>
      <c r="K131" s="421">
        <v>1</v>
      </c>
      <c r="L131" s="421">
        <v>1</v>
      </c>
      <c r="M131" s="435">
        <f t="shared" si="132"/>
        <v>523.25099999999998</v>
      </c>
      <c r="N131" s="435">
        <f t="shared" si="133"/>
        <v>0.61699999999999999</v>
      </c>
      <c r="O131" s="460">
        <f t="shared" si="134"/>
        <v>322.845867</v>
      </c>
      <c r="P131" s="518"/>
    </row>
    <row r="132" spans="1:16" s="443" customFormat="1" ht="31.5" customHeight="1">
      <c r="A132" s="835"/>
      <c r="B132" s="612">
        <v>5</v>
      </c>
      <c r="C132" s="405"/>
      <c r="D132" s="608">
        <v>343574</v>
      </c>
      <c r="E132" s="459"/>
      <c r="F132" s="420">
        <v>10</v>
      </c>
      <c r="G132" s="432">
        <f t="shared" ref="G132" si="135">C132+D132+E132</f>
        <v>343574</v>
      </c>
      <c r="H132" s="611">
        <f>6+7*3</f>
        <v>27</v>
      </c>
      <c r="I132" s="433">
        <f t="shared" ref="I132" si="136">45*F132</f>
        <v>450</v>
      </c>
      <c r="J132" s="433">
        <f t="shared" ref="J132" si="137">+I132*H132+G132</f>
        <v>355724</v>
      </c>
      <c r="K132" s="421">
        <v>1</v>
      </c>
      <c r="L132" s="421">
        <v>1</v>
      </c>
      <c r="M132" s="435">
        <f t="shared" ref="M132" si="138">J132*K132*L132/1000</f>
        <v>355.72399999999999</v>
      </c>
      <c r="N132" s="435">
        <f t="shared" ref="N132" si="139">_xlfn.XLOOKUP(F132,$R$5:$Z$5,$R$6:$Z$6,"NOT_FOUND",0)</f>
        <v>0.61699999999999999</v>
      </c>
      <c r="O132" s="460">
        <f t="shared" ref="O132" si="140">M132*N132</f>
        <v>219.481708</v>
      </c>
      <c r="P132" s="518"/>
    </row>
    <row r="133" spans="1:16" s="443" customFormat="1" ht="31.5" customHeight="1">
      <c r="A133" s="835"/>
      <c r="B133" s="612">
        <v>6</v>
      </c>
      <c r="C133" s="405"/>
      <c r="D133" s="608">
        <v>922451</v>
      </c>
      <c r="E133" s="459"/>
      <c r="F133" s="420">
        <v>10</v>
      </c>
      <c r="G133" s="432">
        <f t="shared" si="123"/>
        <v>922451</v>
      </c>
      <c r="H133" s="611"/>
      <c r="I133" s="433">
        <f t="shared" ref="I133" si="141">45*F133</f>
        <v>450</v>
      </c>
      <c r="J133" s="433">
        <f t="shared" ref="J133" si="142">+I133*H133+G133</f>
        <v>922451</v>
      </c>
      <c r="K133" s="421">
        <v>1</v>
      </c>
      <c r="L133" s="421">
        <v>1</v>
      </c>
      <c r="M133" s="435">
        <f t="shared" ref="M133" si="143">J133*K133*L133/1000</f>
        <v>922.45100000000002</v>
      </c>
      <c r="N133" s="435">
        <f t="shared" ref="N133" si="144">_xlfn.XLOOKUP(F133,$R$5:$Z$5,$R$6:$Z$6,"NOT_FOUND",0)</f>
        <v>0.61699999999999999</v>
      </c>
      <c r="O133" s="460">
        <f t="shared" ref="O133" si="145">M133*N133</f>
        <v>569.15226700000005</v>
      </c>
      <c r="P133" s="518"/>
    </row>
    <row r="134" spans="1:16" s="443" customFormat="1" ht="31.5" customHeight="1">
      <c r="A134" s="888" t="s">
        <v>723</v>
      </c>
      <c r="B134" s="612">
        <v>7</v>
      </c>
      <c r="C134" s="613"/>
      <c r="D134" s="614">
        <v>422256</v>
      </c>
      <c r="E134" s="615"/>
      <c r="F134" s="616">
        <v>10</v>
      </c>
      <c r="G134" s="617">
        <f t="shared" ref="G134:G139" si="146">C134+D134+E134</f>
        <v>422256</v>
      </c>
      <c r="H134" s="618">
        <v>0</v>
      </c>
      <c r="I134" s="619">
        <f>45*F134</f>
        <v>450</v>
      </c>
      <c r="J134" s="619">
        <f>+I134*H134+G134</f>
        <v>422256</v>
      </c>
      <c r="K134" s="619">
        <v>1</v>
      </c>
      <c r="L134" s="619">
        <v>1</v>
      </c>
      <c r="M134" s="620">
        <f>J134*K134*L134/1000</f>
        <v>422.25599999999997</v>
      </c>
      <c r="N134" s="620">
        <f>_xlfn.XLOOKUP(F134,$R$5:$Z$5,$R$6:$Z$6,"NOT_FOUND",0)</f>
        <v>0.61699999999999999</v>
      </c>
      <c r="O134" s="621">
        <f>M134*N134</f>
        <v>260.53195199999999</v>
      </c>
      <c r="P134" s="622" t="s">
        <v>349</v>
      </c>
    </row>
    <row r="135" spans="1:16" s="443" customFormat="1" ht="31.5" customHeight="1">
      <c r="A135" s="835"/>
      <c r="B135" s="612">
        <v>8</v>
      </c>
      <c r="C135" s="405"/>
      <c r="D135" s="608">
        <v>144903</v>
      </c>
      <c r="E135" s="459"/>
      <c r="F135" s="420">
        <v>10</v>
      </c>
      <c r="G135" s="432">
        <f t="shared" si="146"/>
        <v>144903</v>
      </c>
      <c r="H135" s="611">
        <v>0</v>
      </c>
      <c r="I135" s="433">
        <f>45*F135</f>
        <v>450</v>
      </c>
      <c r="J135" s="433">
        <f t="shared" ref="J135:J139" si="147">+I135*H135+G135</f>
        <v>144903</v>
      </c>
      <c r="K135" s="421">
        <v>1</v>
      </c>
      <c r="L135" s="421">
        <v>1</v>
      </c>
      <c r="M135" s="435">
        <f t="shared" ref="M135:M139" si="148">J135*K135*L135/1000</f>
        <v>144.90299999999999</v>
      </c>
      <c r="N135" s="435">
        <f t="shared" ref="N135:N139" si="149">_xlfn.XLOOKUP(F135,$R$5:$Z$5,$R$6:$Z$6,"NOT_FOUND",0)</f>
        <v>0.61699999999999999</v>
      </c>
      <c r="O135" s="460">
        <f t="shared" ref="O135:O139" si="150">M135*N135</f>
        <v>89.405150999999989</v>
      </c>
      <c r="P135" s="518"/>
    </row>
    <row r="136" spans="1:16" s="443" customFormat="1" ht="31.5" customHeight="1">
      <c r="A136" s="835"/>
      <c r="B136" s="612">
        <v>9</v>
      </c>
      <c r="C136" s="405"/>
      <c r="D136" s="608">
        <v>605183</v>
      </c>
      <c r="E136" s="459"/>
      <c r="F136" s="420">
        <v>10</v>
      </c>
      <c r="G136" s="432">
        <f t="shared" si="146"/>
        <v>605183</v>
      </c>
      <c r="H136" s="611">
        <v>0</v>
      </c>
      <c r="I136" s="433">
        <f t="shared" ref="I136:I139" si="151">45*F136</f>
        <v>450</v>
      </c>
      <c r="J136" s="433">
        <f t="shared" si="147"/>
        <v>605183</v>
      </c>
      <c r="K136" s="421">
        <v>1</v>
      </c>
      <c r="L136" s="421">
        <v>1</v>
      </c>
      <c r="M136" s="435">
        <f t="shared" si="148"/>
        <v>605.18299999999999</v>
      </c>
      <c r="N136" s="435">
        <f t="shared" si="149"/>
        <v>0.61699999999999999</v>
      </c>
      <c r="O136" s="460">
        <f t="shared" si="150"/>
        <v>373.39791099999997</v>
      </c>
      <c r="P136" s="518"/>
    </row>
    <row r="137" spans="1:16" s="443" customFormat="1" ht="31.5" customHeight="1">
      <c r="A137" s="835"/>
      <c r="B137" s="612">
        <v>10</v>
      </c>
      <c r="C137" s="405"/>
      <c r="D137" s="608">
        <v>405056</v>
      </c>
      <c r="E137" s="459"/>
      <c r="F137" s="420">
        <v>10</v>
      </c>
      <c r="G137" s="432">
        <f t="shared" si="146"/>
        <v>405056</v>
      </c>
      <c r="H137" s="611">
        <v>0</v>
      </c>
      <c r="I137" s="433">
        <f t="shared" si="151"/>
        <v>450</v>
      </c>
      <c r="J137" s="433">
        <f t="shared" si="147"/>
        <v>405056</v>
      </c>
      <c r="K137" s="421">
        <v>1</v>
      </c>
      <c r="L137" s="421">
        <v>1</v>
      </c>
      <c r="M137" s="435">
        <f t="shared" si="148"/>
        <v>405.05599999999998</v>
      </c>
      <c r="N137" s="435">
        <f t="shared" si="149"/>
        <v>0.61699999999999999</v>
      </c>
      <c r="O137" s="460">
        <f t="shared" si="150"/>
        <v>249.91955199999998</v>
      </c>
      <c r="P137" s="518"/>
    </row>
    <row r="138" spans="1:16" s="443" customFormat="1" ht="31.5" customHeight="1">
      <c r="A138" s="835"/>
      <c r="B138" s="612">
        <v>11</v>
      </c>
      <c r="C138" s="405"/>
      <c r="D138" s="608">
        <v>141903</v>
      </c>
      <c r="E138" s="459"/>
      <c r="F138" s="420">
        <v>10</v>
      </c>
      <c r="G138" s="432">
        <f t="shared" si="146"/>
        <v>141903</v>
      </c>
      <c r="H138" s="611">
        <v>10</v>
      </c>
      <c r="I138" s="433">
        <f t="shared" si="151"/>
        <v>450</v>
      </c>
      <c r="J138" s="433">
        <f t="shared" si="147"/>
        <v>146403</v>
      </c>
      <c r="K138" s="421">
        <v>1</v>
      </c>
      <c r="L138" s="421">
        <v>1</v>
      </c>
      <c r="M138" s="435">
        <f t="shared" si="148"/>
        <v>146.40299999999999</v>
      </c>
      <c r="N138" s="435">
        <f t="shared" si="149"/>
        <v>0.61699999999999999</v>
      </c>
      <c r="O138" s="460">
        <f t="shared" si="150"/>
        <v>90.330650999999989</v>
      </c>
      <c r="P138" s="518"/>
    </row>
    <row r="139" spans="1:16" s="443" customFormat="1" ht="31.5" customHeight="1">
      <c r="A139" s="835"/>
      <c r="B139" s="612">
        <v>12</v>
      </c>
      <c r="C139" s="405"/>
      <c r="D139" s="608">
        <v>555381</v>
      </c>
      <c r="E139" s="459"/>
      <c r="F139" s="420">
        <v>10</v>
      </c>
      <c r="G139" s="432">
        <f t="shared" si="146"/>
        <v>555381</v>
      </c>
      <c r="H139" s="611">
        <v>0</v>
      </c>
      <c r="I139" s="433">
        <f t="shared" si="151"/>
        <v>450</v>
      </c>
      <c r="J139" s="433">
        <f t="shared" si="147"/>
        <v>555381</v>
      </c>
      <c r="K139" s="421">
        <v>1</v>
      </c>
      <c r="L139" s="421">
        <v>1</v>
      </c>
      <c r="M139" s="435">
        <f t="shared" si="148"/>
        <v>555.38099999999997</v>
      </c>
      <c r="N139" s="435">
        <f t="shared" si="149"/>
        <v>0.61699999999999999</v>
      </c>
      <c r="O139" s="460">
        <f t="shared" si="150"/>
        <v>342.67007699999999</v>
      </c>
      <c r="P139" s="518"/>
    </row>
    <row r="140" spans="1:16" s="443" customFormat="1" ht="31.5" customHeight="1">
      <c r="A140" s="888" t="s">
        <v>747</v>
      </c>
      <c r="B140" s="612">
        <v>13</v>
      </c>
      <c r="C140" s="613"/>
      <c r="D140" s="614">
        <v>549768</v>
      </c>
      <c r="E140" s="615"/>
      <c r="F140" s="616">
        <v>10</v>
      </c>
      <c r="G140" s="617">
        <f t="shared" si="12"/>
        <v>549768</v>
      </c>
      <c r="H140" s="618">
        <v>0</v>
      </c>
      <c r="I140" s="619">
        <f>45*F140</f>
        <v>450</v>
      </c>
      <c r="J140" s="619">
        <f>+I140*H140+G140</f>
        <v>549768</v>
      </c>
      <c r="K140" s="619">
        <v>1</v>
      </c>
      <c r="L140" s="619">
        <v>1</v>
      </c>
      <c r="M140" s="620">
        <f>J140*K140*L140/1000</f>
        <v>549.76800000000003</v>
      </c>
      <c r="N140" s="620">
        <f>_xlfn.XLOOKUP(F140,$R$5:$Z$5,$R$6:$Z$6,"NOT_FOUND",0)</f>
        <v>0.61699999999999999</v>
      </c>
      <c r="O140" s="621">
        <f>M140*N140</f>
        <v>339.20685600000002</v>
      </c>
      <c r="P140" s="622" t="s">
        <v>349</v>
      </c>
    </row>
    <row r="141" spans="1:16" s="443" customFormat="1" ht="31.5" customHeight="1">
      <c r="A141" s="835"/>
      <c r="B141" s="612">
        <v>14</v>
      </c>
      <c r="C141" s="405"/>
      <c r="D141" s="608">
        <v>592899</v>
      </c>
      <c r="E141" s="459"/>
      <c r="F141" s="420">
        <v>10</v>
      </c>
      <c r="G141" s="432">
        <f t="shared" si="12"/>
        <v>592899</v>
      </c>
      <c r="H141" s="618">
        <v>0</v>
      </c>
      <c r="I141" s="433">
        <f t="shared" ref="I141:I143" si="152">45*F141</f>
        <v>450</v>
      </c>
      <c r="J141" s="433">
        <f t="shared" ref="J141:J143" si="153">+I141*H141+G141</f>
        <v>592899</v>
      </c>
      <c r="K141" s="619">
        <v>1</v>
      </c>
      <c r="L141" s="421">
        <v>1</v>
      </c>
      <c r="M141" s="435">
        <f t="shared" ref="M141:M143" si="154">J141*K141*L141/1000</f>
        <v>592.899</v>
      </c>
      <c r="N141" s="435">
        <f t="shared" ref="N141:N143" si="155">_xlfn.XLOOKUP(F141,$R$5:$Z$5,$R$6:$Z$6,"NOT_FOUND",0)</f>
        <v>0.61699999999999999</v>
      </c>
      <c r="O141" s="460">
        <f t="shared" ref="O141:O143" si="156">M141*N141</f>
        <v>365.81868300000002</v>
      </c>
      <c r="P141" s="518"/>
    </row>
    <row r="142" spans="1:16" s="443" customFormat="1" ht="31.5" customHeight="1">
      <c r="A142" s="835"/>
      <c r="B142" s="612">
        <v>15</v>
      </c>
      <c r="C142" s="405"/>
      <c r="D142" s="608">
        <v>515915</v>
      </c>
      <c r="E142" s="459"/>
      <c r="F142" s="420">
        <v>10</v>
      </c>
      <c r="G142" s="432">
        <f t="shared" si="12"/>
        <v>515915</v>
      </c>
      <c r="H142" s="618">
        <v>0</v>
      </c>
      <c r="I142" s="433">
        <f t="shared" si="152"/>
        <v>450</v>
      </c>
      <c r="J142" s="433">
        <f t="shared" si="153"/>
        <v>515915</v>
      </c>
      <c r="K142" s="619">
        <v>1</v>
      </c>
      <c r="L142" s="421">
        <v>1</v>
      </c>
      <c r="M142" s="435">
        <f t="shared" si="154"/>
        <v>515.91499999999996</v>
      </c>
      <c r="N142" s="435">
        <f t="shared" si="155"/>
        <v>0.61699999999999999</v>
      </c>
      <c r="O142" s="460">
        <f t="shared" si="156"/>
        <v>318.31955499999998</v>
      </c>
      <c r="P142" s="518"/>
    </row>
    <row r="143" spans="1:16" s="443" customFormat="1" ht="31.5" customHeight="1">
      <c r="A143" s="835"/>
      <c r="B143" s="612">
        <v>16</v>
      </c>
      <c r="C143" s="405"/>
      <c r="D143" s="608">
        <v>540399</v>
      </c>
      <c r="E143" s="459"/>
      <c r="F143" s="420">
        <v>10</v>
      </c>
      <c r="G143" s="432">
        <f t="shared" si="12"/>
        <v>540399</v>
      </c>
      <c r="H143" s="618">
        <v>0</v>
      </c>
      <c r="I143" s="433">
        <f t="shared" si="152"/>
        <v>450</v>
      </c>
      <c r="J143" s="433">
        <f t="shared" si="153"/>
        <v>540399</v>
      </c>
      <c r="K143" s="619">
        <v>1</v>
      </c>
      <c r="L143" s="421">
        <v>1</v>
      </c>
      <c r="M143" s="435">
        <f t="shared" si="154"/>
        <v>540.399</v>
      </c>
      <c r="N143" s="435">
        <f t="shared" si="155"/>
        <v>0.61699999999999999</v>
      </c>
      <c r="O143" s="460">
        <f t="shared" si="156"/>
        <v>333.42618299999998</v>
      </c>
      <c r="P143" s="518"/>
    </row>
    <row r="144" spans="1:16" s="519" customFormat="1" ht="22.15" customHeight="1">
      <c r="A144" s="649" t="s">
        <v>624</v>
      </c>
      <c r="B144" s="650"/>
      <c r="C144" s="651"/>
      <c r="D144" s="652"/>
      <c r="E144" s="653"/>
      <c r="F144" s="654"/>
      <c r="G144" s="654"/>
      <c r="H144" s="654"/>
      <c r="I144" s="654"/>
      <c r="J144" s="654"/>
      <c r="K144" s="654"/>
      <c r="L144" s="654"/>
      <c r="M144" s="655"/>
      <c r="N144" s="654"/>
      <c r="O144" s="655"/>
      <c r="P144" s="656"/>
    </row>
    <row r="145" spans="1:22" s="519" customFormat="1" ht="22.15" customHeight="1">
      <c r="A145" s="630" t="s">
        <v>625</v>
      </c>
      <c r="B145" s="631"/>
      <c r="C145" s="632"/>
      <c r="D145" s="633"/>
      <c r="E145" s="634"/>
      <c r="F145" s="637"/>
      <c r="G145" s="637"/>
      <c r="H145" s="637"/>
      <c r="I145" s="637"/>
      <c r="J145" s="637"/>
      <c r="K145" s="637"/>
      <c r="L145" s="637"/>
      <c r="M145" s="638"/>
      <c r="N145" s="637"/>
      <c r="O145" s="639"/>
      <c r="P145" s="635"/>
    </row>
    <row r="146" spans="1:22" s="443" customFormat="1" ht="31.5" customHeight="1">
      <c r="A146" s="834" t="s">
        <v>613</v>
      </c>
      <c r="B146" s="401">
        <v>1</v>
      </c>
      <c r="C146" s="405"/>
      <c r="D146" s="608">
        <v>21780</v>
      </c>
      <c r="E146" s="459"/>
      <c r="F146" s="420">
        <v>6</v>
      </c>
      <c r="G146" s="432">
        <f>C146+D146+E146</f>
        <v>21780</v>
      </c>
      <c r="H146" s="611"/>
      <c r="I146" s="433">
        <f>45*F146</f>
        <v>270</v>
      </c>
      <c r="J146" s="433">
        <f>+I146*H146+G146</f>
        <v>21780</v>
      </c>
      <c r="K146" s="433">
        <v>1</v>
      </c>
      <c r="L146" s="433">
        <v>1</v>
      </c>
      <c r="M146" s="435">
        <f>J146*K146*L146/1000</f>
        <v>21.78</v>
      </c>
      <c r="N146" s="435">
        <f>_xlfn.XLOOKUP(F146,$R$5:$Z$5,$R$6:$Z$6,"NOT_FOUND",0)</f>
        <v>0.222</v>
      </c>
      <c r="O146" s="460">
        <f>M146*N146</f>
        <v>4.8351600000000001</v>
      </c>
      <c r="P146" s="412" t="s">
        <v>349</v>
      </c>
    </row>
    <row r="147" spans="1:22" s="443" customFormat="1" ht="31.5" customHeight="1">
      <c r="A147" s="835"/>
      <c r="B147" s="401">
        <v>2</v>
      </c>
      <c r="C147" s="405"/>
      <c r="D147" s="608">
        <v>21780</v>
      </c>
      <c r="E147" s="459"/>
      <c r="F147" s="420">
        <v>6</v>
      </c>
      <c r="G147" s="432">
        <f t="shared" ref="G147:G152" si="157">C147+D147+E147</f>
        <v>21780</v>
      </c>
      <c r="H147" s="611"/>
      <c r="I147" s="433">
        <f t="shared" ref="I147:I152" si="158">45*F147</f>
        <v>270</v>
      </c>
      <c r="J147" s="433">
        <f t="shared" ref="J147:J152" si="159">+I147*H147+G147</f>
        <v>21780</v>
      </c>
      <c r="K147" s="433">
        <v>1</v>
      </c>
      <c r="L147" s="421">
        <v>1</v>
      </c>
      <c r="M147" s="435">
        <f t="shared" ref="M147:M152" si="160">J147*K147*L147/1000</f>
        <v>21.78</v>
      </c>
      <c r="N147" s="435">
        <f t="shared" ref="N147:N152" si="161">_xlfn.XLOOKUP(F147,$R$5:$Z$5,$R$6:$Z$6,"NOT_FOUND",0)</f>
        <v>0.222</v>
      </c>
      <c r="O147" s="460">
        <f t="shared" ref="O147:O152" si="162">M147*N147</f>
        <v>4.8351600000000001</v>
      </c>
      <c r="P147" s="518"/>
    </row>
    <row r="148" spans="1:22" s="443" customFormat="1" ht="31.5" customHeight="1">
      <c r="A148" s="835"/>
      <c r="B148" s="401">
        <v>3</v>
      </c>
      <c r="C148" s="405"/>
      <c r="D148" s="608">
        <v>21780</v>
      </c>
      <c r="E148" s="459"/>
      <c r="F148" s="420">
        <v>6</v>
      </c>
      <c r="G148" s="432">
        <f t="shared" si="157"/>
        <v>21780</v>
      </c>
      <c r="H148" s="611"/>
      <c r="I148" s="433">
        <f t="shared" si="158"/>
        <v>270</v>
      </c>
      <c r="J148" s="433">
        <f t="shared" si="159"/>
        <v>21780</v>
      </c>
      <c r="K148" s="433">
        <v>1</v>
      </c>
      <c r="L148" s="421">
        <v>1</v>
      </c>
      <c r="M148" s="435">
        <f t="shared" si="160"/>
        <v>21.78</v>
      </c>
      <c r="N148" s="435">
        <f t="shared" si="161"/>
        <v>0.222</v>
      </c>
      <c r="O148" s="460">
        <f t="shared" si="162"/>
        <v>4.8351600000000001</v>
      </c>
      <c r="P148" s="518"/>
    </row>
    <row r="149" spans="1:22" s="443" customFormat="1" ht="31.5" customHeight="1">
      <c r="A149" s="835"/>
      <c r="B149" s="401">
        <v>4</v>
      </c>
      <c r="C149" s="405"/>
      <c r="D149" s="608">
        <v>19360</v>
      </c>
      <c r="E149" s="459"/>
      <c r="F149" s="420">
        <v>6</v>
      </c>
      <c r="G149" s="432">
        <f t="shared" si="157"/>
        <v>19360</v>
      </c>
      <c r="H149" s="611"/>
      <c r="I149" s="433">
        <f t="shared" si="158"/>
        <v>270</v>
      </c>
      <c r="J149" s="433">
        <f t="shared" si="159"/>
        <v>19360</v>
      </c>
      <c r="K149" s="433">
        <v>1</v>
      </c>
      <c r="L149" s="421">
        <v>1</v>
      </c>
      <c r="M149" s="435">
        <f t="shared" si="160"/>
        <v>19.36</v>
      </c>
      <c r="N149" s="435">
        <f t="shared" si="161"/>
        <v>0.222</v>
      </c>
      <c r="O149" s="460">
        <f t="shared" si="162"/>
        <v>4.2979199999999995</v>
      </c>
      <c r="P149" s="518"/>
    </row>
    <row r="150" spans="1:22" s="443" customFormat="1" ht="31.5" customHeight="1">
      <c r="A150" s="835"/>
      <c r="B150" s="401">
        <v>5</v>
      </c>
      <c r="C150" s="405"/>
      <c r="D150" s="608">
        <v>19360</v>
      </c>
      <c r="E150" s="459"/>
      <c r="F150" s="420">
        <v>6</v>
      </c>
      <c r="G150" s="432">
        <f t="shared" si="157"/>
        <v>19360</v>
      </c>
      <c r="H150" s="611"/>
      <c r="I150" s="433">
        <f t="shared" si="158"/>
        <v>270</v>
      </c>
      <c r="J150" s="433">
        <f t="shared" si="159"/>
        <v>19360</v>
      </c>
      <c r="K150" s="433">
        <v>1</v>
      </c>
      <c r="L150" s="421">
        <v>1</v>
      </c>
      <c r="M150" s="435">
        <f t="shared" si="160"/>
        <v>19.36</v>
      </c>
      <c r="N150" s="435">
        <f t="shared" si="161"/>
        <v>0.222</v>
      </c>
      <c r="O150" s="460">
        <f t="shared" si="162"/>
        <v>4.2979199999999995</v>
      </c>
      <c r="P150" s="518"/>
    </row>
    <row r="151" spans="1:22" s="443" customFormat="1" ht="31.5" customHeight="1">
      <c r="A151" s="835"/>
      <c r="B151" s="401">
        <v>6</v>
      </c>
      <c r="C151" s="405"/>
      <c r="D151" s="608">
        <v>23535</v>
      </c>
      <c r="E151" s="459"/>
      <c r="F151" s="420">
        <v>6</v>
      </c>
      <c r="G151" s="432">
        <f t="shared" si="157"/>
        <v>23535</v>
      </c>
      <c r="H151" s="611"/>
      <c r="I151" s="433">
        <f t="shared" si="158"/>
        <v>270</v>
      </c>
      <c r="J151" s="433">
        <f t="shared" si="159"/>
        <v>23535</v>
      </c>
      <c r="K151" s="433">
        <v>1</v>
      </c>
      <c r="L151" s="421">
        <v>1</v>
      </c>
      <c r="M151" s="435">
        <f t="shared" si="160"/>
        <v>23.535</v>
      </c>
      <c r="N151" s="435">
        <f t="shared" si="161"/>
        <v>0.222</v>
      </c>
      <c r="O151" s="460">
        <f t="shared" si="162"/>
        <v>5.2247700000000004</v>
      </c>
      <c r="P151" s="518"/>
    </row>
    <row r="152" spans="1:22" s="443" customFormat="1" ht="31.5" customHeight="1">
      <c r="A152" s="835"/>
      <c r="B152" s="401">
        <v>7</v>
      </c>
      <c r="C152" s="405"/>
      <c r="D152" s="608">
        <v>31047</v>
      </c>
      <c r="E152" s="459"/>
      <c r="F152" s="420">
        <v>6</v>
      </c>
      <c r="G152" s="432">
        <f t="shared" si="157"/>
        <v>31047</v>
      </c>
      <c r="H152" s="611"/>
      <c r="I152" s="433">
        <f t="shared" si="158"/>
        <v>270</v>
      </c>
      <c r="J152" s="433">
        <f t="shared" si="159"/>
        <v>31047</v>
      </c>
      <c r="K152" s="433">
        <v>1</v>
      </c>
      <c r="L152" s="421">
        <v>1</v>
      </c>
      <c r="M152" s="435">
        <f t="shared" si="160"/>
        <v>31.047000000000001</v>
      </c>
      <c r="N152" s="435">
        <f t="shared" si="161"/>
        <v>0.222</v>
      </c>
      <c r="O152" s="460">
        <f t="shared" si="162"/>
        <v>6.8924340000000006</v>
      </c>
      <c r="P152" s="518"/>
    </row>
    <row r="153" spans="1:22" s="443" customFormat="1" ht="31.5" customHeight="1">
      <c r="A153" s="834" t="s">
        <v>617</v>
      </c>
      <c r="B153" s="401">
        <v>8</v>
      </c>
      <c r="C153" s="405"/>
      <c r="D153" s="608">
        <v>40885</v>
      </c>
      <c r="E153" s="459"/>
      <c r="F153" s="420">
        <v>6</v>
      </c>
      <c r="G153" s="432">
        <f>C153+D153+E153</f>
        <v>40885</v>
      </c>
      <c r="H153" s="611"/>
      <c r="I153" s="433">
        <f>45*F153</f>
        <v>270</v>
      </c>
      <c r="J153" s="433">
        <f>+I153*H153+G153</f>
        <v>40885</v>
      </c>
      <c r="K153" s="433">
        <v>1</v>
      </c>
      <c r="L153" s="433">
        <v>1</v>
      </c>
      <c r="M153" s="435">
        <f>J153*K153*L153/1000</f>
        <v>40.884999999999998</v>
      </c>
      <c r="N153" s="435">
        <f>_xlfn.XLOOKUP(F153,$R$5:$Z$5,$R$6:$Z$6,"NOT_FOUND",0)</f>
        <v>0.222</v>
      </c>
      <c r="O153" s="460">
        <f>M153*N153</f>
        <v>9.0764700000000005</v>
      </c>
      <c r="P153" s="412" t="s">
        <v>349</v>
      </c>
      <c r="R153" s="644"/>
    </row>
    <row r="154" spans="1:22" s="443" customFormat="1" ht="31.5" customHeight="1">
      <c r="A154" s="835"/>
      <c r="B154" s="401">
        <v>9</v>
      </c>
      <c r="C154" s="405"/>
      <c r="D154" s="608">
        <v>24050</v>
      </c>
      <c r="E154" s="459"/>
      <c r="F154" s="420">
        <v>6</v>
      </c>
      <c r="G154" s="432">
        <f t="shared" ref="G154:G159" si="163">C154+D154+E154</f>
        <v>24050</v>
      </c>
      <c r="H154" s="611"/>
      <c r="I154" s="433">
        <f t="shared" ref="I154:I159" si="164">45*F154</f>
        <v>270</v>
      </c>
      <c r="J154" s="433">
        <f t="shared" ref="J154:J159" si="165">+I154*H154+G154</f>
        <v>24050</v>
      </c>
      <c r="K154" s="433">
        <v>1</v>
      </c>
      <c r="L154" s="421">
        <v>1</v>
      </c>
      <c r="M154" s="435">
        <f t="shared" ref="M154:M159" si="166">J154*K154*L154/1000</f>
        <v>24.05</v>
      </c>
      <c r="N154" s="435">
        <f t="shared" ref="N154:N159" si="167">_xlfn.XLOOKUP(F154,$R$5:$Z$5,$R$6:$Z$6,"NOT_FOUND",0)</f>
        <v>0.222</v>
      </c>
      <c r="O154" s="460">
        <f t="shared" ref="O154:O159" si="168">M154*N154</f>
        <v>5.3391000000000002</v>
      </c>
      <c r="P154" s="518"/>
      <c r="R154" s="644"/>
    </row>
    <row r="155" spans="1:22" s="443" customFormat="1" ht="31.5" customHeight="1">
      <c r="A155" s="835"/>
      <c r="B155" s="401">
        <v>10</v>
      </c>
      <c r="C155" s="405"/>
      <c r="D155" s="608">
        <v>21645</v>
      </c>
      <c r="E155" s="459"/>
      <c r="F155" s="420">
        <v>6</v>
      </c>
      <c r="G155" s="432">
        <f t="shared" si="163"/>
        <v>21645</v>
      </c>
      <c r="H155" s="611"/>
      <c r="I155" s="433">
        <f t="shared" si="164"/>
        <v>270</v>
      </c>
      <c r="J155" s="433">
        <f t="shared" si="165"/>
        <v>21645</v>
      </c>
      <c r="K155" s="433">
        <v>1</v>
      </c>
      <c r="L155" s="421">
        <v>1</v>
      </c>
      <c r="M155" s="435">
        <f t="shared" si="166"/>
        <v>21.645</v>
      </c>
      <c r="N155" s="435">
        <f t="shared" si="167"/>
        <v>0.222</v>
      </c>
      <c r="O155" s="460">
        <f t="shared" si="168"/>
        <v>4.8051899999999996</v>
      </c>
      <c r="P155" s="518"/>
      <c r="R155" s="644"/>
    </row>
    <row r="156" spans="1:22" s="443" customFormat="1" ht="31.5" customHeight="1">
      <c r="A156" s="835"/>
      <c r="B156" s="401">
        <v>11</v>
      </c>
      <c r="C156" s="405"/>
      <c r="D156" s="608">
        <v>33670</v>
      </c>
      <c r="E156" s="459"/>
      <c r="F156" s="420">
        <v>6</v>
      </c>
      <c r="G156" s="432">
        <f t="shared" si="163"/>
        <v>33670</v>
      </c>
      <c r="H156" s="611"/>
      <c r="I156" s="433">
        <f t="shared" si="164"/>
        <v>270</v>
      </c>
      <c r="J156" s="433">
        <f t="shared" si="165"/>
        <v>33670</v>
      </c>
      <c r="K156" s="433">
        <v>1</v>
      </c>
      <c r="L156" s="421">
        <v>1</v>
      </c>
      <c r="M156" s="435">
        <f t="shared" si="166"/>
        <v>33.67</v>
      </c>
      <c r="N156" s="435">
        <f t="shared" si="167"/>
        <v>0.222</v>
      </c>
      <c r="O156" s="460">
        <f t="shared" si="168"/>
        <v>7.4747400000000006</v>
      </c>
      <c r="P156" s="518"/>
      <c r="R156" s="644"/>
      <c r="V156" s="648"/>
    </row>
    <row r="157" spans="1:22" s="443" customFormat="1" ht="31.5" customHeight="1">
      <c r="A157" s="835"/>
      <c r="B157" s="401">
        <v>12</v>
      </c>
      <c r="C157" s="405"/>
      <c r="D157" s="608">
        <v>33670</v>
      </c>
      <c r="E157" s="459"/>
      <c r="F157" s="420">
        <v>6</v>
      </c>
      <c r="G157" s="432">
        <f t="shared" si="163"/>
        <v>33670</v>
      </c>
      <c r="H157" s="611"/>
      <c r="I157" s="433">
        <f t="shared" si="164"/>
        <v>270</v>
      </c>
      <c r="J157" s="433">
        <f t="shared" si="165"/>
        <v>33670</v>
      </c>
      <c r="K157" s="433">
        <v>1</v>
      </c>
      <c r="L157" s="421">
        <v>1</v>
      </c>
      <c r="M157" s="435">
        <f t="shared" si="166"/>
        <v>33.67</v>
      </c>
      <c r="N157" s="435">
        <f t="shared" si="167"/>
        <v>0.222</v>
      </c>
      <c r="O157" s="460">
        <f t="shared" si="168"/>
        <v>7.4747400000000006</v>
      </c>
      <c r="P157" s="518"/>
      <c r="R157" s="644"/>
    </row>
    <row r="158" spans="1:22" s="443" customFormat="1" ht="31.5" customHeight="1">
      <c r="A158" s="835"/>
      <c r="B158" s="401">
        <v>13</v>
      </c>
      <c r="C158" s="405"/>
      <c r="D158" s="608">
        <v>33670</v>
      </c>
      <c r="E158" s="459"/>
      <c r="F158" s="420">
        <v>6</v>
      </c>
      <c r="G158" s="432">
        <f t="shared" si="163"/>
        <v>33670</v>
      </c>
      <c r="H158" s="611"/>
      <c r="I158" s="433">
        <f t="shared" si="164"/>
        <v>270</v>
      </c>
      <c r="J158" s="433">
        <f t="shared" si="165"/>
        <v>33670</v>
      </c>
      <c r="K158" s="433">
        <v>1</v>
      </c>
      <c r="L158" s="421">
        <v>1</v>
      </c>
      <c r="M158" s="435">
        <f t="shared" si="166"/>
        <v>33.67</v>
      </c>
      <c r="N158" s="435">
        <f t="shared" si="167"/>
        <v>0.222</v>
      </c>
      <c r="O158" s="460">
        <f t="shared" si="168"/>
        <v>7.4747400000000006</v>
      </c>
      <c r="P158" s="518"/>
      <c r="R158" s="644"/>
    </row>
    <row r="159" spans="1:22" s="443" customFormat="1" ht="31.5" customHeight="1">
      <c r="A159" s="835"/>
      <c r="B159" s="401">
        <v>14</v>
      </c>
      <c r="C159" s="405"/>
      <c r="D159" s="608">
        <v>33670</v>
      </c>
      <c r="E159" s="459"/>
      <c r="F159" s="420">
        <v>6</v>
      </c>
      <c r="G159" s="432">
        <f t="shared" si="163"/>
        <v>33670</v>
      </c>
      <c r="H159" s="611"/>
      <c r="I159" s="433">
        <f t="shared" si="164"/>
        <v>270</v>
      </c>
      <c r="J159" s="433">
        <f t="shared" si="165"/>
        <v>33670</v>
      </c>
      <c r="K159" s="433">
        <v>1</v>
      </c>
      <c r="L159" s="421">
        <v>1</v>
      </c>
      <c r="M159" s="435">
        <f t="shared" si="166"/>
        <v>33.67</v>
      </c>
      <c r="N159" s="435">
        <f t="shared" si="167"/>
        <v>0.222</v>
      </c>
      <c r="O159" s="460">
        <f t="shared" si="168"/>
        <v>7.4747400000000006</v>
      </c>
      <c r="P159" s="518"/>
      <c r="R159" s="644"/>
    </row>
    <row r="160" spans="1:22" s="443" customFormat="1" ht="31.5" customHeight="1">
      <c r="A160" s="834" t="s">
        <v>614</v>
      </c>
      <c r="B160" s="401">
        <v>15</v>
      </c>
      <c r="C160" s="405"/>
      <c r="D160" s="608">
        <v>20467</v>
      </c>
      <c r="E160" s="459"/>
      <c r="F160" s="420">
        <v>6</v>
      </c>
      <c r="G160" s="432">
        <f>C160+D160+E160</f>
        <v>20467</v>
      </c>
      <c r="H160" s="611"/>
      <c r="I160" s="433">
        <f>45*F160</f>
        <v>270</v>
      </c>
      <c r="J160" s="433">
        <f>+I160*H160+G160</f>
        <v>20467</v>
      </c>
      <c r="K160" s="433">
        <v>1</v>
      </c>
      <c r="L160" s="433">
        <v>1</v>
      </c>
      <c r="M160" s="435">
        <f>J160*K160*L160/1000</f>
        <v>20.466999999999999</v>
      </c>
      <c r="N160" s="435">
        <f>_xlfn.XLOOKUP(F160,$R$5:$Z$5,$R$6:$Z$6,"NOT_FOUND",0)</f>
        <v>0.222</v>
      </c>
      <c r="O160" s="460">
        <f>M160*N160</f>
        <v>4.5436740000000002</v>
      </c>
      <c r="P160" s="412" t="s">
        <v>349</v>
      </c>
      <c r="R160" s="644"/>
    </row>
    <row r="161" spans="1:22" s="443" customFormat="1" ht="31.5" customHeight="1">
      <c r="A161" s="835"/>
      <c r="B161" s="401">
        <v>16</v>
      </c>
      <c r="C161" s="405"/>
      <c r="D161" s="608">
        <v>20070</v>
      </c>
      <c r="E161" s="459"/>
      <c r="F161" s="420">
        <v>6</v>
      </c>
      <c r="G161" s="432">
        <f t="shared" ref="G161:G167" si="169">C161+D161+E161</f>
        <v>20070</v>
      </c>
      <c r="H161" s="611"/>
      <c r="I161" s="433">
        <f t="shared" ref="I161:I167" si="170">45*F161</f>
        <v>270</v>
      </c>
      <c r="J161" s="433">
        <f t="shared" ref="J161:J167" si="171">+I161*H161+G161</f>
        <v>20070</v>
      </c>
      <c r="K161" s="433">
        <v>1</v>
      </c>
      <c r="L161" s="421">
        <v>1</v>
      </c>
      <c r="M161" s="435">
        <f t="shared" ref="M161:M167" si="172">J161*K161*L161/1000</f>
        <v>20.07</v>
      </c>
      <c r="N161" s="435">
        <f t="shared" ref="N161:N167" si="173">_xlfn.XLOOKUP(F161,$R$5:$Z$5,$R$6:$Z$6,"NOT_FOUND",0)</f>
        <v>0.222</v>
      </c>
      <c r="O161" s="460">
        <f t="shared" ref="O161:O167" si="174">M161*N161</f>
        <v>4.4555400000000001</v>
      </c>
      <c r="P161" s="518"/>
      <c r="R161" s="644"/>
      <c r="V161" s="648"/>
    </row>
    <row r="162" spans="1:22" s="443" customFormat="1" ht="31.5" customHeight="1">
      <c r="A162" s="835"/>
      <c r="B162" s="401">
        <v>17</v>
      </c>
      <c r="C162" s="405"/>
      <c r="D162" s="608">
        <v>28370</v>
      </c>
      <c r="E162" s="459"/>
      <c r="F162" s="420">
        <v>6</v>
      </c>
      <c r="G162" s="432">
        <f t="shared" si="169"/>
        <v>28370</v>
      </c>
      <c r="H162" s="611"/>
      <c r="I162" s="433">
        <f t="shared" si="170"/>
        <v>270</v>
      </c>
      <c r="J162" s="433">
        <f t="shared" si="171"/>
        <v>28370</v>
      </c>
      <c r="K162" s="433">
        <v>1</v>
      </c>
      <c r="L162" s="421">
        <v>1</v>
      </c>
      <c r="M162" s="435">
        <f t="shared" si="172"/>
        <v>28.37</v>
      </c>
      <c r="N162" s="435">
        <f t="shared" si="173"/>
        <v>0.222</v>
      </c>
      <c r="O162" s="460">
        <f t="shared" si="174"/>
        <v>6.2981400000000001</v>
      </c>
      <c r="P162" s="518"/>
      <c r="R162" s="644"/>
    </row>
    <row r="163" spans="1:22" s="443" customFormat="1" ht="31.5" customHeight="1">
      <c r="A163" s="835"/>
      <c r="B163" s="401">
        <v>18</v>
      </c>
      <c r="C163" s="405"/>
      <c r="D163" s="608">
        <v>31268</v>
      </c>
      <c r="E163" s="459"/>
      <c r="F163" s="420">
        <v>6</v>
      </c>
      <c r="G163" s="432">
        <f t="shared" si="169"/>
        <v>31268</v>
      </c>
      <c r="H163" s="611"/>
      <c r="I163" s="433">
        <f t="shared" si="170"/>
        <v>270</v>
      </c>
      <c r="J163" s="433">
        <f t="shared" si="171"/>
        <v>31268</v>
      </c>
      <c r="K163" s="433">
        <v>1</v>
      </c>
      <c r="L163" s="421">
        <v>1</v>
      </c>
      <c r="M163" s="435">
        <f t="shared" si="172"/>
        <v>31.268000000000001</v>
      </c>
      <c r="N163" s="435">
        <f t="shared" si="173"/>
        <v>0.222</v>
      </c>
      <c r="O163" s="460">
        <f t="shared" si="174"/>
        <v>6.9414959999999999</v>
      </c>
      <c r="P163" s="518"/>
      <c r="R163" s="644"/>
    </row>
    <row r="164" spans="1:22" s="443" customFormat="1" ht="31.5" customHeight="1">
      <c r="A164" s="835"/>
      <c r="B164" s="401">
        <v>19</v>
      </c>
      <c r="C164" s="405"/>
      <c r="D164" s="608">
        <v>31268</v>
      </c>
      <c r="E164" s="459"/>
      <c r="F164" s="420">
        <v>6</v>
      </c>
      <c r="G164" s="432">
        <f t="shared" si="169"/>
        <v>31268</v>
      </c>
      <c r="H164" s="611"/>
      <c r="I164" s="433">
        <f t="shared" si="170"/>
        <v>270</v>
      </c>
      <c r="J164" s="433">
        <f t="shared" si="171"/>
        <v>31268</v>
      </c>
      <c r="K164" s="433">
        <v>1</v>
      </c>
      <c r="L164" s="421">
        <v>1</v>
      </c>
      <c r="M164" s="435">
        <f t="shared" si="172"/>
        <v>31.268000000000001</v>
      </c>
      <c r="N164" s="435">
        <f t="shared" si="173"/>
        <v>0.222</v>
      </c>
      <c r="O164" s="460">
        <f t="shared" si="174"/>
        <v>6.9414959999999999</v>
      </c>
      <c r="P164" s="518"/>
      <c r="R164" s="644"/>
    </row>
    <row r="165" spans="1:22" s="443" customFormat="1" ht="31.5" customHeight="1">
      <c r="A165" s="835"/>
      <c r="B165" s="401">
        <v>20</v>
      </c>
      <c r="C165" s="405"/>
      <c r="D165" s="608">
        <v>21692</v>
      </c>
      <c r="E165" s="459"/>
      <c r="F165" s="420">
        <v>6</v>
      </c>
      <c r="G165" s="432">
        <f t="shared" ref="G165" si="175">C165+D165+E165</f>
        <v>21692</v>
      </c>
      <c r="H165" s="611"/>
      <c r="I165" s="433">
        <f t="shared" ref="I165" si="176">45*F165</f>
        <v>270</v>
      </c>
      <c r="J165" s="433">
        <f t="shared" ref="J165" si="177">+I165*H165+G165</f>
        <v>21692</v>
      </c>
      <c r="K165" s="433">
        <v>1</v>
      </c>
      <c r="L165" s="421">
        <v>1</v>
      </c>
      <c r="M165" s="435">
        <f t="shared" ref="M165" si="178">J165*K165*L165/1000</f>
        <v>21.692</v>
      </c>
      <c r="N165" s="435">
        <f t="shared" ref="N165" si="179">_xlfn.XLOOKUP(F165,$R$5:$Z$5,$R$6:$Z$6,"NOT_FOUND",0)</f>
        <v>0.222</v>
      </c>
      <c r="O165" s="460">
        <f t="shared" ref="O165" si="180">M165*N165</f>
        <v>4.8156239999999997</v>
      </c>
      <c r="P165" s="518"/>
      <c r="R165" s="644"/>
    </row>
    <row r="166" spans="1:22" s="443" customFormat="1" ht="31.5" customHeight="1">
      <c r="A166" s="835"/>
      <c r="B166" s="401">
        <v>21</v>
      </c>
      <c r="C166" s="405"/>
      <c r="D166" s="608">
        <v>19240</v>
      </c>
      <c r="E166" s="459"/>
      <c r="F166" s="420">
        <v>6</v>
      </c>
      <c r="G166" s="432">
        <f t="shared" si="169"/>
        <v>19240</v>
      </c>
      <c r="H166" s="611"/>
      <c r="I166" s="433">
        <f t="shared" si="170"/>
        <v>270</v>
      </c>
      <c r="J166" s="433">
        <f t="shared" si="171"/>
        <v>19240</v>
      </c>
      <c r="K166" s="433">
        <v>1</v>
      </c>
      <c r="L166" s="421">
        <v>1</v>
      </c>
      <c r="M166" s="435">
        <f t="shared" si="172"/>
        <v>19.239999999999998</v>
      </c>
      <c r="N166" s="435">
        <f t="shared" si="173"/>
        <v>0.222</v>
      </c>
      <c r="O166" s="460">
        <f t="shared" si="174"/>
        <v>4.27128</v>
      </c>
      <c r="P166" s="518"/>
      <c r="R166" s="644"/>
    </row>
    <row r="167" spans="1:22" s="443" customFormat="1" ht="31.5" customHeight="1">
      <c r="A167" s="835"/>
      <c r="B167" s="401">
        <v>22</v>
      </c>
      <c r="C167" s="405"/>
      <c r="D167" s="608">
        <v>25675</v>
      </c>
      <c r="E167" s="459"/>
      <c r="F167" s="420">
        <v>6</v>
      </c>
      <c r="G167" s="432">
        <f t="shared" si="169"/>
        <v>25675</v>
      </c>
      <c r="H167" s="611"/>
      <c r="I167" s="433">
        <f t="shared" si="170"/>
        <v>270</v>
      </c>
      <c r="J167" s="433">
        <f t="shared" si="171"/>
        <v>25675</v>
      </c>
      <c r="K167" s="433">
        <v>1</v>
      </c>
      <c r="L167" s="421">
        <v>1</v>
      </c>
      <c r="M167" s="435">
        <f t="shared" si="172"/>
        <v>25.675000000000001</v>
      </c>
      <c r="N167" s="435">
        <f t="shared" si="173"/>
        <v>0.222</v>
      </c>
      <c r="O167" s="460">
        <f t="shared" si="174"/>
        <v>5.6998500000000005</v>
      </c>
      <c r="P167" s="518"/>
      <c r="R167" s="644"/>
    </row>
    <row r="168" spans="1:22" s="443" customFormat="1" ht="31.5" customHeight="1">
      <c r="A168" s="834" t="s">
        <v>615</v>
      </c>
      <c r="B168" s="401">
        <v>23</v>
      </c>
      <c r="C168" s="405"/>
      <c r="D168" s="608">
        <v>24052</v>
      </c>
      <c r="E168" s="459"/>
      <c r="F168" s="420">
        <v>6</v>
      </c>
      <c r="G168" s="432">
        <f>C168+D168+E168</f>
        <v>24052</v>
      </c>
      <c r="H168" s="611"/>
      <c r="I168" s="433">
        <f>45*F168</f>
        <v>270</v>
      </c>
      <c r="J168" s="433">
        <f>+I168*H168+G168</f>
        <v>24052</v>
      </c>
      <c r="K168" s="433">
        <v>1</v>
      </c>
      <c r="L168" s="433">
        <v>1</v>
      </c>
      <c r="M168" s="435">
        <f>J168*K168*L168/1000</f>
        <v>24.052</v>
      </c>
      <c r="N168" s="435">
        <f>_xlfn.XLOOKUP(F168,$R$5:$Z$5,$R$6:$Z$6,"NOT_FOUND",0)</f>
        <v>0.222</v>
      </c>
      <c r="O168" s="460">
        <f>M168*N168</f>
        <v>5.3395440000000001</v>
      </c>
      <c r="P168" s="412" t="s">
        <v>349</v>
      </c>
      <c r="R168" s="644"/>
    </row>
    <row r="169" spans="1:22" s="443" customFormat="1" ht="31.5" customHeight="1">
      <c r="A169" s="835"/>
      <c r="B169" s="401">
        <v>24</v>
      </c>
      <c r="C169" s="405"/>
      <c r="D169" s="608">
        <v>21647</v>
      </c>
      <c r="E169" s="459"/>
      <c r="F169" s="420">
        <v>6</v>
      </c>
      <c r="G169" s="432">
        <f t="shared" ref="G169:G173" si="181">C169+D169+E169</f>
        <v>21647</v>
      </c>
      <c r="H169" s="611"/>
      <c r="I169" s="433">
        <f t="shared" ref="I169:I173" si="182">45*F169</f>
        <v>270</v>
      </c>
      <c r="J169" s="433">
        <f t="shared" ref="J169:J173" si="183">+I169*H169+G169</f>
        <v>21647</v>
      </c>
      <c r="K169" s="433">
        <v>1</v>
      </c>
      <c r="L169" s="421">
        <v>1</v>
      </c>
      <c r="M169" s="435">
        <f t="shared" ref="M169:M173" si="184">J169*K169*L169/1000</f>
        <v>21.646999999999998</v>
      </c>
      <c r="N169" s="435">
        <f t="shared" ref="N169:N173" si="185">_xlfn.XLOOKUP(F169,$R$5:$Z$5,$R$6:$Z$6,"NOT_FOUND",0)</f>
        <v>0.222</v>
      </c>
      <c r="O169" s="460">
        <f t="shared" ref="O169:O173" si="186">M169*N169</f>
        <v>4.8056339999999995</v>
      </c>
      <c r="P169" s="518"/>
      <c r="R169" s="644"/>
    </row>
    <row r="170" spans="1:22" s="443" customFormat="1" ht="31.5" customHeight="1">
      <c r="A170" s="835"/>
      <c r="B170" s="401">
        <v>25</v>
      </c>
      <c r="C170" s="405"/>
      <c r="D170" s="608">
        <v>24052</v>
      </c>
      <c r="E170" s="459"/>
      <c r="F170" s="420">
        <v>6</v>
      </c>
      <c r="G170" s="432">
        <f t="shared" si="181"/>
        <v>24052</v>
      </c>
      <c r="H170" s="611"/>
      <c r="I170" s="433">
        <f t="shared" si="182"/>
        <v>270</v>
      </c>
      <c r="J170" s="433">
        <f t="shared" si="183"/>
        <v>24052</v>
      </c>
      <c r="K170" s="433">
        <v>1</v>
      </c>
      <c r="L170" s="421">
        <v>1</v>
      </c>
      <c r="M170" s="435">
        <f t="shared" si="184"/>
        <v>24.052</v>
      </c>
      <c r="N170" s="435">
        <f t="shared" si="185"/>
        <v>0.222</v>
      </c>
      <c r="O170" s="460">
        <f t="shared" si="186"/>
        <v>5.3395440000000001</v>
      </c>
      <c r="P170" s="518"/>
      <c r="R170" s="644"/>
    </row>
    <row r="171" spans="1:22" s="443" customFormat="1" ht="31.5" customHeight="1">
      <c r="A171" s="835"/>
      <c r="B171" s="401">
        <v>26</v>
      </c>
      <c r="C171" s="405"/>
      <c r="D171" s="608">
        <v>24052</v>
      </c>
      <c r="E171" s="459"/>
      <c r="F171" s="420">
        <v>6</v>
      </c>
      <c r="G171" s="432">
        <f t="shared" si="181"/>
        <v>24052</v>
      </c>
      <c r="H171" s="611"/>
      <c r="I171" s="433">
        <f t="shared" si="182"/>
        <v>270</v>
      </c>
      <c r="J171" s="433">
        <f t="shared" si="183"/>
        <v>24052</v>
      </c>
      <c r="K171" s="433">
        <v>1</v>
      </c>
      <c r="L171" s="421">
        <v>1</v>
      </c>
      <c r="M171" s="435">
        <f t="shared" si="184"/>
        <v>24.052</v>
      </c>
      <c r="N171" s="435">
        <f t="shared" si="185"/>
        <v>0.222</v>
      </c>
      <c r="O171" s="460">
        <f t="shared" si="186"/>
        <v>5.3395440000000001</v>
      </c>
      <c r="P171" s="518"/>
      <c r="R171" s="644"/>
    </row>
    <row r="172" spans="1:22" s="443" customFormat="1" ht="31.5" customHeight="1">
      <c r="A172" s="835"/>
      <c r="B172" s="401">
        <v>27</v>
      </c>
      <c r="C172" s="405"/>
      <c r="D172" s="608">
        <v>24052</v>
      </c>
      <c r="E172" s="459"/>
      <c r="F172" s="420">
        <v>6</v>
      </c>
      <c r="G172" s="432">
        <f t="shared" si="181"/>
        <v>24052</v>
      </c>
      <c r="H172" s="611"/>
      <c r="I172" s="433">
        <f t="shared" si="182"/>
        <v>270</v>
      </c>
      <c r="J172" s="433">
        <f t="shared" si="183"/>
        <v>24052</v>
      </c>
      <c r="K172" s="433">
        <v>1</v>
      </c>
      <c r="L172" s="421">
        <v>1</v>
      </c>
      <c r="M172" s="435">
        <f t="shared" si="184"/>
        <v>24.052</v>
      </c>
      <c r="N172" s="435">
        <f t="shared" si="185"/>
        <v>0.222</v>
      </c>
      <c r="O172" s="460">
        <f t="shared" si="186"/>
        <v>5.3395440000000001</v>
      </c>
      <c r="P172" s="518"/>
      <c r="R172" s="644"/>
    </row>
    <row r="173" spans="1:22" s="443" customFormat="1" ht="31.5" customHeight="1">
      <c r="A173" s="835"/>
      <c r="B173" s="401">
        <v>28</v>
      </c>
      <c r="C173" s="405"/>
      <c r="D173" s="608">
        <v>24052</v>
      </c>
      <c r="E173" s="459"/>
      <c r="F173" s="420">
        <v>6</v>
      </c>
      <c r="G173" s="432">
        <f t="shared" si="181"/>
        <v>24052</v>
      </c>
      <c r="H173" s="611"/>
      <c r="I173" s="433">
        <f t="shared" si="182"/>
        <v>270</v>
      </c>
      <c r="J173" s="433">
        <f t="shared" si="183"/>
        <v>24052</v>
      </c>
      <c r="K173" s="433">
        <v>1</v>
      </c>
      <c r="L173" s="421">
        <v>1</v>
      </c>
      <c r="M173" s="435">
        <f t="shared" si="184"/>
        <v>24.052</v>
      </c>
      <c r="N173" s="435">
        <f t="shared" si="185"/>
        <v>0.222</v>
      </c>
      <c r="O173" s="460">
        <f t="shared" si="186"/>
        <v>5.3395440000000001</v>
      </c>
      <c r="P173" s="518"/>
      <c r="R173" s="644"/>
    </row>
    <row r="174" spans="1:22" s="443" customFormat="1" ht="31.5" customHeight="1">
      <c r="A174" s="835"/>
      <c r="B174" s="401">
        <v>29</v>
      </c>
      <c r="C174" s="405"/>
      <c r="D174" s="608">
        <v>24052</v>
      </c>
      <c r="E174" s="459"/>
      <c r="F174" s="420">
        <v>6</v>
      </c>
      <c r="G174" s="432">
        <f t="shared" ref="G174" si="187">C174+D174+E174</f>
        <v>24052</v>
      </c>
      <c r="H174" s="611"/>
      <c r="I174" s="433">
        <f t="shared" ref="I174" si="188">45*F174</f>
        <v>270</v>
      </c>
      <c r="J174" s="433">
        <f t="shared" ref="J174" si="189">+I174*H174+G174</f>
        <v>24052</v>
      </c>
      <c r="K174" s="433">
        <v>1</v>
      </c>
      <c r="L174" s="421">
        <v>1</v>
      </c>
      <c r="M174" s="435">
        <f t="shared" ref="M174" si="190">J174*K174*L174/1000</f>
        <v>24.052</v>
      </c>
      <c r="N174" s="435">
        <f t="shared" ref="N174" si="191">_xlfn.XLOOKUP(F174,$R$5:$Z$5,$R$6:$Z$6,"NOT_FOUND",0)</f>
        <v>0.222</v>
      </c>
      <c r="O174" s="460">
        <f t="shared" ref="O174" si="192">M174*N174</f>
        <v>5.3395440000000001</v>
      </c>
      <c r="P174" s="518"/>
      <c r="R174" s="644"/>
    </row>
    <row r="175" spans="1:22" s="443" customFormat="1" ht="31.5" customHeight="1">
      <c r="A175" s="834" t="s">
        <v>616</v>
      </c>
      <c r="B175" s="401" t="s">
        <v>605</v>
      </c>
      <c r="C175" s="405"/>
      <c r="D175" s="608">
        <v>23000</v>
      </c>
      <c r="E175" s="459"/>
      <c r="F175" s="420">
        <v>6</v>
      </c>
      <c r="G175" s="432">
        <f>C175+D175+E175</f>
        <v>23000</v>
      </c>
      <c r="H175" s="611"/>
      <c r="I175" s="433">
        <f>45*F175</f>
        <v>270</v>
      </c>
      <c r="J175" s="433">
        <f>+I175*H175+G175</f>
        <v>23000</v>
      </c>
      <c r="K175" s="433">
        <v>1</v>
      </c>
      <c r="L175" s="433">
        <v>1</v>
      </c>
      <c r="M175" s="435">
        <f>J175*K175*L175/1000</f>
        <v>23</v>
      </c>
      <c r="N175" s="435">
        <f>_xlfn.XLOOKUP(F175,$R$5:$Z$5,$R$6:$Z$6,"NOT_FOUND",0)</f>
        <v>0.222</v>
      </c>
      <c r="O175" s="460">
        <f>M175*N175</f>
        <v>5.1059999999999999</v>
      </c>
      <c r="P175" s="412" t="s">
        <v>349</v>
      </c>
      <c r="R175" s="644"/>
    </row>
    <row r="176" spans="1:22" s="443" customFormat="1" ht="31.5" customHeight="1">
      <c r="A176" s="835"/>
      <c r="B176" s="401" t="s">
        <v>604</v>
      </c>
      <c r="C176" s="405"/>
      <c r="D176" s="608">
        <v>23000</v>
      </c>
      <c r="E176" s="459"/>
      <c r="F176" s="420">
        <v>6</v>
      </c>
      <c r="G176" s="432">
        <f t="shared" ref="G176:G181" si="193">C176+D176+E176</f>
        <v>23000</v>
      </c>
      <c r="H176" s="611"/>
      <c r="I176" s="433">
        <f t="shared" ref="I176:I181" si="194">45*F176</f>
        <v>270</v>
      </c>
      <c r="J176" s="433">
        <f t="shared" ref="J176:J181" si="195">+I176*H176+G176</f>
        <v>23000</v>
      </c>
      <c r="K176" s="433">
        <v>1</v>
      </c>
      <c r="L176" s="421">
        <v>1</v>
      </c>
      <c r="M176" s="435">
        <f t="shared" ref="M176:M181" si="196">J176*K176*L176/1000</f>
        <v>23</v>
      </c>
      <c r="N176" s="435">
        <f t="shared" ref="N176:N181" si="197">_xlfn.XLOOKUP(F176,$R$5:$Z$5,$R$6:$Z$6,"NOT_FOUND",0)</f>
        <v>0.222</v>
      </c>
      <c r="O176" s="460">
        <f t="shared" ref="O176:O181" si="198">M176*N176</f>
        <v>5.1059999999999999</v>
      </c>
      <c r="P176" s="518"/>
      <c r="R176" s="644"/>
    </row>
    <row r="177" spans="1:18" s="443" customFormat="1" ht="31.5" customHeight="1">
      <c r="A177" s="835"/>
      <c r="B177" s="401" t="s">
        <v>603</v>
      </c>
      <c r="C177" s="405"/>
      <c r="D177" s="608">
        <v>21729</v>
      </c>
      <c r="E177" s="459"/>
      <c r="F177" s="420">
        <v>6</v>
      </c>
      <c r="G177" s="432">
        <f t="shared" si="193"/>
        <v>21729</v>
      </c>
      <c r="H177" s="611"/>
      <c r="I177" s="433">
        <f t="shared" si="194"/>
        <v>270</v>
      </c>
      <c r="J177" s="433">
        <f t="shared" si="195"/>
        <v>21729</v>
      </c>
      <c r="K177" s="433">
        <v>1</v>
      </c>
      <c r="L177" s="421">
        <v>1</v>
      </c>
      <c r="M177" s="435">
        <f t="shared" si="196"/>
        <v>21.728999999999999</v>
      </c>
      <c r="N177" s="435">
        <f t="shared" si="197"/>
        <v>0.222</v>
      </c>
      <c r="O177" s="460">
        <f t="shared" si="198"/>
        <v>4.8238380000000003</v>
      </c>
      <c r="P177" s="518"/>
      <c r="R177" s="644"/>
    </row>
    <row r="178" spans="1:18" s="443" customFormat="1" ht="31.5" customHeight="1">
      <c r="A178" s="835"/>
      <c r="B178" s="401" t="s">
        <v>602</v>
      </c>
      <c r="C178" s="405"/>
      <c r="D178" s="608">
        <v>21102</v>
      </c>
      <c r="E178" s="459"/>
      <c r="F178" s="420">
        <v>6</v>
      </c>
      <c r="G178" s="432">
        <f t="shared" si="193"/>
        <v>21102</v>
      </c>
      <c r="H178" s="611"/>
      <c r="I178" s="433">
        <f t="shared" si="194"/>
        <v>270</v>
      </c>
      <c r="J178" s="433">
        <f t="shared" si="195"/>
        <v>21102</v>
      </c>
      <c r="K178" s="433">
        <v>1</v>
      </c>
      <c r="L178" s="421">
        <v>1</v>
      </c>
      <c r="M178" s="435">
        <f t="shared" si="196"/>
        <v>21.102</v>
      </c>
      <c r="N178" s="435">
        <f t="shared" si="197"/>
        <v>0.222</v>
      </c>
      <c r="O178" s="460">
        <f t="shared" si="198"/>
        <v>4.6846440000000005</v>
      </c>
      <c r="P178" s="518"/>
      <c r="R178" s="644"/>
    </row>
    <row r="179" spans="1:18" s="443" customFormat="1" ht="31.5" customHeight="1">
      <c r="A179" s="835"/>
      <c r="B179" s="401" t="s">
        <v>601</v>
      </c>
      <c r="C179" s="405"/>
      <c r="D179" s="608">
        <v>20492</v>
      </c>
      <c r="E179" s="459"/>
      <c r="F179" s="420">
        <v>6</v>
      </c>
      <c r="G179" s="432">
        <f t="shared" si="193"/>
        <v>20492</v>
      </c>
      <c r="H179" s="611"/>
      <c r="I179" s="433">
        <f t="shared" si="194"/>
        <v>270</v>
      </c>
      <c r="J179" s="433">
        <f t="shared" si="195"/>
        <v>20492</v>
      </c>
      <c r="K179" s="433">
        <v>1</v>
      </c>
      <c r="L179" s="421">
        <v>1</v>
      </c>
      <c r="M179" s="435">
        <f t="shared" si="196"/>
        <v>20.492000000000001</v>
      </c>
      <c r="N179" s="435">
        <f t="shared" si="197"/>
        <v>0.222</v>
      </c>
      <c r="O179" s="460">
        <f t="shared" si="198"/>
        <v>4.5492240000000006</v>
      </c>
      <c r="P179" s="518"/>
      <c r="R179" s="644"/>
    </row>
    <row r="180" spans="1:18" s="443" customFormat="1" ht="31.5" customHeight="1">
      <c r="A180" s="835"/>
      <c r="B180" s="401" t="s">
        <v>600</v>
      </c>
      <c r="C180" s="405"/>
      <c r="D180" s="608">
        <v>23428</v>
      </c>
      <c r="E180" s="459"/>
      <c r="F180" s="420">
        <v>6</v>
      </c>
      <c r="G180" s="432">
        <f t="shared" si="193"/>
        <v>23428</v>
      </c>
      <c r="H180" s="611"/>
      <c r="I180" s="433">
        <f t="shared" si="194"/>
        <v>270</v>
      </c>
      <c r="J180" s="433">
        <f t="shared" si="195"/>
        <v>23428</v>
      </c>
      <c r="K180" s="433">
        <v>1</v>
      </c>
      <c r="L180" s="421">
        <v>1</v>
      </c>
      <c r="M180" s="435">
        <f t="shared" si="196"/>
        <v>23.428000000000001</v>
      </c>
      <c r="N180" s="435">
        <f t="shared" si="197"/>
        <v>0.222</v>
      </c>
      <c r="O180" s="460">
        <f t="shared" si="198"/>
        <v>5.2010160000000001</v>
      </c>
      <c r="P180" s="518"/>
      <c r="R180" s="644"/>
    </row>
    <row r="181" spans="1:18" s="443" customFormat="1" ht="31.5" customHeight="1">
      <c r="A181" s="835"/>
      <c r="B181" s="401" t="s">
        <v>599</v>
      </c>
      <c r="C181" s="405"/>
      <c r="D181" s="608">
        <v>29857</v>
      </c>
      <c r="E181" s="459"/>
      <c r="F181" s="420">
        <v>6</v>
      </c>
      <c r="G181" s="432">
        <f t="shared" si="193"/>
        <v>29857</v>
      </c>
      <c r="H181" s="611"/>
      <c r="I181" s="433">
        <f t="shared" si="194"/>
        <v>270</v>
      </c>
      <c r="J181" s="433">
        <f t="shared" si="195"/>
        <v>29857</v>
      </c>
      <c r="K181" s="433">
        <v>1</v>
      </c>
      <c r="L181" s="421">
        <v>1</v>
      </c>
      <c r="M181" s="435">
        <f t="shared" si="196"/>
        <v>29.856999999999999</v>
      </c>
      <c r="N181" s="435">
        <f t="shared" si="197"/>
        <v>0.222</v>
      </c>
      <c r="O181" s="460">
        <f t="shared" si="198"/>
        <v>6.6282540000000001</v>
      </c>
      <c r="P181" s="518"/>
      <c r="R181" s="644"/>
    </row>
    <row r="182" spans="1:18" s="443" customFormat="1" ht="31.5" customHeight="1">
      <c r="A182" s="834" t="s">
        <v>618</v>
      </c>
      <c r="B182" s="401" t="s">
        <v>713</v>
      </c>
      <c r="C182" s="405"/>
      <c r="D182" s="608">
        <v>38092</v>
      </c>
      <c r="E182" s="459"/>
      <c r="F182" s="420">
        <v>6</v>
      </c>
      <c r="G182" s="432">
        <f>C182+D182+E182</f>
        <v>38092</v>
      </c>
      <c r="H182" s="611"/>
      <c r="I182" s="433">
        <f>45*F182</f>
        <v>270</v>
      </c>
      <c r="J182" s="433">
        <f>+I182*H182+G182</f>
        <v>38092</v>
      </c>
      <c r="K182" s="433">
        <v>1</v>
      </c>
      <c r="L182" s="433">
        <v>1</v>
      </c>
      <c r="M182" s="435">
        <f>J182*K182*L182/1000</f>
        <v>38.091999999999999</v>
      </c>
      <c r="N182" s="435">
        <f>_xlfn.XLOOKUP(F182,$R$5:$Z$5,$R$6:$Z$6,"NOT_FOUND",0)</f>
        <v>0.222</v>
      </c>
      <c r="O182" s="460">
        <f>M182*N182</f>
        <v>8.4564240000000002</v>
      </c>
      <c r="P182" s="412" t="s">
        <v>349</v>
      </c>
      <c r="R182" s="644"/>
    </row>
    <row r="183" spans="1:18" s="443" customFormat="1" ht="31.5" customHeight="1">
      <c r="A183" s="835"/>
      <c r="B183" s="401" t="s">
        <v>714</v>
      </c>
      <c r="C183" s="405"/>
      <c r="D183" s="608">
        <v>24241</v>
      </c>
      <c r="E183" s="459"/>
      <c r="F183" s="420">
        <v>6</v>
      </c>
      <c r="G183" s="432">
        <f t="shared" ref="G183:G188" si="199">C183+D183+E183</f>
        <v>24241</v>
      </c>
      <c r="H183" s="611"/>
      <c r="I183" s="433">
        <f t="shared" ref="I183:I188" si="200">45*F183</f>
        <v>270</v>
      </c>
      <c r="J183" s="433">
        <f t="shared" ref="J183:J188" si="201">+I183*H183+G183</f>
        <v>24241</v>
      </c>
      <c r="K183" s="433">
        <v>1</v>
      </c>
      <c r="L183" s="421">
        <v>1</v>
      </c>
      <c r="M183" s="435">
        <f t="shared" ref="M183:M188" si="202">J183*K183*L183/1000</f>
        <v>24.241</v>
      </c>
      <c r="N183" s="435">
        <f t="shared" ref="N183:N188" si="203">_xlfn.XLOOKUP(F183,$R$5:$Z$5,$R$6:$Z$6,"NOT_FOUND",0)</f>
        <v>0.222</v>
      </c>
      <c r="O183" s="460">
        <f t="shared" ref="O183:O188" si="204">M183*N183</f>
        <v>5.3815020000000002</v>
      </c>
      <c r="P183" s="518"/>
      <c r="R183" s="644"/>
    </row>
    <row r="184" spans="1:18" s="443" customFormat="1" ht="31.5" customHeight="1">
      <c r="A184" s="835"/>
      <c r="B184" s="401" t="s">
        <v>715</v>
      </c>
      <c r="C184" s="405"/>
      <c r="D184" s="608">
        <v>21948</v>
      </c>
      <c r="E184" s="459"/>
      <c r="F184" s="420">
        <v>6</v>
      </c>
      <c r="G184" s="432">
        <f t="shared" si="199"/>
        <v>21948</v>
      </c>
      <c r="H184" s="611"/>
      <c r="I184" s="433">
        <f t="shared" si="200"/>
        <v>270</v>
      </c>
      <c r="J184" s="433">
        <f t="shared" si="201"/>
        <v>21948</v>
      </c>
      <c r="K184" s="433">
        <v>1</v>
      </c>
      <c r="L184" s="421">
        <v>1</v>
      </c>
      <c r="M184" s="435">
        <f t="shared" si="202"/>
        <v>21.948</v>
      </c>
      <c r="N184" s="435">
        <f t="shared" si="203"/>
        <v>0.222</v>
      </c>
      <c r="O184" s="460">
        <f t="shared" si="204"/>
        <v>4.8724560000000006</v>
      </c>
      <c r="P184" s="518"/>
      <c r="R184" s="644"/>
    </row>
    <row r="185" spans="1:18" s="443" customFormat="1" ht="31.5" customHeight="1">
      <c r="A185" s="835"/>
      <c r="B185" s="401" t="s">
        <v>716</v>
      </c>
      <c r="C185" s="405"/>
      <c r="D185" s="608">
        <v>30387</v>
      </c>
      <c r="E185" s="459"/>
      <c r="F185" s="420">
        <v>6</v>
      </c>
      <c r="G185" s="432">
        <f t="shared" si="199"/>
        <v>30387</v>
      </c>
      <c r="H185" s="611"/>
      <c r="I185" s="433">
        <f t="shared" si="200"/>
        <v>270</v>
      </c>
      <c r="J185" s="433">
        <f t="shared" si="201"/>
        <v>30387</v>
      </c>
      <c r="K185" s="433">
        <v>1</v>
      </c>
      <c r="L185" s="421">
        <v>1</v>
      </c>
      <c r="M185" s="435">
        <f t="shared" si="202"/>
        <v>30.387</v>
      </c>
      <c r="N185" s="435">
        <f t="shared" si="203"/>
        <v>0.222</v>
      </c>
      <c r="O185" s="460">
        <f t="shared" si="204"/>
        <v>6.745914</v>
      </c>
      <c r="P185" s="518"/>
      <c r="R185" s="644"/>
    </row>
    <row r="186" spans="1:18" s="443" customFormat="1" ht="31.5" customHeight="1">
      <c r="A186" s="835"/>
      <c r="B186" s="401" t="s">
        <v>717</v>
      </c>
      <c r="C186" s="405"/>
      <c r="D186" s="608">
        <v>30847</v>
      </c>
      <c r="E186" s="459"/>
      <c r="F186" s="420">
        <v>6</v>
      </c>
      <c r="G186" s="432">
        <f t="shared" si="199"/>
        <v>30847</v>
      </c>
      <c r="H186" s="611"/>
      <c r="I186" s="433">
        <f t="shared" si="200"/>
        <v>270</v>
      </c>
      <c r="J186" s="433">
        <f t="shared" si="201"/>
        <v>30847</v>
      </c>
      <c r="K186" s="433">
        <v>1</v>
      </c>
      <c r="L186" s="421">
        <v>1</v>
      </c>
      <c r="M186" s="435">
        <f t="shared" si="202"/>
        <v>30.847000000000001</v>
      </c>
      <c r="N186" s="435">
        <f t="shared" si="203"/>
        <v>0.222</v>
      </c>
      <c r="O186" s="460">
        <f t="shared" si="204"/>
        <v>6.8480340000000002</v>
      </c>
      <c r="P186" s="518"/>
      <c r="R186" s="644"/>
    </row>
    <row r="187" spans="1:18" s="443" customFormat="1" ht="31.5" customHeight="1">
      <c r="A187" s="835"/>
      <c r="B187" s="401" t="s">
        <v>718</v>
      </c>
      <c r="C187" s="405"/>
      <c r="D187" s="608">
        <v>31127</v>
      </c>
      <c r="E187" s="459"/>
      <c r="F187" s="420">
        <v>6</v>
      </c>
      <c r="G187" s="432">
        <f t="shared" ref="G187" si="205">C187+D187+E187</f>
        <v>31127</v>
      </c>
      <c r="H187" s="611"/>
      <c r="I187" s="433">
        <f t="shared" ref="I187" si="206">45*F187</f>
        <v>270</v>
      </c>
      <c r="J187" s="433">
        <f t="shared" ref="J187" si="207">+I187*H187+G187</f>
        <v>31127</v>
      </c>
      <c r="K187" s="433">
        <v>1</v>
      </c>
      <c r="L187" s="421">
        <v>1</v>
      </c>
      <c r="M187" s="435">
        <f t="shared" ref="M187" si="208">J187*K187*L187/1000</f>
        <v>31.126999999999999</v>
      </c>
      <c r="N187" s="435">
        <f t="shared" ref="N187" si="209">_xlfn.XLOOKUP(F187,$R$5:$Z$5,$R$6:$Z$6,"NOT_FOUND",0)</f>
        <v>0.222</v>
      </c>
      <c r="O187" s="460">
        <f t="shared" ref="O187" si="210">M187*N187</f>
        <v>6.9101939999999997</v>
      </c>
      <c r="P187" s="518"/>
      <c r="R187" s="644"/>
    </row>
    <row r="188" spans="1:18" s="443" customFormat="1" ht="31.5" customHeight="1">
      <c r="A188" s="835"/>
      <c r="B188" s="401" t="s">
        <v>719</v>
      </c>
      <c r="C188" s="405"/>
      <c r="D188" s="608">
        <v>31581</v>
      </c>
      <c r="E188" s="459"/>
      <c r="F188" s="420">
        <v>6</v>
      </c>
      <c r="G188" s="432">
        <f t="shared" si="199"/>
        <v>31581</v>
      </c>
      <c r="H188" s="611"/>
      <c r="I188" s="433">
        <f t="shared" si="200"/>
        <v>270</v>
      </c>
      <c r="J188" s="433">
        <f t="shared" si="201"/>
        <v>31581</v>
      </c>
      <c r="K188" s="433">
        <v>1</v>
      </c>
      <c r="L188" s="421">
        <v>1</v>
      </c>
      <c r="M188" s="435">
        <f t="shared" si="202"/>
        <v>31.581</v>
      </c>
      <c r="N188" s="435">
        <f t="shared" si="203"/>
        <v>0.222</v>
      </c>
      <c r="O188" s="460">
        <f t="shared" si="204"/>
        <v>7.0109820000000003</v>
      </c>
      <c r="P188" s="518"/>
      <c r="R188" s="644"/>
    </row>
    <row r="189" spans="1:18" s="443" customFormat="1" ht="31.5" customHeight="1">
      <c r="A189" s="834" t="s">
        <v>619</v>
      </c>
      <c r="B189" s="401" t="s">
        <v>720</v>
      </c>
      <c r="C189" s="405"/>
      <c r="D189" s="608">
        <v>20629</v>
      </c>
      <c r="E189" s="459"/>
      <c r="F189" s="420">
        <v>6</v>
      </c>
      <c r="G189" s="432">
        <f>C189+D189+E189</f>
        <v>20629</v>
      </c>
      <c r="H189" s="611"/>
      <c r="I189" s="433">
        <f>45*F189</f>
        <v>270</v>
      </c>
      <c r="J189" s="433">
        <f>+I189*H189+G189</f>
        <v>20629</v>
      </c>
      <c r="K189" s="433">
        <v>1</v>
      </c>
      <c r="L189" s="433">
        <v>1</v>
      </c>
      <c r="M189" s="435">
        <f>J189*K189*L189/1000</f>
        <v>20.629000000000001</v>
      </c>
      <c r="N189" s="435">
        <f>_xlfn.XLOOKUP(F189,$R$5:$Z$5,$R$6:$Z$6,"NOT_FOUND",0)</f>
        <v>0.222</v>
      </c>
      <c r="O189" s="460">
        <f>M189*N189</f>
        <v>4.5796380000000001</v>
      </c>
      <c r="P189" s="412" t="s">
        <v>349</v>
      </c>
      <c r="R189" s="644"/>
    </row>
    <row r="190" spans="1:18" s="443" customFormat="1" ht="31.5" customHeight="1">
      <c r="A190" s="835"/>
      <c r="B190" s="401" t="s">
        <v>597</v>
      </c>
      <c r="C190" s="405"/>
      <c r="D190" s="608">
        <v>21857</v>
      </c>
      <c r="E190" s="459"/>
      <c r="F190" s="420">
        <v>6</v>
      </c>
      <c r="G190" s="432">
        <f t="shared" ref="G190:G195" si="211">C190+D190+E190</f>
        <v>21857</v>
      </c>
      <c r="H190" s="611"/>
      <c r="I190" s="433">
        <f t="shared" ref="I190:I196" si="212">45*F190</f>
        <v>270</v>
      </c>
      <c r="J190" s="433">
        <f t="shared" ref="J190:J196" si="213">+I190*H190+G190</f>
        <v>21857</v>
      </c>
      <c r="K190" s="433">
        <v>1</v>
      </c>
      <c r="L190" s="421">
        <v>1</v>
      </c>
      <c r="M190" s="435">
        <f t="shared" ref="M190:M196" si="214">J190*K190*L190/1000</f>
        <v>21.856999999999999</v>
      </c>
      <c r="N190" s="435">
        <f t="shared" ref="N190:N196" si="215">_xlfn.XLOOKUP(F190,$R$5:$Z$5,$R$6:$Z$6,"NOT_FOUND",0)</f>
        <v>0.222</v>
      </c>
      <c r="O190" s="460">
        <f t="shared" ref="O190:O196" si="216">M190*N190</f>
        <v>4.8522540000000003</v>
      </c>
      <c r="P190" s="518"/>
      <c r="R190" s="644"/>
    </row>
    <row r="191" spans="1:18" s="443" customFormat="1" ht="31.5" customHeight="1">
      <c r="A191" s="835"/>
      <c r="B191" s="401" t="s">
        <v>596</v>
      </c>
      <c r="C191" s="405"/>
      <c r="D191" s="608">
        <v>26996</v>
      </c>
      <c r="E191" s="459"/>
      <c r="F191" s="420">
        <v>6</v>
      </c>
      <c r="G191" s="432">
        <f t="shared" si="211"/>
        <v>26996</v>
      </c>
      <c r="H191" s="611"/>
      <c r="I191" s="433">
        <f t="shared" si="212"/>
        <v>270</v>
      </c>
      <c r="J191" s="433">
        <f t="shared" si="213"/>
        <v>26996</v>
      </c>
      <c r="K191" s="433">
        <v>1</v>
      </c>
      <c r="L191" s="421">
        <v>1</v>
      </c>
      <c r="M191" s="435">
        <f t="shared" si="214"/>
        <v>26.995999999999999</v>
      </c>
      <c r="N191" s="435">
        <f t="shared" si="215"/>
        <v>0.222</v>
      </c>
      <c r="O191" s="460">
        <f t="shared" si="216"/>
        <v>5.993112</v>
      </c>
      <c r="P191" s="518"/>
      <c r="R191" s="644"/>
    </row>
    <row r="192" spans="1:18" s="443" customFormat="1" ht="31.5" customHeight="1">
      <c r="A192" s="835"/>
      <c r="B192" s="401" t="s">
        <v>595</v>
      </c>
      <c r="C192" s="405"/>
      <c r="D192" s="608">
        <v>29809</v>
      </c>
      <c r="E192" s="459"/>
      <c r="F192" s="420">
        <v>6</v>
      </c>
      <c r="G192" s="432">
        <f t="shared" si="211"/>
        <v>29809</v>
      </c>
      <c r="H192" s="611"/>
      <c r="I192" s="433">
        <f t="shared" si="212"/>
        <v>270</v>
      </c>
      <c r="J192" s="433">
        <f t="shared" si="213"/>
        <v>29809</v>
      </c>
      <c r="K192" s="433">
        <v>1</v>
      </c>
      <c r="L192" s="421">
        <v>1</v>
      </c>
      <c r="M192" s="435">
        <f t="shared" si="214"/>
        <v>29.809000000000001</v>
      </c>
      <c r="N192" s="435">
        <f t="shared" si="215"/>
        <v>0.222</v>
      </c>
      <c r="O192" s="460">
        <f t="shared" si="216"/>
        <v>6.6175980000000001</v>
      </c>
      <c r="P192" s="518"/>
      <c r="R192" s="644"/>
    </row>
    <row r="193" spans="1:22" s="443" customFormat="1" ht="31.5" customHeight="1">
      <c r="A193" s="835"/>
      <c r="B193" s="401" t="s">
        <v>594</v>
      </c>
      <c r="C193" s="405"/>
      <c r="D193" s="608">
        <v>30375</v>
      </c>
      <c r="E193" s="459"/>
      <c r="F193" s="420">
        <v>6</v>
      </c>
      <c r="G193" s="432">
        <f t="shared" si="211"/>
        <v>30375</v>
      </c>
      <c r="H193" s="611"/>
      <c r="I193" s="433">
        <f t="shared" si="212"/>
        <v>270</v>
      </c>
      <c r="J193" s="433">
        <f t="shared" si="213"/>
        <v>30375</v>
      </c>
      <c r="K193" s="433">
        <v>1</v>
      </c>
      <c r="L193" s="421">
        <v>1</v>
      </c>
      <c r="M193" s="435">
        <f t="shared" si="214"/>
        <v>30.375</v>
      </c>
      <c r="N193" s="435">
        <f t="shared" si="215"/>
        <v>0.222</v>
      </c>
      <c r="O193" s="460">
        <f t="shared" si="216"/>
        <v>6.7432499999999997</v>
      </c>
      <c r="P193" s="518"/>
      <c r="R193" s="644"/>
    </row>
    <row r="194" spans="1:22" s="443" customFormat="1" ht="31.5" customHeight="1">
      <c r="A194" s="835"/>
      <c r="B194" s="401" t="s">
        <v>593</v>
      </c>
      <c r="C194" s="405"/>
      <c r="D194" s="608">
        <v>21450</v>
      </c>
      <c r="E194" s="459"/>
      <c r="F194" s="420">
        <v>6</v>
      </c>
      <c r="G194" s="432">
        <f t="shared" si="211"/>
        <v>21450</v>
      </c>
      <c r="H194" s="611"/>
      <c r="I194" s="433">
        <f t="shared" si="212"/>
        <v>270</v>
      </c>
      <c r="J194" s="433">
        <f t="shared" si="213"/>
        <v>21450</v>
      </c>
      <c r="K194" s="433">
        <v>1</v>
      </c>
      <c r="L194" s="421">
        <v>1</v>
      </c>
      <c r="M194" s="435">
        <f t="shared" si="214"/>
        <v>21.45</v>
      </c>
      <c r="N194" s="435">
        <f t="shared" si="215"/>
        <v>0.222</v>
      </c>
      <c r="O194" s="460">
        <f t="shared" si="216"/>
        <v>4.7618999999999998</v>
      </c>
      <c r="P194" s="518"/>
      <c r="R194" s="644"/>
    </row>
    <row r="195" spans="1:22" s="443" customFormat="1" ht="31.5" customHeight="1">
      <c r="A195" s="835"/>
      <c r="B195" s="401" t="s">
        <v>592</v>
      </c>
      <c r="C195" s="405"/>
      <c r="D195" s="608">
        <v>20334</v>
      </c>
      <c r="E195" s="459"/>
      <c r="F195" s="420">
        <v>6</v>
      </c>
      <c r="G195" s="432">
        <f t="shared" si="211"/>
        <v>20334</v>
      </c>
      <c r="H195" s="611"/>
      <c r="I195" s="433">
        <f t="shared" si="212"/>
        <v>270</v>
      </c>
      <c r="J195" s="433">
        <f t="shared" si="213"/>
        <v>20334</v>
      </c>
      <c r="K195" s="433">
        <v>1</v>
      </c>
      <c r="L195" s="421">
        <v>1</v>
      </c>
      <c r="M195" s="435">
        <f t="shared" si="214"/>
        <v>20.334</v>
      </c>
      <c r="N195" s="435">
        <f t="shared" si="215"/>
        <v>0.222</v>
      </c>
      <c r="O195" s="460">
        <f t="shared" si="216"/>
        <v>4.5141479999999996</v>
      </c>
      <c r="P195" s="518"/>
      <c r="R195" s="644"/>
    </row>
    <row r="196" spans="1:22" s="443" customFormat="1" ht="31.5" customHeight="1">
      <c r="A196" s="835"/>
      <c r="B196" s="623" t="s">
        <v>611</v>
      </c>
      <c r="C196" s="405"/>
      <c r="D196" s="608">
        <v>24994</v>
      </c>
      <c r="E196" s="459"/>
      <c r="F196" s="420">
        <v>6</v>
      </c>
      <c r="G196" s="432">
        <f>C196+D196+E196</f>
        <v>24994</v>
      </c>
      <c r="H196" s="611"/>
      <c r="I196" s="433">
        <f t="shared" si="212"/>
        <v>270</v>
      </c>
      <c r="J196" s="433">
        <f t="shared" si="213"/>
        <v>24994</v>
      </c>
      <c r="K196" s="433">
        <v>1</v>
      </c>
      <c r="L196" s="421">
        <v>1</v>
      </c>
      <c r="M196" s="435">
        <f t="shared" si="214"/>
        <v>24.994</v>
      </c>
      <c r="N196" s="435">
        <f t="shared" si="215"/>
        <v>0.222</v>
      </c>
      <c r="O196" s="460">
        <f t="shared" si="216"/>
        <v>5.5486680000000002</v>
      </c>
      <c r="P196" s="518"/>
      <c r="R196" s="644"/>
    </row>
    <row r="197" spans="1:22" s="443" customFormat="1" ht="31.5" customHeight="1">
      <c r="A197" s="834" t="s">
        <v>620</v>
      </c>
      <c r="B197" s="612" t="s">
        <v>591</v>
      </c>
      <c r="C197" s="405"/>
      <c r="D197" s="608">
        <v>23607</v>
      </c>
      <c r="E197" s="459"/>
      <c r="F197" s="420">
        <v>6</v>
      </c>
      <c r="G197" s="432">
        <f>C197+D197+E197</f>
        <v>23607</v>
      </c>
      <c r="H197" s="611"/>
      <c r="I197" s="433">
        <f>45*F197</f>
        <v>270</v>
      </c>
      <c r="J197" s="433">
        <f>+I197*H197+G197</f>
        <v>23607</v>
      </c>
      <c r="K197" s="433">
        <v>1</v>
      </c>
      <c r="L197" s="433">
        <v>1</v>
      </c>
      <c r="M197" s="435">
        <f>J197*K197*L197/1000</f>
        <v>23.606999999999999</v>
      </c>
      <c r="N197" s="435">
        <f>_xlfn.XLOOKUP(F197,$R$5:$Z$5,$R$6:$Z$6,"NOT_FOUND",0)</f>
        <v>0.222</v>
      </c>
      <c r="O197" s="460">
        <f>M197*N197</f>
        <v>5.2407539999999999</v>
      </c>
      <c r="P197" s="412" t="s">
        <v>349</v>
      </c>
      <c r="R197" s="644"/>
    </row>
    <row r="198" spans="1:22" s="443" customFormat="1" ht="31.5" customHeight="1">
      <c r="A198" s="835"/>
      <c r="B198" s="401" t="s">
        <v>590</v>
      </c>
      <c r="C198" s="405"/>
      <c r="D198" s="608">
        <v>22939</v>
      </c>
      <c r="E198" s="459"/>
      <c r="F198" s="420">
        <v>6</v>
      </c>
      <c r="G198" s="432">
        <f t="shared" ref="G198:G203" si="217">C198+D198+E198</f>
        <v>22939</v>
      </c>
      <c r="H198" s="611"/>
      <c r="I198" s="433">
        <f t="shared" ref="I198:I203" si="218">45*F198</f>
        <v>270</v>
      </c>
      <c r="J198" s="433">
        <f t="shared" ref="J198:J203" si="219">+I198*H198+G198</f>
        <v>22939</v>
      </c>
      <c r="K198" s="433">
        <v>1</v>
      </c>
      <c r="L198" s="421">
        <v>1</v>
      </c>
      <c r="M198" s="435">
        <f t="shared" ref="M198:M203" si="220">J198*K198*L198/1000</f>
        <v>22.939</v>
      </c>
      <c r="N198" s="435">
        <f t="shared" ref="N198:N203" si="221">_xlfn.XLOOKUP(F198,$R$5:$Z$5,$R$6:$Z$6,"NOT_FOUND",0)</f>
        <v>0.222</v>
      </c>
      <c r="O198" s="460">
        <f t="shared" ref="O198:O203" si="222">M198*N198</f>
        <v>5.0924579999999997</v>
      </c>
      <c r="P198" s="518"/>
      <c r="R198" s="644"/>
    </row>
    <row r="199" spans="1:22" s="443" customFormat="1" ht="31.5" customHeight="1">
      <c r="A199" s="835"/>
      <c r="B199" s="401" t="s">
        <v>589</v>
      </c>
      <c r="C199" s="405"/>
      <c r="D199" s="608">
        <v>23080</v>
      </c>
      <c r="E199" s="459"/>
      <c r="F199" s="420">
        <v>6</v>
      </c>
      <c r="G199" s="432">
        <f t="shared" si="217"/>
        <v>23080</v>
      </c>
      <c r="H199" s="611"/>
      <c r="I199" s="433">
        <f t="shared" si="218"/>
        <v>270</v>
      </c>
      <c r="J199" s="433">
        <f t="shared" si="219"/>
        <v>23080</v>
      </c>
      <c r="K199" s="433">
        <v>1</v>
      </c>
      <c r="L199" s="421">
        <v>1</v>
      </c>
      <c r="M199" s="435">
        <f t="shared" si="220"/>
        <v>23.08</v>
      </c>
      <c r="N199" s="435">
        <f t="shared" si="221"/>
        <v>0.222</v>
      </c>
      <c r="O199" s="460">
        <f t="shared" si="222"/>
        <v>5.1237599999999999</v>
      </c>
      <c r="P199" s="518"/>
      <c r="R199" s="644"/>
    </row>
    <row r="200" spans="1:22" s="443" customFormat="1" ht="31.5" customHeight="1">
      <c r="A200" s="835"/>
      <c r="B200" s="401" t="s">
        <v>588</v>
      </c>
      <c r="C200" s="405"/>
      <c r="D200" s="608">
        <v>23677</v>
      </c>
      <c r="E200" s="459"/>
      <c r="F200" s="420">
        <v>6</v>
      </c>
      <c r="G200" s="432">
        <f t="shared" si="217"/>
        <v>23677</v>
      </c>
      <c r="H200" s="611"/>
      <c r="I200" s="433">
        <f t="shared" si="218"/>
        <v>270</v>
      </c>
      <c r="J200" s="433">
        <f t="shared" si="219"/>
        <v>23677</v>
      </c>
      <c r="K200" s="433">
        <v>1</v>
      </c>
      <c r="L200" s="421">
        <v>1</v>
      </c>
      <c r="M200" s="435">
        <f t="shared" si="220"/>
        <v>23.677</v>
      </c>
      <c r="N200" s="435">
        <f t="shared" si="221"/>
        <v>0.222</v>
      </c>
      <c r="O200" s="460">
        <f t="shared" si="222"/>
        <v>5.2562939999999996</v>
      </c>
      <c r="P200" s="518"/>
      <c r="R200" s="644"/>
    </row>
    <row r="201" spans="1:22" s="443" customFormat="1" ht="31.5" customHeight="1">
      <c r="A201" s="835"/>
      <c r="B201" s="401" t="s">
        <v>609</v>
      </c>
      <c r="C201" s="405"/>
      <c r="D201" s="608">
        <v>24570</v>
      </c>
      <c r="E201" s="459"/>
      <c r="F201" s="420">
        <v>6</v>
      </c>
      <c r="G201" s="432">
        <f t="shared" si="217"/>
        <v>24570</v>
      </c>
      <c r="H201" s="611"/>
      <c r="I201" s="433">
        <f t="shared" si="218"/>
        <v>270</v>
      </c>
      <c r="J201" s="433">
        <f t="shared" si="219"/>
        <v>24570</v>
      </c>
      <c r="K201" s="433">
        <v>1</v>
      </c>
      <c r="L201" s="421">
        <v>1</v>
      </c>
      <c r="M201" s="435">
        <f t="shared" si="220"/>
        <v>24.57</v>
      </c>
      <c r="N201" s="435">
        <f t="shared" si="221"/>
        <v>0.222</v>
      </c>
      <c r="O201" s="460">
        <f t="shared" si="222"/>
        <v>5.4545399999999997</v>
      </c>
      <c r="P201" s="518"/>
      <c r="R201" s="644"/>
    </row>
    <row r="202" spans="1:22" s="443" customFormat="1" ht="31.5" customHeight="1">
      <c r="A202" s="835"/>
      <c r="B202" s="401" t="s">
        <v>721</v>
      </c>
      <c r="C202" s="405"/>
      <c r="D202" s="608">
        <v>24788</v>
      </c>
      <c r="E202" s="459"/>
      <c r="F202" s="420">
        <v>6</v>
      </c>
      <c r="G202" s="432">
        <f t="shared" si="217"/>
        <v>24788</v>
      </c>
      <c r="H202" s="611"/>
      <c r="I202" s="433">
        <f t="shared" si="218"/>
        <v>270</v>
      </c>
      <c r="J202" s="433">
        <f t="shared" si="219"/>
        <v>24788</v>
      </c>
      <c r="K202" s="433">
        <v>1</v>
      </c>
      <c r="L202" s="421">
        <v>1</v>
      </c>
      <c r="M202" s="435">
        <f t="shared" si="220"/>
        <v>24.788</v>
      </c>
      <c r="N202" s="435">
        <f t="shared" si="221"/>
        <v>0.222</v>
      </c>
      <c r="O202" s="460">
        <f t="shared" si="222"/>
        <v>5.502936</v>
      </c>
      <c r="P202" s="518"/>
      <c r="R202" s="644"/>
    </row>
    <row r="203" spans="1:22" s="443" customFormat="1" ht="31.5" customHeight="1">
      <c r="A203" s="835"/>
      <c r="B203" s="401" t="s">
        <v>587</v>
      </c>
      <c r="C203" s="405"/>
      <c r="D203" s="608">
        <v>24137</v>
      </c>
      <c r="E203" s="459"/>
      <c r="F203" s="420">
        <v>6</v>
      </c>
      <c r="G203" s="432">
        <f t="shared" si="217"/>
        <v>24137</v>
      </c>
      <c r="H203" s="611"/>
      <c r="I203" s="433">
        <f t="shared" si="218"/>
        <v>270</v>
      </c>
      <c r="J203" s="433">
        <f t="shared" si="219"/>
        <v>24137</v>
      </c>
      <c r="K203" s="433">
        <v>1</v>
      </c>
      <c r="L203" s="421">
        <v>1</v>
      </c>
      <c r="M203" s="435">
        <f t="shared" si="220"/>
        <v>24.137</v>
      </c>
      <c r="N203" s="435">
        <f t="shared" si="221"/>
        <v>0.222</v>
      </c>
      <c r="O203" s="460">
        <f t="shared" si="222"/>
        <v>5.3584139999999998</v>
      </c>
      <c r="P203" s="518"/>
      <c r="R203" s="644"/>
    </row>
    <row r="204" spans="1:22" s="670" customFormat="1" ht="22.15" customHeight="1">
      <c r="A204" s="636" t="s">
        <v>725</v>
      </c>
      <c r="B204" s="631"/>
      <c r="C204" s="632"/>
      <c r="D204" s="633"/>
      <c r="E204" s="634"/>
      <c r="F204" s="637"/>
      <c r="G204" s="637"/>
      <c r="H204" s="637"/>
      <c r="I204" s="637"/>
      <c r="J204" s="637"/>
      <c r="K204" s="637"/>
      <c r="L204" s="637"/>
      <c r="M204" s="638"/>
      <c r="N204" s="637"/>
      <c r="O204" s="639"/>
      <c r="P204" s="635"/>
    </row>
    <row r="205" spans="1:22" s="443" customFormat="1" ht="31.5" customHeight="1">
      <c r="A205" s="834" t="s">
        <v>726</v>
      </c>
      <c r="B205" s="401">
        <v>17</v>
      </c>
      <c r="C205" s="405"/>
      <c r="D205" s="608">
        <v>226357</v>
      </c>
      <c r="E205" s="459"/>
      <c r="F205" s="420">
        <v>6</v>
      </c>
      <c r="G205" s="432">
        <f>C205+D205+E205</f>
        <v>226357</v>
      </c>
      <c r="H205" s="611"/>
      <c r="I205" s="433">
        <f>45*F205</f>
        <v>270</v>
      </c>
      <c r="J205" s="433">
        <f>+I205*H205+G205</f>
        <v>226357</v>
      </c>
      <c r="K205" s="433">
        <v>1</v>
      </c>
      <c r="L205" s="433">
        <v>1</v>
      </c>
      <c r="M205" s="435">
        <f>J205*K205*L205/1000</f>
        <v>226.357</v>
      </c>
      <c r="N205" s="435">
        <f>_xlfn.XLOOKUP(F205,$R$5:$Z$5,$R$6:$Z$6,"NOT_FOUND",0)</f>
        <v>0.222</v>
      </c>
      <c r="O205" s="460">
        <f>M205*N205</f>
        <v>50.251254000000003</v>
      </c>
      <c r="P205" s="412" t="s">
        <v>349</v>
      </c>
    </row>
    <row r="206" spans="1:22" s="443" customFormat="1" ht="31.5" customHeight="1">
      <c r="A206" s="835"/>
      <c r="B206" s="401">
        <v>18</v>
      </c>
      <c r="C206" s="405"/>
      <c r="D206" s="608">
        <v>168417</v>
      </c>
      <c r="E206" s="459"/>
      <c r="F206" s="420">
        <v>6</v>
      </c>
      <c r="G206" s="432">
        <f t="shared" ref="G206" si="223">C206+D206+E206</f>
        <v>168417</v>
      </c>
      <c r="H206" s="611"/>
      <c r="I206" s="433">
        <f t="shared" ref="I206" si="224">45*F206</f>
        <v>270</v>
      </c>
      <c r="J206" s="433">
        <f t="shared" ref="J206" si="225">+I206*H206+G206</f>
        <v>168417</v>
      </c>
      <c r="K206" s="421">
        <v>1</v>
      </c>
      <c r="L206" s="421">
        <v>1</v>
      </c>
      <c r="M206" s="435">
        <f t="shared" ref="M206" si="226">J206*K206*L206/1000</f>
        <v>168.417</v>
      </c>
      <c r="N206" s="435">
        <f t="shared" ref="N206" si="227">_xlfn.XLOOKUP(F206,$R$5:$Z$5,$R$6:$Z$6,"NOT_FOUND",0)</f>
        <v>0.222</v>
      </c>
      <c r="O206" s="460">
        <f t="shared" ref="O206" si="228">M206*N206</f>
        <v>37.388573999999998</v>
      </c>
      <c r="P206" s="518"/>
      <c r="V206" s="648"/>
    </row>
    <row r="207" spans="1:22" s="443" customFormat="1" ht="31.5" customHeight="1">
      <c r="A207" s="834" t="s">
        <v>727</v>
      </c>
      <c r="B207" s="401">
        <v>19</v>
      </c>
      <c r="C207" s="405"/>
      <c r="D207" s="608">
        <v>255045</v>
      </c>
      <c r="E207" s="459"/>
      <c r="F207" s="420">
        <v>6</v>
      </c>
      <c r="G207" s="432">
        <f>C207+D207+E207</f>
        <v>255045</v>
      </c>
      <c r="H207" s="611"/>
      <c r="I207" s="433">
        <f>45*F207</f>
        <v>270</v>
      </c>
      <c r="J207" s="433">
        <f>+I207*H207+G207</f>
        <v>255045</v>
      </c>
      <c r="K207" s="433">
        <v>1</v>
      </c>
      <c r="L207" s="433">
        <v>1</v>
      </c>
      <c r="M207" s="435">
        <f>J207*K207*L207/1000</f>
        <v>255.04499999999999</v>
      </c>
      <c r="N207" s="435">
        <f>_xlfn.XLOOKUP(F207,$R$5:$Z$5,$R$6:$Z$6,"NOT_FOUND",0)</f>
        <v>0.222</v>
      </c>
      <c r="O207" s="460">
        <f>M207*N207</f>
        <v>56.619990000000001</v>
      </c>
      <c r="P207" s="412" t="s">
        <v>349</v>
      </c>
      <c r="R207" s="644"/>
    </row>
    <row r="208" spans="1:22" s="443" customFormat="1" ht="31.5" customHeight="1">
      <c r="A208" s="835"/>
      <c r="B208" s="401">
        <v>20</v>
      </c>
      <c r="C208" s="405"/>
      <c r="D208" s="608">
        <v>254677</v>
      </c>
      <c r="E208" s="459"/>
      <c r="F208" s="420">
        <v>6</v>
      </c>
      <c r="G208" s="432">
        <f t="shared" ref="G208" si="229">C208+D208+E208</f>
        <v>254677</v>
      </c>
      <c r="H208" s="611"/>
      <c r="I208" s="433">
        <f t="shared" ref="I208" si="230">45*F208</f>
        <v>270</v>
      </c>
      <c r="J208" s="433">
        <f t="shared" ref="J208" si="231">+I208*H208+G208</f>
        <v>254677</v>
      </c>
      <c r="K208" s="421">
        <v>1</v>
      </c>
      <c r="L208" s="421">
        <v>1</v>
      </c>
      <c r="M208" s="435">
        <f t="shared" ref="M208" si="232">J208*K208*L208/1000</f>
        <v>254.67699999999999</v>
      </c>
      <c r="N208" s="435">
        <f t="shared" ref="N208" si="233">_xlfn.XLOOKUP(F208,$R$5:$Z$5,$R$6:$Z$6,"NOT_FOUND",0)</f>
        <v>0.222</v>
      </c>
      <c r="O208" s="460">
        <f t="shared" ref="O208" si="234">M208*N208</f>
        <v>56.538294</v>
      </c>
      <c r="P208" s="518"/>
      <c r="R208" s="644"/>
    </row>
    <row r="209" spans="1:18" s="443" customFormat="1" ht="31.5" customHeight="1">
      <c r="A209" s="834" t="s">
        <v>728</v>
      </c>
      <c r="B209" s="401">
        <v>21</v>
      </c>
      <c r="C209" s="405"/>
      <c r="D209" s="608">
        <v>197505</v>
      </c>
      <c r="E209" s="459"/>
      <c r="F209" s="420">
        <v>6</v>
      </c>
      <c r="G209" s="432">
        <f>C209+D209+E209</f>
        <v>197505</v>
      </c>
      <c r="H209" s="611"/>
      <c r="I209" s="433">
        <f>45*F209</f>
        <v>270</v>
      </c>
      <c r="J209" s="433">
        <f>+I209*H209+G209</f>
        <v>197505</v>
      </c>
      <c r="K209" s="433">
        <v>1</v>
      </c>
      <c r="L209" s="433">
        <v>1</v>
      </c>
      <c r="M209" s="435">
        <f>J209*K209*L209/1000</f>
        <v>197.505</v>
      </c>
      <c r="N209" s="435">
        <f>_xlfn.XLOOKUP(F209,$R$5:$Z$5,$R$6:$Z$6,"NOT_FOUND",0)</f>
        <v>0.222</v>
      </c>
      <c r="O209" s="460">
        <f>M209*N209</f>
        <v>43.846110000000003</v>
      </c>
      <c r="P209" s="412" t="s">
        <v>349</v>
      </c>
      <c r="R209" s="644"/>
    </row>
    <row r="210" spans="1:18" s="443" customFormat="1" ht="31.5" customHeight="1">
      <c r="A210" s="835"/>
      <c r="B210" s="401">
        <v>22</v>
      </c>
      <c r="C210" s="405"/>
      <c r="D210" s="608">
        <v>197416</v>
      </c>
      <c r="E210" s="459"/>
      <c r="F210" s="420">
        <v>6</v>
      </c>
      <c r="G210" s="432">
        <f t="shared" ref="G210" si="235">C210+D210+E210</f>
        <v>197416</v>
      </c>
      <c r="H210" s="611"/>
      <c r="I210" s="433">
        <f t="shared" ref="I210" si="236">45*F210</f>
        <v>270</v>
      </c>
      <c r="J210" s="433">
        <f t="shared" ref="J210" si="237">+I210*H210+G210</f>
        <v>197416</v>
      </c>
      <c r="K210" s="421">
        <v>1</v>
      </c>
      <c r="L210" s="421">
        <v>1</v>
      </c>
      <c r="M210" s="435">
        <f t="shared" ref="M210" si="238">J210*K210*L210/1000</f>
        <v>197.416</v>
      </c>
      <c r="N210" s="435">
        <f t="shared" ref="N210" si="239">_xlfn.XLOOKUP(F210,$R$5:$Z$5,$R$6:$Z$6,"NOT_FOUND",0)</f>
        <v>0.222</v>
      </c>
      <c r="O210" s="460">
        <f t="shared" ref="O210" si="240">M210*N210</f>
        <v>43.826352</v>
      </c>
      <c r="P210" s="518"/>
      <c r="R210" s="644"/>
    </row>
    <row r="211" spans="1:18" s="519" customFormat="1" ht="22.15" customHeight="1">
      <c r="A211" s="649" t="s">
        <v>633</v>
      </c>
      <c r="B211" s="650"/>
      <c r="C211" s="651"/>
      <c r="D211" s="652"/>
      <c r="E211" s="653"/>
      <c r="F211" s="654"/>
      <c r="G211" s="654"/>
      <c r="H211" s="654"/>
      <c r="I211" s="654"/>
      <c r="J211" s="654"/>
      <c r="K211" s="654"/>
      <c r="L211" s="654"/>
      <c r="M211" s="655"/>
      <c r="N211" s="654"/>
      <c r="O211" s="655"/>
      <c r="P211" s="656"/>
    </row>
    <row r="212" spans="1:18" s="519" customFormat="1" ht="22.15" customHeight="1">
      <c r="A212" s="630" t="s">
        <v>631</v>
      </c>
      <c r="B212" s="631"/>
      <c r="C212" s="632"/>
      <c r="D212" s="633"/>
      <c r="E212" s="634"/>
      <c r="F212" s="637"/>
      <c r="G212" s="637"/>
      <c r="H212" s="637"/>
      <c r="I212" s="637"/>
      <c r="J212" s="637"/>
      <c r="K212" s="637"/>
      <c r="L212" s="637"/>
      <c r="M212" s="638"/>
      <c r="N212" s="637"/>
      <c r="O212" s="639"/>
      <c r="P212" s="635"/>
    </row>
    <row r="213" spans="1:18" s="443" customFormat="1" ht="31.5" customHeight="1">
      <c r="A213" s="834" t="s">
        <v>627</v>
      </c>
      <c r="B213" s="401">
        <v>10</v>
      </c>
      <c r="C213" s="405"/>
      <c r="D213" s="459">
        <v>4000</v>
      </c>
      <c r="E213" s="401"/>
      <c r="F213" s="420">
        <v>10</v>
      </c>
      <c r="G213" s="432">
        <f>C213+D213+E213</f>
        <v>4000</v>
      </c>
      <c r="H213" s="611">
        <f>ROUNDUP((G213/11.7/1000),0)-1</f>
        <v>0</v>
      </c>
      <c r="I213" s="433">
        <f>45*F213</f>
        <v>450</v>
      </c>
      <c r="J213" s="433">
        <f>+I213*H213+G213</f>
        <v>4000</v>
      </c>
      <c r="K213" s="433">
        <v>10</v>
      </c>
      <c r="L213" s="433">
        <v>1</v>
      </c>
      <c r="M213" s="435">
        <f>J213*K213*L213/1000</f>
        <v>40</v>
      </c>
      <c r="N213" s="435">
        <f>_xlfn.XLOOKUP(F213,$R$5:$Z$5,$R$6:$Z$6,"NOT_FOUND",0)</f>
        <v>0.61699999999999999</v>
      </c>
      <c r="O213" s="460">
        <f>M213*N213</f>
        <v>24.68</v>
      </c>
      <c r="P213" s="412" t="s">
        <v>349</v>
      </c>
      <c r="R213" s="644"/>
    </row>
    <row r="214" spans="1:18" s="443" customFormat="1" ht="31.5" customHeight="1">
      <c r="A214" s="887"/>
      <c r="B214" s="401">
        <v>10</v>
      </c>
      <c r="C214" s="405"/>
      <c r="D214" s="459">
        <v>3200</v>
      </c>
      <c r="E214" s="401"/>
      <c r="F214" s="420">
        <v>10</v>
      </c>
      <c r="G214" s="432">
        <f t="shared" ref="G214:G220" si="241">C214+D214+E214</f>
        <v>3200</v>
      </c>
      <c r="H214" s="611">
        <f t="shared" ref="H214:H220" si="242">ROUNDUP((G214/11.7/1000),0)-1</f>
        <v>0</v>
      </c>
      <c r="I214" s="433">
        <f t="shared" ref="I214:I220" si="243">45*F214</f>
        <v>450</v>
      </c>
      <c r="J214" s="433">
        <f t="shared" ref="J214:J220" si="244">+I214*H214+G214</f>
        <v>3200</v>
      </c>
      <c r="K214" s="421">
        <v>10</v>
      </c>
      <c r="L214" s="421">
        <v>1</v>
      </c>
      <c r="M214" s="435">
        <f t="shared" ref="M214:M220" si="245">J214*K214*L214/1000</f>
        <v>32</v>
      </c>
      <c r="N214" s="435">
        <f t="shared" ref="N214:N220" si="246">_xlfn.XLOOKUP(F214,$R$5:$Z$5,$R$6:$Z$6,"NOT_FOUND",0)</f>
        <v>0.61699999999999999</v>
      </c>
      <c r="O214" s="460">
        <f t="shared" ref="O214:O220" si="247">M214*N214</f>
        <v>19.744</v>
      </c>
      <c r="P214" s="518"/>
      <c r="R214" s="644"/>
    </row>
    <row r="215" spans="1:18" s="443" customFormat="1" ht="31.5" customHeight="1">
      <c r="A215" s="888" t="s">
        <v>628</v>
      </c>
      <c r="B215" s="401">
        <v>7</v>
      </c>
      <c r="C215" s="405">
        <v>60</v>
      </c>
      <c r="D215" s="608">
        <v>2250</v>
      </c>
      <c r="E215" s="459">
        <v>60</v>
      </c>
      <c r="F215" s="420">
        <v>6</v>
      </c>
      <c r="G215" s="432">
        <f t="shared" si="241"/>
        <v>2370</v>
      </c>
      <c r="H215" s="611">
        <f t="shared" si="242"/>
        <v>0</v>
      </c>
      <c r="I215" s="433">
        <f t="shared" si="243"/>
        <v>270</v>
      </c>
      <c r="J215" s="433">
        <f t="shared" si="244"/>
        <v>2370</v>
      </c>
      <c r="K215" s="421">
        <v>15</v>
      </c>
      <c r="L215" s="421">
        <v>1</v>
      </c>
      <c r="M215" s="435">
        <f t="shared" si="245"/>
        <v>35.549999999999997</v>
      </c>
      <c r="N215" s="435">
        <f t="shared" si="246"/>
        <v>0.222</v>
      </c>
      <c r="O215" s="460">
        <f t="shared" si="247"/>
        <v>7.8920999999999992</v>
      </c>
      <c r="P215" s="518"/>
      <c r="R215" s="644"/>
    </row>
    <row r="216" spans="1:18" s="443" customFormat="1" ht="31.5" customHeight="1">
      <c r="A216" s="887"/>
      <c r="B216" s="401">
        <v>8</v>
      </c>
      <c r="C216" s="405">
        <v>60</v>
      </c>
      <c r="D216" s="608">
        <v>4050</v>
      </c>
      <c r="E216" s="459">
        <v>60</v>
      </c>
      <c r="F216" s="420">
        <v>6</v>
      </c>
      <c r="G216" s="432">
        <f t="shared" si="241"/>
        <v>4170</v>
      </c>
      <c r="H216" s="611">
        <f t="shared" si="242"/>
        <v>0</v>
      </c>
      <c r="I216" s="433">
        <f t="shared" si="243"/>
        <v>270</v>
      </c>
      <c r="J216" s="433">
        <f t="shared" si="244"/>
        <v>4170</v>
      </c>
      <c r="K216" s="421">
        <v>13</v>
      </c>
      <c r="L216" s="421">
        <v>1</v>
      </c>
      <c r="M216" s="435">
        <f t="shared" si="245"/>
        <v>54.21</v>
      </c>
      <c r="N216" s="435">
        <f t="shared" si="246"/>
        <v>0.222</v>
      </c>
      <c r="O216" s="460">
        <f t="shared" si="247"/>
        <v>12.03462</v>
      </c>
      <c r="P216" s="518"/>
      <c r="R216" s="644"/>
    </row>
    <row r="217" spans="1:18" s="443" customFormat="1" ht="31.5" customHeight="1">
      <c r="A217" s="888" t="s">
        <v>629</v>
      </c>
      <c r="B217" s="401" t="s">
        <v>600</v>
      </c>
      <c r="C217" s="405">
        <v>250</v>
      </c>
      <c r="D217" s="608">
        <v>2700</v>
      </c>
      <c r="E217" s="459">
        <v>250</v>
      </c>
      <c r="F217" s="420">
        <v>10</v>
      </c>
      <c r="G217" s="432">
        <f t="shared" si="241"/>
        <v>3200</v>
      </c>
      <c r="H217" s="611">
        <f t="shared" si="242"/>
        <v>0</v>
      </c>
      <c r="I217" s="433">
        <f t="shared" si="243"/>
        <v>450</v>
      </c>
      <c r="J217" s="433">
        <f t="shared" si="244"/>
        <v>3200</v>
      </c>
      <c r="K217" s="421">
        <v>12</v>
      </c>
      <c r="L217" s="421">
        <v>1</v>
      </c>
      <c r="M217" s="435">
        <f t="shared" si="245"/>
        <v>38.4</v>
      </c>
      <c r="N217" s="435">
        <f t="shared" si="246"/>
        <v>0.61699999999999999</v>
      </c>
      <c r="O217" s="460">
        <f t="shared" si="247"/>
        <v>23.692799999999998</v>
      </c>
      <c r="P217" s="518"/>
      <c r="R217" s="644"/>
    </row>
    <row r="218" spans="1:18" s="443" customFormat="1" ht="31.5" customHeight="1">
      <c r="A218" s="835"/>
      <c r="B218" s="401">
        <v>6</v>
      </c>
      <c r="C218" s="405">
        <v>250</v>
      </c>
      <c r="D218" s="608">
        <v>1700</v>
      </c>
      <c r="E218" s="459">
        <v>250</v>
      </c>
      <c r="F218" s="420">
        <v>10</v>
      </c>
      <c r="G218" s="432">
        <f t="shared" si="241"/>
        <v>2200</v>
      </c>
      <c r="H218" s="611">
        <f t="shared" si="242"/>
        <v>0</v>
      </c>
      <c r="I218" s="433">
        <f t="shared" si="243"/>
        <v>450</v>
      </c>
      <c r="J218" s="433">
        <f t="shared" si="244"/>
        <v>2200</v>
      </c>
      <c r="K218" s="421">
        <v>5</v>
      </c>
      <c r="L218" s="421">
        <v>1</v>
      </c>
      <c r="M218" s="435">
        <f t="shared" si="245"/>
        <v>11</v>
      </c>
      <c r="N218" s="435">
        <f t="shared" si="246"/>
        <v>0.61699999999999999</v>
      </c>
      <c r="O218" s="460">
        <f t="shared" si="247"/>
        <v>6.7869999999999999</v>
      </c>
      <c r="P218" s="518"/>
      <c r="R218" s="644"/>
    </row>
    <row r="219" spans="1:18" s="443" customFormat="1" ht="31.5" customHeight="1">
      <c r="A219" s="835"/>
      <c r="B219" s="401" t="s">
        <v>599</v>
      </c>
      <c r="C219" s="405">
        <v>250</v>
      </c>
      <c r="D219" s="608">
        <v>3200</v>
      </c>
      <c r="E219" s="459">
        <v>250</v>
      </c>
      <c r="F219" s="420">
        <v>10</v>
      </c>
      <c r="G219" s="432">
        <f t="shared" ref="G219" si="248">C219+D219+E219</f>
        <v>3700</v>
      </c>
      <c r="H219" s="611">
        <f t="shared" ref="H219" si="249">ROUNDUP((G219/11.7/1000),0)-1</f>
        <v>0</v>
      </c>
      <c r="I219" s="433">
        <f t="shared" ref="I219" si="250">45*F219</f>
        <v>450</v>
      </c>
      <c r="J219" s="433">
        <f t="shared" ref="J219" si="251">+I219*H219+G219</f>
        <v>3700</v>
      </c>
      <c r="K219" s="421">
        <v>9</v>
      </c>
      <c r="L219" s="421">
        <v>1</v>
      </c>
      <c r="M219" s="435">
        <f t="shared" ref="M219" si="252">J219*K219*L219/1000</f>
        <v>33.299999999999997</v>
      </c>
      <c r="N219" s="435">
        <f t="shared" ref="N219" si="253">_xlfn.XLOOKUP(F219,$R$5:$Z$5,$R$6:$Z$6,"NOT_FOUND",0)</f>
        <v>0.61699999999999999</v>
      </c>
      <c r="O219" s="460">
        <f t="shared" ref="O219" si="254">M219*N219</f>
        <v>20.546099999999999</v>
      </c>
      <c r="P219" s="518"/>
      <c r="R219" s="644"/>
    </row>
    <row r="220" spans="1:18" s="443" customFormat="1" ht="31.5" customHeight="1">
      <c r="A220" s="835"/>
      <c r="B220" s="401">
        <v>7</v>
      </c>
      <c r="C220" s="405">
        <v>250</v>
      </c>
      <c r="D220" s="608">
        <v>2200</v>
      </c>
      <c r="E220" s="459">
        <v>250</v>
      </c>
      <c r="F220" s="420">
        <v>10</v>
      </c>
      <c r="G220" s="432">
        <f t="shared" si="241"/>
        <v>2700</v>
      </c>
      <c r="H220" s="611">
        <f t="shared" si="242"/>
        <v>0</v>
      </c>
      <c r="I220" s="433">
        <f t="shared" si="243"/>
        <v>450</v>
      </c>
      <c r="J220" s="433">
        <f t="shared" si="244"/>
        <v>2700</v>
      </c>
      <c r="K220" s="421">
        <v>5</v>
      </c>
      <c r="L220" s="421">
        <v>1</v>
      </c>
      <c r="M220" s="435">
        <f t="shared" si="245"/>
        <v>13.5</v>
      </c>
      <c r="N220" s="435">
        <f t="shared" si="246"/>
        <v>0.61699999999999999</v>
      </c>
      <c r="O220" s="460">
        <f t="shared" si="247"/>
        <v>8.3294999999999995</v>
      </c>
      <c r="P220" s="518"/>
      <c r="R220" s="644"/>
    </row>
    <row r="221" spans="1:18" s="443" customFormat="1" ht="31.5" customHeight="1">
      <c r="A221" s="888" t="s">
        <v>630</v>
      </c>
      <c r="B221" s="401" t="s">
        <v>600</v>
      </c>
      <c r="C221" s="405">
        <v>100</v>
      </c>
      <c r="D221" s="608">
        <v>2700</v>
      </c>
      <c r="E221" s="459">
        <v>100</v>
      </c>
      <c r="F221" s="420">
        <v>10</v>
      </c>
      <c r="G221" s="432">
        <f t="shared" ref="G221:G224" si="255">C221+D221+E221</f>
        <v>2900</v>
      </c>
      <c r="H221" s="611">
        <f t="shared" ref="H221:H224" si="256">ROUNDUP((G221/11.7/1000),0)-1</f>
        <v>0</v>
      </c>
      <c r="I221" s="433">
        <f t="shared" ref="I221:I224" si="257">45*F221</f>
        <v>450</v>
      </c>
      <c r="J221" s="433">
        <f t="shared" ref="J221:J224" si="258">+I221*H221+G221</f>
        <v>2900</v>
      </c>
      <c r="K221" s="421">
        <v>12</v>
      </c>
      <c r="L221" s="421">
        <v>1</v>
      </c>
      <c r="M221" s="435">
        <f t="shared" ref="M221:M224" si="259">J221*K221*L221/1000</f>
        <v>34.799999999999997</v>
      </c>
      <c r="N221" s="435">
        <f t="shared" ref="N221:N224" si="260">_xlfn.XLOOKUP(F221,$R$5:$Z$5,$R$6:$Z$6,"NOT_FOUND",0)</f>
        <v>0.61699999999999999</v>
      </c>
      <c r="O221" s="460">
        <f t="shared" ref="O221:O224" si="261">M221*N221</f>
        <v>21.471599999999999</v>
      </c>
      <c r="P221" s="518"/>
      <c r="R221" s="644"/>
    </row>
    <row r="222" spans="1:18" s="443" customFormat="1" ht="31.5" customHeight="1">
      <c r="A222" s="835"/>
      <c r="B222" s="401">
        <v>6</v>
      </c>
      <c r="C222" s="405">
        <v>100</v>
      </c>
      <c r="D222" s="608">
        <v>1700</v>
      </c>
      <c r="E222" s="459">
        <v>100</v>
      </c>
      <c r="F222" s="420">
        <v>10</v>
      </c>
      <c r="G222" s="432">
        <f t="shared" si="255"/>
        <v>1900</v>
      </c>
      <c r="H222" s="611">
        <f t="shared" si="256"/>
        <v>0</v>
      </c>
      <c r="I222" s="433">
        <f t="shared" si="257"/>
        <v>450</v>
      </c>
      <c r="J222" s="433">
        <f t="shared" si="258"/>
        <v>1900</v>
      </c>
      <c r="K222" s="421">
        <v>5</v>
      </c>
      <c r="L222" s="421">
        <v>1</v>
      </c>
      <c r="M222" s="435">
        <f t="shared" si="259"/>
        <v>9.5</v>
      </c>
      <c r="N222" s="435">
        <f t="shared" si="260"/>
        <v>0.61699999999999999</v>
      </c>
      <c r="O222" s="460">
        <f t="shared" si="261"/>
        <v>5.8614999999999995</v>
      </c>
      <c r="P222" s="518"/>
      <c r="R222" s="644"/>
    </row>
    <row r="223" spans="1:18" s="443" customFormat="1" ht="31.5" customHeight="1">
      <c r="A223" s="835"/>
      <c r="B223" s="401" t="s">
        <v>599</v>
      </c>
      <c r="C223" s="405">
        <v>100</v>
      </c>
      <c r="D223" s="608">
        <v>3200</v>
      </c>
      <c r="E223" s="459">
        <v>100</v>
      </c>
      <c r="F223" s="420">
        <v>10</v>
      </c>
      <c r="G223" s="432">
        <f t="shared" si="255"/>
        <v>3400</v>
      </c>
      <c r="H223" s="611">
        <f t="shared" si="256"/>
        <v>0</v>
      </c>
      <c r="I223" s="433">
        <f t="shared" si="257"/>
        <v>450</v>
      </c>
      <c r="J223" s="433">
        <f t="shared" si="258"/>
        <v>3400</v>
      </c>
      <c r="K223" s="421">
        <v>9</v>
      </c>
      <c r="L223" s="421">
        <v>1</v>
      </c>
      <c r="M223" s="435">
        <f t="shared" si="259"/>
        <v>30.6</v>
      </c>
      <c r="N223" s="435">
        <f t="shared" si="260"/>
        <v>0.61699999999999999</v>
      </c>
      <c r="O223" s="460">
        <f t="shared" si="261"/>
        <v>18.880200000000002</v>
      </c>
      <c r="P223" s="518"/>
      <c r="R223" s="644"/>
    </row>
    <row r="224" spans="1:18" s="443" customFormat="1" ht="31.5" customHeight="1">
      <c r="A224" s="887"/>
      <c r="B224" s="401">
        <v>7</v>
      </c>
      <c r="C224" s="405">
        <v>100</v>
      </c>
      <c r="D224" s="608">
        <v>2200</v>
      </c>
      <c r="E224" s="459">
        <v>100</v>
      </c>
      <c r="F224" s="420">
        <v>10</v>
      </c>
      <c r="G224" s="432">
        <f t="shared" si="255"/>
        <v>2400</v>
      </c>
      <c r="H224" s="611">
        <f t="shared" si="256"/>
        <v>0</v>
      </c>
      <c r="I224" s="433">
        <f t="shared" si="257"/>
        <v>450</v>
      </c>
      <c r="J224" s="433">
        <f t="shared" si="258"/>
        <v>2400</v>
      </c>
      <c r="K224" s="421">
        <v>5</v>
      </c>
      <c r="L224" s="421">
        <v>1</v>
      </c>
      <c r="M224" s="435">
        <f t="shared" si="259"/>
        <v>12</v>
      </c>
      <c r="N224" s="435">
        <f t="shared" si="260"/>
        <v>0.61699999999999999</v>
      </c>
      <c r="O224" s="460">
        <f t="shared" si="261"/>
        <v>7.4039999999999999</v>
      </c>
      <c r="P224" s="518"/>
      <c r="R224" s="644"/>
    </row>
    <row r="225" spans="1:18" s="519" customFormat="1" ht="22.15" customHeight="1">
      <c r="A225" s="630" t="s">
        <v>632</v>
      </c>
      <c r="B225" s="631"/>
      <c r="C225" s="632"/>
      <c r="D225" s="633"/>
      <c r="E225" s="634"/>
      <c r="F225" s="637"/>
      <c r="G225" s="637"/>
      <c r="H225" s="637"/>
      <c r="I225" s="637"/>
      <c r="J225" s="637"/>
      <c r="K225" s="637"/>
      <c r="L225" s="637"/>
      <c r="M225" s="638"/>
      <c r="N225" s="637"/>
      <c r="O225" s="639"/>
      <c r="P225" s="635"/>
    </row>
    <row r="226" spans="1:18" s="443" customFormat="1" ht="31.5" customHeight="1">
      <c r="A226" s="834" t="s">
        <v>627</v>
      </c>
      <c r="B226" s="401">
        <v>10</v>
      </c>
      <c r="C226" s="405"/>
      <c r="D226" s="459">
        <v>4000</v>
      </c>
      <c r="E226" s="401"/>
      <c r="F226" s="420">
        <v>10</v>
      </c>
      <c r="G226" s="432">
        <f>C226+D226+E226</f>
        <v>4000</v>
      </c>
      <c r="H226" s="611">
        <f>ROUNDUP((G226/11.7/1000),0)-1</f>
        <v>0</v>
      </c>
      <c r="I226" s="433">
        <f>45*F226</f>
        <v>450</v>
      </c>
      <c r="J226" s="433">
        <f>+I226*H226+G226</f>
        <v>4000</v>
      </c>
      <c r="K226" s="433">
        <v>10</v>
      </c>
      <c r="L226" s="433">
        <v>1</v>
      </c>
      <c r="M226" s="435">
        <f>J226*K226*L226/1000</f>
        <v>40</v>
      </c>
      <c r="N226" s="435">
        <f>_xlfn.XLOOKUP(F226,$R$5:$Z$5,$R$6:$Z$6,"NOT_FOUND",0)</f>
        <v>0.61699999999999999</v>
      </c>
      <c r="O226" s="460">
        <f>M226*N226</f>
        <v>24.68</v>
      </c>
      <c r="P226" s="412" t="s">
        <v>349</v>
      </c>
      <c r="R226" s="644"/>
    </row>
    <row r="227" spans="1:18" s="443" customFormat="1" ht="31.5" customHeight="1">
      <c r="A227" s="887"/>
      <c r="B227" s="401">
        <v>10</v>
      </c>
      <c r="C227" s="405"/>
      <c r="D227" s="459">
        <v>3200</v>
      </c>
      <c r="E227" s="401"/>
      <c r="F227" s="420">
        <v>10</v>
      </c>
      <c r="G227" s="432">
        <f t="shared" ref="G227:G237" si="262">C227+D227+E227</f>
        <v>3200</v>
      </c>
      <c r="H227" s="611">
        <f t="shared" ref="H227:H237" si="263">ROUNDUP((G227/11.7/1000),0)-1</f>
        <v>0</v>
      </c>
      <c r="I227" s="433">
        <f t="shared" ref="I227:I237" si="264">45*F227</f>
        <v>450</v>
      </c>
      <c r="J227" s="433">
        <f t="shared" ref="J227:J237" si="265">+I227*H227+G227</f>
        <v>3200</v>
      </c>
      <c r="K227" s="421">
        <v>10</v>
      </c>
      <c r="L227" s="421">
        <v>1</v>
      </c>
      <c r="M227" s="435">
        <f t="shared" ref="M227:M237" si="266">J227*K227*L227/1000</f>
        <v>32</v>
      </c>
      <c r="N227" s="435">
        <f t="shared" ref="N227:N237" si="267">_xlfn.XLOOKUP(F227,$R$5:$Z$5,$R$6:$Z$6,"NOT_FOUND",0)</f>
        <v>0.61699999999999999</v>
      </c>
      <c r="O227" s="460">
        <f t="shared" ref="O227:O237" si="268">M227*N227</f>
        <v>19.744</v>
      </c>
      <c r="P227" s="518"/>
      <c r="R227" s="644"/>
    </row>
    <row r="228" spans="1:18" s="443" customFormat="1" ht="31.5" customHeight="1">
      <c r="A228" s="888" t="s">
        <v>628</v>
      </c>
      <c r="B228" s="401">
        <v>7</v>
      </c>
      <c r="C228" s="405">
        <v>60</v>
      </c>
      <c r="D228" s="608">
        <v>2200</v>
      </c>
      <c r="E228" s="459">
        <v>60</v>
      </c>
      <c r="F228" s="420">
        <v>6</v>
      </c>
      <c r="G228" s="432">
        <f t="shared" si="262"/>
        <v>2320</v>
      </c>
      <c r="H228" s="611">
        <f t="shared" si="263"/>
        <v>0</v>
      </c>
      <c r="I228" s="433">
        <f t="shared" si="264"/>
        <v>270</v>
      </c>
      <c r="J228" s="433">
        <f t="shared" si="265"/>
        <v>2320</v>
      </c>
      <c r="K228" s="421">
        <v>19</v>
      </c>
      <c r="L228" s="421">
        <v>1</v>
      </c>
      <c r="M228" s="435">
        <f t="shared" si="266"/>
        <v>44.08</v>
      </c>
      <c r="N228" s="435">
        <f t="shared" si="267"/>
        <v>0.222</v>
      </c>
      <c r="O228" s="460">
        <f t="shared" si="268"/>
        <v>9.7857599999999998</v>
      </c>
      <c r="P228" s="518"/>
      <c r="R228" s="644"/>
    </row>
    <row r="229" spans="1:18" s="443" customFormat="1" ht="31.5" customHeight="1">
      <c r="A229" s="887"/>
      <c r="B229" s="401">
        <v>8</v>
      </c>
      <c r="C229" s="405">
        <v>60</v>
      </c>
      <c r="D229" s="608">
        <v>4000</v>
      </c>
      <c r="E229" s="459">
        <v>60</v>
      </c>
      <c r="F229" s="420">
        <v>6</v>
      </c>
      <c r="G229" s="432">
        <f t="shared" si="262"/>
        <v>4120</v>
      </c>
      <c r="H229" s="611">
        <f t="shared" si="263"/>
        <v>0</v>
      </c>
      <c r="I229" s="433">
        <f t="shared" si="264"/>
        <v>270</v>
      </c>
      <c r="J229" s="433">
        <f t="shared" si="265"/>
        <v>4120</v>
      </c>
      <c r="K229" s="421">
        <v>11</v>
      </c>
      <c r="L229" s="421">
        <v>1</v>
      </c>
      <c r="M229" s="435">
        <f t="shared" si="266"/>
        <v>45.32</v>
      </c>
      <c r="N229" s="435">
        <f t="shared" si="267"/>
        <v>0.222</v>
      </c>
      <c r="O229" s="460">
        <f t="shared" si="268"/>
        <v>10.06104</v>
      </c>
      <c r="P229" s="518"/>
      <c r="R229" s="644"/>
    </row>
    <row r="230" spans="1:18" s="443" customFormat="1" ht="31.5" customHeight="1">
      <c r="A230" s="888" t="s">
        <v>629</v>
      </c>
      <c r="B230" s="401" t="s">
        <v>600</v>
      </c>
      <c r="C230" s="405">
        <v>250</v>
      </c>
      <c r="D230" s="608">
        <v>4000</v>
      </c>
      <c r="E230" s="459">
        <v>250</v>
      </c>
      <c r="F230" s="420">
        <v>10</v>
      </c>
      <c r="G230" s="432">
        <f t="shared" si="262"/>
        <v>4500</v>
      </c>
      <c r="H230" s="611">
        <f t="shared" si="263"/>
        <v>0</v>
      </c>
      <c r="I230" s="433">
        <f t="shared" si="264"/>
        <v>450</v>
      </c>
      <c r="J230" s="433">
        <f t="shared" si="265"/>
        <v>4500</v>
      </c>
      <c r="K230" s="421">
        <v>7</v>
      </c>
      <c r="L230" s="421">
        <v>1</v>
      </c>
      <c r="M230" s="435">
        <f t="shared" si="266"/>
        <v>31.5</v>
      </c>
      <c r="N230" s="435">
        <f t="shared" si="267"/>
        <v>0.61699999999999999</v>
      </c>
      <c r="O230" s="460">
        <f t="shared" si="268"/>
        <v>19.435500000000001</v>
      </c>
      <c r="P230" s="518"/>
      <c r="R230" s="644"/>
    </row>
    <row r="231" spans="1:18" s="443" customFormat="1" ht="31.5" customHeight="1">
      <c r="A231" s="835"/>
      <c r="B231" s="401">
        <v>6</v>
      </c>
      <c r="C231" s="405">
        <v>250</v>
      </c>
      <c r="D231" s="608">
        <v>3000</v>
      </c>
      <c r="E231" s="459">
        <v>250</v>
      </c>
      <c r="F231" s="420">
        <v>10</v>
      </c>
      <c r="G231" s="432">
        <f t="shared" si="262"/>
        <v>3500</v>
      </c>
      <c r="H231" s="611">
        <f t="shared" si="263"/>
        <v>0</v>
      </c>
      <c r="I231" s="433">
        <f t="shared" si="264"/>
        <v>450</v>
      </c>
      <c r="J231" s="433">
        <f t="shared" si="265"/>
        <v>3500</v>
      </c>
      <c r="K231" s="421">
        <v>5</v>
      </c>
      <c r="L231" s="421">
        <v>1</v>
      </c>
      <c r="M231" s="435">
        <f t="shared" si="266"/>
        <v>17.5</v>
      </c>
      <c r="N231" s="435">
        <f t="shared" si="267"/>
        <v>0.61699999999999999</v>
      </c>
      <c r="O231" s="460">
        <f t="shared" si="268"/>
        <v>10.797499999999999</v>
      </c>
      <c r="P231" s="518"/>
      <c r="R231" s="644"/>
    </row>
    <row r="232" spans="1:18" s="443" customFormat="1" ht="31.5" customHeight="1">
      <c r="A232" s="835"/>
      <c r="B232" s="401" t="s">
        <v>599</v>
      </c>
      <c r="C232" s="405">
        <v>250</v>
      </c>
      <c r="D232" s="608">
        <v>1200</v>
      </c>
      <c r="E232" s="459">
        <v>250</v>
      </c>
      <c r="F232" s="420">
        <v>10</v>
      </c>
      <c r="G232" s="432">
        <f t="shared" si="262"/>
        <v>1700</v>
      </c>
      <c r="H232" s="611">
        <f t="shared" si="263"/>
        <v>0</v>
      </c>
      <c r="I232" s="433">
        <f t="shared" si="264"/>
        <v>450</v>
      </c>
      <c r="J232" s="433">
        <f t="shared" si="265"/>
        <v>1700</v>
      </c>
      <c r="K232" s="421">
        <v>5</v>
      </c>
      <c r="L232" s="421">
        <v>1</v>
      </c>
      <c r="M232" s="435">
        <f t="shared" si="266"/>
        <v>8.5</v>
      </c>
      <c r="N232" s="435">
        <f t="shared" si="267"/>
        <v>0.61699999999999999</v>
      </c>
      <c r="O232" s="460">
        <f t="shared" si="268"/>
        <v>5.2445000000000004</v>
      </c>
      <c r="P232" s="518"/>
      <c r="R232" s="644"/>
    </row>
    <row r="233" spans="1:18" s="443" customFormat="1" ht="31.5" customHeight="1">
      <c r="A233" s="835"/>
      <c r="B233" s="401">
        <v>7</v>
      </c>
      <c r="C233" s="405">
        <v>250</v>
      </c>
      <c r="D233" s="608">
        <v>2200</v>
      </c>
      <c r="E233" s="459">
        <v>250</v>
      </c>
      <c r="F233" s="420">
        <v>10</v>
      </c>
      <c r="G233" s="432">
        <f t="shared" si="262"/>
        <v>2700</v>
      </c>
      <c r="H233" s="611">
        <f t="shared" si="263"/>
        <v>0</v>
      </c>
      <c r="I233" s="433">
        <f t="shared" si="264"/>
        <v>450</v>
      </c>
      <c r="J233" s="433">
        <f t="shared" si="265"/>
        <v>2700</v>
      </c>
      <c r="K233" s="421">
        <v>15</v>
      </c>
      <c r="L233" s="421">
        <v>1</v>
      </c>
      <c r="M233" s="435">
        <f t="shared" si="266"/>
        <v>40.5</v>
      </c>
      <c r="N233" s="435">
        <f t="shared" si="267"/>
        <v>0.61699999999999999</v>
      </c>
      <c r="O233" s="460">
        <f t="shared" si="268"/>
        <v>24.988499999999998</v>
      </c>
      <c r="P233" s="518"/>
      <c r="R233" s="644"/>
    </row>
    <row r="234" spans="1:18" s="443" customFormat="1" ht="31.5" customHeight="1">
      <c r="A234" s="888" t="s">
        <v>630</v>
      </c>
      <c r="B234" s="401" t="s">
        <v>600</v>
      </c>
      <c r="C234" s="405">
        <v>100</v>
      </c>
      <c r="D234" s="608">
        <f>+D230</f>
        <v>4000</v>
      </c>
      <c r="E234" s="459">
        <v>100</v>
      </c>
      <c r="F234" s="420">
        <v>10</v>
      </c>
      <c r="G234" s="432">
        <f t="shared" si="262"/>
        <v>4200</v>
      </c>
      <c r="H234" s="611">
        <f t="shared" si="263"/>
        <v>0</v>
      </c>
      <c r="I234" s="433">
        <f t="shared" si="264"/>
        <v>450</v>
      </c>
      <c r="J234" s="433">
        <f t="shared" si="265"/>
        <v>4200</v>
      </c>
      <c r="K234" s="421">
        <v>7</v>
      </c>
      <c r="L234" s="421">
        <v>1</v>
      </c>
      <c r="M234" s="435">
        <f t="shared" si="266"/>
        <v>29.4</v>
      </c>
      <c r="N234" s="435">
        <f t="shared" si="267"/>
        <v>0.61699999999999999</v>
      </c>
      <c r="O234" s="460">
        <f t="shared" si="268"/>
        <v>18.139799999999997</v>
      </c>
      <c r="P234" s="518"/>
      <c r="R234" s="644"/>
    </row>
    <row r="235" spans="1:18" s="443" customFormat="1" ht="31.5" customHeight="1">
      <c r="A235" s="835"/>
      <c r="B235" s="401">
        <v>6</v>
      </c>
      <c r="C235" s="405">
        <v>100</v>
      </c>
      <c r="D235" s="608">
        <f>+D231</f>
        <v>3000</v>
      </c>
      <c r="E235" s="459">
        <v>100</v>
      </c>
      <c r="F235" s="420">
        <v>10</v>
      </c>
      <c r="G235" s="432">
        <f t="shared" si="262"/>
        <v>3200</v>
      </c>
      <c r="H235" s="611">
        <f t="shared" si="263"/>
        <v>0</v>
      </c>
      <c r="I235" s="433">
        <f t="shared" si="264"/>
        <v>450</v>
      </c>
      <c r="J235" s="433">
        <f t="shared" si="265"/>
        <v>3200</v>
      </c>
      <c r="K235" s="421">
        <v>5</v>
      </c>
      <c r="L235" s="421">
        <v>1</v>
      </c>
      <c r="M235" s="435">
        <f t="shared" si="266"/>
        <v>16</v>
      </c>
      <c r="N235" s="435">
        <f t="shared" si="267"/>
        <v>0.61699999999999999</v>
      </c>
      <c r="O235" s="460">
        <f t="shared" si="268"/>
        <v>9.8719999999999999</v>
      </c>
      <c r="P235" s="518"/>
      <c r="R235" s="644"/>
    </row>
    <row r="236" spans="1:18" s="443" customFormat="1" ht="31.5" customHeight="1">
      <c r="A236" s="835"/>
      <c r="B236" s="401" t="s">
        <v>599</v>
      </c>
      <c r="C236" s="405">
        <v>100</v>
      </c>
      <c r="D236" s="608">
        <f>+D232</f>
        <v>1200</v>
      </c>
      <c r="E236" s="459">
        <v>100</v>
      </c>
      <c r="F236" s="420">
        <v>10</v>
      </c>
      <c r="G236" s="432">
        <f t="shared" si="262"/>
        <v>1400</v>
      </c>
      <c r="H236" s="611">
        <f t="shared" si="263"/>
        <v>0</v>
      </c>
      <c r="I236" s="433">
        <f t="shared" si="264"/>
        <v>450</v>
      </c>
      <c r="J236" s="433">
        <f t="shared" si="265"/>
        <v>1400</v>
      </c>
      <c r="K236" s="421">
        <v>5</v>
      </c>
      <c r="L236" s="421">
        <v>1</v>
      </c>
      <c r="M236" s="435">
        <f t="shared" si="266"/>
        <v>7</v>
      </c>
      <c r="N236" s="435">
        <f t="shared" si="267"/>
        <v>0.61699999999999999</v>
      </c>
      <c r="O236" s="460">
        <f t="shared" si="268"/>
        <v>4.319</v>
      </c>
      <c r="P236" s="518"/>
      <c r="R236" s="644"/>
    </row>
    <row r="237" spans="1:18" s="443" customFormat="1" ht="31.5" customHeight="1">
      <c r="A237" s="887"/>
      <c r="B237" s="401">
        <v>7</v>
      </c>
      <c r="C237" s="405">
        <v>100</v>
      </c>
      <c r="D237" s="608">
        <f>+D233</f>
        <v>2200</v>
      </c>
      <c r="E237" s="459">
        <v>100</v>
      </c>
      <c r="F237" s="420">
        <v>10</v>
      </c>
      <c r="G237" s="432">
        <f t="shared" si="262"/>
        <v>2400</v>
      </c>
      <c r="H237" s="611">
        <f t="shared" si="263"/>
        <v>0</v>
      </c>
      <c r="I237" s="433">
        <f t="shared" si="264"/>
        <v>450</v>
      </c>
      <c r="J237" s="433">
        <f t="shared" si="265"/>
        <v>2400</v>
      </c>
      <c r="K237" s="421">
        <v>15</v>
      </c>
      <c r="L237" s="421">
        <v>1</v>
      </c>
      <c r="M237" s="435">
        <f t="shared" si="266"/>
        <v>36</v>
      </c>
      <c r="N237" s="435">
        <f t="shared" si="267"/>
        <v>0.61699999999999999</v>
      </c>
      <c r="O237" s="460">
        <f t="shared" si="268"/>
        <v>22.212</v>
      </c>
      <c r="P237" s="518"/>
      <c r="R237" s="644"/>
    </row>
    <row r="238" spans="1:18" s="519" customFormat="1" ht="22.15" customHeight="1">
      <c r="A238" s="649" t="s">
        <v>634</v>
      </c>
      <c r="B238" s="650"/>
      <c r="C238" s="651"/>
      <c r="D238" s="652"/>
      <c r="E238" s="653"/>
      <c r="F238" s="654"/>
      <c r="G238" s="654"/>
      <c r="H238" s="654"/>
      <c r="I238" s="654"/>
      <c r="J238" s="654"/>
      <c r="K238" s="654"/>
      <c r="L238" s="654"/>
      <c r="M238" s="655"/>
      <c r="N238" s="654"/>
      <c r="O238" s="655"/>
      <c r="P238" s="656"/>
    </row>
    <row r="239" spans="1:18" s="443" customFormat="1" ht="31.5" customHeight="1">
      <c r="A239" s="834" t="s">
        <v>635</v>
      </c>
      <c r="B239" s="401">
        <v>1</v>
      </c>
      <c r="C239" s="405"/>
      <c r="D239" s="608">
        <v>24724</v>
      </c>
      <c r="E239" s="459"/>
      <c r="F239" s="420">
        <v>10</v>
      </c>
      <c r="G239" s="432">
        <f>C239+D239+E239</f>
        <v>24724</v>
      </c>
      <c r="H239" s="611">
        <f>ROUNDUP((G239/11.7/1000),0)-1</f>
        <v>2</v>
      </c>
      <c r="I239" s="433">
        <f>45*F239</f>
        <v>450</v>
      </c>
      <c r="J239" s="433">
        <f>+I239*H239+G239</f>
        <v>25624</v>
      </c>
      <c r="K239" s="433">
        <v>1</v>
      </c>
      <c r="L239" s="433">
        <v>6</v>
      </c>
      <c r="M239" s="435">
        <f>J239*K239*L239/1000</f>
        <v>153.744</v>
      </c>
      <c r="N239" s="435">
        <f>_xlfn.XLOOKUP(F239,$R$5:$Z$5,$R$6:$Z$6,"NOT_FOUND",0)</f>
        <v>0.61699999999999999</v>
      </c>
      <c r="O239" s="460">
        <f>M239*N239</f>
        <v>94.860047999999992</v>
      </c>
      <c r="P239" s="412" t="s">
        <v>349</v>
      </c>
      <c r="R239" s="644"/>
    </row>
    <row r="240" spans="1:18" s="443" customFormat="1" ht="31.5" customHeight="1">
      <c r="A240" s="835"/>
      <c r="B240" s="401" t="s">
        <v>605</v>
      </c>
      <c r="C240" s="405"/>
      <c r="D240" s="608">
        <v>26290</v>
      </c>
      <c r="E240" s="459"/>
      <c r="F240" s="420">
        <v>10</v>
      </c>
      <c r="G240" s="432">
        <f t="shared" ref="G240:G242" si="269">C240+D240+E240</f>
        <v>26290</v>
      </c>
      <c r="H240" s="611">
        <f t="shared" ref="H240:H242" si="270">ROUNDUP((G240/11.7/1000),0)-1</f>
        <v>2</v>
      </c>
      <c r="I240" s="433">
        <f t="shared" ref="I240:I242" si="271">45*F240</f>
        <v>450</v>
      </c>
      <c r="J240" s="433">
        <f t="shared" ref="J240:J242" si="272">+I240*H240+G240</f>
        <v>27190</v>
      </c>
      <c r="K240" s="421">
        <v>1</v>
      </c>
      <c r="L240" s="421">
        <v>6</v>
      </c>
      <c r="M240" s="435">
        <f t="shared" ref="M240:M242" si="273">J240*K240*L240/1000</f>
        <v>163.13999999999999</v>
      </c>
      <c r="N240" s="435">
        <f t="shared" ref="N240:N242" si="274">_xlfn.XLOOKUP(F240,$R$5:$Z$5,$R$6:$Z$6,"NOT_FOUND",0)</f>
        <v>0.61699999999999999</v>
      </c>
      <c r="O240" s="460">
        <f t="shared" ref="O240:O242" si="275">M240*N240</f>
        <v>100.65737999999999</v>
      </c>
      <c r="P240" s="518"/>
      <c r="R240" s="644"/>
    </row>
    <row r="241" spans="1:26" s="443" customFormat="1" ht="31.5" customHeight="1">
      <c r="A241" s="835"/>
      <c r="B241" s="401">
        <v>1</v>
      </c>
      <c r="C241" s="405"/>
      <c r="D241" s="608">
        <f>+D239</f>
        <v>24724</v>
      </c>
      <c r="E241" s="459"/>
      <c r="F241" s="420">
        <v>10</v>
      </c>
      <c r="G241" s="432">
        <f t="shared" si="269"/>
        <v>24724</v>
      </c>
      <c r="H241" s="611">
        <f t="shared" si="270"/>
        <v>2</v>
      </c>
      <c r="I241" s="433">
        <f t="shared" si="271"/>
        <v>450</v>
      </c>
      <c r="J241" s="433">
        <f t="shared" si="272"/>
        <v>25624</v>
      </c>
      <c r="K241" s="421">
        <v>1</v>
      </c>
      <c r="L241" s="421">
        <v>6</v>
      </c>
      <c r="M241" s="435">
        <f t="shared" si="273"/>
        <v>153.744</v>
      </c>
      <c r="N241" s="435">
        <f t="shared" si="274"/>
        <v>0.61699999999999999</v>
      </c>
      <c r="O241" s="460">
        <f t="shared" si="275"/>
        <v>94.860047999999992</v>
      </c>
      <c r="P241" s="518"/>
      <c r="R241" s="644"/>
    </row>
    <row r="242" spans="1:26" s="443" customFormat="1" ht="31.5" customHeight="1">
      <c r="A242" s="887"/>
      <c r="B242" s="401" t="s">
        <v>605</v>
      </c>
      <c r="C242" s="405"/>
      <c r="D242" s="608">
        <f>+D240</f>
        <v>26290</v>
      </c>
      <c r="E242" s="459"/>
      <c r="F242" s="420">
        <v>10</v>
      </c>
      <c r="G242" s="432">
        <f t="shared" si="269"/>
        <v>26290</v>
      </c>
      <c r="H242" s="611">
        <f t="shared" si="270"/>
        <v>2</v>
      </c>
      <c r="I242" s="433">
        <f t="shared" si="271"/>
        <v>450</v>
      </c>
      <c r="J242" s="433">
        <f t="shared" si="272"/>
        <v>27190</v>
      </c>
      <c r="K242" s="421">
        <v>1</v>
      </c>
      <c r="L242" s="421">
        <v>6</v>
      </c>
      <c r="M242" s="435">
        <f t="shared" si="273"/>
        <v>163.13999999999999</v>
      </c>
      <c r="N242" s="435">
        <f t="shared" si="274"/>
        <v>0.61699999999999999</v>
      </c>
      <c r="O242" s="460">
        <f t="shared" si="275"/>
        <v>100.65737999999999</v>
      </c>
      <c r="P242" s="518"/>
      <c r="R242" s="644"/>
    </row>
    <row r="243" spans="1:26" s="443" customFormat="1" ht="25.15" customHeight="1">
      <c r="A243" s="889" t="s">
        <v>636</v>
      </c>
      <c r="B243" s="890"/>
      <c r="C243" s="890"/>
      <c r="D243" s="890"/>
      <c r="E243" s="890"/>
      <c r="F243" s="890"/>
      <c r="G243" s="890"/>
      <c r="H243" s="890"/>
      <c r="I243" s="890"/>
      <c r="J243" s="890"/>
      <c r="K243" s="890"/>
      <c r="L243" s="890"/>
      <c r="M243" s="890"/>
      <c r="N243" s="891"/>
      <c r="O243" s="526">
        <f>SUM(O10:O242)</f>
        <v>11313.239774000016</v>
      </c>
      <c r="P243" s="407"/>
    </row>
    <row r="244" spans="1:26" s="430" customFormat="1" ht="25.15" customHeight="1">
      <c r="A244" s="413"/>
      <c r="B244" s="413"/>
      <c r="C244" s="413"/>
      <c r="D244" s="609"/>
      <c r="E244" s="414"/>
      <c r="F244" s="414"/>
      <c r="G244" s="413"/>
      <c r="H244" s="413"/>
      <c r="I244" s="413"/>
      <c r="J244" s="413"/>
      <c r="K244" s="415"/>
      <c r="L244" s="415"/>
      <c r="M244" s="527"/>
      <c r="N244" s="416"/>
      <c r="O244" s="527"/>
      <c r="P244" s="516"/>
    </row>
    <row r="245" spans="1:26" s="448" customFormat="1" ht="20.25" customHeight="1">
      <c r="A245" s="446"/>
      <c r="B245" s="843" t="s">
        <v>85</v>
      </c>
      <c r="C245" s="843"/>
      <c r="D245" s="843"/>
      <c r="E245" s="447"/>
      <c r="G245" s="514"/>
      <c r="H245" s="514"/>
      <c r="I245" s="514"/>
      <c r="J245" s="514"/>
      <c r="K245" s="492"/>
      <c r="L245" s="493"/>
      <c r="M245" s="531"/>
      <c r="N245" s="462" t="s">
        <v>82</v>
      </c>
      <c r="O245" s="528"/>
      <c r="P245" s="517"/>
    </row>
    <row r="246" spans="1:26" s="450" customFormat="1" ht="25.15" customHeight="1">
      <c r="A246" s="413"/>
      <c r="B246" s="413"/>
      <c r="C246" s="413"/>
      <c r="D246" s="609"/>
      <c r="E246" s="414"/>
      <c r="F246" s="414"/>
      <c r="G246" s="413"/>
      <c r="H246" s="413"/>
      <c r="I246" s="413"/>
      <c r="J246" s="413"/>
      <c r="K246" s="415"/>
      <c r="L246" s="415"/>
      <c r="M246" s="527"/>
      <c r="N246" s="417"/>
      <c r="O246" s="529"/>
      <c r="P246" s="419"/>
    </row>
    <row r="247" spans="1:26" s="450" customFormat="1" ht="22.9" customHeight="1">
      <c r="A247" s="413"/>
      <c r="B247" s="413"/>
      <c r="C247" s="413"/>
      <c r="D247" s="609"/>
      <c r="E247" s="414"/>
      <c r="F247" s="414"/>
      <c r="G247" s="413"/>
      <c r="H247" s="413"/>
      <c r="I247" s="413"/>
      <c r="J247" s="413"/>
      <c r="K247" s="415"/>
      <c r="L247" s="415"/>
      <c r="M247" s="527"/>
      <c r="N247" s="417"/>
      <c r="O247" s="529"/>
      <c r="P247" s="419"/>
    </row>
    <row r="248" spans="1:26" s="450" customFormat="1" ht="22.9" customHeight="1">
      <c r="A248" s="413"/>
      <c r="B248" s="413"/>
      <c r="C248" s="413"/>
      <c r="D248" s="609"/>
      <c r="E248" s="414"/>
      <c r="F248" s="657">
        <v>6</v>
      </c>
      <c r="G248" s="642" t="s">
        <v>107</v>
      </c>
      <c r="H248" s="666">
        <f>+SUMIF($F$8:$F$242,F248,$O$8:$O$242)</f>
        <v>656.35654199999999</v>
      </c>
      <c r="I248" s="413"/>
      <c r="J248" s="665">
        <v>657.99934199999996</v>
      </c>
      <c r="K248" s="415"/>
      <c r="L248" s="415"/>
      <c r="M248" s="527"/>
      <c r="N248" s="417"/>
      <c r="O248" s="529"/>
      <c r="P248" s="419"/>
      <c r="R248" s="413">
        <v>60</v>
      </c>
      <c r="S248" s="645">
        <f>1289070/548</f>
        <v>2352.317518248175</v>
      </c>
      <c r="T248" s="414">
        <v>60</v>
      </c>
      <c r="U248" s="414"/>
      <c r="V248" s="413">
        <f t="shared" ref="V248:V250" si="276">R248+S248+T248</f>
        <v>2472.317518248175</v>
      </c>
      <c r="W248" s="413">
        <v>548</v>
      </c>
      <c r="X248" s="641">
        <f>+W248*V248*0.222/1000</f>
        <v>300.77226000000002</v>
      </c>
      <c r="Y248" s="641">
        <f>+SUM(AD174:AD202)</f>
        <v>0</v>
      </c>
      <c r="Z248" s="642">
        <f>+X248-Y248</f>
        <v>300.77226000000002</v>
      </c>
    </row>
    <row r="249" spans="1:26" s="450" customFormat="1" ht="22.9" customHeight="1">
      <c r="A249" s="413"/>
      <c r="B249" s="413"/>
      <c r="C249" s="413"/>
      <c r="D249" s="645"/>
      <c r="E249" s="414"/>
      <c r="F249" s="657">
        <v>8</v>
      </c>
      <c r="G249" s="642" t="s">
        <v>107</v>
      </c>
      <c r="H249" s="666">
        <f>+SUMIF($F$8:$F$242,F249,$O$8:$O$242)</f>
        <v>0</v>
      </c>
      <c r="I249" s="641"/>
      <c r="J249" s="665">
        <v>0</v>
      </c>
      <c r="K249" s="642"/>
      <c r="L249" s="642"/>
      <c r="M249" s="527"/>
      <c r="N249" s="417"/>
      <c r="O249" s="529"/>
      <c r="P249" s="419"/>
      <c r="R249" s="413">
        <v>60</v>
      </c>
      <c r="S249" s="645">
        <f>1365143/543</f>
        <v>2514.0755064456721</v>
      </c>
      <c r="T249" s="414">
        <v>60</v>
      </c>
      <c r="U249" s="414"/>
      <c r="V249" s="413">
        <f t="shared" si="276"/>
        <v>2634.0755064456721</v>
      </c>
      <c r="W249" s="413">
        <v>543</v>
      </c>
      <c r="X249" s="641">
        <f>+W249*V249*0.222/1000</f>
        <v>317.527266</v>
      </c>
      <c r="Y249" s="641">
        <f>+SUM(AD145:AD173)</f>
        <v>0</v>
      </c>
      <c r="Z249" s="642">
        <f>+X249-Y249</f>
        <v>317.527266</v>
      </c>
    </row>
    <row r="250" spans="1:26" s="450" customFormat="1" ht="22.9" customHeight="1">
      <c r="A250" s="413"/>
      <c r="B250" s="413"/>
      <c r="C250" s="413"/>
      <c r="D250" s="645"/>
      <c r="E250" s="414"/>
      <c r="F250" s="657">
        <v>10</v>
      </c>
      <c r="G250" s="642" t="s">
        <v>107</v>
      </c>
      <c r="H250" s="666">
        <f>+SUMIF($F$8:$F$242,F250,$O$8:$O$242)</f>
        <v>10656.883232000007</v>
      </c>
      <c r="I250" s="641"/>
      <c r="J250" s="665">
        <v>10657.238732882361</v>
      </c>
      <c r="K250" s="415"/>
      <c r="L250" s="642"/>
      <c r="M250" s="527"/>
      <c r="N250" s="417"/>
      <c r="O250" s="529"/>
      <c r="P250" s="419"/>
      <c r="R250" s="413">
        <v>250</v>
      </c>
      <c r="S250" s="645">
        <f>3471850/774</f>
        <v>4485.5943152454784</v>
      </c>
      <c r="T250" s="414">
        <v>250</v>
      </c>
      <c r="U250" s="414"/>
      <c r="V250" s="413">
        <f t="shared" si="276"/>
        <v>4985.5943152454784</v>
      </c>
      <c r="W250" s="413">
        <v>774</v>
      </c>
      <c r="X250" s="641">
        <f>+W250*V250*0.617/1000</f>
        <v>2380.9104500000003</v>
      </c>
      <c r="Y250" s="641">
        <f>+SUM(O10:O143)</f>
        <v>9949.0188760000019</v>
      </c>
      <c r="Z250" s="642">
        <f>+X250-Y250</f>
        <v>-7568.1084260000016</v>
      </c>
    </row>
    <row r="251" spans="1:26" ht="22.9" customHeight="1">
      <c r="B251" s="413"/>
      <c r="C251" s="413"/>
      <c r="D251" s="645"/>
      <c r="E251" s="414"/>
      <c r="F251" s="658">
        <v>12</v>
      </c>
      <c r="G251" s="642" t="s">
        <v>107</v>
      </c>
      <c r="H251" s="666">
        <f>+SUMIF($F$8:$F$242,F251,$O$8:$O$242)</f>
        <v>0</v>
      </c>
      <c r="I251" s="641"/>
      <c r="J251" s="665">
        <v>0</v>
      </c>
      <c r="K251" s="642"/>
      <c r="R251" s="413">
        <v>250</v>
      </c>
      <c r="S251" s="645">
        <f>3795267/1445</f>
        <v>2626.4823529411765</v>
      </c>
      <c r="T251" s="414">
        <v>250</v>
      </c>
      <c r="V251" s="413">
        <f t="shared" ref="V251" si="277">R251+S251+T251</f>
        <v>3126.4823529411765</v>
      </c>
      <c r="W251" s="413">
        <v>1445</v>
      </c>
      <c r="X251" s="641">
        <f>+W251*V251*0.617/1000</f>
        <v>2787.462239</v>
      </c>
      <c r="Y251" s="641">
        <f>+SUM(O39:O143)</f>
        <v>8817.1693959999993</v>
      </c>
      <c r="Z251" s="642">
        <f>+X251-Y251</f>
        <v>-6029.7071569999989</v>
      </c>
    </row>
    <row r="252" spans="1:26" ht="15.75">
      <c r="C252" s="413"/>
      <c r="D252" s="645"/>
      <c r="E252" s="414"/>
      <c r="F252" s="646"/>
      <c r="G252" s="413"/>
      <c r="H252" s="413"/>
      <c r="I252" s="641"/>
      <c r="J252" s="641"/>
      <c r="K252" s="641"/>
    </row>
    <row r="253" spans="1:26" ht="15.75">
      <c r="C253" s="413"/>
      <c r="D253" s="645"/>
      <c r="E253" s="414"/>
      <c r="G253" s="413"/>
      <c r="H253" s="413"/>
      <c r="I253" s="641"/>
      <c r="J253" s="646"/>
      <c r="K253" s="641"/>
    </row>
    <row r="254" spans="1:26" ht="15.75">
      <c r="C254" s="413"/>
      <c r="D254" s="645"/>
      <c r="E254" s="414"/>
      <c r="G254" s="413"/>
      <c r="I254" s="646"/>
      <c r="J254" s="646"/>
      <c r="K254" s="647"/>
    </row>
    <row r="255" spans="1:26" ht="15.75">
      <c r="C255" s="413"/>
      <c r="D255" s="645"/>
      <c r="E255" s="414"/>
      <c r="G255" s="413"/>
      <c r="I255" s="646"/>
      <c r="J255" s="646"/>
      <c r="K255" s="647"/>
    </row>
    <row r="256" spans="1:26" ht="15.75">
      <c r="C256" s="413"/>
      <c r="D256" s="645"/>
      <c r="E256" s="414"/>
      <c r="G256" s="413"/>
      <c r="I256" s="646"/>
      <c r="J256" s="646"/>
      <c r="K256" s="647"/>
    </row>
  </sheetData>
  <mergeCells count="59">
    <mergeCell ref="A61:A67"/>
    <mergeCell ref="A128:A133"/>
    <mergeCell ref="A209:A210"/>
    <mergeCell ref="A76:A82"/>
    <mergeCell ref="A83:A90"/>
    <mergeCell ref="A98:A105"/>
    <mergeCell ref="B245:D245"/>
    <mergeCell ref="J5:J6"/>
    <mergeCell ref="M5:M6"/>
    <mergeCell ref="N5:N6"/>
    <mergeCell ref="K5:K6"/>
    <mergeCell ref="L5:L6"/>
    <mergeCell ref="C7:E7"/>
    <mergeCell ref="A243:N243"/>
    <mergeCell ref="A17:A23"/>
    <mergeCell ref="A24:A31"/>
    <mergeCell ref="A32:A38"/>
    <mergeCell ref="A39:A46"/>
    <mergeCell ref="A47:A53"/>
    <mergeCell ref="A54:A60"/>
    <mergeCell ref="A69:A75"/>
    <mergeCell ref="A146:A152"/>
    <mergeCell ref="A213:A214"/>
    <mergeCell ref="A215:A216"/>
    <mergeCell ref="A91:A97"/>
    <mergeCell ref="A1:P1"/>
    <mergeCell ref="A2:P2"/>
    <mergeCell ref="A3:P3"/>
    <mergeCell ref="A5:A6"/>
    <mergeCell ref="B5:B6"/>
    <mergeCell ref="C5:E6"/>
    <mergeCell ref="F5:F6"/>
    <mergeCell ref="G5:G6"/>
    <mergeCell ref="P5:P6"/>
    <mergeCell ref="O5:O6"/>
    <mergeCell ref="H5:H6"/>
    <mergeCell ref="I5:I6"/>
    <mergeCell ref="A10:A16"/>
    <mergeCell ref="A217:A220"/>
    <mergeCell ref="A221:A224"/>
    <mergeCell ref="A106:A112"/>
    <mergeCell ref="A113:A119"/>
    <mergeCell ref="A120:A126"/>
    <mergeCell ref="A182:A188"/>
    <mergeCell ref="A189:A196"/>
    <mergeCell ref="A197:A203"/>
    <mergeCell ref="A168:A174"/>
    <mergeCell ref="A175:A181"/>
    <mergeCell ref="A134:A139"/>
    <mergeCell ref="A140:A143"/>
    <mergeCell ref="A153:A159"/>
    <mergeCell ref="A207:A208"/>
    <mergeCell ref="A205:A206"/>
    <mergeCell ref="A160:A167"/>
    <mergeCell ref="A239:A242"/>
    <mergeCell ref="A226:A227"/>
    <mergeCell ref="A228:A229"/>
    <mergeCell ref="A230:A233"/>
    <mergeCell ref="A234:A237"/>
  </mergeCells>
  <phoneticPr fontId="180" type="noConversion"/>
  <printOptions horizontalCentered="1"/>
  <pageMargins left="0.47244094488188981" right="0.15748031496062992" top="0.39370078740157483" bottom="0.39370078740157483" header="0.27559055118110237" footer="0.19685039370078741"/>
  <pageSetup paperSize="9" scale="77" fitToHeight="0" orientation="landscape" r:id="rId1"/>
  <headerFooter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4C21-AE60-4CDB-8B8E-ADD31232C446}">
  <sheetPr codeName="Sheet14">
    <pageSetUpPr fitToPage="1"/>
  </sheetPr>
  <dimension ref="A1:Z122"/>
  <sheetViews>
    <sheetView view="pageBreakPreview" zoomScale="70" zoomScaleNormal="80" zoomScaleSheetLayoutView="70" workbookViewId="0">
      <pane xSplit="1" ySplit="7" topLeftCell="B8" activePane="bottomRight" state="frozen"/>
      <selection activeCell="A2" sqref="A2:P2"/>
      <selection pane="topRight" activeCell="A2" sqref="A2:P2"/>
      <selection pane="bottomLeft" activeCell="A2" sqref="A2:P2"/>
      <selection pane="bottomRight" activeCell="A2" sqref="A2:P2"/>
    </sheetView>
  </sheetViews>
  <sheetFormatPr defaultColWidth="9" defaultRowHeight="14.25"/>
  <cols>
    <col min="1" max="1" width="24.375" style="451" customWidth="1"/>
    <col min="2" max="2" width="6.125" style="451" customWidth="1"/>
    <col min="3" max="3" width="4.125" style="451" customWidth="1"/>
    <col min="4" max="4" width="13.125" style="452" customWidth="1"/>
    <col min="5" max="5" width="5" style="452" customWidth="1"/>
    <col min="6" max="6" width="6.125" style="452" customWidth="1"/>
    <col min="7" max="10" width="11.5" style="451" customWidth="1"/>
    <col min="11" max="11" width="9.375" style="453" customWidth="1"/>
    <col min="12" max="12" width="8.125" style="453" customWidth="1"/>
    <col min="13" max="13" width="9.25" style="454" customWidth="1"/>
    <col min="14" max="14" width="10.375" style="455" customWidth="1"/>
    <col min="15" max="15" width="12.75" style="530" customWidth="1"/>
    <col min="16" max="16" width="16.625" style="457" customWidth="1"/>
    <col min="17" max="17" width="10.625" style="458" customWidth="1"/>
    <col min="18" max="18" width="13.25" style="458" customWidth="1"/>
    <col min="19" max="16384" width="9" style="458"/>
  </cols>
  <sheetData>
    <row r="1" spans="1:26" s="429" customFormat="1" ht="26.25" customHeight="1">
      <c r="A1" s="844" t="s">
        <v>738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524"/>
      <c r="P4" s="400"/>
      <c r="Q4" s="414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57" t="s">
        <v>490</v>
      </c>
      <c r="I5" s="857" t="s">
        <v>491</v>
      </c>
      <c r="J5" s="857" t="s">
        <v>492</v>
      </c>
      <c r="K5" s="859" t="s">
        <v>344</v>
      </c>
      <c r="L5" s="860" t="s">
        <v>345</v>
      </c>
      <c r="M5" s="863" t="s">
        <v>114</v>
      </c>
      <c r="N5" s="861" t="s">
        <v>115</v>
      </c>
      <c r="O5" s="865" t="s">
        <v>320</v>
      </c>
      <c r="P5" s="861" t="s">
        <v>2</v>
      </c>
      <c r="Q5" s="414"/>
      <c r="R5" s="430">
        <v>6</v>
      </c>
      <c r="S5" s="430">
        <v>8</v>
      </c>
      <c r="T5" s="430">
        <v>10</v>
      </c>
      <c r="U5" s="430">
        <v>12</v>
      </c>
      <c r="V5" s="430">
        <v>14</v>
      </c>
      <c r="W5" s="430">
        <v>16</v>
      </c>
      <c r="X5" s="430">
        <v>18</v>
      </c>
      <c r="Y5" s="430">
        <v>20</v>
      </c>
      <c r="Z5" s="43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58"/>
      <c r="I6" s="858"/>
      <c r="J6" s="858"/>
      <c r="K6" s="859"/>
      <c r="L6" s="860"/>
      <c r="M6" s="864"/>
      <c r="N6" s="862"/>
      <c r="O6" s="866"/>
      <c r="P6" s="862"/>
      <c r="Q6" s="414"/>
      <c r="R6" s="430">
        <v>0.222</v>
      </c>
      <c r="S6" s="430">
        <v>0.39500000000000002</v>
      </c>
      <c r="T6" s="430">
        <v>0.61699999999999999</v>
      </c>
      <c r="U6" s="430">
        <v>0.88800000000000001</v>
      </c>
      <c r="V6" s="430">
        <v>1.21</v>
      </c>
      <c r="W6" s="430">
        <v>1.58</v>
      </c>
      <c r="X6" s="430">
        <v>2</v>
      </c>
      <c r="Y6" s="430">
        <v>2.4700000000000002</v>
      </c>
      <c r="Z6" s="43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/>
      <c r="I7" s="508"/>
      <c r="J7" s="508"/>
      <c r="K7" s="508" t="s">
        <v>28</v>
      </c>
      <c r="L7" s="508" t="s">
        <v>29</v>
      </c>
      <c r="M7" s="505" t="s">
        <v>30</v>
      </c>
      <c r="N7" s="505" t="s">
        <v>31</v>
      </c>
      <c r="O7" s="525" t="s">
        <v>326</v>
      </c>
      <c r="P7" s="505" t="s">
        <v>328</v>
      </c>
      <c r="Q7" s="414"/>
    </row>
    <row r="8" spans="1:26" s="430" customFormat="1" ht="25.15" customHeight="1">
      <c r="A8" s="588" t="s">
        <v>488</v>
      </c>
      <c r="B8" s="589"/>
      <c r="C8" s="590"/>
      <c r="D8" s="591"/>
      <c r="E8" s="589"/>
      <c r="F8" s="592"/>
      <c r="G8" s="593"/>
      <c r="H8" s="593"/>
      <c r="I8" s="593"/>
      <c r="J8" s="593"/>
      <c r="K8" s="593"/>
      <c r="L8" s="593"/>
      <c r="M8" s="594"/>
      <c r="N8" s="595"/>
      <c r="O8" s="595"/>
      <c r="P8" s="596"/>
    </row>
    <row r="9" spans="1:26" s="430" customFormat="1" ht="25.15" customHeight="1">
      <c r="A9" s="834" t="s">
        <v>652</v>
      </c>
      <c r="B9" s="401"/>
      <c r="C9" s="402" t="s">
        <v>321</v>
      </c>
      <c r="D9" s="403">
        <v>16905</v>
      </c>
      <c r="E9" s="404" t="s">
        <v>322</v>
      </c>
      <c r="F9" s="431"/>
      <c r="G9" s="432"/>
      <c r="H9" s="432"/>
      <c r="I9" s="432"/>
      <c r="J9" s="432"/>
      <c r="K9" s="433"/>
      <c r="L9" s="433"/>
      <c r="M9" s="503"/>
      <c r="N9" s="435"/>
      <c r="O9" s="435"/>
      <c r="P9" s="407"/>
      <c r="Q9" s="414"/>
    </row>
    <row r="10" spans="1:26" s="430" customFormat="1" ht="25.15" customHeight="1">
      <c r="A10" s="835"/>
      <c r="B10" s="401" t="s">
        <v>210</v>
      </c>
      <c r="C10" s="405">
        <v>250</v>
      </c>
      <c r="D10" s="459">
        <v>17305</v>
      </c>
      <c r="E10" s="401">
        <f>250</f>
        <v>250</v>
      </c>
      <c r="F10" s="431">
        <v>16</v>
      </c>
      <c r="G10" s="432">
        <f>C10+D10+E10</f>
        <v>17805</v>
      </c>
      <c r="H10" s="432">
        <v>2</v>
      </c>
      <c r="I10" s="432">
        <v>800</v>
      </c>
      <c r="J10" s="432">
        <f>G10+I10*H10</f>
        <v>19405</v>
      </c>
      <c r="K10" s="433">
        <v>2</v>
      </c>
      <c r="L10" s="433">
        <v>1</v>
      </c>
      <c r="M10" s="503">
        <f>J10*K10*L10/1000</f>
        <v>38.81</v>
      </c>
      <c r="N10" s="435">
        <f t="shared" ref="N10:N15" si="0">_xlfn.XLOOKUP(F10,$R$5:$Z$5,$R$6:$Z$6,"NOT_FOUND",0)</f>
        <v>1.58</v>
      </c>
      <c r="O10" s="435">
        <f>M10*N10</f>
        <v>61.319800000000008</v>
      </c>
      <c r="P10" s="407"/>
    </row>
    <row r="11" spans="1:26" s="430" customFormat="1" ht="25.15" customHeight="1">
      <c r="A11" s="835"/>
      <c r="B11" s="401" t="s">
        <v>212</v>
      </c>
      <c r="C11" s="405">
        <v>250</v>
      </c>
      <c r="D11" s="459">
        <v>17305</v>
      </c>
      <c r="E11" s="401">
        <f>250</f>
        <v>250</v>
      </c>
      <c r="F11" s="431">
        <v>16</v>
      </c>
      <c r="G11" s="432">
        <f>C11+D11+E11</f>
        <v>17805</v>
      </c>
      <c r="H11" s="432">
        <v>1</v>
      </c>
      <c r="I11" s="432">
        <v>800</v>
      </c>
      <c r="J11" s="432">
        <f>G11+I11*H11</f>
        <v>18605</v>
      </c>
      <c r="K11" s="433">
        <v>1</v>
      </c>
      <c r="L11" s="433">
        <v>1</v>
      </c>
      <c r="M11" s="503">
        <f>J11*K11*L11/1000</f>
        <v>18.605</v>
      </c>
      <c r="N11" s="435">
        <f t="shared" ref="N11" si="1">_xlfn.XLOOKUP(F11,$R$5:$Z$5,$R$6:$Z$6,"NOT_FOUND",0)</f>
        <v>1.58</v>
      </c>
      <c r="O11" s="435">
        <f>M11*N11</f>
        <v>29.395900000000001</v>
      </c>
      <c r="P11" s="407"/>
    </row>
    <row r="12" spans="1:26" s="430" customFormat="1" ht="25.15" customHeight="1">
      <c r="A12" s="835"/>
      <c r="B12" s="401" t="s">
        <v>106</v>
      </c>
      <c r="C12" s="405">
        <v>260</v>
      </c>
      <c r="D12" s="459">
        <v>17345</v>
      </c>
      <c r="E12" s="401">
        <v>260</v>
      </c>
      <c r="F12" s="431">
        <v>16</v>
      </c>
      <c r="G12" s="432">
        <f>C12+D12+E12</f>
        <v>17865</v>
      </c>
      <c r="H12" s="432">
        <v>1</v>
      </c>
      <c r="I12" s="432">
        <v>640</v>
      </c>
      <c r="J12" s="432">
        <f t="shared" ref="J12:J15" si="2">G12+I12*H12</f>
        <v>18505</v>
      </c>
      <c r="K12" s="433">
        <v>2</v>
      </c>
      <c r="L12" s="433">
        <v>1</v>
      </c>
      <c r="M12" s="503">
        <f t="shared" ref="M12:M15" si="3">J12*K12*L12/1000</f>
        <v>37.01</v>
      </c>
      <c r="N12" s="435">
        <f t="shared" si="0"/>
        <v>1.58</v>
      </c>
      <c r="O12" s="435">
        <f>M12*N12</f>
        <v>58.4758</v>
      </c>
      <c r="P12" s="407"/>
    </row>
    <row r="13" spans="1:26" s="430" customFormat="1" ht="25.15" customHeight="1">
      <c r="A13" s="835"/>
      <c r="B13" s="401" t="s">
        <v>219</v>
      </c>
      <c r="C13" s="405">
        <v>260</v>
      </c>
      <c r="D13" s="459">
        <v>17345</v>
      </c>
      <c r="E13" s="401">
        <v>260</v>
      </c>
      <c r="F13" s="431">
        <v>16</v>
      </c>
      <c r="G13" s="432">
        <f>C13+D13+E13</f>
        <v>17865</v>
      </c>
      <c r="H13" s="432">
        <v>1</v>
      </c>
      <c r="I13" s="432">
        <v>640</v>
      </c>
      <c r="J13" s="432">
        <f t="shared" ref="J13" si="4">G13+I13*H13</f>
        <v>18505</v>
      </c>
      <c r="K13" s="433">
        <v>1</v>
      </c>
      <c r="L13" s="433">
        <v>1</v>
      </c>
      <c r="M13" s="503">
        <f t="shared" ref="M13" si="5">J13*K13*L13/1000</f>
        <v>18.504999999999999</v>
      </c>
      <c r="N13" s="435">
        <f t="shared" ref="N13" si="6">_xlfn.XLOOKUP(F13,$R$5:$Z$5,$R$6:$Z$6,"NOT_FOUND",0)</f>
        <v>1.58</v>
      </c>
      <c r="O13" s="435">
        <f>M13*N13</f>
        <v>29.2379</v>
      </c>
      <c r="P13" s="407"/>
    </row>
    <row r="14" spans="1:26" s="430" customFormat="1" ht="25.15" customHeight="1">
      <c r="A14" s="835"/>
      <c r="B14" s="401">
        <v>3</v>
      </c>
      <c r="C14" s="405">
        <v>240</v>
      </c>
      <c r="D14" s="406">
        <v>230</v>
      </c>
      <c r="E14" s="401">
        <v>100</v>
      </c>
      <c r="F14" s="431">
        <v>10</v>
      </c>
      <c r="G14" s="432">
        <f>(C14+D14+E14)*2</f>
        <v>1140</v>
      </c>
      <c r="H14" s="432">
        <v>0</v>
      </c>
      <c r="I14" s="432">
        <f t="shared" ref="I14:I15" si="7">F14*45</f>
        <v>450</v>
      </c>
      <c r="J14" s="432">
        <f t="shared" si="2"/>
        <v>1140</v>
      </c>
      <c r="K14" s="433">
        <f>+ROUND(D9/200,0)+1</f>
        <v>86</v>
      </c>
      <c r="L14" s="433">
        <v>1</v>
      </c>
      <c r="M14" s="503">
        <f t="shared" si="3"/>
        <v>98.04</v>
      </c>
      <c r="N14" s="435">
        <f t="shared" si="0"/>
        <v>0.61699999999999999</v>
      </c>
      <c r="O14" s="435">
        <f t="shared" ref="O14:O15" si="8">M14*N14</f>
        <v>60.490680000000005</v>
      </c>
      <c r="P14" s="407"/>
    </row>
    <row r="15" spans="1:26" s="430" customFormat="1" ht="25.15" customHeight="1">
      <c r="A15" s="836"/>
      <c r="B15" s="401" t="s">
        <v>666</v>
      </c>
      <c r="C15" s="405">
        <v>200</v>
      </c>
      <c r="D15" s="406">
        <v>300</v>
      </c>
      <c r="E15" s="401"/>
      <c r="F15" s="431">
        <v>12</v>
      </c>
      <c r="G15" s="432">
        <f>C15+D15</f>
        <v>500</v>
      </c>
      <c r="H15" s="432">
        <v>0</v>
      </c>
      <c r="I15" s="432">
        <f t="shared" si="7"/>
        <v>540</v>
      </c>
      <c r="J15" s="432">
        <f t="shared" si="2"/>
        <v>500</v>
      </c>
      <c r="K15" s="433">
        <f>+ROUND(D9/600,0)+1</f>
        <v>29</v>
      </c>
      <c r="L15" s="433">
        <v>1</v>
      </c>
      <c r="M15" s="503">
        <f t="shared" si="3"/>
        <v>14.5</v>
      </c>
      <c r="N15" s="435">
        <f t="shared" si="0"/>
        <v>0.88800000000000001</v>
      </c>
      <c r="O15" s="435">
        <f t="shared" si="8"/>
        <v>12.875999999999999</v>
      </c>
      <c r="P15" s="407" t="s">
        <v>347</v>
      </c>
    </row>
    <row r="16" spans="1:26" s="430" customFormat="1" ht="25.15" customHeight="1">
      <c r="A16" s="834" t="s">
        <v>653</v>
      </c>
      <c r="B16" s="401"/>
      <c r="C16" s="402" t="s">
        <v>321</v>
      </c>
      <c r="D16" s="403">
        <v>20490</v>
      </c>
      <c r="E16" s="404" t="s">
        <v>322</v>
      </c>
      <c r="F16" s="431"/>
      <c r="G16" s="432"/>
      <c r="H16" s="432"/>
      <c r="I16" s="432"/>
      <c r="J16" s="432"/>
      <c r="K16" s="433"/>
      <c r="L16" s="433"/>
      <c r="M16" s="503"/>
      <c r="N16" s="435"/>
      <c r="O16" s="435"/>
      <c r="P16" s="407"/>
      <c r="Q16" s="414"/>
    </row>
    <row r="17" spans="1:17" s="430" customFormat="1" ht="25.15" customHeight="1">
      <c r="A17" s="835"/>
      <c r="B17" s="401" t="s">
        <v>210</v>
      </c>
      <c r="C17" s="405">
        <v>200</v>
      </c>
      <c r="D17" s="459">
        <v>20890</v>
      </c>
      <c r="E17" s="405">
        <v>420</v>
      </c>
      <c r="F17" s="431">
        <v>16</v>
      </c>
      <c r="G17" s="432">
        <f>C17+D17+E17</f>
        <v>21510</v>
      </c>
      <c r="H17" s="432">
        <v>1</v>
      </c>
      <c r="I17" s="432">
        <v>800</v>
      </c>
      <c r="J17" s="432">
        <f>G17+I17*H17</f>
        <v>22310</v>
      </c>
      <c r="K17" s="433">
        <v>2</v>
      </c>
      <c r="L17" s="433">
        <v>1</v>
      </c>
      <c r="M17" s="503">
        <f t="shared" ref="M17:M22" si="9">J17*K17*L17/1000</f>
        <v>44.62</v>
      </c>
      <c r="N17" s="435">
        <f t="shared" ref="N17:N22" si="10">_xlfn.XLOOKUP(F17,$R$5:$Z$5,$R$6:$Z$6,"NOT_FOUND",0)</f>
        <v>1.58</v>
      </c>
      <c r="O17" s="435">
        <f t="shared" ref="O17:O22" si="11">M17*N17</f>
        <v>70.499600000000001</v>
      </c>
      <c r="P17" s="407"/>
    </row>
    <row r="18" spans="1:17" s="430" customFormat="1" ht="25.15" customHeight="1">
      <c r="A18" s="835"/>
      <c r="B18" s="401" t="s">
        <v>210</v>
      </c>
      <c r="C18" s="405">
        <v>200</v>
      </c>
      <c r="D18" s="459">
        <v>20890</v>
      </c>
      <c r="E18" s="405">
        <v>420</v>
      </c>
      <c r="F18" s="431">
        <v>16</v>
      </c>
      <c r="G18" s="432">
        <f>C18+D18+E18</f>
        <v>21510</v>
      </c>
      <c r="H18" s="432">
        <v>1</v>
      </c>
      <c r="I18" s="432">
        <v>800</v>
      </c>
      <c r="J18" s="432">
        <f>G18+I18*H18</f>
        <v>22310</v>
      </c>
      <c r="K18" s="433">
        <v>1</v>
      </c>
      <c r="L18" s="433">
        <v>1</v>
      </c>
      <c r="M18" s="503">
        <f t="shared" ref="M18" si="12">J18*K18*L18/1000</f>
        <v>22.31</v>
      </c>
      <c r="N18" s="435">
        <f t="shared" ref="N18" si="13">_xlfn.XLOOKUP(F18,$R$5:$Z$5,$R$6:$Z$6,"NOT_FOUND",0)</f>
        <v>1.58</v>
      </c>
      <c r="O18" s="435">
        <f t="shared" ref="O18" si="14">M18*N18</f>
        <v>35.2498</v>
      </c>
      <c r="P18" s="407"/>
    </row>
    <row r="19" spans="1:17" s="430" customFormat="1" ht="25.15" customHeight="1">
      <c r="A19" s="835"/>
      <c r="B19" s="401" t="s">
        <v>106</v>
      </c>
      <c r="C19" s="405">
        <v>260</v>
      </c>
      <c r="D19" s="459">
        <v>20930</v>
      </c>
      <c r="E19" s="405">
        <v>260</v>
      </c>
      <c r="F19" s="431">
        <v>16</v>
      </c>
      <c r="G19" s="432">
        <f>C19+D19+E19</f>
        <v>21450</v>
      </c>
      <c r="H19" s="432">
        <v>1</v>
      </c>
      <c r="I19" s="432">
        <v>640</v>
      </c>
      <c r="J19" s="432">
        <f t="shared" ref="J19:J22" si="15">G19+I19*H19</f>
        <v>22090</v>
      </c>
      <c r="K19" s="433">
        <v>2</v>
      </c>
      <c r="L19" s="433">
        <v>1</v>
      </c>
      <c r="M19" s="503">
        <f t="shared" si="9"/>
        <v>44.18</v>
      </c>
      <c r="N19" s="435">
        <f t="shared" si="10"/>
        <v>1.58</v>
      </c>
      <c r="O19" s="435">
        <f t="shared" si="11"/>
        <v>69.804400000000001</v>
      </c>
      <c r="P19" s="407"/>
    </row>
    <row r="20" spans="1:17" s="430" customFormat="1" ht="25.15" customHeight="1">
      <c r="A20" s="835"/>
      <c r="B20" s="401" t="s">
        <v>106</v>
      </c>
      <c r="C20" s="405">
        <v>260</v>
      </c>
      <c r="D20" s="459">
        <v>20930</v>
      </c>
      <c r="E20" s="405">
        <v>260</v>
      </c>
      <c r="F20" s="431">
        <v>16</v>
      </c>
      <c r="G20" s="432">
        <f>C20+D20+E20</f>
        <v>21450</v>
      </c>
      <c r="H20" s="432">
        <v>1</v>
      </c>
      <c r="I20" s="432">
        <v>640</v>
      </c>
      <c r="J20" s="432">
        <f t="shared" ref="J20" si="16">G20+I20*H20</f>
        <v>22090</v>
      </c>
      <c r="K20" s="433">
        <v>1</v>
      </c>
      <c r="L20" s="433">
        <v>1</v>
      </c>
      <c r="M20" s="503">
        <f t="shared" ref="M20" si="17">J20*K20*L20/1000</f>
        <v>22.09</v>
      </c>
      <c r="N20" s="435">
        <f t="shared" ref="N20" si="18">_xlfn.XLOOKUP(F20,$R$5:$Z$5,$R$6:$Z$6,"NOT_FOUND",0)</f>
        <v>1.58</v>
      </c>
      <c r="O20" s="435">
        <f t="shared" ref="O20" si="19">M20*N20</f>
        <v>34.902200000000001</v>
      </c>
      <c r="P20" s="407"/>
    </row>
    <row r="21" spans="1:17" s="430" customFormat="1" ht="25.15" customHeight="1">
      <c r="A21" s="835"/>
      <c r="B21" s="401">
        <v>3</v>
      </c>
      <c r="C21" s="405">
        <v>240</v>
      </c>
      <c r="D21" s="406">
        <v>230</v>
      </c>
      <c r="E21" s="401">
        <v>100</v>
      </c>
      <c r="F21" s="431">
        <v>10</v>
      </c>
      <c r="G21" s="432">
        <f>(C21+D21+E21)*2</f>
        <v>1140</v>
      </c>
      <c r="H21" s="432">
        <v>0</v>
      </c>
      <c r="I21" s="432">
        <f t="shared" ref="I21:I22" si="20">F21*45</f>
        <v>450</v>
      </c>
      <c r="J21" s="432">
        <f t="shared" si="15"/>
        <v>1140</v>
      </c>
      <c r="K21" s="433">
        <f>+ROUND(D16/200,0)+1</f>
        <v>103</v>
      </c>
      <c r="L21" s="433">
        <v>1</v>
      </c>
      <c r="M21" s="503">
        <f t="shared" si="9"/>
        <v>117.42</v>
      </c>
      <c r="N21" s="435">
        <f t="shared" si="10"/>
        <v>0.61699999999999999</v>
      </c>
      <c r="O21" s="435">
        <f t="shared" si="11"/>
        <v>72.448139999999995</v>
      </c>
      <c r="P21" s="407"/>
    </row>
    <row r="22" spans="1:17" s="430" customFormat="1" ht="25.15" customHeight="1">
      <c r="A22" s="836"/>
      <c r="B22" s="401" t="s">
        <v>666</v>
      </c>
      <c r="C22" s="405">
        <v>200</v>
      </c>
      <c r="D22" s="406">
        <v>300</v>
      </c>
      <c r="E22" s="401"/>
      <c r="F22" s="431">
        <v>12</v>
      </c>
      <c r="G22" s="432">
        <f>C22+D22</f>
        <v>500</v>
      </c>
      <c r="H22" s="432">
        <v>0</v>
      </c>
      <c r="I22" s="432">
        <f t="shared" si="20"/>
        <v>540</v>
      </c>
      <c r="J22" s="432">
        <f t="shared" si="15"/>
        <v>500</v>
      </c>
      <c r="K22" s="433">
        <f>+ROUND(D16/600,0)+1</f>
        <v>35</v>
      </c>
      <c r="L22" s="433">
        <v>1</v>
      </c>
      <c r="M22" s="503">
        <f t="shared" si="9"/>
        <v>17.5</v>
      </c>
      <c r="N22" s="435">
        <f t="shared" si="10"/>
        <v>0.88800000000000001</v>
      </c>
      <c r="O22" s="435">
        <f t="shared" si="11"/>
        <v>15.540000000000001</v>
      </c>
      <c r="P22" s="407" t="s">
        <v>347</v>
      </c>
    </row>
    <row r="23" spans="1:17" s="430" customFormat="1" ht="25.15" customHeight="1">
      <c r="A23" s="834" t="s">
        <v>654</v>
      </c>
      <c r="B23" s="401"/>
      <c r="C23" s="402" t="s">
        <v>321</v>
      </c>
      <c r="D23" s="403">
        <v>33125</v>
      </c>
      <c r="E23" s="404" t="s">
        <v>322</v>
      </c>
      <c r="F23" s="431"/>
      <c r="G23" s="432"/>
      <c r="H23" s="432"/>
      <c r="I23" s="432"/>
      <c r="J23" s="432"/>
      <c r="K23" s="433"/>
      <c r="L23" s="433"/>
      <c r="M23" s="503"/>
      <c r="N23" s="435"/>
      <c r="O23" s="435"/>
      <c r="P23" s="407"/>
      <c r="Q23" s="414"/>
    </row>
    <row r="24" spans="1:17" s="430" customFormat="1" ht="25.15" customHeight="1">
      <c r="A24" s="835"/>
      <c r="B24" s="401" t="s">
        <v>210</v>
      </c>
      <c r="C24" s="405">
        <v>420</v>
      </c>
      <c r="D24" s="459">
        <v>33565</v>
      </c>
      <c r="E24" s="401">
        <v>420</v>
      </c>
      <c r="F24" s="431">
        <v>16</v>
      </c>
      <c r="G24" s="432">
        <f>C24+D24+E24</f>
        <v>34405</v>
      </c>
      <c r="H24" s="432">
        <v>3</v>
      </c>
      <c r="I24" s="432">
        <f>+F24*40</f>
        <v>640</v>
      </c>
      <c r="J24" s="432">
        <f>G24+I24*H24</f>
        <v>36325</v>
      </c>
      <c r="K24" s="433">
        <v>2</v>
      </c>
      <c r="L24" s="433">
        <v>1</v>
      </c>
      <c r="M24" s="503">
        <f t="shared" ref="M24:M29" si="21">J24*K24*L24/1000</f>
        <v>72.650000000000006</v>
      </c>
      <c r="N24" s="435">
        <f t="shared" ref="N24:N29" si="22">_xlfn.XLOOKUP(F24,$R$5:$Z$5,$R$6:$Z$6,"NOT_FOUND",0)</f>
        <v>1.58</v>
      </c>
      <c r="O24" s="435">
        <f t="shared" ref="O24:O29" si="23">M24*N24</f>
        <v>114.78700000000002</v>
      </c>
      <c r="P24" s="407"/>
    </row>
    <row r="25" spans="1:17" s="430" customFormat="1" ht="25.15" customHeight="1">
      <c r="A25" s="835"/>
      <c r="B25" s="401" t="s">
        <v>210</v>
      </c>
      <c r="C25" s="405">
        <v>420</v>
      </c>
      <c r="D25" s="459">
        <f>+D24</f>
        <v>33565</v>
      </c>
      <c r="E25" s="401">
        <v>420</v>
      </c>
      <c r="F25" s="431">
        <v>16</v>
      </c>
      <c r="G25" s="432">
        <f>C25+D25+E25</f>
        <v>34405</v>
      </c>
      <c r="H25" s="432">
        <v>3</v>
      </c>
      <c r="I25" s="432">
        <f>+F25*40</f>
        <v>640</v>
      </c>
      <c r="J25" s="432">
        <f>G25+I25*H25</f>
        <v>36325</v>
      </c>
      <c r="K25" s="433">
        <v>1</v>
      </c>
      <c r="L25" s="433">
        <v>1</v>
      </c>
      <c r="M25" s="503">
        <f t="shared" si="21"/>
        <v>36.325000000000003</v>
      </c>
      <c r="N25" s="435">
        <f t="shared" si="22"/>
        <v>1.58</v>
      </c>
      <c r="O25" s="435">
        <f t="shared" si="23"/>
        <v>57.39350000000001</v>
      </c>
      <c r="P25" s="407"/>
    </row>
    <row r="26" spans="1:17" s="430" customFormat="1" ht="25.15" customHeight="1">
      <c r="A26" s="835"/>
      <c r="B26" s="401" t="s">
        <v>106</v>
      </c>
      <c r="C26" s="405">
        <v>260</v>
      </c>
      <c r="D26" s="459">
        <v>33565</v>
      </c>
      <c r="E26" s="401">
        <v>260</v>
      </c>
      <c r="F26" s="431">
        <v>16</v>
      </c>
      <c r="G26" s="432">
        <f>C26+D26+E26</f>
        <v>34085</v>
      </c>
      <c r="H26" s="432">
        <v>3</v>
      </c>
      <c r="I26" s="432">
        <f t="shared" ref="I26:I27" si="24">+F26*40</f>
        <v>640</v>
      </c>
      <c r="J26" s="432">
        <f t="shared" ref="J26:J29" si="25">G26+I26*H26</f>
        <v>36005</v>
      </c>
      <c r="K26" s="433">
        <v>2</v>
      </c>
      <c r="L26" s="433">
        <v>1</v>
      </c>
      <c r="M26" s="503">
        <f t="shared" si="21"/>
        <v>72.010000000000005</v>
      </c>
      <c r="N26" s="435">
        <f t="shared" si="22"/>
        <v>1.58</v>
      </c>
      <c r="O26" s="435">
        <f t="shared" si="23"/>
        <v>113.77580000000002</v>
      </c>
      <c r="P26" s="407"/>
    </row>
    <row r="27" spans="1:17" s="430" customFormat="1" ht="25.15" customHeight="1">
      <c r="A27" s="835"/>
      <c r="B27" s="401" t="s">
        <v>106</v>
      </c>
      <c r="C27" s="405">
        <v>260</v>
      </c>
      <c r="D27" s="459">
        <f>+D26</f>
        <v>33565</v>
      </c>
      <c r="E27" s="401">
        <v>260</v>
      </c>
      <c r="F27" s="431">
        <v>16</v>
      </c>
      <c r="G27" s="432">
        <f>C27+D27+E27</f>
        <v>34085</v>
      </c>
      <c r="H27" s="432">
        <v>3</v>
      </c>
      <c r="I27" s="432">
        <f t="shared" si="24"/>
        <v>640</v>
      </c>
      <c r="J27" s="432">
        <f t="shared" si="25"/>
        <v>36005</v>
      </c>
      <c r="K27" s="433">
        <v>1</v>
      </c>
      <c r="L27" s="433">
        <v>1</v>
      </c>
      <c r="M27" s="503">
        <f t="shared" si="21"/>
        <v>36.005000000000003</v>
      </c>
      <c r="N27" s="435">
        <f t="shared" si="22"/>
        <v>1.58</v>
      </c>
      <c r="O27" s="435">
        <f t="shared" si="23"/>
        <v>56.887900000000009</v>
      </c>
      <c r="P27" s="407"/>
    </row>
    <row r="28" spans="1:17" s="430" customFormat="1" ht="25.15" customHeight="1">
      <c r="A28" s="835"/>
      <c r="B28" s="401">
        <v>3</v>
      </c>
      <c r="C28" s="405">
        <v>240</v>
      </c>
      <c r="D28" s="406">
        <v>390</v>
      </c>
      <c r="E28" s="401">
        <v>100</v>
      </c>
      <c r="F28" s="431">
        <v>10</v>
      </c>
      <c r="G28" s="432">
        <f>(C28+D28+E28)*2</f>
        <v>1460</v>
      </c>
      <c r="H28" s="432">
        <v>0</v>
      </c>
      <c r="I28" s="432">
        <f t="shared" ref="I28:I29" si="26">F28*45</f>
        <v>450</v>
      </c>
      <c r="J28" s="432">
        <f t="shared" si="25"/>
        <v>1460</v>
      </c>
      <c r="K28" s="433">
        <f>+ROUND(D23/200,0)+1</f>
        <v>167</v>
      </c>
      <c r="L28" s="433">
        <v>1</v>
      </c>
      <c r="M28" s="503">
        <f t="shared" si="21"/>
        <v>243.82</v>
      </c>
      <c r="N28" s="435">
        <f t="shared" si="22"/>
        <v>0.61699999999999999</v>
      </c>
      <c r="O28" s="435">
        <f t="shared" si="23"/>
        <v>150.43693999999999</v>
      </c>
      <c r="P28" s="407"/>
    </row>
    <row r="29" spans="1:17" s="430" customFormat="1" ht="25.15" customHeight="1">
      <c r="A29" s="836"/>
      <c r="B29" s="401" t="s">
        <v>666</v>
      </c>
      <c r="C29" s="405">
        <v>200</v>
      </c>
      <c r="D29" s="406">
        <v>300</v>
      </c>
      <c r="E29" s="401"/>
      <c r="F29" s="431">
        <v>12</v>
      </c>
      <c r="G29" s="432">
        <f>C29+D29</f>
        <v>500</v>
      </c>
      <c r="H29" s="432">
        <v>0</v>
      </c>
      <c r="I29" s="432">
        <f t="shared" si="26"/>
        <v>540</v>
      </c>
      <c r="J29" s="432">
        <f t="shared" si="25"/>
        <v>500</v>
      </c>
      <c r="K29" s="433">
        <f>+ROUND(D23/600,0)+1</f>
        <v>56</v>
      </c>
      <c r="L29" s="433">
        <v>1</v>
      </c>
      <c r="M29" s="503">
        <f t="shared" si="21"/>
        <v>28</v>
      </c>
      <c r="N29" s="435">
        <f t="shared" si="22"/>
        <v>0.88800000000000001</v>
      </c>
      <c r="O29" s="435">
        <f t="shared" si="23"/>
        <v>24.864000000000001</v>
      </c>
      <c r="P29" s="407" t="s">
        <v>347</v>
      </c>
    </row>
    <row r="30" spans="1:17" s="430" customFormat="1" ht="25.15" customHeight="1">
      <c r="A30" s="834" t="s">
        <v>655</v>
      </c>
      <c r="B30" s="401"/>
      <c r="C30" s="402" t="s">
        <v>321</v>
      </c>
      <c r="D30" s="403">
        <v>23385</v>
      </c>
      <c r="E30" s="404" t="s">
        <v>322</v>
      </c>
      <c r="F30" s="431"/>
      <c r="G30" s="432"/>
      <c r="H30" s="432"/>
      <c r="I30" s="432"/>
      <c r="J30" s="432"/>
      <c r="K30" s="433"/>
      <c r="L30" s="433"/>
      <c r="M30" s="503"/>
      <c r="N30" s="435"/>
      <c r="O30" s="435"/>
      <c r="P30" s="407"/>
      <c r="Q30" s="414"/>
    </row>
    <row r="31" spans="1:17" s="430" customFormat="1" ht="25.15" customHeight="1">
      <c r="A31" s="835"/>
      <c r="B31" s="401" t="s">
        <v>210</v>
      </c>
      <c r="C31" s="405">
        <v>420</v>
      </c>
      <c r="D31" s="459">
        <v>23825</v>
      </c>
      <c r="E31" s="405">
        <v>420</v>
      </c>
      <c r="F31" s="431">
        <v>16</v>
      </c>
      <c r="G31" s="432">
        <f>C31+D31+E31</f>
        <v>24665</v>
      </c>
      <c r="H31" s="432">
        <v>1</v>
      </c>
      <c r="I31" s="432">
        <f>+F31*40</f>
        <v>640</v>
      </c>
      <c r="J31" s="432">
        <f>G31+I31*H31</f>
        <v>25305</v>
      </c>
      <c r="K31" s="433">
        <v>2</v>
      </c>
      <c r="L31" s="433">
        <v>1</v>
      </c>
      <c r="M31" s="503">
        <f t="shared" ref="M31:M36" si="27">J31*K31*L31/1000</f>
        <v>50.61</v>
      </c>
      <c r="N31" s="435">
        <f t="shared" ref="N31:N36" si="28">_xlfn.XLOOKUP(F31,$R$5:$Z$5,$R$6:$Z$6,"NOT_FOUND",0)</f>
        <v>1.58</v>
      </c>
      <c r="O31" s="435">
        <f t="shared" ref="O31:O36" si="29">M31*N31</f>
        <v>79.963800000000006</v>
      </c>
      <c r="P31" s="407"/>
    </row>
    <row r="32" spans="1:17" s="430" customFormat="1" ht="25.15" customHeight="1">
      <c r="A32" s="835"/>
      <c r="B32" s="401" t="s">
        <v>210</v>
      </c>
      <c r="C32" s="405">
        <v>420</v>
      </c>
      <c r="D32" s="459">
        <f>+D31</f>
        <v>23825</v>
      </c>
      <c r="E32" s="405">
        <v>420</v>
      </c>
      <c r="F32" s="431">
        <v>16</v>
      </c>
      <c r="G32" s="432">
        <f>C32+D32+E32</f>
        <v>24665</v>
      </c>
      <c r="H32" s="432">
        <v>2</v>
      </c>
      <c r="I32" s="432">
        <f>+F32*40</f>
        <v>640</v>
      </c>
      <c r="J32" s="432">
        <f>G32+I32*H32</f>
        <v>25945</v>
      </c>
      <c r="K32" s="433">
        <v>1</v>
      </c>
      <c r="L32" s="433">
        <v>1</v>
      </c>
      <c r="M32" s="503">
        <f t="shared" si="27"/>
        <v>25.945</v>
      </c>
      <c r="N32" s="435">
        <f t="shared" si="28"/>
        <v>1.58</v>
      </c>
      <c r="O32" s="435">
        <f t="shared" si="29"/>
        <v>40.993100000000005</v>
      </c>
      <c r="P32" s="407"/>
    </row>
    <row r="33" spans="1:17" s="430" customFormat="1" ht="25.15" customHeight="1">
      <c r="A33" s="835"/>
      <c r="B33" s="401" t="s">
        <v>106</v>
      </c>
      <c r="C33" s="405">
        <v>260</v>
      </c>
      <c r="D33" s="459">
        <v>23825</v>
      </c>
      <c r="E33" s="405">
        <v>260</v>
      </c>
      <c r="F33" s="431">
        <v>16</v>
      </c>
      <c r="G33" s="432">
        <f>C33+D33+E33</f>
        <v>24345</v>
      </c>
      <c r="H33" s="432">
        <v>1</v>
      </c>
      <c r="I33" s="432">
        <f t="shared" ref="I33:I34" si="30">+F33*40</f>
        <v>640</v>
      </c>
      <c r="J33" s="432">
        <f t="shared" ref="J33:J36" si="31">G33+I33*H33</f>
        <v>24985</v>
      </c>
      <c r="K33" s="433">
        <v>2</v>
      </c>
      <c r="L33" s="433">
        <v>1</v>
      </c>
      <c r="M33" s="503">
        <f t="shared" si="27"/>
        <v>49.97</v>
      </c>
      <c r="N33" s="435">
        <f t="shared" si="28"/>
        <v>1.58</v>
      </c>
      <c r="O33" s="435">
        <f t="shared" si="29"/>
        <v>78.952600000000004</v>
      </c>
      <c r="P33" s="407"/>
    </row>
    <row r="34" spans="1:17" s="430" customFormat="1" ht="25.15" customHeight="1">
      <c r="A34" s="835"/>
      <c r="B34" s="401" t="s">
        <v>219</v>
      </c>
      <c r="C34" s="405">
        <v>260</v>
      </c>
      <c r="D34" s="459">
        <f>+D33</f>
        <v>23825</v>
      </c>
      <c r="E34" s="405">
        <v>260</v>
      </c>
      <c r="F34" s="431">
        <v>16</v>
      </c>
      <c r="G34" s="432">
        <f>C34+D34+E34</f>
        <v>24345</v>
      </c>
      <c r="H34" s="432">
        <v>2</v>
      </c>
      <c r="I34" s="432">
        <f t="shared" si="30"/>
        <v>640</v>
      </c>
      <c r="J34" s="432">
        <f t="shared" si="31"/>
        <v>25625</v>
      </c>
      <c r="K34" s="433">
        <v>1</v>
      </c>
      <c r="L34" s="433">
        <v>1</v>
      </c>
      <c r="M34" s="503">
        <f t="shared" si="27"/>
        <v>25.625</v>
      </c>
      <c r="N34" s="435">
        <f t="shared" si="28"/>
        <v>1.58</v>
      </c>
      <c r="O34" s="435">
        <f t="shared" si="29"/>
        <v>40.487500000000004</v>
      </c>
      <c r="P34" s="407"/>
    </row>
    <row r="35" spans="1:17" s="430" customFormat="1" ht="25.15" customHeight="1">
      <c r="A35" s="835"/>
      <c r="B35" s="401">
        <v>3</v>
      </c>
      <c r="C35" s="405">
        <v>240</v>
      </c>
      <c r="D35" s="406">
        <v>550</v>
      </c>
      <c r="E35" s="401">
        <v>100</v>
      </c>
      <c r="F35" s="431">
        <v>10</v>
      </c>
      <c r="G35" s="432">
        <f>(C35+D35+E35)*2</f>
        <v>1780</v>
      </c>
      <c r="H35" s="432">
        <v>0</v>
      </c>
      <c r="I35" s="432">
        <f t="shared" ref="I35:I36" si="32">F35*45</f>
        <v>450</v>
      </c>
      <c r="J35" s="432">
        <f t="shared" si="31"/>
        <v>1780</v>
      </c>
      <c r="K35" s="433">
        <f>+ROUND(D30/200,0)+1</f>
        <v>118</v>
      </c>
      <c r="L35" s="433">
        <v>1</v>
      </c>
      <c r="M35" s="503">
        <f t="shared" si="27"/>
        <v>210.04</v>
      </c>
      <c r="N35" s="435">
        <f t="shared" si="28"/>
        <v>0.61699999999999999</v>
      </c>
      <c r="O35" s="435">
        <f t="shared" si="29"/>
        <v>129.59467999999998</v>
      </c>
      <c r="P35" s="407"/>
    </row>
    <row r="36" spans="1:17" s="430" customFormat="1" ht="25.15" customHeight="1">
      <c r="A36" s="836"/>
      <c r="B36" s="401" t="s">
        <v>666</v>
      </c>
      <c r="C36" s="405">
        <v>200</v>
      </c>
      <c r="D36" s="406">
        <v>300</v>
      </c>
      <c r="E36" s="401"/>
      <c r="F36" s="431">
        <v>12</v>
      </c>
      <c r="G36" s="432">
        <f>C36+D36</f>
        <v>500</v>
      </c>
      <c r="H36" s="432">
        <v>0</v>
      </c>
      <c r="I36" s="432">
        <f t="shared" si="32"/>
        <v>540</v>
      </c>
      <c r="J36" s="432">
        <f t="shared" si="31"/>
        <v>500</v>
      </c>
      <c r="K36" s="433">
        <f>+ROUND(D30/600,0)+1</f>
        <v>40</v>
      </c>
      <c r="L36" s="433">
        <v>1</v>
      </c>
      <c r="M36" s="503">
        <f t="shared" si="27"/>
        <v>20</v>
      </c>
      <c r="N36" s="435">
        <f t="shared" si="28"/>
        <v>0.88800000000000001</v>
      </c>
      <c r="O36" s="435">
        <f t="shared" si="29"/>
        <v>17.760000000000002</v>
      </c>
      <c r="P36" s="407" t="s">
        <v>347</v>
      </c>
    </row>
    <row r="37" spans="1:17" s="430" customFormat="1" ht="25.15" customHeight="1">
      <c r="A37" s="834" t="s">
        <v>656</v>
      </c>
      <c r="B37" s="401"/>
      <c r="C37" s="402" t="s">
        <v>321</v>
      </c>
      <c r="D37" s="403">
        <v>6840</v>
      </c>
      <c r="E37" s="404" t="s">
        <v>322</v>
      </c>
      <c r="F37" s="431"/>
      <c r="G37" s="432"/>
      <c r="H37" s="432"/>
      <c r="I37" s="432"/>
      <c r="J37" s="432"/>
      <c r="K37" s="433"/>
      <c r="L37" s="433"/>
      <c r="M37" s="503"/>
      <c r="N37" s="435"/>
      <c r="O37" s="435"/>
      <c r="P37" s="407"/>
      <c r="Q37" s="414"/>
    </row>
    <row r="38" spans="1:17" s="430" customFormat="1" ht="25.15" customHeight="1">
      <c r="A38" s="835"/>
      <c r="B38" s="401">
        <v>1</v>
      </c>
      <c r="C38" s="405">
        <v>250</v>
      </c>
      <c r="D38" s="459">
        <v>7290</v>
      </c>
      <c r="E38" s="401">
        <f>250</f>
        <v>250</v>
      </c>
      <c r="F38" s="431">
        <v>16</v>
      </c>
      <c r="G38" s="432">
        <f>C38+D38+E38</f>
        <v>7790</v>
      </c>
      <c r="H38" s="432">
        <v>0</v>
      </c>
      <c r="I38" s="432">
        <v>800</v>
      </c>
      <c r="J38" s="432">
        <f>G38+I38*H38</f>
        <v>7790</v>
      </c>
      <c r="K38" s="433">
        <v>3</v>
      </c>
      <c r="L38" s="433">
        <v>1</v>
      </c>
      <c r="M38" s="503">
        <f>J38*K38*L38/1000</f>
        <v>23.37</v>
      </c>
      <c r="N38" s="435">
        <f t="shared" ref="N38:N41" si="33">_xlfn.XLOOKUP(F38,$R$5:$Z$5,$R$6:$Z$6,"NOT_FOUND",0)</f>
        <v>1.58</v>
      </c>
      <c r="O38" s="435">
        <f>M38*N38</f>
        <v>36.924600000000005</v>
      </c>
      <c r="P38" s="407"/>
    </row>
    <row r="39" spans="1:17" s="430" customFormat="1" ht="25.15" customHeight="1">
      <c r="A39" s="835"/>
      <c r="B39" s="401">
        <v>2</v>
      </c>
      <c r="C39" s="405">
        <v>260</v>
      </c>
      <c r="D39" s="459">
        <v>7305</v>
      </c>
      <c r="E39" s="401">
        <v>230</v>
      </c>
      <c r="F39" s="431">
        <v>16</v>
      </c>
      <c r="G39" s="432">
        <f>C39+D39+E39</f>
        <v>7795</v>
      </c>
      <c r="H39" s="432">
        <v>0</v>
      </c>
      <c r="I39" s="432">
        <v>640</v>
      </c>
      <c r="J39" s="432">
        <f t="shared" ref="J39:J41" si="34">G39+I39*H39</f>
        <v>7795</v>
      </c>
      <c r="K39" s="433">
        <v>3</v>
      </c>
      <c r="L39" s="433">
        <v>1</v>
      </c>
      <c r="M39" s="503">
        <f t="shared" ref="M39:M41" si="35">J39*K39*L39/1000</f>
        <v>23.385000000000002</v>
      </c>
      <c r="N39" s="435">
        <f t="shared" si="33"/>
        <v>1.58</v>
      </c>
      <c r="O39" s="435">
        <f>M39*N39</f>
        <v>36.948300000000003</v>
      </c>
      <c r="P39" s="407"/>
    </row>
    <row r="40" spans="1:17" s="430" customFormat="1" ht="25.15" customHeight="1">
      <c r="A40" s="835"/>
      <c r="B40" s="401">
        <v>3</v>
      </c>
      <c r="C40" s="405">
        <v>240</v>
      </c>
      <c r="D40" s="406">
        <v>230</v>
      </c>
      <c r="E40" s="401">
        <v>100</v>
      </c>
      <c r="F40" s="431">
        <v>10</v>
      </c>
      <c r="G40" s="432">
        <f>(C40+D40+E40)*2</f>
        <v>1140</v>
      </c>
      <c r="H40" s="432">
        <v>0</v>
      </c>
      <c r="I40" s="432">
        <f t="shared" ref="I40:I41" si="36">F40*45</f>
        <v>450</v>
      </c>
      <c r="J40" s="432">
        <f t="shared" si="34"/>
        <v>1140</v>
      </c>
      <c r="K40" s="433">
        <f>+ROUND(D37/200,0)+1</f>
        <v>35</v>
      </c>
      <c r="L40" s="433">
        <v>1</v>
      </c>
      <c r="M40" s="503">
        <f t="shared" si="35"/>
        <v>39.9</v>
      </c>
      <c r="N40" s="435">
        <f t="shared" si="33"/>
        <v>0.61699999999999999</v>
      </c>
      <c r="O40" s="435">
        <f t="shared" ref="O40:O41" si="37">M40*N40</f>
        <v>24.618299999999998</v>
      </c>
      <c r="P40" s="407"/>
    </row>
    <row r="41" spans="1:17" s="430" customFormat="1" ht="25.15" customHeight="1">
      <c r="A41" s="836"/>
      <c r="B41" s="401" t="s">
        <v>666</v>
      </c>
      <c r="C41" s="405">
        <v>200</v>
      </c>
      <c r="D41" s="406">
        <v>300</v>
      </c>
      <c r="E41" s="401"/>
      <c r="F41" s="431">
        <v>12</v>
      </c>
      <c r="G41" s="432">
        <f>C41+D41</f>
        <v>500</v>
      </c>
      <c r="H41" s="432">
        <v>0</v>
      </c>
      <c r="I41" s="432">
        <f t="shared" si="36"/>
        <v>540</v>
      </c>
      <c r="J41" s="432">
        <f t="shared" si="34"/>
        <v>500</v>
      </c>
      <c r="K41" s="433">
        <f>+ROUND(D37/600,0)+1</f>
        <v>12</v>
      </c>
      <c r="L41" s="433">
        <v>1</v>
      </c>
      <c r="M41" s="503">
        <f t="shared" si="35"/>
        <v>6</v>
      </c>
      <c r="N41" s="435">
        <f t="shared" si="33"/>
        <v>0.88800000000000001</v>
      </c>
      <c r="O41" s="435">
        <f t="shared" si="37"/>
        <v>5.3280000000000003</v>
      </c>
      <c r="P41" s="407" t="s">
        <v>347</v>
      </c>
    </row>
    <row r="42" spans="1:17" s="430" customFormat="1" ht="25.15" customHeight="1">
      <c r="A42" s="834" t="s">
        <v>657</v>
      </c>
      <c r="B42" s="401"/>
      <c r="C42" s="402" t="s">
        <v>321</v>
      </c>
      <c r="D42" s="403">
        <v>4495</v>
      </c>
      <c r="E42" s="404" t="s">
        <v>322</v>
      </c>
      <c r="F42" s="431"/>
      <c r="G42" s="432"/>
      <c r="H42" s="432"/>
      <c r="I42" s="432"/>
      <c r="J42" s="432"/>
      <c r="K42" s="433"/>
      <c r="L42" s="433"/>
      <c r="M42" s="503"/>
      <c r="N42" s="435"/>
      <c r="O42" s="435"/>
      <c r="P42" s="407"/>
      <c r="Q42" s="414"/>
    </row>
    <row r="43" spans="1:17" s="430" customFormat="1" ht="25.15" customHeight="1">
      <c r="A43" s="835"/>
      <c r="B43" s="401">
        <v>1</v>
      </c>
      <c r="C43" s="405">
        <v>250</v>
      </c>
      <c r="D43" s="459">
        <v>4945</v>
      </c>
      <c r="E43" s="401">
        <f>250</f>
        <v>250</v>
      </c>
      <c r="F43" s="431">
        <v>16</v>
      </c>
      <c r="G43" s="432">
        <f>C43+D43+E43</f>
        <v>5445</v>
      </c>
      <c r="H43" s="432">
        <v>0</v>
      </c>
      <c r="I43" s="432">
        <v>800</v>
      </c>
      <c r="J43" s="432">
        <f>G43+I43*H43</f>
        <v>5445</v>
      </c>
      <c r="K43" s="433">
        <v>3</v>
      </c>
      <c r="L43" s="433">
        <v>1</v>
      </c>
      <c r="M43" s="503">
        <f>J43*K43*L43/1000</f>
        <v>16.335000000000001</v>
      </c>
      <c r="N43" s="435">
        <f t="shared" ref="N43:N46" si="38">_xlfn.XLOOKUP(F43,$R$5:$Z$5,$R$6:$Z$6,"NOT_FOUND",0)</f>
        <v>1.58</v>
      </c>
      <c r="O43" s="435">
        <f>M43*N43</f>
        <v>25.809300000000004</v>
      </c>
      <c r="P43" s="407"/>
    </row>
    <row r="44" spans="1:17" s="430" customFormat="1" ht="25.15" customHeight="1">
      <c r="A44" s="835"/>
      <c r="B44" s="401">
        <v>2</v>
      </c>
      <c r="C44" s="405">
        <v>260</v>
      </c>
      <c r="D44" s="459">
        <v>4945</v>
      </c>
      <c r="E44" s="401">
        <v>230</v>
      </c>
      <c r="F44" s="431">
        <v>16</v>
      </c>
      <c r="G44" s="432">
        <f>C44+D44+E44</f>
        <v>5435</v>
      </c>
      <c r="H44" s="432">
        <v>0</v>
      </c>
      <c r="I44" s="432">
        <v>640</v>
      </c>
      <c r="J44" s="432">
        <f t="shared" ref="J44:J46" si="39">G44+I44*H44</f>
        <v>5435</v>
      </c>
      <c r="K44" s="433">
        <v>3</v>
      </c>
      <c r="L44" s="433">
        <v>1</v>
      </c>
      <c r="M44" s="503">
        <f t="shared" ref="M44:M46" si="40">J44*K44*L44/1000</f>
        <v>16.305</v>
      </c>
      <c r="N44" s="435">
        <f t="shared" si="38"/>
        <v>1.58</v>
      </c>
      <c r="O44" s="435">
        <f>M44*N44</f>
        <v>25.761900000000001</v>
      </c>
      <c r="P44" s="407"/>
    </row>
    <row r="45" spans="1:17" s="430" customFormat="1" ht="25.15" customHeight="1">
      <c r="A45" s="835"/>
      <c r="B45" s="401">
        <v>3</v>
      </c>
      <c r="C45" s="405">
        <v>240</v>
      </c>
      <c r="D45" s="406">
        <v>230</v>
      </c>
      <c r="E45" s="401">
        <v>100</v>
      </c>
      <c r="F45" s="431">
        <v>10</v>
      </c>
      <c r="G45" s="432">
        <f>(C45+D45+E45)*2</f>
        <v>1140</v>
      </c>
      <c r="H45" s="432">
        <v>0</v>
      </c>
      <c r="I45" s="432">
        <f t="shared" ref="I45:I46" si="41">F45*45</f>
        <v>450</v>
      </c>
      <c r="J45" s="432">
        <f t="shared" si="39"/>
        <v>1140</v>
      </c>
      <c r="K45" s="433">
        <f>+ROUND(D42/200,0)+1</f>
        <v>23</v>
      </c>
      <c r="L45" s="433">
        <v>1</v>
      </c>
      <c r="M45" s="503">
        <f t="shared" si="40"/>
        <v>26.22</v>
      </c>
      <c r="N45" s="435">
        <f t="shared" si="38"/>
        <v>0.61699999999999999</v>
      </c>
      <c r="O45" s="435">
        <f t="shared" ref="O45:O46" si="42">M45*N45</f>
        <v>16.17774</v>
      </c>
      <c r="P45" s="407"/>
    </row>
    <row r="46" spans="1:17" s="430" customFormat="1" ht="24.75" customHeight="1">
      <c r="A46" s="836"/>
      <c r="B46" s="401" t="s">
        <v>666</v>
      </c>
      <c r="C46" s="405">
        <v>200</v>
      </c>
      <c r="D46" s="406">
        <v>300</v>
      </c>
      <c r="E46" s="401"/>
      <c r="F46" s="431">
        <v>12</v>
      </c>
      <c r="G46" s="432">
        <f>C46+D46</f>
        <v>500</v>
      </c>
      <c r="H46" s="432">
        <v>0</v>
      </c>
      <c r="I46" s="432">
        <f t="shared" si="41"/>
        <v>540</v>
      </c>
      <c r="J46" s="432">
        <f t="shared" si="39"/>
        <v>500</v>
      </c>
      <c r="K46" s="433">
        <f>+ROUND(D42/600,0)+1</f>
        <v>8</v>
      </c>
      <c r="L46" s="433">
        <v>1</v>
      </c>
      <c r="M46" s="503">
        <f t="shared" si="40"/>
        <v>4</v>
      </c>
      <c r="N46" s="435">
        <f t="shared" si="38"/>
        <v>0.88800000000000001</v>
      </c>
      <c r="O46" s="435">
        <f t="shared" si="42"/>
        <v>3.552</v>
      </c>
      <c r="P46" s="407" t="s">
        <v>347</v>
      </c>
    </row>
    <row r="47" spans="1:17" s="430" customFormat="1" ht="25.15" customHeight="1">
      <c r="A47" s="834" t="s">
        <v>658</v>
      </c>
      <c r="B47" s="401"/>
      <c r="C47" s="402" t="s">
        <v>321</v>
      </c>
      <c r="D47" s="403">
        <v>4495</v>
      </c>
      <c r="E47" s="404" t="s">
        <v>322</v>
      </c>
      <c r="F47" s="431"/>
      <c r="G47" s="432"/>
      <c r="H47" s="432"/>
      <c r="I47" s="432"/>
      <c r="J47" s="432"/>
      <c r="K47" s="433"/>
      <c r="L47" s="433"/>
      <c r="M47" s="503"/>
      <c r="N47" s="435"/>
      <c r="O47" s="435"/>
      <c r="P47" s="407"/>
      <c r="Q47" s="414"/>
    </row>
    <row r="48" spans="1:17" s="430" customFormat="1" ht="25.15" customHeight="1">
      <c r="A48" s="835"/>
      <c r="B48" s="401">
        <v>1</v>
      </c>
      <c r="C48" s="405">
        <v>250</v>
      </c>
      <c r="D48" s="459">
        <v>5350</v>
      </c>
      <c r="E48" s="401">
        <f>250</f>
        <v>250</v>
      </c>
      <c r="F48" s="431">
        <v>16</v>
      </c>
      <c r="G48" s="432">
        <f>C48+D48+E48</f>
        <v>5850</v>
      </c>
      <c r="H48" s="432">
        <v>0</v>
      </c>
      <c r="I48" s="432">
        <v>800</v>
      </c>
      <c r="J48" s="432">
        <f>G48+I48*H48</f>
        <v>5850</v>
      </c>
      <c r="K48" s="433">
        <v>3</v>
      </c>
      <c r="L48" s="433">
        <v>1</v>
      </c>
      <c r="M48" s="503">
        <f>J48*K48*L48/1000</f>
        <v>17.55</v>
      </c>
      <c r="N48" s="435">
        <f t="shared" ref="N48:N51" si="43">_xlfn.XLOOKUP(F48,$R$5:$Z$5,$R$6:$Z$6,"NOT_FOUND",0)</f>
        <v>1.58</v>
      </c>
      <c r="O48" s="435">
        <f>M48*N48</f>
        <v>27.729000000000003</v>
      </c>
      <c r="P48" s="407"/>
    </row>
    <row r="49" spans="1:17" s="430" customFormat="1" ht="25.15" customHeight="1">
      <c r="A49" s="835"/>
      <c r="B49" s="401">
        <v>2</v>
      </c>
      <c r="C49" s="405">
        <v>260</v>
      </c>
      <c r="D49" s="459">
        <v>5370</v>
      </c>
      <c r="E49" s="401">
        <v>230</v>
      </c>
      <c r="F49" s="431">
        <v>16</v>
      </c>
      <c r="G49" s="432">
        <f>C49+D49+E49</f>
        <v>5860</v>
      </c>
      <c r="H49" s="432">
        <v>0</v>
      </c>
      <c r="I49" s="432">
        <v>640</v>
      </c>
      <c r="J49" s="432">
        <f t="shared" ref="J49:J51" si="44">G49+I49*H49</f>
        <v>5860</v>
      </c>
      <c r="K49" s="433">
        <v>3</v>
      </c>
      <c r="L49" s="433">
        <v>1</v>
      </c>
      <c r="M49" s="503">
        <f t="shared" ref="M49:M51" si="45">J49*K49*L49/1000</f>
        <v>17.579999999999998</v>
      </c>
      <c r="N49" s="435">
        <f t="shared" si="43"/>
        <v>1.58</v>
      </c>
      <c r="O49" s="435">
        <f>M49*N49</f>
        <v>27.776399999999999</v>
      </c>
      <c r="P49" s="407"/>
    </row>
    <row r="50" spans="1:17" s="430" customFormat="1" ht="25.15" customHeight="1">
      <c r="A50" s="835"/>
      <c r="B50" s="401">
        <v>3</v>
      </c>
      <c r="C50" s="405">
        <v>240</v>
      </c>
      <c r="D50" s="406">
        <v>230</v>
      </c>
      <c r="E50" s="401">
        <v>100</v>
      </c>
      <c r="F50" s="431">
        <v>10</v>
      </c>
      <c r="G50" s="432">
        <f>(C50+D50+E50)*2</f>
        <v>1140</v>
      </c>
      <c r="H50" s="432">
        <v>0</v>
      </c>
      <c r="I50" s="432">
        <f t="shared" ref="I50:I51" si="46">F50*45</f>
        <v>450</v>
      </c>
      <c r="J50" s="432">
        <f t="shared" si="44"/>
        <v>1140</v>
      </c>
      <c r="K50" s="433">
        <f>+ROUND(D47/200,0)+1</f>
        <v>23</v>
      </c>
      <c r="L50" s="433">
        <v>1</v>
      </c>
      <c r="M50" s="503">
        <f t="shared" si="45"/>
        <v>26.22</v>
      </c>
      <c r="N50" s="435">
        <f t="shared" si="43"/>
        <v>0.61699999999999999</v>
      </c>
      <c r="O50" s="435">
        <f t="shared" ref="O50:O51" si="47">M50*N50</f>
        <v>16.17774</v>
      </c>
      <c r="P50" s="407"/>
    </row>
    <row r="51" spans="1:17" s="430" customFormat="1" ht="25.15" customHeight="1">
      <c r="A51" s="836"/>
      <c r="B51" s="401" t="s">
        <v>666</v>
      </c>
      <c r="C51" s="405">
        <v>200</v>
      </c>
      <c r="D51" s="406">
        <v>300</v>
      </c>
      <c r="E51" s="401"/>
      <c r="F51" s="431">
        <v>12</v>
      </c>
      <c r="G51" s="432">
        <f>C51+D51</f>
        <v>500</v>
      </c>
      <c r="H51" s="432">
        <v>0</v>
      </c>
      <c r="I51" s="432">
        <f t="shared" si="46"/>
        <v>540</v>
      </c>
      <c r="J51" s="432">
        <f t="shared" si="44"/>
        <v>500</v>
      </c>
      <c r="K51" s="433">
        <f>+ROUND(D47/600,0)+1</f>
        <v>8</v>
      </c>
      <c r="L51" s="433">
        <v>1</v>
      </c>
      <c r="M51" s="503">
        <f t="shared" si="45"/>
        <v>4</v>
      </c>
      <c r="N51" s="435">
        <f t="shared" si="43"/>
        <v>0.88800000000000001</v>
      </c>
      <c r="O51" s="435">
        <f t="shared" si="47"/>
        <v>3.552</v>
      </c>
      <c r="P51" s="407" t="s">
        <v>347</v>
      </c>
    </row>
    <row r="52" spans="1:17" s="430" customFormat="1" ht="25.15" customHeight="1">
      <c r="A52" s="834" t="s">
        <v>659</v>
      </c>
      <c r="B52" s="401"/>
      <c r="C52" s="402" t="s">
        <v>321</v>
      </c>
      <c r="D52" s="403">
        <v>4495</v>
      </c>
      <c r="E52" s="404" t="s">
        <v>322</v>
      </c>
      <c r="F52" s="431"/>
      <c r="G52" s="432"/>
      <c r="H52" s="432"/>
      <c r="I52" s="432"/>
      <c r="J52" s="432"/>
      <c r="K52" s="433"/>
      <c r="L52" s="433"/>
      <c r="M52" s="503"/>
      <c r="N52" s="435"/>
      <c r="O52" s="435"/>
      <c r="P52" s="407"/>
      <c r="Q52" s="414"/>
    </row>
    <row r="53" spans="1:17" s="430" customFormat="1" ht="25.15" customHeight="1">
      <c r="A53" s="835"/>
      <c r="B53" s="401">
        <v>1</v>
      </c>
      <c r="C53" s="405">
        <v>540</v>
      </c>
      <c r="D53" s="459">
        <v>5240</v>
      </c>
      <c r="E53" s="401">
        <v>470</v>
      </c>
      <c r="F53" s="431">
        <v>16</v>
      </c>
      <c r="G53" s="432">
        <f>C53+D53+E53</f>
        <v>6250</v>
      </c>
      <c r="H53" s="432">
        <v>0</v>
      </c>
      <c r="I53" s="432">
        <v>800</v>
      </c>
      <c r="J53" s="432">
        <f>G53+I53*H53</f>
        <v>6250</v>
      </c>
      <c r="K53" s="433">
        <v>3</v>
      </c>
      <c r="L53" s="433">
        <v>1</v>
      </c>
      <c r="M53" s="503">
        <f>J53*K53*L53/1000</f>
        <v>18.75</v>
      </c>
      <c r="N53" s="435">
        <f t="shared" ref="N53:N56" si="48">_xlfn.XLOOKUP(F53,$R$5:$Z$5,$R$6:$Z$6,"NOT_FOUND",0)</f>
        <v>1.58</v>
      </c>
      <c r="O53" s="435">
        <f>M53*N53</f>
        <v>29.625</v>
      </c>
      <c r="P53" s="407"/>
    </row>
    <row r="54" spans="1:17" s="430" customFormat="1" ht="25.15" customHeight="1">
      <c r="A54" s="835"/>
      <c r="B54" s="401">
        <v>2</v>
      </c>
      <c r="C54" s="405">
        <v>480</v>
      </c>
      <c r="D54" s="459">
        <v>5120</v>
      </c>
      <c r="E54" s="401">
        <v>310</v>
      </c>
      <c r="F54" s="431">
        <v>16</v>
      </c>
      <c r="G54" s="432">
        <f>C54+D54+E54</f>
        <v>5910</v>
      </c>
      <c r="H54" s="432">
        <v>0</v>
      </c>
      <c r="I54" s="432">
        <v>640</v>
      </c>
      <c r="J54" s="432">
        <f t="shared" ref="J54:J56" si="49">G54+I54*H54</f>
        <v>5910</v>
      </c>
      <c r="K54" s="433">
        <v>3</v>
      </c>
      <c r="L54" s="433">
        <v>1</v>
      </c>
      <c r="M54" s="503">
        <f t="shared" ref="M54:M56" si="50">J54*K54*L54/1000</f>
        <v>17.73</v>
      </c>
      <c r="N54" s="435">
        <f t="shared" si="48"/>
        <v>1.58</v>
      </c>
      <c r="O54" s="435">
        <f>M54*N54</f>
        <v>28.013400000000001</v>
      </c>
      <c r="P54" s="407"/>
    </row>
    <row r="55" spans="1:17" s="430" customFormat="1" ht="25.15" customHeight="1">
      <c r="A55" s="835"/>
      <c r="B55" s="401">
        <v>3</v>
      </c>
      <c r="C55" s="405">
        <v>240</v>
      </c>
      <c r="D55" s="406">
        <v>550</v>
      </c>
      <c r="E55" s="401">
        <v>100</v>
      </c>
      <c r="F55" s="431">
        <v>10</v>
      </c>
      <c r="G55" s="432">
        <f>(C55+D55+E55)*2</f>
        <v>1780</v>
      </c>
      <c r="H55" s="432">
        <v>0</v>
      </c>
      <c r="I55" s="432">
        <f t="shared" ref="I55:I56" si="51">F55*45</f>
        <v>450</v>
      </c>
      <c r="J55" s="432">
        <f t="shared" si="49"/>
        <v>1780</v>
      </c>
      <c r="K55" s="433">
        <f>+ROUND(D52/200,0)+1</f>
        <v>23</v>
      </c>
      <c r="L55" s="433">
        <v>1</v>
      </c>
      <c r="M55" s="503">
        <f t="shared" si="50"/>
        <v>40.94</v>
      </c>
      <c r="N55" s="435">
        <f t="shared" si="48"/>
        <v>0.61699999999999999</v>
      </c>
      <c r="O55" s="435">
        <f t="shared" ref="O55:O56" si="52">M55*N55</f>
        <v>25.259979999999999</v>
      </c>
      <c r="P55" s="407"/>
    </row>
    <row r="56" spans="1:17" s="430" customFormat="1" ht="25.15" customHeight="1">
      <c r="A56" s="836"/>
      <c r="B56" s="401" t="s">
        <v>666</v>
      </c>
      <c r="C56" s="405">
        <v>200</v>
      </c>
      <c r="D56" s="406">
        <v>300</v>
      </c>
      <c r="E56" s="401"/>
      <c r="F56" s="431">
        <v>12</v>
      </c>
      <c r="G56" s="432">
        <f>C56+D56</f>
        <v>500</v>
      </c>
      <c r="H56" s="432">
        <v>0</v>
      </c>
      <c r="I56" s="432">
        <f t="shared" si="51"/>
        <v>540</v>
      </c>
      <c r="J56" s="432">
        <f t="shared" si="49"/>
        <v>500</v>
      </c>
      <c r="K56" s="433">
        <f>+ROUND(D52/600,0)+1</f>
        <v>8</v>
      </c>
      <c r="L56" s="433">
        <v>1</v>
      </c>
      <c r="M56" s="503">
        <f t="shared" si="50"/>
        <v>4</v>
      </c>
      <c r="N56" s="435">
        <f t="shared" si="48"/>
        <v>0.88800000000000001</v>
      </c>
      <c r="O56" s="435">
        <f t="shared" si="52"/>
        <v>3.552</v>
      </c>
      <c r="P56" s="407" t="s">
        <v>347</v>
      </c>
    </row>
    <row r="57" spans="1:17" s="430" customFormat="1" ht="25.15" customHeight="1">
      <c r="A57" s="834" t="s">
        <v>660</v>
      </c>
      <c r="B57" s="401"/>
      <c r="C57" s="402" t="s">
        <v>321</v>
      </c>
      <c r="D57" s="403">
        <v>4495</v>
      </c>
      <c r="E57" s="404" t="s">
        <v>322</v>
      </c>
      <c r="F57" s="431"/>
      <c r="G57" s="432"/>
      <c r="H57" s="432"/>
      <c r="I57" s="432"/>
      <c r="J57" s="432"/>
      <c r="K57" s="433"/>
      <c r="L57" s="433"/>
      <c r="M57" s="503"/>
      <c r="N57" s="435"/>
      <c r="O57" s="435"/>
      <c r="P57" s="407"/>
      <c r="Q57" s="414"/>
    </row>
    <row r="58" spans="1:17" s="430" customFormat="1" ht="25.15" customHeight="1">
      <c r="A58" s="835"/>
      <c r="B58" s="401">
        <v>1</v>
      </c>
      <c r="C58" s="405">
        <v>440</v>
      </c>
      <c r="D58" s="459">
        <v>8305</v>
      </c>
      <c r="E58" s="401">
        <v>440</v>
      </c>
      <c r="F58" s="431">
        <v>16</v>
      </c>
      <c r="G58" s="432">
        <f>C58+D58+E58</f>
        <v>9185</v>
      </c>
      <c r="H58" s="432">
        <v>0</v>
      </c>
      <c r="I58" s="432">
        <v>800</v>
      </c>
      <c r="J58" s="432">
        <f>G58+I58*H58</f>
        <v>9185</v>
      </c>
      <c r="K58" s="433">
        <v>3</v>
      </c>
      <c r="L58" s="433">
        <v>1</v>
      </c>
      <c r="M58" s="503">
        <f>J58*K58*L58/1000</f>
        <v>27.555</v>
      </c>
      <c r="N58" s="435">
        <f t="shared" ref="N58:N63" si="53">_xlfn.XLOOKUP(F58,$R$5:$Z$5,$R$6:$Z$6,"NOT_FOUND",0)</f>
        <v>1.58</v>
      </c>
      <c r="O58" s="435">
        <f>M58*N58</f>
        <v>43.536900000000003</v>
      </c>
      <c r="P58" s="407"/>
    </row>
    <row r="59" spans="1:17" s="430" customFormat="1" ht="25.15" customHeight="1">
      <c r="A59" s="835"/>
      <c r="B59" s="401">
        <v>2</v>
      </c>
      <c r="C59" s="405">
        <v>480</v>
      </c>
      <c r="D59" s="459">
        <v>8305</v>
      </c>
      <c r="E59" s="401">
        <v>310</v>
      </c>
      <c r="F59" s="431">
        <v>16</v>
      </c>
      <c r="G59" s="432">
        <f>C59+D59+E59</f>
        <v>9095</v>
      </c>
      <c r="H59" s="432">
        <v>0</v>
      </c>
      <c r="I59" s="432">
        <v>640</v>
      </c>
      <c r="J59" s="432">
        <f t="shared" ref="J59:J63" si="54">G59+I59*H59</f>
        <v>9095</v>
      </c>
      <c r="K59" s="433">
        <v>3</v>
      </c>
      <c r="L59" s="433">
        <v>1</v>
      </c>
      <c r="M59" s="503">
        <f t="shared" ref="M59:M63" si="55">J59*K59*L59/1000</f>
        <v>27.285</v>
      </c>
      <c r="N59" s="435">
        <f t="shared" si="53"/>
        <v>1.58</v>
      </c>
      <c r="O59" s="435">
        <f>M59*N59</f>
        <v>43.110300000000002</v>
      </c>
      <c r="P59" s="407"/>
    </row>
    <row r="60" spans="1:17" s="430" customFormat="1" ht="25.15" customHeight="1">
      <c r="A60" s="835"/>
      <c r="B60" s="401">
        <v>4</v>
      </c>
      <c r="C60" s="405"/>
      <c r="D60" s="459">
        <v>8105</v>
      </c>
      <c r="E60" s="401"/>
      <c r="F60" s="431">
        <v>12</v>
      </c>
      <c r="G60" s="432">
        <f>C60+D60+E60</f>
        <v>8105</v>
      </c>
      <c r="H60" s="432">
        <v>0</v>
      </c>
      <c r="I60" s="432">
        <v>640</v>
      </c>
      <c r="J60" s="432">
        <f t="shared" ref="J60:J61" si="56">G60+I60*H60</f>
        <v>8105</v>
      </c>
      <c r="K60" s="433">
        <v>3</v>
      </c>
      <c r="L60" s="433">
        <v>2</v>
      </c>
      <c r="M60" s="503">
        <f t="shared" ref="M60:M61" si="57">J60*K60*L60/1000</f>
        <v>48.63</v>
      </c>
      <c r="N60" s="435">
        <f t="shared" ref="N60:N61" si="58">_xlfn.XLOOKUP(F60,$R$5:$Z$5,$R$6:$Z$6,"NOT_FOUND",0)</f>
        <v>0.88800000000000001</v>
      </c>
      <c r="O60" s="435">
        <f>M60*N60</f>
        <v>43.183440000000004</v>
      </c>
      <c r="P60" s="407"/>
    </row>
    <row r="61" spans="1:17" s="430" customFormat="1" ht="25.15" customHeight="1">
      <c r="A61" s="835"/>
      <c r="B61" s="401">
        <v>5</v>
      </c>
      <c r="C61" s="405">
        <v>80</v>
      </c>
      <c r="D61" s="406">
        <v>240</v>
      </c>
      <c r="E61" s="401">
        <v>80</v>
      </c>
      <c r="F61" s="431">
        <v>8</v>
      </c>
      <c r="G61" s="432">
        <f>(C61+D61+E61)*2</f>
        <v>800</v>
      </c>
      <c r="H61" s="432">
        <v>0</v>
      </c>
      <c r="I61" s="432">
        <f t="shared" ref="I61" si="59">F61*45</f>
        <v>360</v>
      </c>
      <c r="J61" s="432">
        <f t="shared" si="56"/>
        <v>800</v>
      </c>
      <c r="K61" s="433">
        <f>+ROUND(D57/600,0)+1</f>
        <v>8</v>
      </c>
      <c r="L61" s="433">
        <v>3</v>
      </c>
      <c r="M61" s="503">
        <f t="shared" si="57"/>
        <v>19.2</v>
      </c>
      <c r="N61" s="435">
        <f t="shared" si="58"/>
        <v>0.39500000000000002</v>
      </c>
      <c r="O61" s="435">
        <f t="shared" ref="O61" si="60">M61*N61</f>
        <v>7.5839999999999996</v>
      </c>
      <c r="P61" s="407"/>
    </row>
    <row r="62" spans="1:17" s="430" customFormat="1" ht="25.15" customHeight="1">
      <c r="A62" s="835"/>
      <c r="B62" s="401">
        <v>3</v>
      </c>
      <c r="C62" s="405">
        <v>280</v>
      </c>
      <c r="D62" s="406">
        <v>1250</v>
      </c>
      <c r="E62" s="401">
        <v>280</v>
      </c>
      <c r="F62" s="431">
        <v>10</v>
      </c>
      <c r="G62" s="432">
        <f>(C62+D62+E62)*2</f>
        <v>3620</v>
      </c>
      <c r="H62" s="432">
        <v>0</v>
      </c>
      <c r="I62" s="432">
        <f t="shared" ref="I62:I63" si="61">F62*45</f>
        <v>450</v>
      </c>
      <c r="J62" s="432">
        <f t="shared" si="54"/>
        <v>3620</v>
      </c>
      <c r="K62" s="433">
        <f>+ROUND(D57/200,0)+1</f>
        <v>23</v>
      </c>
      <c r="L62" s="433">
        <v>1</v>
      </c>
      <c r="M62" s="503">
        <f t="shared" si="55"/>
        <v>83.26</v>
      </c>
      <c r="N62" s="435">
        <f t="shared" si="53"/>
        <v>0.61699999999999999</v>
      </c>
      <c r="O62" s="435">
        <f t="shared" ref="O62:O63" si="62">M62*N62</f>
        <v>51.371420000000001</v>
      </c>
      <c r="P62" s="407"/>
    </row>
    <row r="63" spans="1:17" s="430" customFormat="1" ht="25.15" customHeight="1">
      <c r="A63" s="836"/>
      <c r="B63" s="401" t="s">
        <v>666</v>
      </c>
      <c r="C63" s="405">
        <v>200</v>
      </c>
      <c r="D63" s="406">
        <v>300</v>
      </c>
      <c r="E63" s="401"/>
      <c r="F63" s="431">
        <v>12</v>
      </c>
      <c r="G63" s="432">
        <f>C63+D63</f>
        <v>500</v>
      </c>
      <c r="H63" s="432">
        <v>0</v>
      </c>
      <c r="I63" s="432">
        <f t="shared" si="61"/>
        <v>540</v>
      </c>
      <c r="J63" s="432">
        <f t="shared" si="54"/>
        <v>500</v>
      </c>
      <c r="K63" s="433">
        <f>+ROUND(D57/600,0)+1</f>
        <v>8</v>
      </c>
      <c r="L63" s="433">
        <v>1</v>
      </c>
      <c r="M63" s="503">
        <f t="shared" si="55"/>
        <v>4</v>
      </c>
      <c r="N63" s="435">
        <f t="shared" si="53"/>
        <v>0.88800000000000001</v>
      </c>
      <c r="O63" s="435">
        <f t="shared" si="62"/>
        <v>3.552</v>
      </c>
      <c r="P63" s="407" t="s">
        <v>347</v>
      </c>
    </row>
    <row r="64" spans="1:17" s="430" customFormat="1" ht="25.15" customHeight="1">
      <c r="A64" s="834" t="s">
        <v>661</v>
      </c>
      <c r="B64" s="401"/>
      <c r="C64" s="402" t="s">
        <v>321</v>
      </c>
      <c r="D64" s="403">
        <v>5420</v>
      </c>
      <c r="E64" s="404" t="s">
        <v>322</v>
      </c>
      <c r="F64" s="431"/>
      <c r="G64" s="432"/>
      <c r="H64" s="432"/>
      <c r="I64" s="432"/>
      <c r="J64" s="432"/>
      <c r="K64" s="433"/>
      <c r="L64" s="433"/>
      <c r="M64" s="503"/>
      <c r="N64" s="435"/>
      <c r="O64" s="435"/>
      <c r="P64" s="407"/>
      <c r="Q64" s="414"/>
    </row>
    <row r="65" spans="1:17" s="430" customFormat="1" ht="25.15" customHeight="1">
      <c r="A65" s="835"/>
      <c r="B65" s="401">
        <v>1</v>
      </c>
      <c r="C65" s="405">
        <v>440</v>
      </c>
      <c r="D65" s="459">
        <v>5820</v>
      </c>
      <c r="E65" s="401">
        <v>440</v>
      </c>
      <c r="F65" s="431">
        <v>16</v>
      </c>
      <c r="G65" s="432">
        <f>C65+D65+E65</f>
        <v>6700</v>
      </c>
      <c r="H65" s="432">
        <v>0</v>
      </c>
      <c r="I65" s="432">
        <v>800</v>
      </c>
      <c r="J65" s="432">
        <f>G65+I65*H65</f>
        <v>6700</v>
      </c>
      <c r="K65" s="433">
        <v>3</v>
      </c>
      <c r="L65" s="433">
        <v>1</v>
      </c>
      <c r="M65" s="503">
        <f>J65*K65*L65/1000</f>
        <v>20.100000000000001</v>
      </c>
      <c r="N65" s="435">
        <f t="shared" ref="N65:N70" si="63">_xlfn.XLOOKUP(F65,$R$5:$Z$5,$R$6:$Z$6,"NOT_FOUND",0)</f>
        <v>1.58</v>
      </c>
      <c r="O65" s="435">
        <f>M65*N65</f>
        <v>31.758000000000003</v>
      </c>
      <c r="P65" s="407"/>
    </row>
    <row r="66" spans="1:17" s="430" customFormat="1" ht="25.15" customHeight="1">
      <c r="A66" s="835"/>
      <c r="B66" s="401">
        <v>2</v>
      </c>
      <c r="C66" s="405">
        <v>480</v>
      </c>
      <c r="D66" s="459">
        <v>5820</v>
      </c>
      <c r="E66" s="401">
        <v>310</v>
      </c>
      <c r="F66" s="431">
        <v>16</v>
      </c>
      <c r="G66" s="432">
        <f>C66+D66+E66</f>
        <v>6610</v>
      </c>
      <c r="H66" s="432">
        <v>0</v>
      </c>
      <c r="I66" s="432">
        <v>640</v>
      </c>
      <c r="J66" s="432">
        <f t="shared" ref="J66:J70" si="64">G66+I66*H66</f>
        <v>6610</v>
      </c>
      <c r="K66" s="433">
        <v>3</v>
      </c>
      <c r="L66" s="433">
        <v>1</v>
      </c>
      <c r="M66" s="503">
        <f t="shared" ref="M66:M70" si="65">J66*K66*L66/1000</f>
        <v>19.829999999999998</v>
      </c>
      <c r="N66" s="435">
        <f t="shared" si="63"/>
        <v>1.58</v>
      </c>
      <c r="O66" s="435">
        <f>M66*N66</f>
        <v>31.331399999999999</v>
      </c>
      <c r="P66" s="407"/>
    </row>
    <row r="67" spans="1:17" s="430" customFormat="1" ht="25.15" customHeight="1">
      <c r="A67" s="835"/>
      <c r="B67" s="401">
        <v>4</v>
      </c>
      <c r="C67" s="405"/>
      <c r="D67" s="459">
        <v>5620</v>
      </c>
      <c r="E67" s="401"/>
      <c r="F67" s="431">
        <v>12</v>
      </c>
      <c r="G67" s="432">
        <f>C67+D67+E67</f>
        <v>5620</v>
      </c>
      <c r="H67" s="432">
        <v>0</v>
      </c>
      <c r="I67" s="432">
        <v>640</v>
      </c>
      <c r="J67" s="432">
        <f t="shared" si="64"/>
        <v>5620</v>
      </c>
      <c r="K67" s="433">
        <v>3</v>
      </c>
      <c r="L67" s="433">
        <v>2</v>
      </c>
      <c r="M67" s="503">
        <f t="shared" si="65"/>
        <v>33.72</v>
      </c>
      <c r="N67" s="435">
        <f t="shared" si="63"/>
        <v>0.88800000000000001</v>
      </c>
      <c r="O67" s="435">
        <f>M67*N67</f>
        <v>29.943359999999998</v>
      </c>
      <c r="P67" s="407"/>
    </row>
    <row r="68" spans="1:17" s="430" customFormat="1" ht="25.15" customHeight="1">
      <c r="A68" s="835"/>
      <c r="B68" s="401">
        <v>5</v>
      </c>
      <c r="C68" s="405">
        <v>80</v>
      </c>
      <c r="D68" s="406">
        <v>240</v>
      </c>
      <c r="E68" s="401">
        <v>80</v>
      </c>
      <c r="F68" s="431">
        <v>8</v>
      </c>
      <c r="G68" s="432">
        <f>(C68+D68+E68)*2</f>
        <v>800</v>
      </c>
      <c r="H68" s="432">
        <v>0</v>
      </c>
      <c r="I68" s="432">
        <f t="shared" ref="I68:I70" si="66">F68*45</f>
        <v>360</v>
      </c>
      <c r="J68" s="432">
        <f t="shared" si="64"/>
        <v>800</v>
      </c>
      <c r="K68" s="433">
        <f>+ROUND(D64/600,0)+1</f>
        <v>10</v>
      </c>
      <c r="L68" s="433">
        <v>3</v>
      </c>
      <c r="M68" s="503">
        <f t="shared" si="65"/>
        <v>24</v>
      </c>
      <c r="N68" s="435">
        <f t="shared" si="63"/>
        <v>0.39500000000000002</v>
      </c>
      <c r="O68" s="435">
        <f t="shared" ref="O68:O70" si="67">M68*N68</f>
        <v>9.48</v>
      </c>
      <c r="P68" s="407"/>
    </row>
    <row r="69" spans="1:17" s="430" customFormat="1" ht="25.15" customHeight="1">
      <c r="A69" s="835"/>
      <c r="B69" s="401">
        <v>3</v>
      </c>
      <c r="C69" s="405">
        <v>280</v>
      </c>
      <c r="D69" s="406">
        <v>1250</v>
      </c>
      <c r="E69" s="401">
        <v>280</v>
      </c>
      <c r="F69" s="431">
        <v>10</v>
      </c>
      <c r="G69" s="432">
        <f>(C69+D69+E69)*2</f>
        <v>3620</v>
      </c>
      <c r="H69" s="432">
        <v>0</v>
      </c>
      <c r="I69" s="432">
        <f t="shared" si="66"/>
        <v>450</v>
      </c>
      <c r="J69" s="432">
        <f t="shared" si="64"/>
        <v>3620</v>
      </c>
      <c r="K69" s="433">
        <f>+ROUND(D64/200,0)+1</f>
        <v>28</v>
      </c>
      <c r="L69" s="433">
        <v>1</v>
      </c>
      <c r="M69" s="503">
        <f t="shared" si="65"/>
        <v>101.36</v>
      </c>
      <c r="N69" s="435">
        <f t="shared" si="63"/>
        <v>0.61699999999999999</v>
      </c>
      <c r="O69" s="435">
        <f t="shared" si="67"/>
        <v>62.539119999999997</v>
      </c>
      <c r="P69" s="407"/>
    </row>
    <row r="70" spans="1:17" s="430" customFormat="1" ht="25.15" customHeight="1">
      <c r="A70" s="836"/>
      <c r="B70" s="401" t="s">
        <v>666</v>
      </c>
      <c r="C70" s="405">
        <v>200</v>
      </c>
      <c r="D70" s="406">
        <v>300</v>
      </c>
      <c r="E70" s="401"/>
      <c r="F70" s="431">
        <v>12</v>
      </c>
      <c r="G70" s="432">
        <f>C70+D70</f>
        <v>500</v>
      </c>
      <c r="H70" s="432">
        <v>0</v>
      </c>
      <c r="I70" s="432">
        <f t="shared" si="66"/>
        <v>540</v>
      </c>
      <c r="J70" s="432">
        <f t="shared" si="64"/>
        <v>500</v>
      </c>
      <c r="K70" s="433">
        <f>+ROUND(D64/600,0)+1</f>
        <v>10</v>
      </c>
      <c r="L70" s="433">
        <v>1</v>
      </c>
      <c r="M70" s="503">
        <f t="shared" si="65"/>
        <v>5</v>
      </c>
      <c r="N70" s="435">
        <f t="shared" si="63"/>
        <v>0.88800000000000001</v>
      </c>
      <c r="O70" s="435">
        <f t="shared" si="67"/>
        <v>4.4400000000000004</v>
      </c>
      <c r="P70" s="407" t="s">
        <v>347</v>
      </c>
    </row>
    <row r="71" spans="1:17" s="430" customFormat="1" ht="25.15" customHeight="1">
      <c r="A71" s="834" t="s">
        <v>662</v>
      </c>
      <c r="B71" s="401"/>
      <c r="C71" s="402" t="s">
        <v>321</v>
      </c>
      <c r="D71" s="403">
        <v>5980</v>
      </c>
      <c r="E71" s="404" t="s">
        <v>322</v>
      </c>
      <c r="F71" s="431"/>
      <c r="G71" s="432"/>
      <c r="H71" s="432"/>
      <c r="I71" s="432"/>
      <c r="J71" s="432"/>
      <c r="K71" s="433"/>
      <c r="L71" s="433"/>
      <c r="M71" s="503"/>
      <c r="N71" s="435"/>
      <c r="O71" s="435"/>
      <c r="P71" s="407"/>
      <c r="Q71" s="414"/>
    </row>
    <row r="72" spans="1:17" s="430" customFormat="1" ht="25.15" customHeight="1">
      <c r="A72" s="835"/>
      <c r="B72" s="401">
        <v>1</v>
      </c>
      <c r="C72" s="405">
        <v>440</v>
      </c>
      <c r="D72" s="459">
        <v>6570</v>
      </c>
      <c r="E72" s="401">
        <v>440</v>
      </c>
      <c r="F72" s="431">
        <v>16</v>
      </c>
      <c r="G72" s="432">
        <f>C72+D72+E72</f>
        <v>7450</v>
      </c>
      <c r="H72" s="432">
        <v>0</v>
      </c>
      <c r="I72" s="432">
        <v>800</v>
      </c>
      <c r="J72" s="432">
        <f>G72+I72*H72</f>
        <v>7450</v>
      </c>
      <c r="K72" s="433">
        <v>3</v>
      </c>
      <c r="L72" s="433">
        <v>1</v>
      </c>
      <c r="M72" s="503">
        <f>J72*K72*L72/1000</f>
        <v>22.35</v>
      </c>
      <c r="N72" s="435">
        <f t="shared" ref="N72:N77" si="68">_xlfn.XLOOKUP(F72,$R$5:$Z$5,$R$6:$Z$6,"NOT_FOUND",0)</f>
        <v>1.58</v>
      </c>
      <c r="O72" s="435">
        <f>M72*N72</f>
        <v>35.313000000000002</v>
      </c>
      <c r="P72" s="407"/>
    </row>
    <row r="73" spans="1:17" s="430" customFormat="1" ht="25.15" customHeight="1">
      <c r="A73" s="835"/>
      <c r="B73" s="401">
        <v>2</v>
      </c>
      <c r="C73" s="405">
        <v>480</v>
      </c>
      <c r="D73" s="459">
        <v>6570</v>
      </c>
      <c r="E73" s="401">
        <v>310</v>
      </c>
      <c r="F73" s="431">
        <v>16</v>
      </c>
      <c r="G73" s="432">
        <f>C73+D73+E73</f>
        <v>7360</v>
      </c>
      <c r="H73" s="432">
        <v>0</v>
      </c>
      <c r="I73" s="432">
        <v>640</v>
      </c>
      <c r="J73" s="432">
        <f t="shared" ref="J73:J77" si="69">G73+I73*H73</f>
        <v>7360</v>
      </c>
      <c r="K73" s="433">
        <v>3</v>
      </c>
      <c r="L73" s="433">
        <v>1</v>
      </c>
      <c r="M73" s="503">
        <f t="shared" ref="M73:M77" si="70">J73*K73*L73/1000</f>
        <v>22.08</v>
      </c>
      <c r="N73" s="435">
        <f t="shared" si="68"/>
        <v>1.58</v>
      </c>
      <c r="O73" s="435">
        <f>M73*N73</f>
        <v>34.886400000000002</v>
      </c>
      <c r="P73" s="407"/>
    </row>
    <row r="74" spans="1:17" s="430" customFormat="1" ht="25.15" customHeight="1">
      <c r="A74" s="835"/>
      <c r="B74" s="401">
        <v>4</v>
      </c>
      <c r="C74" s="405"/>
      <c r="D74" s="459">
        <v>6370</v>
      </c>
      <c r="E74" s="401"/>
      <c r="F74" s="431">
        <v>12</v>
      </c>
      <c r="G74" s="432">
        <f>C74+D74+E74</f>
        <v>6370</v>
      </c>
      <c r="H74" s="432">
        <v>0</v>
      </c>
      <c r="I74" s="432">
        <v>640</v>
      </c>
      <c r="J74" s="432">
        <f t="shared" si="69"/>
        <v>6370</v>
      </c>
      <c r="K74" s="433">
        <v>3</v>
      </c>
      <c r="L74" s="433">
        <v>2</v>
      </c>
      <c r="M74" s="503">
        <f t="shared" si="70"/>
        <v>38.22</v>
      </c>
      <c r="N74" s="435">
        <f t="shared" si="68"/>
        <v>0.88800000000000001</v>
      </c>
      <c r="O74" s="435">
        <f>M74*N74</f>
        <v>33.939360000000001</v>
      </c>
      <c r="P74" s="407"/>
    </row>
    <row r="75" spans="1:17" s="430" customFormat="1" ht="25.15" customHeight="1">
      <c r="A75" s="835"/>
      <c r="B75" s="401">
        <v>5</v>
      </c>
      <c r="C75" s="405">
        <v>80</v>
      </c>
      <c r="D75" s="406">
        <v>240</v>
      </c>
      <c r="E75" s="401">
        <v>80</v>
      </c>
      <c r="F75" s="431">
        <v>8</v>
      </c>
      <c r="G75" s="432">
        <f>(C75+D75+E75)*2</f>
        <v>800</v>
      </c>
      <c r="H75" s="432">
        <v>0</v>
      </c>
      <c r="I75" s="432">
        <f t="shared" ref="I75:I77" si="71">F75*45</f>
        <v>360</v>
      </c>
      <c r="J75" s="432">
        <f t="shared" si="69"/>
        <v>800</v>
      </c>
      <c r="K75" s="433">
        <f>+ROUND(D71/600,0)+1</f>
        <v>11</v>
      </c>
      <c r="L75" s="433">
        <v>3</v>
      </c>
      <c r="M75" s="503">
        <f t="shared" si="70"/>
        <v>26.4</v>
      </c>
      <c r="N75" s="435">
        <f t="shared" si="68"/>
        <v>0.39500000000000002</v>
      </c>
      <c r="O75" s="435">
        <f t="shared" ref="O75:O77" si="72">M75*N75</f>
        <v>10.427999999999999</v>
      </c>
      <c r="P75" s="407"/>
    </row>
    <row r="76" spans="1:17" s="430" customFormat="1" ht="25.15" customHeight="1">
      <c r="A76" s="835"/>
      <c r="B76" s="401">
        <v>3</v>
      </c>
      <c r="C76" s="405">
        <v>280</v>
      </c>
      <c r="D76" s="406">
        <v>1250</v>
      </c>
      <c r="E76" s="401">
        <v>280</v>
      </c>
      <c r="F76" s="431">
        <v>10</v>
      </c>
      <c r="G76" s="432">
        <f>(C76+D76+E76)*2</f>
        <v>3620</v>
      </c>
      <c r="H76" s="432">
        <v>0</v>
      </c>
      <c r="I76" s="432">
        <f t="shared" si="71"/>
        <v>450</v>
      </c>
      <c r="J76" s="432">
        <f t="shared" si="69"/>
        <v>3620</v>
      </c>
      <c r="K76" s="433">
        <f>+ROUND(D71/200,0)+1</f>
        <v>31</v>
      </c>
      <c r="L76" s="433">
        <v>1</v>
      </c>
      <c r="M76" s="503">
        <f t="shared" si="70"/>
        <v>112.22</v>
      </c>
      <c r="N76" s="435">
        <f t="shared" si="68"/>
        <v>0.61699999999999999</v>
      </c>
      <c r="O76" s="435">
        <f t="shared" si="72"/>
        <v>69.239739999999998</v>
      </c>
      <c r="P76" s="407"/>
    </row>
    <row r="77" spans="1:17" s="430" customFormat="1" ht="25.15" customHeight="1">
      <c r="A77" s="836"/>
      <c r="B77" s="401" t="s">
        <v>666</v>
      </c>
      <c r="C77" s="405">
        <v>200</v>
      </c>
      <c r="D77" s="406">
        <v>300</v>
      </c>
      <c r="E77" s="401"/>
      <c r="F77" s="431">
        <v>12</v>
      </c>
      <c r="G77" s="432">
        <f>C77+D77</f>
        <v>500</v>
      </c>
      <c r="H77" s="432">
        <v>0</v>
      </c>
      <c r="I77" s="432">
        <f t="shared" si="71"/>
        <v>540</v>
      </c>
      <c r="J77" s="432">
        <f t="shared" si="69"/>
        <v>500</v>
      </c>
      <c r="K77" s="433">
        <f>+ROUND(D71/600,0)+1</f>
        <v>11</v>
      </c>
      <c r="L77" s="433">
        <v>1</v>
      </c>
      <c r="M77" s="503">
        <f t="shared" si="70"/>
        <v>5.5</v>
      </c>
      <c r="N77" s="435">
        <f t="shared" si="68"/>
        <v>0.88800000000000001</v>
      </c>
      <c r="O77" s="435">
        <f t="shared" si="72"/>
        <v>4.8840000000000003</v>
      </c>
      <c r="P77" s="407" t="s">
        <v>347</v>
      </c>
    </row>
    <row r="78" spans="1:17" s="430" customFormat="1" ht="25.15" customHeight="1">
      <c r="A78" s="834" t="s">
        <v>663</v>
      </c>
      <c r="B78" s="401"/>
      <c r="C78" s="402" t="s">
        <v>321</v>
      </c>
      <c r="D78" s="403">
        <v>5980</v>
      </c>
      <c r="E78" s="404" t="s">
        <v>322</v>
      </c>
      <c r="F78" s="431"/>
      <c r="G78" s="432"/>
      <c r="H78" s="432"/>
      <c r="I78" s="432"/>
      <c r="J78" s="432"/>
      <c r="K78" s="433"/>
      <c r="L78" s="433"/>
      <c r="M78" s="503"/>
      <c r="N78" s="435"/>
      <c r="O78" s="435"/>
      <c r="P78" s="407"/>
      <c r="Q78" s="414"/>
    </row>
    <row r="79" spans="1:17" s="430" customFormat="1" ht="25.15" customHeight="1">
      <c r="A79" s="835"/>
      <c r="B79" s="401">
        <v>1</v>
      </c>
      <c r="C79" s="405">
        <v>440</v>
      </c>
      <c r="D79" s="459">
        <v>6380</v>
      </c>
      <c r="E79" s="401">
        <v>440</v>
      </c>
      <c r="F79" s="431">
        <v>16</v>
      </c>
      <c r="G79" s="432">
        <f>C79+D79+E79</f>
        <v>7260</v>
      </c>
      <c r="H79" s="432">
        <v>0</v>
      </c>
      <c r="I79" s="432">
        <v>800</v>
      </c>
      <c r="J79" s="432">
        <f>G79+I79*H79</f>
        <v>7260</v>
      </c>
      <c r="K79" s="433">
        <v>3</v>
      </c>
      <c r="L79" s="433">
        <v>1</v>
      </c>
      <c r="M79" s="503">
        <f>J79*K79*L79/1000</f>
        <v>21.78</v>
      </c>
      <c r="N79" s="435">
        <f t="shared" ref="N79:N84" si="73">_xlfn.XLOOKUP(F79,$R$5:$Z$5,$R$6:$Z$6,"NOT_FOUND",0)</f>
        <v>1.58</v>
      </c>
      <c r="O79" s="435">
        <f>M79*N79</f>
        <v>34.412400000000005</v>
      </c>
      <c r="P79" s="407"/>
    </row>
    <row r="80" spans="1:17" s="430" customFormat="1" ht="25.15" customHeight="1">
      <c r="A80" s="835"/>
      <c r="B80" s="401">
        <v>2</v>
      </c>
      <c r="C80" s="405">
        <v>480</v>
      </c>
      <c r="D80" s="459">
        <v>6380</v>
      </c>
      <c r="E80" s="401">
        <v>310</v>
      </c>
      <c r="F80" s="431">
        <v>16</v>
      </c>
      <c r="G80" s="432">
        <f>C80+D80+E80</f>
        <v>7170</v>
      </c>
      <c r="H80" s="432">
        <v>0</v>
      </c>
      <c r="I80" s="432">
        <v>640</v>
      </c>
      <c r="J80" s="432">
        <f t="shared" ref="J80:J84" si="74">G80+I80*H80</f>
        <v>7170</v>
      </c>
      <c r="K80" s="433">
        <v>3</v>
      </c>
      <c r="L80" s="433">
        <v>1</v>
      </c>
      <c r="M80" s="503">
        <f t="shared" ref="M80:M84" si="75">J80*K80*L80/1000</f>
        <v>21.51</v>
      </c>
      <c r="N80" s="435">
        <f t="shared" si="73"/>
        <v>1.58</v>
      </c>
      <c r="O80" s="435">
        <f>M80*N80</f>
        <v>33.985800000000005</v>
      </c>
      <c r="P80" s="407"/>
    </row>
    <row r="81" spans="1:17" s="430" customFormat="1" ht="25.15" customHeight="1">
      <c r="A81" s="835"/>
      <c r="B81" s="401">
        <v>4</v>
      </c>
      <c r="C81" s="405"/>
      <c r="D81" s="459">
        <v>6180</v>
      </c>
      <c r="E81" s="401"/>
      <c r="F81" s="431">
        <v>12</v>
      </c>
      <c r="G81" s="432">
        <f>C81+D81+E81</f>
        <v>6180</v>
      </c>
      <c r="H81" s="432">
        <v>0</v>
      </c>
      <c r="I81" s="432">
        <v>640</v>
      </c>
      <c r="J81" s="432">
        <f t="shared" si="74"/>
        <v>6180</v>
      </c>
      <c r="K81" s="433">
        <v>3</v>
      </c>
      <c r="L81" s="433">
        <v>2</v>
      </c>
      <c r="M81" s="503">
        <f t="shared" si="75"/>
        <v>37.08</v>
      </c>
      <c r="N81" s="435">
        <f t="shared" si="73"/>
        <v>0.88800000000000001</v>
      </c>
      <c r="O81" s="435">
        <f>M81*N81</f>
        <v>32.927039999999998</v>
      </c>
      <c r="P81" s="407"/>
    </row>
    <row r="82" spans="1:17" s="430" customFormat="1" ht="25.15" customHeight="1">
      <c r="A82" s="835"/>
      <c r="B82" s="401">
        <v>5</v>
      </c>
      <c r="C82" s="405">
        <v>80</v>
      </c>
      <c r="D82" s="406">
        <v>240</v>
      </c>
      <c r="E82" s="401">
        <v>80</v>
      </c>
      <c r="F82" s="431">
        <v>8</v>
      </c>
      <c r="G82" s="432">
        <f>(C82+D82+E82)*2</f>
        <v>800</v>
      </c>
      <c r="H82" s="432">
        <v>0</v>
      </c>
      <c r="I82" s="432">
        <f t="shared" ref="I82:I84" si="76">F82*45</f>
        <v>360</v>
      </c>
      <c r="J82" s="432">
        <f t="shared" si="74"/>
        <v>800</v>
      </c>
      <c r="K82" s="433">
        <f>+ROUND(D78/600,0)+1</f>
        <v>11</v>
      </c>
      <c r="L82" s="433">
        <v>3</v>
      </c>
      <c r="M82" s="503">
        <f t="shared" si="75"/>
        <v>26.4</v>
      </c>
      <c r="N82" s="435">
        <f t="shared" si="73"/>
        <v>0.39500000000000002</v>
      </c>
      <c r="O82" s="435">
        <f t="shared" ref="O82:O84" si="77">M82*N82</f>
        <v>10.427999999999999</v>
      </c>
      <c r="P82" s="407"/>
    </row>
    <row r="83" spans="1:17" s="430" customFormat="1" ht="25.15" customHeight="1">
      <c r="A83" s="835"/>
      <c r="B83" s="401">
        <v>3</v>
      </c>
      <c r="C83" s="405">
        <v>280</v>
      </c>
      <c r="D83" s="406">
        <v>1250</v>
      </c>
      <c r="E83" s="401">
        <v>280</v>
      </c>
      <c r="F83" s="431">
        <v>10</v>
      </c>
      <c r="G83" s="432">
        <f>(C83+D83+E83)*2</f>
        <v>3620</v>
      </c>
      <c r="H83" s="432">
        <v>0</v>
      </c>
      <c r="I83" s="432">
        <f t="shared" si="76"/>
        <v>450</v>
      </c>
      <c r="J83" s="432">
        <f t="shared" si="74"/>
        <v>3620</v>
      </c>
      <c r="K83" s="433">
        <f>+ROUND(D78/200,0)+1</f>
        <v>31</v>
      </c>
      <c r="L83" s="433">
        <v>1</v>
      </c>
      <c r="M83" s="503">
        <f t="shared" si="75"/>
        <v>112.22</v>
      </c>
      <c r="N83" s="435">
        <f t="shared" si="73"/>
        <v>0.61699999999999999</v>
      </c>
      <c r="O83" s="435">
        <f t="shared" si="77"/>
        <v>69.239739999999998</v>
      </c>
      <c r="P83" s="407"/>
    </row>
    <row r="84" spans="1:17" s="430" customFormat="1" ht="25.15" customHeight="1">
      <c r="A84" s="836"/>
      <c r="B84" s="401" t="s">
        <v>666</v>
      </c>
      <c r="C84" s="405">
        <v>200</v>
      </c>
      <c r="D84" s="406">
        <v>300</v>
      </c>
      <c r="E84" s="401"/>
      <c r="F84" s="431">
        <v>12</v>
      </c>
      <c r="G84" s="432">
        <f>C84+D84</f>
        <v>500</v>
      </c>
      <c r="H84" s="432">
        <v>0</v>
      </c>
      <c r="I84" s="432">
        <f t="shared" si="76"/>
        <v>540</v>
      </c>
      <c r="J84" s="432">
        <f t="shared" si="74"/>
        <v>500</v>
      </c>
      <c r="K84" s="433">
        <f>+ROUND(D78/600,0)+1</f>
        <v>11</v>
      </c>
      <c r="L84" s="433">
        <v>1</v>
      </c>
      <c r="M84" s="503">
        <f t="shared" si="75"/>
        <v>5.5</v>
      </c>
      <c r="N84" s="435">
        <f t="shared" si="73"/>
        <v>0.88800000000000001</v>
      </c>
      <c r="O84" s="435">
        <f t="shared" si="77"/>
        <v>4.8840000000000003</v>
      </c>
      <c r="P84" s="407" t="s">
        <v>347</v>
      </c>
    </row>
    <row r="85" spans="1:17" s="430" customFormat="1" ht="25.15" customHeight="1">
      <c r="A85" s="834" t="s">
        <v>664</v>
      </c>
      <c r="B85" s="401"/>
      <c r="C85" s="402" t="s">
        <v>321</v>
      </c>
      <c r="D85" s="403">
        <v>4315</v>
      </c>
      <c r="E85" s="404" t="s">
        <v>322</v>
      </c>
      <c r="F85" s="431"/>
      <c r="G85" s="432"/>
      <c r="H85" s="432"/>
      <c r="I85" s="432"/>
      <c r="J85" s="432"/>
      <c r="K85" s="433"/>
      <c r="L85" s="433"/>
      <c r="M85" s="503"/>
      <c r="N85" s="435"/>
      <c r="O85" s="435"/>
      <c r="P85" s="407"/>
      <c r="Q85" s="414"/>
    </row>
    <row r="86" spans="1:17" s="430" customFormat="1" ht="25.15" customHeight="1">
      <c r="A86" s="835"/>
      <c r="B86" s="401">
        <v>1</v>
      </c>
      <c r="C86" s="405">
        <v>440</v>
      </c>
      <c r="D86" s="459">
        <v>4715</v>
      </c>
      <c r="E86" s="401">
        <v>440</v>
      </c>
      <c r="F86" s="431">
        <v>16</v>
      </c>
      <c r="G86" s="432">
        <f>C86+D86+E86</f>
        <v>5595</v>
      </c>
      <c r="H86" s="432">
        <v>0</v>
      </c>
      <c r="I86" s="432">
        <v>800</v>
      </c>
      <c r="J86" s="432">
        <f>G86+I86*H86</f>
        <v>5595</v>
      </c>
      <c r="K86" s="433">
        <v>3</v>
      </c>
      <c r="L86" s="433">
        <v>1</v>
      </c>
      <c r="M86" s="503">
        <f>J86*K86*L86/1000</f>
        <v>16.785</v>
      </c>
      <c r="N86" s="435">
        <f t="shared" ref="N86:N91" si="78">_xlfn.XLOOKUP(F86,$R$5:$Z$5,$R$6:$Z$6,"NOT_FOUND",0)</f>
        <v>1.58</v>
      </c>
      <c r="O86" s="435">
        <f>M86*N86</f>
        <v>26.520300000000002</v>
      </c>
      <c r="P86" s="407"/>
    </row>
    <row r="87" spans="1:17" s="430" customFormat="1" ht="25.15" customHeight="1">
      <c r="A87" s="835"/>
      <c r="B87" s="401">
        <v>2</v>
      </c>
      <c r="C87" s="405">
        <v>480</v>
      </c>
      <c r="D87" s="459">
        <v>4715</v>
      </c>
      <c r="E87" s="401">
        <v>310</v>
      </c>
      <c r="F87" s="431">
        <v>16</v>
      </c>
      <c r="G87" s="432">
        <f>C87+D87+E87</f>
        <v>5505</v>
      </c>
      <c r="H87" s="432">
        <v>0</v>
      </c>
      <c r="I87" s="432">
        <v>640</v>
      </c>
      <c r="J87" s="432">
        <f t="shared" ref="J87:J91" si="79">G87+I87*H87</f>
        <v>5505</v>
      </c>
      <c r="K87" s="433">
        <v>3</v>
      </c>
      <c r="L87" s="433">
        <v>1</v>
      </c>
      <c r="M87" s="503">
        <f t="shared" ref="M87:M91" si="80">J87*K87*L87/1000</f>
        <v>16.515000000000001</v>
      </c>
      <c r="N87" s="435">
        <f t="shared" si="78"/>
        <v>1.58</v>
      </c>
      <c r="O87" s="435">
        <f>M87*N87</f>
        <v>26.093700000000002</v>
      </c>
      <c r="P87" s="407"/>
    </row>
    <row r="88" spans="1:17" s="430" customFormat="1" ht="25.15" customHeight="1">
      <c r="A88" s="835"/>
      <c r="B88" s="401">
        <v>4</v>
      </c>
      <c r="C88" s="405"/>
      <c r="D88" s="459">
        <v>4515</v>
      </c>
      <c r="E88" s="401"/>
      <c r="F88" s="431">
        <v>12</v>
      </c>
      <c r="G88" s="432">
        <f>C88+D88+E88</f>
        <v>4515</v>
      </c>
      <c r="H88" s="432">
        <v>0</v>
      </c>
      <c r="I88" s="432">
        <v>640</v>
      </c>
      <c r="J88" s="432">
        <f t="shared" si="79"/>
        <v>4515</v>
      </c>
      <c r="K88" s="433">
        <v>4</v>
      </c>
      <c r="L88" s="433">
        <v>2</v>
      </c>
      <c r="M88" s="503">
        <f t="shared" si="80"/>
        <v>36.119999999999997</v>
      </c>
      <c r="N88" s="435">
        <f t="shared" si="78"/>
        <v>0.88800000000000001</v>
      </c>
      <c r="O88" s="435">
        <f>M88*N88</f>
        <v>32.074559999999998</v>
      </c>
      <c r="P88" s="407"/>
    </row>
    <row r="89" spans="1:17" s="430" customFormat="1" ht="25.15" customHeight="1">
      <c r="A89" s="835"/>
      <c r="B89" s="401">
        <v>5</v>
      </c>
      <c r="C89" s="405">
        <v>80</v>
      </c>
      <c r="D89" s="406">
        <v>240</v>
      </c>
      <c r="E89" s="401">
        <v>80</v>
      </c>
      <c r="F89" s="431">
        <v>8</v>
      </c>
      <c r="G89" s="432">
        <f>(C89+D89+E89)*2</f>
        <v>800</v>
      </c>
      <c r="H89" s="432">
        <v>0</v>
      </c>
      <c r="I89" s="432">
        <f t="shared" ref="I89:I91" si="81">F89*45</f>
        <v>360</v>
      </c>
      <c r="J89" s="432">
        <f t="shared" si="79"/>
        <v>800</v>
      </c>
      <c r="K89" s="433">
        <f>+ROUND(D85/600,0)+1</f>
        <v>8</v>
      </c>
      <c r="L89" s="433">
        <v>4</v>
      </c>
      <c r="M89" s="503">
        <f t="shared" si="80"/>
        <v>25.6</v>
      </c>
      <c r="N89" s="435">
        <f t="shared" si="78"/>
        <v>0.39500000000000002</v>
      </c>
      <c r="O89" s="435">
        <f t="shared" ref="O89:O91" si="82">M89*N89</f>
        <v>10.112000000000002</v>
      </c>
      <c r="P89" s="407"/>
    </row>
    <row r="90" spans="1:17" s="430" customFormat="1" ht="25.15" customHeight="1">
      <c r="A90" s="835"/>
      <c r="B90" s="401">
        <v>3</v>
      </c>
      <c r="C90" s="405">
        <v>280</v>
      </c>
      <c r="D90" s="406">
        <v>1790</v>
      </c>
      <c r="E90" s="401">
        <v>280</v>
      </c>
      <c r="F90" s="431">
        <v>10</v>
      </c>
      <c r="G90" s="432">
        <f>(C90+D90+E90)*2</f>
        <v>4700</v>
      </c>
      <c r="H90" s="432">
        <v>0</v>
      </c>
      <c r="I90" s="432">
        <f t="shared" si="81"/>
        <v>450</v>
      </c>
      <c r="J90" s="432">
        <f t="shared" si="79"/>
        <v>4700</v>
      </c>
      <c r="K90" s="433">
        <f>+ROUND(D85/200,0)+1</f>
        <v>23</v>
      </c>
      <c r="L90" s="433">
        <v>1</v>
      </c>
      <c r="M90" s="503">
        <f t="shared" si="80"/>
        <v>108.1</v>
      </c>
      <c r="N90" s="435">
        <f t="shared" si="78"/>
        <v>0.61699999999999999</v>
      </c>
      <c r="O90" s="435">
        <f t="shared" si="82"/>
        <v>66.697699999999998</v>
      </c>
      <c r="P90" s="407"/>
    </row>
    <row r="91" spans="1:17" s="430" customFormat="1" ht="25.15" customHeight="1">
      <c r="A91" s="836"/>
      <c r="B91" s="401" t="s">
        <v>666</v>
      </c>
      <c r="C91" s="405">
        <v>200</v>
      </c>
      <c r="D91" s="406">
        <v>300</v>
      </c>
      <c r="E91" s="401"/>
      <c r="F91" s="431">
        <v>12</v>
      </c>
      <c r="G91" s="432">
        <f>C91+D91</f>
        <v>500</v>
      </c>
      <c r="H91" s="432">
        <v>0</v>
      </c>
      <c r="I91" s="432">
        <f t="shared" si="81"/>
        <v>540</v>
      </c>
      <c r="J91" s="432">
        <f t="shared" si="79"/>
        <v>500</v>
      </c>
      <c r="K91" s="433">
        <f>+ROUND(D85/600,0)+1</f>
        <v>8</v>
      </c>
      <c r="L91" s="433">
        <v>1</v>
      </c>
      <c r="M91" s="503">
        <f t="shared" si="80"/>
        <v>4</v>
      </c>
      <c r="N91" s="435">
        <f t="shared" si="78"/>
        <v>0.88800000000000001</v>
      </c>
      <c r="O91" s="435">
        <f t="shared" si="82"/>
        <v>3.552</v>
      </c>
      <c r="P91" s="407" t="s">
        <v>347</v>
      </c>
    </row>
    <row r="92" spans="1:17" s="430" customFormat="1" ht="25.15" customHeight="1">
      <c r="A92" s="834" t="s">
        <v>665</v>
      </c>
      <c r="B92" s="401"/>
      <c r="C92" s="402" t="s">
        <v>321</v>
      </c>
      <c r="D92" s="403">
        <v>3900</v>
      </c>
      <c r="E92" s="404" t="s">
        <v>322</v>
      </c>
      <c r="F92" s="431"/>
      <c r="G92" s="432"/>
      <c r="H92" s="432"/>
      <c r="I92" s="432"/>
      <c r="J92" s="432"/>
      <c r="K92" s="433"/>
      <c r="L92" s="433"/>
      <c r="M92" s="503"/>
      <c r="N92" s="435"/>
      <c r="O92" s="435"/>
      <c r="P92" s="407"/>
      <c r="Q92" s="414"/>
    </row>
    <row r="93" spans="1:17" s="430" customFormat="1" ht="25.15" customHeight="1">
      <c r="A93" s="835"/>
      <c r="B93" s="401">
        <v>1</v>
      </c>
      <c r="C93" s="405">
        <v>440</v>
      </c>
      <c r="D93" s="459">
        <v>4300</v>
      </c>
      <c r="E93" s="401">
        <v>440</v>
      </c>
      <c r="F93" s="431">
        <v>16</v>
      </c>
      <c r="G93" s="432">
        <f>C93+D93+E93</f>
        <v>5180</v>
      </c>
      <c r="H93" s="432">
        <v>0</v>
      </c>
      <c r="I93" s="432">
        <v>800</v>
      </c>
      <c r="J93" s="432">
        <f>G93+I93*H93</f>
        <v>5180</v>
      </c>
      <c r="K93" s="433">
        <v>3</v>
      </c>
      <c r="L93" s="433">
        <v>1</v>
      </c>
      <c r="M93" s="503">
        <f>J93*K93*L93/1000</f>
        <v>15.54</v>
      </c>
      <c r="N93" s="435">
        <f t="shared" ref="N93:N98" si="83">_xlfn.XLOOKUP(F93,$R$5:$Z$5,$R$6:$Z$6,"NOT_FOUND",0)</f>
        <v>1.58</v>
      </c>
      <c r="O93" s="435">
        <f>M93*N93</f>
        <v>24.5532</v>
      </c>
      <c r="P93" s="407"/>
    </row>
    <row r="94" spans="1:17" s="430" customFormat="1" ht="25.15" customHeight="1">
      <c r="A94" s="835"/>
      <c r="B94" s="401">
        <v>2</v>
      </c>
      <c r="C94" s="405">
        <v>480</v>
      </c>
      <c r="D94" s="459">
        <v>4300</v>
      </c>
      <c r="E94" s="401">
        <v>310</v>
      </c>
      <c r="F94" s="431">
        <v>16</v>
      </c>
      <c r="G94" s="432">
        <f>C94+D94+E94</f>
        <v>5090</v>
      </c>
      <c r="H94" s="432">
        <v>0</v>
      </c>
      <c r="I94" s="432">
        <v>640</v>
      </c>
      <c r="J94" s="432">
        <f t="shared" ref="J94:J98" si="84">G94+I94*H94</f>
        <v>5090</v>
      </c>
      <c r="K94" s="433">
        <v>3</v>
      </c>
      <c r="L94" s="433">
        <v>1</v>
      </c>
      <c r="M94" s="503">
        <f t="shared" ref="M94:M98" si="85">J94*K94*L94/1000</f>
        <v>15.27</v>
      </c>
      <c r="N94" s="435">
        <f t="shared" si="83"/>
        <v>1.58</v>
      </c>
      <c r="O94" s="435">
        <f>M94*N94</f>
        <v>24.1266</v>
      </c>
      <c r="P94" s="407"/>
    </row>
    <row r="95" spans="1:17" s="430" customFormat="1" ht="25.15" customHeight="1">
      <c r="A95" s="835"/>
      <c r="B95" s="401">
        <v>4</v>
      </c>
      <c r="C95" s="405"/>
      <c r="D95" s="459">
        <v>4100</v>
      </c>
      <c r="E95" s="401"/>
      <c r="F95" s="431">
        <v>12</v>
      </c>
      <c r="G95" s="432">
        <f>C95+D95+E95</f>
        <v>4100</v>
      </c>
      <c r="H95" s="432">
        <v>0</v>
      </c>
      <c r="I95" s="432">
        <v>640</v>
      </c>
      <c r="J95" s="432">
        <f t="shared" si="84"/>
        <v>4100</v>
      </c>
      <c r="K95" s="433">
        <v>4</v>
      </c>
      <c r="L95" s="433">
        <v>2</v>
      </c>
      <c r="M95" s="503">
        <f t="shared" si="85"/>
        <v>32.799999999999997</v>
      </c>
      <c r="N95" s="435">
        <f t="shared" si="83"/>
        <v>0.88800000000000001</v>
      </c>
      <c r="O95" s="435">
        <f>M95*N95</f>
        <v>29.126399999999997</v>
      </c>
      <c r="P95" s="407"/>
    </row>
    <row r="96" spans="1:17" s="430" customFormat="1" ht="25.15" customHeight="1">
      <c r="A96" s="835"/>
      <c r="B96" s="401">
        <v>5</v>
      </c>
      <c r="C96" s="405">
        <v>80</v>
      </c>
      <c r="D96" s="406">
        <v>240</v>
      </c>
      <c r="E96" s="401">
        <v>80</v>
      </c>
      <c r="F96" s="431">
        <v>8</v>
      </c>
      <c r="G96" s="432">
        <f>(C96+D96+E96)*2</f>
        <v>800</v>
      </c>
      <c r="H96" s="432">
        <v>0</v>
      </c>
      <c r="I96" s="432">
        <f t="shared" ref="I96:I98" si="86">F96*45</f>
        <v>360</v>
      </c>
      <c r="J96" s="432">
        <f t="shared" si="84"/>
        <v>800</v>
      </c>
      <c r="K96" s="433">
        <f>+ROUND(D92/600,0)+1</f>
        <v>8</v>
      </c>
      <c r="L96" s="433">
        <v>4</v>
      </c>
      <c r="M96" s="503">
        <f t="shared" si="85"/>
        <v>25.6</v>
      </c>
      <c r="N96" s="435">
        <f t="shared" si="83"/>
        <v>0.39500000000000002</v>
      </c>
      <c r="O96" s="435">
        <f t="shared" ref="O96:O98" si="87">M96*N96</f>
        <v>10.112000000000002</v>
      </c>
      <c r="P96" s="407"/>
    </row>
    <row r="97" spans="1:17" s="430" customFormat="1" ht="25.15" customHeight="1">
      <c r="A97" s="835"/>
      <c r="B97" s="401">
        <v>3</v>
      </c>
      <c r="C97" s="405">
        <v>280</v>
      </c>
      <c r="D97" s="406">
        <v>1790</v>
      </c>
      <c r="E97" s="401">
        <v>280</v>
      </c>
      <c r="F97" s="431">
        <v>10</v>
      </c>
      <c r="G97" s="432">
        <f>(C97+D97+E97)*2</f>
        <v>4700</v>
      </c>
      <c r="H97" s="432">
        <v>0</v>
      </c>
      <c r="I97" s="432">
        <f t="shared" si="86"/>
        <v>450</v>
      </c>
      <c r="J97" s="432">
        <f t="shared" si="84"/>
        <v>4700</v>
      </c>
      <c r="K97" s="433">
        <f>+ROUND(D92/200,0)+1</f>
        <v>21</v>
      </c>
      <c r="L97" s="433">
        <v>1</v>
      </c>
      <c r="M97" s="503">
        <f t="shared" si="85"/>
        <v>98.7</v>
      </c>
      <c r="N97" s="435">
        <f t="shared" si="83"/>
        <v>0.61699999999999999</v>
      </c>
      <c r="O97" s="435">
        <f t="shared" si="87"/>
        <v>60.8979</v>
      </c>
      <c r="P97" s="407"/>
    </row>
    <row r="98" spans="1:17" s="430" customFormat="1" ht="25.15" customHeight="1">
      <c r="A98" s="836"/>
      <c r="B98" s="401" t="s">
        <v>666</v>
      </c>
      <c r="C98" s="405">
        <v>200</v>
      </c>
      <c r="D98" s="406">
        <v>300</v>
      </c>
      <c r="E98" s="401"/>
      <c r="F98" s="431">
        <v>12</v>
      </c>
      <c r="G98" s="432">
        <f>C98+D98</f>
        <v>500</v>
      </c>
      <c r="H98" s="432">
        <v>0</v>
      </c>
      <c r="I98" s="432">
        <f t="shared" si="86"/>
        <v>540</v>
      </c>
      <c r="J98" s="432">
        <f t="shared" si="84"/>
        <v>500</v>
      </c>
      <c r="K98" s="433">
        <f>+ROUND(D92/600,0)+1</f>
        <v>8</v>
      </c>
      <c r="L98" s="433">
        <v>1</v>
      </c>
      <c r="M98" s="503">
        <f t="shared" si="85"/>
        <v>4</v>
      </c>
      <c r="N98" s="435">
        <f t="shared" si="83"/>
        <v>0.88800000000000001</v>
      </c>
      <c r="O98" s="435">
        <f t="shared" si="87"/>
        <v>3.552</v>
      </c>
      <c r="P98" s="407" t="s">
        <v>347</v>
      </c>
    </row>
    <row r="99" spans="1:17" s="430" customFormat="1" ht="25.15" customHeight="1">
      <c r="A99" s="669" t="s">
        <v>730</v>
      </c>
      <c r="B99" s="401"/>
      <c r="C99" s="405"/>
      <c r="D99" s="406"/>
      <c r="E99" s="401"/>
      <c r="F99" s="431"/>
      <c r="G99" s="432"/>
      <c r="H99" s="432"/>
      <c r="I99" s="432"/>
      <c r="J99" s="432"/>
      <c r="K99" s="433"/>
      <c r="L99" s="433"/>
      <c r="M99" s="503"/>
      <c r="N99" s="435"/>
      <c r="O99" s="435"/>
      <c r="P99" s="407"/>
    </row>
    <row r="100" spans="1:17" s="430" customFormat="1" ht="25.15" customHeight="1">
      <c r="A100" s="834" t="s">
        <v>731</v>
      </c>
      <c r="B100" s="401"/>
      <c r="C100" s="402" t="s">
        <v>321</v>
      </c>
      <c r="D100" s="403">
        <v>3875</v>
      </c>
      <c r="E100" s="404" t="s">
        <v>322</v>
      </c>
      <c r="F100" s="431"/>
      <c r="G100" s="432"/>
      <c r="H100" s="432"/>
      <c r="I100" s="432"/>
      <c r="J100" s="432"/>
      <c r="K100" s="433"/>
      <c r="L100" s="433"/>
      <c r="M100" s="503"/>
      <c r="N100" s="435"/>
      <c r="O100" s="435"/>
      <c r="P100" s="407"/>
      <c r="Q100" s="414"/>
    </row>
    <row r="101" spans="1:17" s="430" customFormat="1" ht="25.15" customHeight="1">
      <c r="A101" s="835"/>
      <c r="B101" s="401">
        <v>1</v>
      </c>
      <c r="C101" s="405">
        <v>150</v>
      </c>
      <c r="D101" s="459">
        <f>3875+200*2</f>
        <v>4275</v>
      </c>
      <c r="E101" s="401">
        <v>150</v>
      </c>
      <c r="F101" s="431">
        <v>10</v>
      </c>
      <c r="G101" s="432">
        <f>C101+D101+E101</f>
        <v>4575</v>
      </c>
      <c r="H101" s="432">
        <v>0</v>
      </c>
      <c r="I101" s="432">
        <v>800</v>
      </c>
      <c r="J101" s="432">
        <f>G101+I101*H101</f>
        <v>4575</v>
      </c>
      <c r="K101" s="433">
        <v>2</v>
      </c>
      <c r="L101" s="433">
        <v>1</v>
      </c>
      <c r="M101" s="503">
        <f>J101*K101*L101/1000</f>
        <v>9.15</v>
      </c>
      <c r="N101" s="435">
        <f t="shared" ref="N101:N104" si="88">_xlfn.XLOOKUP(F101,$R$5:$Z$5,$R$6:$Z$6,"NOT_FOUND",0)</f>
        <v>0.61699999999999999</v>
      </c>
      <c r="O101" s="435">
        <f>M101*N101</f>
        <v>5.6455500000000001</v>
      </c>
      <c r="P101" s="407"/>
    </row>
    <row r="102" spans="1:17" s="430" customFormat="1" ht="25.15" customHeight="1">
      <c r="A102" s="835"/>
      <c r="B102" s="401">
        <v>2</v>
      </c>
      <c r="C102" s="405">
        <v>150</v>
      </c>
      <c r="D102" s="459">
        <f>+D101</f>
        <v>4275</v>
      </c>
      <c r="E102" s="401">
        <v>150</v>
      </c>
      <c r="F102" s="431">
        <v>10</v>
      </c>
      <c r="G102" s="432">
        <f>C102+D102+E102</f>
        <v>4575</v>
      </c>
      <c r="H102" s="432">
        <v>0</v>
      </c>
      <c r="I102" s="432">
        <v>640</v>
      </c>
      <c r="J102" s="432">
        <f t="shared" ref="J102:J104" si="89">G102+I102*H102</f>
        <v>4575</v>
      </c>
      <c r="K102" s="433">
        <v>2</v>
      </c>
      <c r="L102" s="433">
        <v>1</v>
      </c>
      <c r="M102" s="503">
        <f t="shared" ref="M102:M104" si="90">J102*K102*L102/1000</f>
        <v>9.15</v>
      </c>
      <c r="N102" s="435">
        <f t="shared" si="88"/>
        <v>0.61699999999999999</v>
      </c>
      <c r="O102" s="435">
        <f>M102*N102</f>
        <v>5.6455500000000001</v>
      </c>
      <c r="P102" s="407"/>
    </row>
    <row r="103" spans="1:17" s="430" customFormat="1" ht="25.15" customHeight="1">
      <c r="A103" s="835"/>
      <c r="B103" s="401">
        <v>3</v>
      </c>
      <c r="C103" s="405">
        <v>160</v>
      </c>
      <c r="D103" s="406">
        <v>160</v>
      </c>
      <c r="E103" s="401">
        <v>80</v>
      </c>
      <c r="F103" s="431">
        <v>10</v>
      </c>
      <c r="G103" s="432">
        <f>(C103+D103+E103)*2</f>
        <v>800</v>
      </c>
      <c r="H103" s="432">
        <v>0</v>
      </c>
      <c r="I103" s="432">
        <f t="shared" ref="I103:I104" si="91">F103*45</f>
        <v>450</v>
      </c>
      <c r="J103" s="432">
        <f t="shared" si="89"/>
        <v>800</v>
      </c>
      <c r="K103" s="433">
        <f>+ROUND(D100/200,0)+1</f>
        <v>20</v>
      </c>
      <c r="L103" s="433">
        <v>1</v>
      </c>
      <c r="M103" s="503">
        <f t="shared" si="90"/>
        <v>16</v>
      </c>
      <c r="N103" s="435">
        <f t="shared" si="88"/>
        <v>0.61699999999999999</v>
      </c>
      <c r="O103" s="435">
        <f t="shared" ref="O103:O104" si="92">M103*N103</f>
        <v>9.8719999999999999</v>
      </c>
      <c r="P103" s="407"/>
    </row>
    <row r="104" spans="1:17" s="430" customFormat="1" ht="25.15" customHeight="1">
      <c r="A104" s="836"/>
      <c r="B104" s="401" t="s">
        <v>666</v>
      </c>
      <c r="C104" s="405">
        <v>200</v>
      </c>
      <c r="D104" s="406">
        <v>300</v>
      </c>
      <c r="E104" s="401"/>
      <c r="F104" s="431">
        <v>12</v>
      </c>
      <c r="G104" s="432">
        <f>C104+D104</f>
        <v>500</v>
      </c>
      <c r="H104" s="432">
        <v>0</v>
      </c>
      <c r="I104" s="432">
        <f t="shared" si="91"/>
        <v>540</v>
      </c>
      <c r="J104" s="432">
        <f t="shared" si="89"/>
        <v>500</v>
      </c>
      <c r="K104" s="433">
        <f>+ROUND(D100/600,0)+1</f>
        <v>7</v>
      </c>
      <c r="L104" s="433">
        <v>1</v>
      </c>
      <c r="M104" s="503">
        <f t="shared" si="90"/>
        <v>3.5</v>
      </c>
      <c r="N104" s="435">
        <f t="shared" si="88"/>
        <v>0.88800000000000001</v>
      </c>
      <c r="O104" s="435">
        <f t="shared" si="92"/>
        <v>3.1080000000000001</v>
      </c>
      <c r="P104" s="407" t="s">
        <v>347</v>
      </c>
    </row>
    <row r="105" spans="1:17" s="430" customFormat="1" ht="25.15" customHeight="1">
      <c r="A105" s="834" t="s">
        <v>731</v>
      </c>
      <c r="B105" s="401"/>
      <c r="C105" s="402" t="s">
        <v>321</v>
      </c>
      <c r="D105" s="403">
        <v>4320</v>
      </c>
      <c r="E105" s="404" t="s">
        <v>322</v>
      </c>
      <c r="F105" s="431"/>
      <c r="G105" s="432"/>
      <c r="H105" s="432"/>
      <c r="I105" s="432"/>
      <c r="J105" s="432"/>
      <c r="K105" s="433"/>
      <c r="L105" s="433"/>
      <c r="M105" s="503"/>
      <c r="N105" s="435"/>
      <c r="O105" s="435"/>
      <c r="P105" s="407"/>
      <c r="Q105" s="414"/>
    </row>
    <row r="106" spans="1:17" s="430" customFormat="1" ht="25.15" customHeight="1">
      <c r="A106" s="835"/>
      <c r="B106" s="401">
        <v>1</v>
      </c>
      <c r="C106" s="405">
        <v>150</v>
      </c>
      <c r="D106" s="459">
        <v>4720</v>
      </c>
      <c r="E106" s="401">
        <v>150</v>
      </c>
      <c r="F106" s="431">
        <v>10</v>
      </c>
      <c r="G106" s="432">
        <f>C106+D106+E106</f>
        <v>5020</v>
      </c>
      <c r="H106" s="432">
        <v>0</v>
      </c>
      <c r="I106" s="432">
        <v>800</v>
      </c>
      <c r="J106" s="432">
        <f>G106+I106*H106</f>
        <v>5020</v>
      </c>
      <c r="K106" s="433">
        <v>2</v>
      </c>
      <c r="L106" s="433">
        <v>1</v>
      </c>
      <c r="M106" s="503">
        <f>J106*K106*L106/1000</f>
        <v>10.039999999999999</v>
      </c>
      <c r="N106" s="435">
        <f t="shared" ref="N106:N109" si="93">_xlfn.XLOOKUP(F106,$R$5:$Z$5,$R$6:$Z$6,"NOT_FOUND",0)</f>
        <v>0.61699999999999999</v>
      </c>
      <c r="O106" s="435">
        <f>M106*N106</f>
        <v>6.1946799999999991</v>
      </c>
      <c r="P106" s="407"/>
    </row>
    <row r="107" spans="1:17" s="430" customFormat="1" ht="25.15" customHeight="1">
      <c r="A107" s="835"/>
      <c r="B107" s="401">
        <v>2</v>
      </c>
      <c r="C107" s="405">
        <v>150</v>
      </c>
      <c r="D107" s="459">
        <v>4720</v>
      </c>
      <c r="E107" s="401">
        <v>150</v>
      </c>
      <c r="F107" s="431">
        <v>10</v>
      </c>
      <c r="G107" s="432">
        <f>C107+D107+E107</f>
        <v>5020</v>
      </c>
      <c r="H107" s="432">
        <v>0</v>
      </c>
      <c r="I107" s="432">
        <v>640</v>
      </c>
      <c r="J107" s="432">
        <f t="shared" ref="J107:J109" si="94">G107+I107*H107</f>
        <v>5020</v>
      </c>
      <c r="K107" s="433">
        <v>2</v>
      </c>
      <c r="L107" s="433">
        <v>1</v>
      </c>
      <c r="M107" s="503">
        <f t="shared" ref="M107:M109" si="95">J107*K107*L107/1000</f>
        <v>10.039999999999999</v>
      </c>
      <c r="N107" s="435">
        <f t="shared" si="93"/>
        <v>0.61699999999999999</v>
      </c>
      <c r="O107" s="435">
        <f>M107*N107</f>
        <v>6.1946799999999991</v>
      </c>
      <c r="P107" s="407"/>
    </row>
    <row r="108" spans="1:17" s="430" customFormat="1" ht="25.15" customHeight="1">
      <c r="A108" s="835"/>
      <c r="B108" s="401">
        <v>3</v>
      </c>
      <c r="C108" s="405">
        <v>160</v>
      </c>
      <c r="D108" s="406">
        <v>160</v>
      </c>
      <c r="E108" s="401">
        <v>80</v>
      </c>
      <c r="F108" s="431">
        <v>10</v>
      </c>
      <c r="G108" s="432">
        <f>(C108+D108+E108)*2</f>
        <v>800</v>
      </c>
      <c r="H108" s="432">
        <v>0</v>
      </c>
      <c r="I108" s="432">
        <f t="shared" ref="I108:I109" si="96">F108*45</f>
        <v>450</v>
      </c>
      <c r="J108" s="432">
        <f t="shared" si="94"/>
        <v>800</v>
      </c>
      <c r="K108" s="433">
        <f>+ROUND(D105/200,0)+1</f>
        <v>23</v>
      </c>
      <c r="L108" s="433">
        <v>1</v>
      </c>
      <c r="M108" s="503">
        <f t="shared" si="95"/>
        <v>18.399999999999999</v>
      </c>
      <c r="N108" s="435">
        <f t="shared" si="93"/>
        <v>0.61699999999999999</v>
      </c>
      <c r="O108" s="435">
        <f t="shared" ref="O108:O109" si="97">M108*N108</f>
        <v>11.352799999999998</v>
      </c>
      <c r="P108" s="407"/>
    </row>
    <row r="109" spans="1:17" s="430" customFormat="1" ht="25.15" customHeight="1">
      <c r="A109" s="836"/>
      <c r="B109" s="401" t="s">
        <v>666</v>
      </c>
      <c r="C109" s="405">
        <v>200</v>
      </c>
      <c r="D109" s="406">
        <v>300</v>
      </c>
      <c r="E109" s="401"/>
      <c r="F109" s="431">
        <v>12</v>
      </c>
      <c r="G109" s="432">
        <f>C109+D109</f>
        <v>500</v>
      </c>
      <c r="H109" s="432">
        <v>0</v>
      </c>
      <c r="I109" s="432">
        <f t="shared" si="96"/>
        <v>540</v>
      </c>
      <c r="J109" s="432">
        <f t="shared" si="94"/>
        <v>500</v>
      </c>
      <c r="K109" s="433">
        <f>+ROUND(D105/600,0)+1</f>
        <v>8</v>
      </c>
      <c r="L109" s="433">
        <v>1</v>
      </c>
      <c r="M109" s="503">
        <f t="shared" si="95"/>
        <v>4</v>
      </c>
      <c r="N109" s="435">
        <f t="shared" si="93"/>
        <v>0.88800000000000001</v>
      </c>
      <c r="O109" s="435">
        <f t="shared" si="97"/>
        <v>3.552</v>
      </c>
      <c r="P109" s="407" t="s">
        <v>347</v>
      </c>
    </row>
    <row r="110" spans="1:17" s="437" customFormat="1" ht="25.15" customHeight="1">
      <c r="A110" s="840" t="s">
        <v>270</v>
      </c>
      <c r="B110" s="841"/>
      <c r="C110" s="841"/>
      <c r="D110" s="841"/>
      <c r="E110" s="841"/>
      <c r="F110" s="841"/>
      <c r="G110" s="841"/>
      <c r="H110" s="841"/>
      <c r="I110" s="841"/>
      <c r="J110" s="841"/>
      <c r="K110" s="841"/>
      <c r="L110" s="841"/>
      <c r="M110" s="841"/>
      <c r="N110" s="842"/>
      <c r="O110" s="436">
        <f>SUM(O8:O109)</f>
        <v>2898.3237400000012</v>
      </c>
      <c r="P110" s="408"/>
    </row>
    <row r="111" spans="1:17" s="437" customFormat="1" ht="25.15" customHeight="1">
      <c r="A111" s="840" t="s">
        <v>704</v>
      </c>
      <c r="B111" s="841"/>
      <c r="C111" s="841"/>
      <c r="D111" s="841"/>
      <c r="E111" s="841"/>
      <c r="F111" s="841"/>
      <c r="G111" s="841"/>
      <c r="H111" s="841"/>
      <c r="I111" s="841"/>
      <c r="J111" s="841"/>
      <c r="K111" s="841"/>
      <c r="L111" s="841"/>
      <c r="M111" s="841"/>
      <c r="N111" s="842"/>
      <c r="O111" s="441">
        <f>SUMIF(B8:B109,"KC",K8:K109)</f>
        <v>267</v>
      </c>
      <c r="P111" s="408"/>
    </row>
    <row r="112" spans="1:17" s="437" customFormat="1" ht="25.15" customHeight="1">
      <c r="A112" s="840" t="s">
        <v>672</v>
      </c>
      <c r="B112" s="841"/>
      <c r="C112" s="841"/>
      <c r="D112" s="841"/>
      <c r="E112" s="841"/>
      <c r="F112" s="841"/>
      <c r="G112" s="841"/>
      <c r="H112" s="841"/>
      <c r="I112" s="841"/>
      <c r="J112" s="841"/>
      <c r="K112" s="841"/>
      <c r="L112" s="841"/>
      <c r="M112" s="841"/>
      <c r="N112" s="842"/>
      <c r="O112" s="441">
        <f>+O110</f>
        <v>2898.3237400000012</v>
      </c>
      <c r="P112" s="408"/>
    </row>
    <row r="113" spans="1:16" s="430" customFormat="1" ht="25.15" customHeight="1">
      <c r="A113" s="413"/>
      <c r="B113" s="413"/>
      <c r="C113" s="413"/>
      <c r="D113" s="414"/>
      <c r="E113" s="414"/>
      <c r="F113" s="414"/>
      <c r="G113" s="413"/>
      <c r="H113" s="413"/>
      <c r="I113" s="413"/>
      <c r="J113" s="413"/>
      <c r="K113" s="415"/>
      <c r="L113" s="415"/>
      <c r="M113" s="416"/>
      <c r="N113" s="416"/>
      <c r="O113" s="527"/>
      <c r="P113" s="416"/>
    </row>
    <row r="114" spans="1:16" s="448" customFormat="1" ht="20.25" customHeight="1">
      <c r="A114" s="446"/>
      <c r="B114" s="843" t="s">
        <v>85</v>
      </c>
      <c r="C114" s="843"/>
      <c r="D114" s="843"/>
      <c r="E114" s="447"/>
      <c r="G114" s="447"/>
      <c r="H114" s="447"/>
      <c r="I114" s="447"/>
      <c r="J114" s="447"/>
      <c r="L114" s="340"/>
      <c r="N114" s="843" t="s">
        <v>82</v>
      </c>
      <c r="O114" s="843"/>
      <c r="P114" s="843"/>
    </row>
    <row r="115" spans="1:16" s="450" customFormat="1" ht="25.15" customHeight="1">
      <c r="A115" s="413"/>
      <c r="B115" s="413"/>
      <c r="C115" s="413"/>
      <c r="D115" s="414"/>
      <c r="E115" s="414"/>
      <c r="F115" s="414"/>
      <c r="G115" s="413"/>
      <c r="H115" s="413"/>
      <c r="I115" s="413"/>
      <c r="J115" s="413"/>
      <c r="K115" s="415"/>
      <c r="L115" s="415"/>
      <c r="M115" s="416"/>
      <c r="N115" s="417"/>
      <c r="O115" s="529"/>
      <c r="P115" s="419"/>
    </row>
    <row r="116" spans="1:16" s="450" customFormat="1" ht="22.9" customHeight="1">
      <c r="A116" s="413"/>
      <c r="B116" s="413"/>
      <c r="C116" s="413"/>
      <c r="D116" s="414"/>
      <c r="E116" s="414"/>
      <c r="F116" s="414"/>
      <c r="G116" s="413"/>
      <c r="H116" s="413"/>
      <c r="I116" s="413"/>
      <c r="J116" s="413"/>
      <c r="K116" s="415"/>
      <c r="L116" s="415"/>
      <c r="M116" s="416"/>
      <c r="N116" s="417"/>
      <c r="O116" s="529"/>
      <c r="P116" s="419"/>
    </row>
    <row r="117" spans="1:16" s="450" customFormat="1" ht="22.9" customHeight="1">
      <c r="A117" s="413"/>
      <c r="B117" s="413"/>
      <c r="C117" s="413"/>
      <c r="D117" s="414"/>
      <c r="E117" s="414"/>
      <c r="F117" s="414"/>
      <c r="G117" s="657">
        <v>6</v>
      </c>
      <c r="H117" s="642" t="s">
        <v>107</v>
      </c>
      <c r="I117" s="642">
        <f>+SUMIF($F$8:$F$98,G117,$O$8:$O$98)</f>
        <v>0</v>
      </c>
      <c r="J117" s="413"/>
      <c r="K117" s="415"/>
      <c r="L117" s="415"/>
      <c r="M117" s="416"/>
      <c r="N117" s="417"/>
      <c r="O117" s="529"/>
      <c r="P117" s="419"/>
    </row>
    <row r="118" spans="1:16" s="450" customFormat="1" ht="22.9" customHeight="1">
      <c r="A118" s="413"/>
      <c r="B118" s="413"/>
      <c r="C118" s="413"/>
      <c r="D118" s="414"/>
      <c r="E118" s="414"/>
      <c r="F118" s="414"/>
      <c r="G118" s="657">
        <v>8</v>
      </c>
      <c r="H118" s="642" t="s">
        <v>107</v>
      </c>
      <c r="I118" s="642">
        <f t="shared" ref="I118:I122" si="98">+SUMIF($F$8:$F$98,G118,$O$8:$O$98)</f>
        <v>58.143999999999998</v>
      </c>
      <c r="J118" s="413"/>
      <c r="K118" s="415"/>
      <c r="L118" s="415"/>
      <c r="M118" s="416"/>
      <c r="N118" s="417"/>
      <c r="O118" s="529"/>
      <c r="P118" s="419"/>
    </row>
    <row r="119" spans="1:16" s="450" customFormat="1" ht="22.9" customHeight="1">
      <c r="A119" s="413"/>
      <c r="B119" s="413"/>
      <c r="C119" s="413"/>
      <c r="D119" s="414"/>
      <c r="E119" s="414"/>
      <c r="F119" s="414"/>
      <c r="G119" s="657">
        <v>10</v>
      </c>
      <c r="H119" s="642" t="s">
        <v>107</v>
      </c>
      <c r="I119" s="642">
        <f t="shared" si="98"/>
        <v>875.18981999999994</v>
      </c>
      <c r="J119" s="413"/>
      <c r="K119" s="415"/>
      <c r="L119" s="415"/>
      <c r="M119" s="416"/>
      <c r="N119" s="417"/>
      <c r="O119" s="529"/>
      <c r="P119" s="419"/>
    </row>
    <row r="120" spans="1:16" ht="22.9" customHeight="1">
      <c r="G120" s="658">
        <v>12</v>
      </c>
      <c r="H120" s="642" t="s">
        <v>107</v>
      </c>
      <c r="I120" s="642">
        <f t="shared" si="98"/>
        <v>313.08216000000004</v>
      </c>
    </row>
    <row r="121" spans="1:16" ht="15.75">
      <c r="G121" s="453">
        <v>14</v>
      </c>
      <c r="H121" s="642" t="s">
        <v>107</v>
      </c>
      <c r="I121" s="642">
        <f t="shared" si="98"/>
        <v>0</v>
      </c>
    </row>
    <row r="122" spans="1:16" ht="15.75">
      <c r="G122" s="453">
        <v>16</v>
      </c>
      <c r="H122" s="642" t="s">
        <v>107</v>
      </c>
      <c r="I122" s="642">
        <f t="shared" si="98"/>
        <v>1600.3425000000002</v>
      </c>
    </row>
  </sheetData>
  <mergeCells count="39">
    <mergeCell ref="A100:A104"/>
    <mergeCell ref="A1:P1"/>
    <mergeCell ref="A2:P2"/>
    <mergeCell ref="A3:P3"/>
    <mergeCell ref="A5:A6"/>
    <mergeCell ref="B5:B6"/>
    <mergeCell ref="C5:E6"/>
    <mergeCell ref="F5:F6"/>
    <mergeCell ref="G5:G6"/>
    <mergeCell ref="H5:H6"/>
    <mergeCell ref="I5:I6"/>
    <mergeCell ref="P5:P6"/>
    <mergeCell ref="N5:N6"/>
    <mergeCell ref="O5:O6"/>
    <mergeCell ref="A30:A36"/>
    <mergeCell ref="J5:J6"/>
    <mergeCell ref="K5:K6"/>
    <mergeCell ref="L5:L6"/>
    <mergeCell ref="M5:M6"/>
    <mergeCell ref="C7:E7"/>
    <mergeCell ref="A9:A15"/>
    <mergeCell ref="A16:A22"/>
    <mergeCell ref="A23:A29"/>
    <mergeCell ref="A92:A98"/>
    <mergeCell ref="A52:A56"/>
    <mergeCell ref="A57:A63"/>
    <mergeCell ref="A64:A70"/>
    <mergeCell ref="A71:A77"/>
    <mergeCell ref="A37:A41"/>
    <mergeCell ref="A42:A46"/>
    <mergeCell ref="A47:A51"/>
    <mergeCell ref="A78:A84"/>
    <mergeCell ref="A85:A91"/>
    <mergeCell ref="A105:A109"/>
    <mergeCell ref="A110:N110"/>
    <mergeCell ref="A111:N111"/>
    <mergeCell ref="A112:N112"/>
    <mergeCell ref="B114:D114"/>
    <mergeCell ref="N114:P114"/>
  </mergeCells>
  <printOptions horizontalCentered="1"/>
  <pageMargins left="0.47244094488188981" right="0.15748031496062992" top="0.39370078740157483" bottom="0.39370078740157483" header="0.27559055118110237" footer="0.19685039370078741"/>
  <pageSetup paperSize="9" scale="77" fitToHeight="0" orientation="landscape" r:id="rId1"/>
  <headerFooter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56AD-4B2E-45BA-BEC2-54D31A2852BD}">
  <sheetPr codeName="Sheet15">
    <pageSetUpPr fitToPage="1"/>
  </sheetPr>
  <dimension ref="A1:Z51"/>
  <sheetViews>
    <sheetView tabSelected="1" view="pageBreakPreview" zoomScale="70" zoomScaleNormal="80" zoomScaleSheetLayoutView="70" workbookViewId="0">
      <pane ySplit="6" topLeftCell="A13" activePane="bottomLeft" state="frozen"/>
      <selection activeCell="A2" sqref="A2:P2"/>
      <selection pane="bottomLeft" activeCell="K14" sqref="K14"/>
    </sheetView>
  </sheetViews>
  <sheetFormatPr defaultColWidth="9" defaultRowHeight="14.25"/>
  <cols>
    <col min="1" max="1" width="16.875" style="451" customWidth="1"/>
    <col min="2" max="2" width="5.25" style="451" customWidth="1"/>
    <col min="3" max="3" width="4.125" style="451" customWidth="1"/>
    <col min="4" max="4" width="13.125" style="452" customWidth="1"/>
    <col min="5" max="5" width="5" style="452" customWidth="1"/>
    <col min="6" max="6" width="6.125" style="452" customWidth="1"/>
    <col min="7" max="7" width="10.25" style="451" customWidth="1"/>
    <col min="8" max="8" width="10.375" style="451" customWidth="1"/>
    <col min="9" max="10" width="8.75" style="451" customWidth="1"/>
    <col min="11" max="11" width="6.875" style="453" customWidth="1"/>
    <col min="12" max="12" width="8.125" style="453" customWidth="1"/>
    <col min="13" max="13" width="10.5" style="532" customWidth="1"/>
    <col min="14" max="14" width="9.375" style="455" customWidth="1"/>
    <col min="15" max="15" width="11.875" style="456" bestFit="1" customWidth="1"/>
    <col min="16" max="16" width="19.875" style="513" customWidth="1"/>
    <col min="17" max="17" width="10.625" style="458" customWidth="1"/>
    <col min="18" max="18" width="13.25" style="458" customWidth="1"/>
    <col min="19" max="16384" width="9" style="458"/>
  </cols>
  <sheetData>
    <row r="1" spans="1:26" s="429" customFormat="1" ht="26.25" customHeight="1">
      <c r="A1" s="844" t="s">
        <v>743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</row>
    <row r="2" spans="1:26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</row>
    <row r="3" spans="1:26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46"/>
    </row>
    <row r="4" spans="1:26" s="430" customFormat="1" ht="12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524"/>
      <c r="N4" s="400"/>
      <c r="O4" s="400"/>
      <c r="P4" s="509"/>
    </row>
    <row r="5" spans="1:26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78" t="s">
        <v>323</v>
      </c>
      <c r="I5" s="878" t="s">
        <v>113</v>
      </c>
      <c r="J5" s="857" t="s">
        <v>492</v>
      </c>
      <c r="K5" s="859" t="s">
        <v>344</v>
      </c>
      <c r="L5" s="860" t="s">
        <v>345</v>
      </c>
      <c r="M5" s="865" t="s">
        <v>114</v>
      </c>
      <c r="N5" s="861" t="s">
        <v>115</v>
      </c>
      <c r="O5" s="882" t="s">
        <v>320</v>
      </c>
      <c r="P5" s="880" t="s">
        <v>2</v>
      </c>
      <c r="R5" s="430">
        <v>6</v>
      </c>
      <c r="S5" s="430">
        <v>8</v>
      </c>
      <c r="T5" s="430">
        <v>10</v>
      </c>
      <c r="U5" s="430">
        <v>12</v>
      </c>
      <c r="V5" s="430">
        <v>14</v>
      </c>
      <c r="W5" s="430">
        <v>16</v>
      </c>
      <c r="X5" s="430">
        <v>18</v>
      </c>
      <c r="Y5" s="430">
        <v>20</v>
      </c>
      <c r="Z5" s="430">
        <v>22</v>
      </c>
    </row>
    <row r="6" spans="1:26" s="430" customFormat="1" ht="42.75" customHeight="1">
      <c r="A6" s="848"/>
      <c r="B6" s="848"/>
      <c r="C6" s="852"/>
      <c r="D6" s="853"/>
      <c r="E6" s="854"/>
      <c r="F6" s="856"/>
      <c r="G6" s="858"/>
      <c r="H6" s="879"/>
      <c r="I6" s="879"/>
      <c r="J6" s="858"/>
      <c r="K6" s="859"/>
      <c r="L6" s="860"/>
      <c r="M6" s="866"/>
      <c r="N6" s="862"/>
      <c r="O6" s="883"/>
      <c r="P6" s="881"/>
      <c r="R6" s="430">
        <v>0.222</v>
      </c>
      <c r="S6" s="430">
        <v>0.39500000000000002</v>
      </c>
      <c r="T6" s="430">
        <v>0.61699999999999999</v>
      </c>
      <c r="U6" s="430">
        <v>0.88800000000000001</v>
      </c>
      <c r="V6" s="430">
        <v>1.21</v>
      </c>
      <c r="W6" s="430">
        <v>1.58</v>
      </c>
      <c r="X6" s="430">
        <v>2</v>
      </c>
      <c r="Y6" s="430">
        <v>2.4700000000000002</v>
      </c>
      <c r="Z6" s="430">
        <v>2.98</v>
      </c>
    </row>
    <row r="7" spans="1:26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 t="s">
        <v>28</v>
      </c>
      <c r="I7" s="508" t="s">
        <v>29</v>
      </c>
      <c r="J7" s="508"/>
      <c r="K7" s="505" t="s">
        <v>30</v>
      </c>
      <c r="L7" s="505" t="s">
        <v>31</v>
      </c>
      <c r="M7" s="525" t="s">
        <v>326</v>
      </c>
      <c r="N7" s="505" t="s">
        <v>328</v>
      </c>
      <c r="O7" s="505" t="s">
        <v>343</v>
      </c>
      <c r="P7" s="505" t="s">
        <v>348</v>
      </c>
    </row>
    <row r="8" spans="1:26" s="442" customFormat="1" ht="15.75">
      <c r="A8" s="877" t="s">
        <v>667</v>
      </c>
      <c r="B8" s="409"/>
      <c r="C8" s="410" t="s">
        <v>321</v>
      </c>
      <c r="D8" s="403">
        <v>17700</v>
      </c>
      <c r="E8" s="409" t="s">
        <v>322</v>
      </c>
      <c r="F8" s="438"/>
      <c r="G8" s="439"/>
      <c r="H8" s="440"/>
      <c r="I8" s="440"/>
      <c r="J8" s="440"/>
      <c r="K8" s="440"/>
      <c r="L8" s="440"/>
      <c r="M8" s="441"/>
      <c r="N8" s="441"/>
      <c r="O8" s="436"/>
      <c r="P8" s="510"/>
    </row>
    <row r="9" spans="1:26" s="443" customFormat="1" ht="25.15" customHeight="1">
      <c r="A9" s="877"/>
      <c r="B9" s="401">
        <v>1</v>
      </c>
      <c r="C9" s="405">
        <v>200</v>
      </c>
      <c r="D9" s="406">
        <v>1575</v>
      </c>
      <c r="E9" s="401">
        <v>200</v>
      </c>
      <c r="F9" s="431">
        <v>12</v>
      </c>
      <c r="G9" s="432">
        <f t="shared" ref="G9:G10" si="0">C9+D9+E9</f>
        <v>1975</v>
      </c>
      <c r="H9" s="433"/>
      <c r="I9" s="433"/>
      <c r="J9" s="433">
        <f>+I9*H9+G9</f>
        <v>1975</v>
      </c>
      <c r="K9" s="433">
        <f>+ROUND(D8/150,0)+1</f>
        <v>119</v>
      </c>
      <c r="L9" s="433">
        <v>2</v>
      </c>
      <c r="M9" s="435">
        <f>J9*K9*L9/1000</f>
        <v>470.05</v>
      </c>
      <c r="N9" s="435">
        <f t="shared" ref="N9:N12" si="1">_xlfn.XLOOKUP(F9,$R$5:$Z$5,$R$6:$Z$6,"NOT_FOUND",0)</f>
        <v>0.88800000000000001</v>
      </c>
      <c r="O9" s="434">
        <f>M9*N9</f>
        <v>417.40440000000001</v>
      </c>
      <c r="P9" s="510"/>
    </row>
    <row r="10" spans="1:26" s="443" customFormat="1" ht="25.15" customHeight="1">
      <c r="A10" s="877"/>
      <c r="B10" s="401">
        <v>2</v>
      </c>
      <c r="C10" s="405"/>
      <c r="D10" s="459">
        <f>+D8</f>
        <v>17700</v>
      </c>
      <c r="E10" s="401"/>
      <c r="F10" s="431">
        <v>12</v>
      </c>
      <c r="G10" s="432">
        <f t="shared" si="0"/>
        <v>17700</v>
      </c>
      <c r="H10" s="433">
        <f>ROUNDUP((D8/11.7/1000),0)-1</f>
        <v>1</v>
      </c>
      <c r="I10" s="433">
        <f>40*F10</f>
        <v>480</v>
      </c>
      <c r="J10" s="433">
        <f>+I10*H10+G10</f>
        <v>18180</v>
      </c>
      <c r="K10" s="433">
        <v>9</v>
      </c>
      <c r="L10" s="433">
        <v>2</v>
      </c>
      <c r="M10" s="435">
        <f t="shared" ref="M10:M12" si="2">J10*K10*L10/1000</f>
        <v>327.24</v>
      </c>
      <c r="N10" s="435">
        <f t="shared" si="1"/>
        <v>0.88800000000000001</v>
      </c>
      <c r="O10" s="434">
        <f>M10*N10</f>
        <v>290.58912000000004</v>
      </c>
      <c r="P10" s="510"/>
      <c r="S10" s="444"/>
    </row>
    <row r="11" spans="1:26" s="443" customFormat="1" ht="25.15" customHeight="1">
      <c r="A11" s="877"/>
      <c r="B11" s="401">
        <v>3</v>
      </c>
      <c r="C11" s="405">
        <v>60</v>
      </c>
      <c r="D11" s="406">
        <v>200</v>
      </c>
      <c r="E11" s="401">
        <v>60</v>
      </c>
      <c r="F11" s="431">
        <v>6</v>
      </c>
      <c r="G11" s="432">
        <f>C11+D11+E11</f>
        <v>320</v>
      </c>
      <c r="H11" s="433"/>
      <c r="I11" s="433"/>
      <c r="J11" s="433">
        <f t="shared" ref="J11:J12" si="3">+I11*H11+G11</f>
        <v>320</v>
      </c>
      <c r="K11" s="433">
        <f>+ROUND(D8/600,0)</f>
        <v>30</v>
      </c>
      <c r="L11" s="433">
        <v>2</v>
      </c>
      <c r="M11" s="435">
        <f t="shared" si="2"/>
        <v>19.2</v>
      </c>
      <c r="N11" s="435">
        <f t="shared" si="1"/>
        <v>0.222</v>
      </c>
      <c r="O11" s="434">
        <f t="shared" ref="O11:O12" si="4">M11*N11</f>
        <v>4.2623999999999995</v>
      </c>
      <c r="P11" s="510"/>
    </row>
    <row r="12" spans="1:26" s="443" customFormat="1" ht="25.15" customHeight="1">
      <c r="A12" s="877"/>
      <c r="B12" s="411">
        <v>4</v>
      </c>
      <c r="C12" s="405">
        <v>200</v>
      </c>
      <c r="D12" s="406">
        <v>300</v>
      </c>
      <c r="E12" s="401"/>
      <c r="F12" s="431">
        <v>12</v>
      </c>
      <c r="G12" s="432">
        <f>C12+D12+E12</f>
        <v>500</v>
      </c>
      <c r="H12" s="433"/>
      <c r="I12" s="433"/>
      <c r="J12" s="433">
        <f t="shared" si="3"/>
        <v>500</v>
      </c>
      <c r="K12" s="433">
        <f>+K11</f>
        <v>30</v>
      </c>
      <c r="L12" s="433">
        <v>1</v>
      </c>
      <c r="M12" s="435">
        <f t="shared" si="2"/>
        <v>15</v>
      </c>
      <c r="N12" s="435">
        <f t="shared" si="1"/>
        <v>0.88800000000000001</v>
      </c>
      <c r="O12" s="434">
        <f t="shared" si="4"/>
        <v>13.32</v>
      </c>
      <c r="P12" s="510" t="s">
        <v>347</v>
      </c>
    </row>
    <row r="13" spans="1:26" s="442" customFormat="1" ht="15.75">
      <c r="A13" s="877" t="s">
        <v>668</v>
      </c>
      <c r="B13" s="409"/>
      <c r="C13" s="410" t="s">
        <v>321</v>
      </c>
      <c r="D13" s="403">
        <v>28100</v>
      </c>
      <c r="E13" s="409" t="s">
        <v>322</v>
      </c>
      <c r="F13" s="438"/>
      <c r="G13" s="439"/>
      <c r="H13" s="440"/>
      <c r="I13" s="440"/>
      <c r="J13" s="440"/>
      <c r="K13" s="440"/>
      <c r="L13" s="440"/>
      <c r="M13" s="441"/>
      <c r="N13" s="441"/>
      <c r="O13" s="436"/>
      <c r="P13" s="510"/>
    </row>
    <row r="14" spans="1:26" s="443" customFormat="1" ht="25.15" customHeight="1">
      <c r="A14" s="877"/>
      <c r="B14" s="401">
        <v>1</v>
      </c>
      <c r="C14" s="405">
        <v>200</v>
      </c>
      <c r="D14" s="406">
        <v>1460</v>
      </c>
      <c r="E14" s="401">
        <v>200</v>
      </c>
      <c r="F14" s="431">
        <v>12</v>
      </c>
      <c r="G14" s="432">
        <f t="shared" ref="G14:G15" si="5">C14+D14+E14</f>
        <v>1860</v>
      </c>
      <c r="H14" s="433"/>
      <c r="I14" s="433"/>
      <c r="J14" s="433">
        <f>+I14*H14+G14</f>
        <v>1860</v>
      </c>
      <c r="K14" s="433">
        <f>+ROUND(D13/150,0)+1</f>
        <v>188</v>
      </c>
      <c r="L14" s="433">
        <v>2</v>
      </c>
      <c r="M14" s="435">
        <f>J14*K14*L14/1000</f>
        <v>699.36</v>
      </c>
      <c r="N14" s="435">
        <f t="shared" ref="N14:N17" si="6">_xlfn.XLOOKUP(F14,$R$5:$Z$5,$R$6:$Z$6,"NOT_FOUND",0)</f>
        <v>0.88800000000000001</v>
      </c>
      <c r="O14" s="434">
        <f>M14*N14</f>
        <v>621.03168000000005</v>
      </c>
      <c r="P14" s="510"/>
    </row>
    <row r="15" spans="1:26" s="443" customFormat="1" ht="25.15" customHeight="1">
      <c r="A15" s="877"/>
      <c r="B15" s="401">
        <v>2</v>
      </c>
      <c r="C15" s="405"/>
      <c r="D15" s="459">
        <f>+D13</f>
        <v>28100</v>
      </c>
      <c r="E15" s="401"/>
      <c r="F15" s="431">
        <v>12</v>
      </c>
      <c r="G15" s="432">
        <f t="shared" si="5"/>
        <v>28100</v>
      </c>
      <c r="H15" s="433">
        <f>ROUNDUP((D13/11.7/1000),0)-1</f>
        <v>2</v>
      </c>
      <c r="I15" s="433">
        <f>40*F15</f>
        <v>480</v>
      </c>
      <c r="J15" s="433">
        <f>+I15*H15+G15</f>
        <v>29060</v>
      </c>
      <c r="K15" s="433">
        <v>8</v>
      </c>
      <c r="L15" s="433">
        <v>2</v>
      </c>
      <c r="M15" s="435">
        <f t="shared" ref="M15:M17" si="7">J15*K15*L15/1000</f>
        <v>464.96</v>
      </c>
      <c r="N15" s="435">
        <f t="shared" si="6"/>
        <v>0.88800000000000001</v>
      </c>
      <c r="O15" s="434">
        <f>M15*N15</f>
        <v>412.88448</v>
      </c>
      <c r="P15" s="510"/>
      <c r="S15" s="444"/>
    </row>
    <row r="16" spans="1:26" s="443" customFormat="1" ht="25.15" customHeight="1">
      <c r="A16" s="877"/>
      <c r="B16" s="401">
        <v>3</v>
      </c>
      <c r="C16" s="405">
        <v>60</v>
      </c>
      <c r="D16" s="406">
        <v>200</v>
      </c>
      <c r="E16" s="401">
        <v>60</v>
      </c>
      <c r="F16" s="431">
        <v>6</v>
      </c>
      <c r="G16" s="432">
        <f>C16+D16+E16</f>
        <v>320</v>
      </c>
      <c r="H16" s="433"/>
      <c r="I16" s="433"/>
      <c r="J16" s="433">
        <f t="shared" ref="J16:J17" si="8">+I16*H16+G16</f>
        <v>320</v>
      </c>
      <c r="K16" s="433">
        <f>+ROUND(D13/600,0)+1</f>
        <v>48</v>
      </c>
      <c r="L16" s="433">
        <v>2</v>
      </c>
      <c r="M16" s="435">
        <f t="shared" si="7"/>
        <v>30.72</v>
      </c>
      <c r="N16" s="435">
        <f t="shared" si="6"/>
        <v>0.222</v>
      </c>
      <c r="O16" s="434">
        <f t="shared" ref="O16:O17" si="9">M16*N16</f>
        <v>6.8198400000000001</v>
      </c>
      <c r="P16" s="510"/>
    </row>
    <row r="17" spans="1:19" s="443" customFormat="1" ht="25.15" customHeight="1">
      <c r="A17" s="877"/>
      <c r="B17" s="411">
        <v>4</v>
      </c>
      <c r="C17" s="405">
        <v>200</v>
      </c>
      <c r="D17" s="406">
        <v>300</v>
      </c>
      <c r="E17" s="401"/>
      <c r="F17" s="431">
        <v>12</v>
      </c>
      <c r="G17" s="432">
        <f>C17+D17+E17</f>
        <v>500</v>
      </c>
      <c r="H17" s="433"/>
      <c r="I17" s="433"/>
      <c r="J17" s="433">
        <f t="shared" si="8"/>
        <v>500</v>
      </c>
      <c r="K17" s="433">
        <f>+K16</f>
        <v>48</v>
      </c>
      <c r="L17" s="433">
        <v>1</v>
      </c>
      <c r="M17" s="435">
        <f t="shared" si="7"/>
        <v>24</v>
      </c>
      <c r="N17" s="435">
        <f t="shared" si="6"/>
        <v>0.88800000000000001</v>
      </c>
      <c r="O17" s="434">
        <f t="shared" si="9"/>
        <v>21.312000000000001</v>
      </c>
      <c r="P17" s="510" t="s">
        <v>347</v>
      </c>
    </row>
    <row r="18" spans="1:19" s="442" customFormat="1" ht="15.75">
      <c r="A18" s="877" t="s">
        <v>669</v>
      </c>
      <c r="B18" s="409"/>
      <c r="C18" s="410" t="s">
        <v>321</v>
      </c>
      <c r="D18" s="403">
        <v>88940</v>
      </c>
      <c r="E18" s="409" t="s">
        <v>322</v>
      </c>
      <c r="F18" s="438"/>
      <c r="G18" s="439"/>
      <c r="H18" s="440"/>
      <c r="I18" s="440"/>
      <c r="J18" s="440"/>
      <c r="K18" s="440"/>
      <c r="L18" s="440"/>
      <c r="M18" s="441"/>
      <c r="N18" s="441"/>
      <c r="O18" s="436"/>
      <c r="P18" s="510"/>
    </row>
    <row r="19" spans="1:19" s="443" customFormat="1" ht="25.15" customHeight="1">
      <c r="A19" s="877"/>
      <c r="B19" s="401">
        <v>1</v>
      </c>
      <c r="C19" s="405">
        <v>200</v>
      </c>
      <c r="D19" s="406">
        <v>1800</v>
      </c>
      <c r="E19" s="401">
        <v>200</v>
      </c>
      <c r="F19" s="431">
        <v>12</v>
      </c>
      <c r="G19" s="432">
        <f t="shared" ref="G19:G20" si="10">C19+D19+E19</f>
        <v>2200</v>
      </c>
      <c r="H19" s="433"/>
      <c r="I19" s="433"/>
      <c r="J19" s="433">
        <f>+I19*H19+G19</f>
        <v>2200</v>
      </c>
      <c r="K19" s="433">
        <f>+ROUND(D18/150,0)+1</f>
        <v>594</v>
      </c>
      <c r="L19" s="433">
        <v>2</v>
      </c>
      <c r="M19" s="435">
        <f>J19*K19*L19/1000</f>
        <v>2613.6</v>
      </c>
      <c r="N19" s="435">
        <f t="shared" ref="N19:N22" si="11">_xlfn.XLOOKUP(F19,$R$5:$Z$5,$R$6:$Z$6,"NOT_FOUND",0)</f>
        <v>0.88800000000000001</v>
      </c>
      <c r="O19" s="434">
        <f>M19*N19</f>
        <v>2320.8768</v>
      </c>
      <c r="P19" s="510"/>
    </row>
    <row r="20" spans="1:19" s="443" customFormat="1" ht="25.15" customHeight="1">
      <c r="A20" s="877"/>
      <c r="B20" s="401">
        <v>2</v>
      </c>
      <c r="C20" s="405"/>
      <c r="D20" s="459">
        <f>+D18</f>
        <v>88940</v>
      </c>
      <c r="E20" s="401"/>
      <c r="F20" s="431">
        <v>12</v>
      </c>
      <c r="G20" s="432">
        <f t="shared" si="10"/>
        <v>88940</v>
      </c>
      <c r="H20" s="433">
        <f>ROUNDUP((D18/11.7/1000),0)-1</f>
        <v>7</v>
      </c>
      <c r="I20" s="433">
        <f>40*F20</f>
        <v>480</v>
      </c>
      <c r="J20" s="433">
        <f>+I20*H20+G20</f>
        <v>92300</v>
      </c>
      <c r="K20" s="433">
        <v>11</v>
      </c>
      <c r="L20" s="433">
        <v>2</v>
      </c>
      <c r="M20" s="435">
        <f t="shared" ref="M20:M22" si="12">J20*K20*L20/1000</f>
        <v>2030.6</v>
      </c>
      <c r="N20" s="435">
        <f t="shared" si="11"/>
        <v>0.88800000000000001</v>
      </c>
      <c r="O20" s="434">
        <f>M20*N20</f>
        <v>1803.1728000000001</v>
      </c>
      <c r="P20" s="510"/>
      <c r="S20" s="444"/>
    </row>
    <row r="21" spans="1:19" s="443" customFormat="1" ht="25.15" customHeight="1">
      <c r="A21" s="877"/>
      <c r="B21" s="401">
        <v>3</v>
      </c>
      <c r="C21" s="405">
        <v>60</v>
      </c>
      <c r="D21" s="406">
        <v>200</v>
      </c>
      <c r="E21" s="401">
        <v>60</v>
      </c>
      <c r="F21" s="431">
        <v>6</v>
      </c>
      <c r="G21" s="432">
        <f>C21+D21+E21</f>
        <v>320</v>
      </c>
      <c r="H21" s="433"/>
      <c r="I21" s="433"/>
      <c r="J21" s="433">
        <f t="shared" ref="J21:J22" si="13">+I21*H21+G21</f>
        <v>320</v>
      </c>
      <c r="K21" s="433">
        <f>+ROUND(D18/600,0)+1</f>
        <v>149</v>
      </c>
      <c r="L21" s="433">
        <v>2</v>
      </c>
      <c r="M21" s="435">
        <f t="shared" si="12"/>
        <v>95.36</v>
      </c>
      <c r="N21" s="435">
        <f t="shared" si="11"/>
        <v>0.222</v>
      </c>
      <c r="O21" s="434">
        <f t="shared" ref="O21:O22" si="14">M21*N21</f>
        <v>21.169920000000001</v>
      </c>
      <c r="P21" s="510"/>
    </row>
    <row r="22" spans="1:19" s="443" customFormat="1" ht="25.15" customHeight="1">
      <c r="A22" s="877"/>
      <c r="B22" s="411">
        <v>4</v>
      </c>
      <c r="C22" s="405">
        <v>200</v>
      </c>
      <c r="D22" s="406">
        <v>300</v>
      </c>
      <c r="E22" s="401"/>
      <c r="F22" s="431">
        <v>12</v>
      </c>
      <c r="G22" s="432">
        <f>C22+D22+E22</f>
        <v>500</v>
      </c>
      <c r="H22" s="433"/>
      <c r="I22" s="433"/>
      <c r="J22" s="433">
        <f t="shared" si="13"/>
        <v>500</v>
      </c>
      <c r="K22" s="433">
        <f>+K21</f>
        <v>149</v>
      </c>
      <c r="L22" s="433">
        <v>1</v>
      </c>
      <c r="M22" s="435">
        <f t="shared" si="12"/>
        <v>74.5</v>
      </c>
      <c r="N22" s="435">
        <f t="shared" si="11"/>
        <v>0.88800000000000001</v>
      </c>
      <c r="O22" s="434">
        <f t="shared" si="14"/>
        <v>66.156000000000006</v>
      </c>
      <c r="P22" s="510" t="s">
        <v>347</v>
      </c>
    </row>
    <row r="23" spans="1:19" s="442" customFormat="1" ht="15.75">
      <c r="A23" s="877" t="s">
        <v>670</v>
      </c>
      <c r="B23" s="409"/>
      <c r="C23" s="410" t="s">
        <v>321</v>
      </c>
      <c r="D23" s="403">
        <v>25475</v>
      </c>
      <c r="E23" s="409" t="s">
        <v>322</v>
      </c>
      <c r="F23" s="438"/>
      <c r="G23" s="439"/>
      <c r="H23" s="440"/>
      <c r="I23" s="440"/>
      <c r="J23" s="440"/>
      <c r="K23" s="440"/>
      <c r="L23" s="440"/>
      <c r="M23" s="441"/>
      <c r="N23" s="441"/>
      <c r="O23" s="436"/>
      <c r="P23" s="510"/>
    </row>
    <row r="24" spans="1:19" s="443" customFormat="1" ht="25.15" customHeight="1">
      <c r="A24" s="877"/>
      <c r="B24" s="401" t="s">
        <v>210</v>
      </c>
      <c r="C24" s="405">
        <v>200</v>
      </c>
      <c r="D24" s="406">
        <v>1775</v>
      </c>
      <c r="E24" s="401">
        <v>200</v>
      </c>
      <c r="F24" s="431">
        <v>12</v>
      </c>
      <c r="G24" s="432">
        <f t="shared" ref="G24:G26" si="15">C24+D24+E24</f>
        <v>2175</v>
      </c>
      <c r="H24" s="433"/>
      <c r="I24" s="433"/>
      <c r="J24" s="433">
        <f>+I24*H24+G24</f>
        <v>2175</v>
      </c>
      <c r="K24" s="433">
        <f>+ROUND(D23/150,0)+1</f>
        <v>171</v>
      </c>
      <c r="L24" s="433">
        <v>1</v>
      </c>
      <c r="M24" s="435">
        <f>J24*K24*L24/1000</f>
        <v>371.92500000000001</v>
      </c>
      <c r="N24" s="435">
        <f t="shared" ref="N24:N28" si="16">_xlfn.XLOOKUP(F24,$R$5:$Z$5,$R$6:$Z$6,"NOT_FOUND",0)</f>
        <v>0.88800000000000001</v>
      </c>
      <c r="O24" s="434">
        <f>M24*N24</f>
        <v>330.26940000000002</v>
      </c>
      <c r="P24" s="510"/>
    </row>
    <row r="25" spans="1:19" s="443" customFormat="1" ht="25.15" customHeight="1">
      <c r="A25" s="877"/>
      <c r="B25" s="401" t="s">
        <v>212</v>
      </c>
      <c r="C25" s="405">
        <v>200</v>
      </c>
      <c r="D25" s="406">
        <v>1840</v>
      </c>
      <c r="E25" s="401">
        <v>200</v>
      </c>
      <c r="F25" s="431">
        <v>12</v>
      </c>
      <c r="G25" s="432">
        <f t="shared" ref="G25" si="17">C25+D25+E25</f>
        <v>2240</v>
      </c>
      <c r="H25" s="433"/>
      <c r="I25" s="433"/>
      <c r="J25" s="433">
        <f>+I25*H25+G25</f>
        <v>2240</v>
      </c>
      <c r="K25" s="433">
        <f>+ROUND(D23/150,0)+1</f>
        <v>171</v>
      </c>
      <c r="L25" s="433">
        <v>1</v>
      </c>
      <c r="M25" s="435">
        <f>J25*K25*L25/1000</f>
        <v>383.04</v>
      </c>
      <c r="N25" s="435">
        <f t="shared" ref="N25" si="18">_xlfn.XLOOKUP(F25,$R$5:$Z$5,$R$6:$Z$6,"NOT_FOUND",0)</f>
        <v>0.88800000000000001</v>
      </c>
      <c r="O25" s="434">
        <f>M25*N25</f>
        <v>340.13952</v>
      </c>
      <c r="P25" s="510"/>
    </row>
    <row r="26" spans="1:19" s="443" customFormat="1" ht="25.15" customHeight="1">
      <c r="A26" s="877"/>
      <c r="B26" s="401">
        <v>2</v>
      </c>
      <c r="C26" s="405"/>
      <c r="D26" s="459">
        <f>+D23</f>
        <v>25475</v>
      </c>
      <c r="E26" s="401"/>
      <c r="F26" s="431">
        <v>12</v>
      </c>
      <c r="G26" s="432">
        <f t="shared" si="15"/>
        <v>25475</v>
      </c>
      <c r="H26" s="433">
        <f>ROUNDUP((D23/11.7/1000),0)-1</f>
        <v>2</v>
      </c>
      <c r="I26" s="433">
        <f>40*F26</f>
        <v>480</v>
      </c>
      <c r="J26" s="433">
        <f>+I26*H26+G26</f>
        <v>26435</v>
      </c>
      <c r="K26" s="433">
        <v>9</v>
      </c>
      <c r="L26" s="433">
        <v>2</v>
      </c>
      <c r="M26" s="435">
        <f t="shared" ref="M26:M28" si="19">J26*K26*L26/1000</f>
        <v>475.83</v>
      </c>
      <c r="N26" s="435">
        <f t="shared" si="16"/>
        <v>0.88800000000000001</v>
      </c>
      <c r="O26" s="434">
        <f>M26*N26</f>
        <v>422.53703999999999</v>
      </c>
      <c r="P26" s="510"/>
      <c r="S26" s="444"/>
    </row>
    <row r="27" spans="1:19" s="443" customFormat="1" ht="25.15" customHeight="1">
      <c r="A27" s="877"/>
      <c r="B27" s="401">
        <v>3</v>
      </c>
      <c r="C27" s="405">
        <v>60</v>
      </c>
      <c r="D27" s="406">
        <v>200</v>
      </c>
      <c r="E27" s="401">
        <v>60</v>
      </c>
      <c r="F27" s="431">
        <v>6</v>
      </c>
      <c r="G27" s="432">
        <f>C27+D27+E27</f>
        <v>320</v>
      </c>
      <c r="H27" s="433"/>
      <c r="I27" s="433"/>
      <c r="J27" s="433">
        <f t="shared" ref="J27:J28" si="20">+I27*H27+G27</f>
        <v>320</v>
      </c>
      <c r="K27" s="433">
        <f>+ROUND(D23/600,0)+1</f>
        <v>43</v>
      </c>
      <c r="L27" s="433">
        <v>2</v>
      </c>
      <c r="M27" s="435">
        <f t="shared" si="19"/>
        <v>27.52</v>
      </c>
      <c r="N27" s="435">
        <f t="shared" si="16"/>
        <v>0.222</v>
      </c>
      <c r="O27" s="434">
        <f t="shared" ref="O27:O28" si="21">M27*N27</f>
        <v>6.1094400000000002</v>
      </c>
      <c r="P27" s="510"/>
    </row>
    <row r="28" spans="1:19" s="443" customFormat="1" ht="25.15" customHeight="1">
      <c r="A28" s="877"/>
      <c r="B28" s="411">
        <v>4</v>
      </c>
      <c r="C28" s="405">
        <v>200</v>
      </c>
      <c r="D28" s="406">
        <v>300</v>
      </c>
      <c r="E28" s="401"/>
      <c r="F28" s="431">
        <v>12</v>
      </c>
      <c r="G28" s="432">
        <f>C28+D28+E28</f>
        <v>500</v>
      </c>
      <c r="H28" s="433"/>
      <c r="I28" s="433"/>
      <c r="J28" s="433">
        <f t="shared" si="20"/>
        <v>500</v>
      </c>
      <c r="K28" s="433">
        <f>+K27</f>
        <v>43</v>
      </c>
      <c r="L28" s="433">
        <v>1</v>
      </c>
      <c r="M28" s="435">
        <f t="shared" si="19"/>
        <v>21.5</v>
      </c>
      <c r="N28" s="435">
        <f t="shared" si="16"/>
        <v>0.88800000000000001</v>
      </c>
      <c r="O28" s="434">
        <f t="shared" si="21"/>
        <v>19.091999999999999</v>
      </c>
      <c r="P28" s="510" t="s">
        <v>347</v>
      </c>
    </row>
    <row r="29" spans="1:19" s="442" customFormat="1" ht="15.75">
      <c r="A29" s="877" t="s">
        <v>671</v>
      </c>
      <c r="B29" s="409"/>
      <c r="C29" s="410" t="s">
        <v>321</v>
      </c>
      <c r="D29" s="403">
        <v>148770</v>
      </c>
      <c r="E29" s="409" t="s">
        <v>322</v>
      </c>
      <c r="F29" s="438"/>
      <c r="G29" s="439"/>
      <c r="H29" s="440"/>
      <c r="I29" s="440"/>
      <c r="J29" s="440"/>
      <c r="K29" s="440"/>
      <c r="L29" s="440"/>
      <c r="M29" s="441"/>
      <c r="N29" s="441"/>
      <c r="O29" s="436"/>
      <c r="P29" s="510"/>
    </row>
    <row r="30" spans="1:19" s="443" customFormat="1" ht="25.15" customHeight="1">
      <c r="A30" s="877"/>
      <c r="B30" s="401">
        <v>1</v>
      </c>
      <c r="C30" s="405">
        <v>200</v>
      </c>
      <c r="D30" s="406">
        <v>1850</v>
      </c>
      <c r="E30" s="401">
        <v>200</v>
      </c>
      <c r="F30" s="431">
        <v>12</v>
      </c>
      <c r="G30" s="432">
        <f t="shared" ref="G30:G31" si="22">C30+D30+E30</f>
        <v>2250</v>
      </c>
      <c r="H30" s="433"/>
      <c r="I30" s="433"/>
      <c r="J30" s="433">
        <f>+I30*H30+G30</f>
        <v>2250</v>
      </c>
      <c r="K30" s="433">
        <f>+ROUND(D29/150,0)+1</f>
        <v>993</v>
      </c>
      <c r="L30" s="433">
        <v>2</v>
      </c>
      <c r="M30" s="435">
        <f>J30*K30*L30/1000</f>
        <v>4468.5</v>
      </c>
      <c r="N30" s="435">
        <f t="shared" ref="N30:N33" si="23">_xlfn.XLOOKUP(F30,$R$5:$Z$5,$R$6:$Z$6,"NOT_FOUND",0)</f>
        <v>0.88800000000000001</v>
      </c>
      <c r="O30" s="434">
        <f>M30*N30</f>
        <v>3968.0280000000002</v>
      </c>
      <c r="P30" s="510"/>
    </row>
    <row r="31" spans="1:19" s="443" customFormat="1" ht="25.15" customHeight="1">
      <c r="A31" s="877"/>
      <c r="B31" s="401">
        <v>2</v>
      </c>
      <c r="C31" s="405"/>
      <c r="D31" s="459">
        <f>+D29</f>
        <v>148770</v>
      </c>
      <c r="E31" s="401"/>
      <c r="F31" s="431">
        <v>12</v>
      </c>
      <c r="G31" s="432">
        <f t="shared" si="22"/>
        <v>148770</v>
      </c>
      <c r="H31" s="433">
        <f>ROUNDUP((D29/11.7/1000),0)-1</f>
        <v>12</v>
      </c>
      <c r="I31" s="433">
        <f>40*F31</f>
        <v>480</v>
      </c>
      <c r="J31" s="433">
        <f>+I31*H31+G31</f>
        <v>154530</v>
      </c>
      <c r="K31" s="433">
        <v>11</v>
      </c>
      <c r="L31" s="433">
        <v>2</v>
      </c>
      <c r="M31" s="435">
        <f t="shared" ref="M31:M33" si="24">J31*K31*L31/1000</f>
        <v>3399.66</v>
      </c>
      <c r="N31" s="435">
        <f t="shared" si="23"/>
        <v>0.88800000000000001</v>
      </c>
      <c r="O31" s="434">
        <f>M31*N31</f>
        <v>3018.8980799999999</v>
      </c>
      <c r="P31" s="510"/>
      <c r="S31" s="444"/>
    </row>
    <row r="32" spans="1:19" s="443" customFormat="1" ht="25.15" customHeight="1">
      <c r="A32" s="877"/>
      <c r="B32" s="401">
        <v>3</v>
      </c>
      <c r="C32" s="405">
        <v>60</v>
      </c>
      <c r="D32" s="406">
        <v>200</v>
      </c>
      <c r="E32" s="401">
        <v>60</v>
      </c>
      <c r="F32" s="431">
        <v>6</v>
      </c>
      <c r="G32" s="432">
        <f>C32+D32+E32</f>
        <v>320</v>
      </c>
      <c r="H32" s="433"/>
      <c r="I32" s="433"/>
      <c r="J32" s="433">
        <f t="shared" ref="J32:J33" si="25">+I32*H32+G32</f>
        <v>320</v>
      </c>
      <c r="K32" s="433">
        <f>+ROUND(D29/600,0)+1</f>
        <v>249</v>
      </c>
      <c r="L32" s="433">
        <v>2</v>
      </c>
      <c r="M32" s="435">
        <f t="shared" si="24"/>
        <v>159.36000000000001</v>
      </c>
      <c r="N32" s="435">
        <f t="shared" si="23"/>
        <v>0.222</v>
      </c>
      <c r="O32" s="434">
        <f t="shared" ref="O32:O33" si="26">M32*N32</f>
        <v>35.377920000000003</v>
      </c>
      <c r="P32" s="510"/>
    </row>
    <row r="33" spans="1:19" s="443" customFormat="1" ht="25.15" customHeight="1">
      <c r="A33" s="877"/>
      <c r="B33" s="411">
        <v>4</v>
      </c>
      <c r="C33" s="405">
        <v>200</v>
      </c>
      <c r="D33" s="406">
        <v>300</v>
      </c>
      <c r="E33" s="401"/>
      <c r="F33" s="431">
        <v>12</v>
      </c>
      <c r="G33" s="432">
        <f>C33+D33+E33</f>
        <v>500</v>
      </c>
      <c r="H33" s="433"/>
      <c r="I33" s="433"/>
      <c r="J33" s="433">
        <f t="shared" si="25"/>
        <v>500</v>
      </c>
      <c r="K33" s="433">
        <f>+K32</f>
        <v>249</v>
      </c>
      <c r="L33" s="433">
        <v>1</v>
      </c>
      <c r="M33" s="435">
        <f t="shared" si="24"/>
        <v>124.5</v>
      </c>
      <c r="N33" s="435">
        <f t="shared" si="23"/>
        <v>0.88800000000000001</v>
      </c>
      <c r="O33" s="434">
        <f t="shared" si="26"/>
        <v>110.556</v>
      </c>
      <c r="P33" s="510" t="s">
        <v>347</v>
      </c>
    </row>
    <row r="34" spans="1:19" s="442" customFormat="1" ht="15.75">
      <c r="A34" s="877" t="s">
        <v>729</v>
      </c>
      <c r="B34" s="409"/>
      <c r="C34" s="410" t="s">
        <v>321</v>
      </c>
      <c r="D34" s="403">
        <v>115800</v>
      </c>
      <c r="E34" s="409" t="s">
        <v>322</v>
      </c>
      <c r="F34" s="438"/>
      <c r="G34" s="439"/>
      <c r="H34" s="440"/>
      <c r="I34" s="440"/>
      <c r="J34" s="440"/>
      <c r="K34" s="440"/>
      <c r="L34" s="440"/>
      <c r="M34" s="441"/>
      <c r="N34" s="441"/>
      <c r="O34" s="436"/>
      <c r="P34" s="510"/>
    </row>
    <row r="35" spans="1:19" s="443" customFormat="1" ht="25.15" customHeight="1">
      <c r="A35" s="877"/>
      <c r="B35" s="401">
        <v>1</v>
      </c>
      <c r="C35" s="405">
        <v>150</v>
      </c>
      <c r="D35" s="406">
        <v>1450</v>
      </c>
      <c r="E35" s="401">
        <v>150</v>
      </c>
      <c r="F35" s="431">
        <v>10</v>
      </c>
      <c r="G35" s="432">
        <f t="shared" ref="G35:G36" si="27">C35+D35+E35</f>
        <v>1750</v>
      </c>
      <c r="H35" s="433"/>
      <c r="I35" s="433"/>
      <c r="J35" s="433">
        <f>+I35*H35+G35</f>
        <v>1750</v>
      </c>
      <c r="K35" s="433">
        <f>+ROUND(D34/200,0)+1</f>
        <v>580</v>
      </c>
      <c r="L35" s="433">
        <v>2</v>
      </c>
      <c r="M35" s="435">
        <f>J35*K35*L35/1000</f>
        <v>2030</v>
      </c>
      <c r="N35" s="435">
        <f t="shared" ref="N35:N38" si="28">_xlfn.XLOOKUP(F35,$R$5:$Z$5,$R$6:$Z$6,"NOT_FOUND",0)</f>
        <v>0.61699999999999999</v>
      </c>
      <c r="O35" s="434">
        <f>M35*N35</f>
        <v>1252.51</v>
      </c>
      <c r="P35" s="510"/>
    </row>
    <row r="36" spans="1:19" s="443" customFormat="1" ht="25.15" customHeight="1">
      <c r="A36" s="877"/>
      <c r="B36" s="401">
        <v>2</v>
      </c>
      <c r="C36" s="405"/>
      <c r="D36" s="459">
        <v>116200</v>
      </c>
      <c r="E36" s="401"/>
      <c r="F36" s="431">
        <v>10</v>
      </c>
      <c r="G36" s="432">
        <f t="shared" si="27"/>
        <v>116200</v>
      </c>
      <c r="H36" s="433">
        <f>ROUNDUP((D34/11.7/1000),0)-1</f>
        <v>9</v>
      </c>
      <c r="I36" s="433">
        <f>40*F36</f>
        <v>400</v>
      </c>
      <c r="J36" s="433">
        <f>+I36*H36+G36</f>
        <v>119800</v>
      </c>
      <c r="K36" s="433">
        <v>8</v>
      </c>
      <c r="L36" s="433">
        <v>2</v>
      </c>
      <c r="M36" s="435">
        <f t="shared" ref="M36:M38" si="29">J36*K36*L36/1000</f>
        <v>1916.8</v>
      </c>
      <c r="N36" s="435">
        <f t="shared" si="28"/>
        <v>0.61699999999999999</v>
      </c>
      <c r="O36" s="434">
        <f>M36*N36</f>
        <v>1182.6656</v>
      </c>
      <c r="P36" s="510"/>
      <c r="S36" s="444"/>
    </row>
    <row r="37" spans="1:19" s="443" customFormat="1" ht="25.15" customHeight="1">
      <c r="A37" s="877"/>
      <c r="B37" s="401">
        <v>3</v>
      </c>
      <c r="C37" s="405">
        <v>60</v>
      </c>
      <c r="D37" s="406">
        <v>200</v>
      </c>
      <c r="E37" s="401">
        <v>60</v>
      </c>
      <c r="F37" s="431">
        <v>6</v>
      </c>
      <c r="G37" s="432">
        <f>C37+D37+E37</f>
        <v>320</v>
      </c>
      <c r="H37" s="433"/>
      <c r="I37" s="433"/>
      <c r="J37" s="433">
        <f>+I37*H37+G37</f>
        <v>320</v>
      </c>
      <c r="K37" s="433">
        <f>+ROUND(D34/600,0)+1</f>
        <v>194</v>
      </c>
      <c r="L37" s="433">
        <v>2</v>
      </c>
      <c r="M37" s="435">
        <f t="shared" si="29"/>
        <v>124.16</v>
      </c>
      <c r="N37" s="435">
        <f t="shared" si="28"/>
        <v>0.222</v>
      </c>
      <c r="O37" s="434">
        <f t="shared" ref="O37:O38" si="30">M37*N37</f>
        <v>27.56352</v>
      </c>
      <c r="P37" s="510"/>
    </row>
    <row r="38" spans="1:19" s="443" customFormat="1" ht="25.15" customHeight="1">
      <c r="A38" s="877"/>
      <c r="B38" s="411">
        <v>4</v>
      </c>
      <c r="C38" s="405">
        <v>100</v>
      </c>
      <c r="D38" s="406">
        <v>300</v>
      </c>
      <c r="E38" s="401"/>
      <c r="F38" s="431">
        <v>12</v>
      </c>
      <c r="G38" s="432">
        <f>C38+D38+E38</f>
        <v>400</v>
      </c>
      <c r="H38" s="433"/>
      <c r="I38" s="433"/>
      <c r="J38" s="433">
        <f t="shared" ref="J38" si="31">+I38*H38+G38</f>
        <v>400</v>
      </c>
      <c r="K38" s="433">
        <f>+K37</f>
        <v>194</v>
      </c>
      <c r="L38" s="433">
        <v>1</v>
      </c>
      <c r="M38" s="435">
        <f t="shared" si="29"/>
        <v>77.599999999999994</v>
      </c>
      <c r="N38" s="435">
        <f t="shared" si="28"/>
        <v>0.88800000000000001</v>
      </c>
      <c r="O38" s="434">
        <f t="shared" si="30"/>
        <v>68.908799999999999</v>
      </c>
      <c r="P38" s="510" t="s">
        <v>347</v>
      </c>
    </row>
    <row r="39" spans="1:19" s="442" customFormat="1" ht="25.15" customHeight="1">
      <c r="A39" s="840" t="s">
        <v>270</v>
      </c>
      <c r="B39" s="841"/>
      <c r="C39" s="841"/>
      <c r="D39" s="841"/>
      <c r="E39" s="841"/>
      <c r="F39" s="841"/>
      <c r="G39" s="841"/>
      <c r="H39" s="841"/>
      <c r="I39" s="841"/>
      <c r="J39" s="841"/>
      <c r="K39" s="841"/>
      <c r="L39" s="841"/>
      <c r="M39" s="841"/>
      <c r="N39" s="842"/>
      <c r="O39" s="436">
        <f>SUM(O8:O33)</f>
        <v>14250.00684</v>
      </c>
      <c r="P39" s="408"/>
    </row>
    <row r="40" spans="1:19" s="442" customFormat="1" ht="25.15" customHeight="1">
      <c r="A40" s="873" t="s">
        <v>705</v>
      </c>
      <c r="B40" s="874"/>
      <c r="C40" s="874"/>
      <c r="D40" s="874"/>
      <c r="E40" s="874"/>
      <c r="F40" s="874"/>
      <c r="G40" s="874"/>
      <c r="H40" s="874"/>
      <c r="I40" s="874"/>
      <c r="J40" s="874"/>
      <c r="K40" s="874"/>
      <c r="L40" s="874"/>
      <c r="M40" s="874"/>
      <c r="N40" s="875"/>
      <c r="O40" s="461">
        <f>SUMIF(B9:B38,"4",K9:K38)</f>
        <v>713</v>
      </c>
      <c r="P40" s="464"/>
    </row>
    <row r="41" spans="1:19" s="442" customFormat="1" ht="25.15" customHeight="1">
      <c r="A41" s="876" t="s">
        <v>674</v>
      </c>
      <c r="B41" s="876"/>
      <c r="C41" s="876"/>
      <c r="D41" s="876"/>
      <c r="E41" s="876"/>
      <c r="F41" s="876"/>
      <c r="G41" s="876"/>
      <c r="H41" s="876"/>
      <c r="I41" s="876"/>
      <c r="J41" s="876"/>
      <c r="K41" s="876"/>
      <c r="L41" s="876"/>
      <c r="M41" s="876"/>
      <c r="N41" s="876"/>
      <c r="O41" s="445">
        <f>+O39</f>
        <v>14250.00684</v>
      </c>
      <c r="P41" s="465"/>
    </row>
    <row r="42" spans="1:19" s="430" customFormat="1" ht="15.75">
      <c r="A42" s="413"/>
      <c r="B42" s="413"/>
      <c r="C42" s="413"/>
      <c r="D42" s="414"/>
      <c r="E42" s="414"/>
      <c r="F42" s="414"/>
      <c r="G42" s="413"/>
      <c r="H42" s="413"/>
      <c r="I42" s="413"/>
      <c r="J42" s="413"/>
      <c r="K42" s="415"/>
      <c r="L42" s="415"/>
      <c r="M42" s="527"/>
      <c r="N42" s="416"/>
      <c r="O42" s="416"/>
      <c r="P42" s="511"/>
    </row>
    <row r="43" spans="1:19" s="448" customFormat="1" ht="20.25" customHeight="1">
      <c r="A43" s="446"/>
      <c r="B43" s="843" t="s">
        <v>85</v>
      </c>
      <c r="C43" s="843"/>
      <c r="D43" s="843"/>
      <c r="E43" s="447"/>
      <c r="G43" s="447"/>
      <c r="H43" s="449"/>
      <c r="L43" s="340"/>
      <c r="M43" s="531"/>
      <c r="N43" s="843" t="s">
        <v>82</v>
      </c>
      <c r="O43" s="843"/>
      <c r="P43" s="843"/>
    </row>
    <row r="44" spans="1:19" s="450" customFormat="1" ht="25.15" customHeight="1">
      <c r="A44" s="413"/>
      <c r="B44" s="413"/>
      <c r="C44" s="413"/>
      <c r="D44" s="414"/>
      <c r="E44" s="414"/>
      <c r="F44" s="414"/>
      <c r="G44" s="413"/>
      <c r="H44" s="413"/>
      <c r="I44" s="413"/>
      <c r="J44" s="413"/>
      <c r="K44" s="415"/>
      <c r="L44" s="415"/>
      <c r="M44" s="527"/>
      <c r="N44" s="417"/>
      <c r="O44" s="418"/>
      <c r="P44" s="512"/>
    </row>
    <row r="45" spans="1:19" s="450" customFormat="1" ht="22.9" customHeight="1">
      <c r="A45" s="413"/>
      <c r="B45" s="413"/>
      <c r="C45" s="413"/>
      <c r="D45" s="414"/>
      <c r="E45" s="414"/>
      <c r="F45" s="414"/>
      <c r="G45" s="413"/>
      <c r="H45" s="413"/>
      <c r="I45" s="413"/>
      <c r="J45" s="413"/>
      <c r="K45" s="415"/>
      <c r="L45" s="415"/>
      <c r="M45" s="527"/>
      <c r="N45" s="417"/>
      <c r="O45" s="418"/>
      <c r="P45" s="512"/>
    </row>
    <row r="46" spans="1:19" s="450" customFormat="1" ht="22.9" customHeight="1">
      <c r="A46" s="413"/>
      <c r="B46" s="413"/>
      <c r="C46" s="413"/>
      <c r="D46" s="414"/>
      <c r="E46" s="414"/>
      <c r="F46" s="657">
        <v>6</v>
      </c>
      <c r="G46" s="642" t="s">
        <v>107</v>
      </c>
      <c r="H46" s="642">
        <f>+SUMIF($F$8:$F$33,F46,$O$8:$O$33)</f>
        <v>73.739519999999999</v>
      </c>
      <c r="I46" s="413"/>
      <c r="J46" s="413"/>
      <c r="K46" s="415"/>
      <c r="L46" s="415"/>
      <c r="M46" s="527"/>
      <c r="N46" s="417"/>
      <c r="O46" s="418"/>
      <c r="P46" s="512"/>
    </row>
    <row r="47" spans="1:19" s="450" customFormat="1" ht="22.9" customHeight="1">
      <c r="A47" s="413"/>
      <c r="B47" s="413"/>
      <c r="C47" s="413"/>
      <c r="D47" s="414"/>
      <c r="E47" s="414"/>
      <c r="F47" s="657">
        <v>8</v>
      </c>
      <c r="G47" s="642" t="s">
        <v>107</v>
      </c>
      <c r="H47" s="642">
        <f t="shared" ref="H47:H51" si="32">+SUMIF($F$8:$F$33,F47,$O$8:$O$33)</f>
        <v>0</v>
      </c>
      <c r="I47" s="413"/>
      <c r="J47" s="413"/>
      <c r="K47" s="415"/>
      <c r="L47" s="415"/>
      <c r="M47" s="527"/>
      <c r="N47" s="417"/>
      <c r="O47" s="418"/>
      <c r="P47" s="512"/>
    </row>
    <row r="48" spans="1:19" s="450" customFormat="1" ht="22.9" customHeight="1">
      <c r="A48" s="413"/>
      <c r="B48" s="413"/>
      <c r="C48" s="413"/>
      <c r="D48" s="414"/>
      <c r="E48" s="414"/>
      <c r="F48" s="657">
        <v>10</v>
      </c>
      <c r="G48" s="642" t="s">
        <v>107</v>
      </c>
      <c r="H48" s="642">
        <f t="shared" si="32"/>
        <v>0</v>
      </c>
      <c r="I48" s="413"/>
      <c r="J48" s="413"/>
      <c r="K48" s="415"/>
      <c r="L48" s="415"/>
      <c r="M48" s="527"/>
      <c r="N48" s="417"/>
      <c r="O48" s="418"/>
      <c r="P48" s="512"/>
    </row>
    <row r="49" spans="6:8" ht="22.9" customHeight="1">
      <c r="F49" s="658">
        <v>12</v>
      </c>
      <c r="G49" s="642" t="s">
        <v>107</v>
      </c>
      <c r="H49" s="642">
        <f t="shared" si="32"/>
        <v>14176.267319999999</v>
      </c>
    </row>
    <row r="50" spans="6:8" ht="15.75">
      <c r="F50" s="453">
        <v>14</v>
      </c>
      <c r="G50" s="642" t="s">
        <v>107</v>
      </c>
      <c r="H50" s="642">
        <f t="shared" si="32"/>
        <v>0</v>
      </c>
    </row>
    <row r="51" spans="6:8" ht="15.75">
      <c r="F51" s="453">
        <v>16</v>
      </c>
      <c r="G51" s="642" t="s">
        <v>107</v>
      </c>
      <c r="H51" s="642">
        <f t="shared" si="32"/>
        <v>0</v>
      </c>
    </row>
  </sheetData>
  <mergeCells count="29">
    <mergeCell ref="A1:P1"/>
    <mergeCell ref="A2:P2"/>
    <mergeCell ref="A3:P3"/>
    <mergeCell ref="A5:A6"/>
    <mergeCell ref="B5:B6"/>
    <mergeCell ref="C5:E6"/>
    <mergeCell ref="F5:F6"/>
    <mergeCell ref="G5:G6"/>
    <mergeCell ref="H5:H6"/>
    <mergeCell ref="I5:I6"/>
    <mergeCell ref="A18:A22"/>
    <mergeCell ref="A23:A28"/>
    <mergeCell ref="A29:A33"/>
    <mergeCell ref="P5:P6"/>
    <mergeCell ref="C7:E7"/>
    <mergeCell ref="A8:A12"/>
    <mergeCell ref="A13:A17"/>
    <mergeCell ref="J5:J6"/>
    <mergeCell ref="K5:K6"/>
    <mergeCell ref="L5:L6"/>
    <mergeCell ref="M5:M6"/>
    <mergeCell ref="N5:N6"/>
    <mergeCell ref="O5:O6"/>
    <mergeCell ref="A34:A38"/>
    <mergeCell ref="A39:N39"/>
    <mergeCell ref="A40:N40"/>
    <mergeCell ref="A41:N41"/>
    <mergeCell ref="B43:D43"/>
    <mergeCell ref="N43:P43"/>
  </mergeCells>
  <printOptions horizontalCentered="1"/>
  <pageMargins left="0.47244094488188981" right="0.15748031496062992" top="0.39370078740157483" bottom="0.39370078740157483" header="0.27559055118110237" footer="0.19685039370078741"/>
  <pageSetup paperSize="9" scale="85" fitToHeight="0" orientation="landscape" r:id="rId1"/>
  <headerFooter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1D77-A7D0-4B12-AEC3-00C9D94B8A3B}">
  <sheetPr codeName="Sheet16">
    <pageSetUpPr fitToPage="1"/>
  </sheetPr>
  <dimension ref="A1:W90"/>
  <sheetViews>
    <sheetView view="pageBreakPreview" zoomScale="70" zoomScaleNormal="80" zoomScaleSheetLayoutView="70" workbookViewId="0">
      <pane ySplit="6" topLeftCell="A58" activePane="bottomLeft" state="frozen"/>
      <selection activeCell="A2" sqref="A2:P2"/>
      <selection pane="bottomLeft" activeCell="S58" sqref="S58"/>
    </sheetView>
  </sheetViews>
  <sheetFormatPr defaultColWidth="9" defaultRowHeight="14.25"/>
  <cols>
    <col min="1" max="1" width="20.125" style="451" customWidth="1"/>
    <col min="2" max="2" width="5.5" style="451" customWidth="1"/>
    <col min="3" max="3" width="4.125" style="451" customWidth="1"/>
    <col min="4" max="4" width="13.125" style="667" customWidth="1"/>
    <col min="5" max="5" width="5" style="452" customWidth="1"/>
    <col min="6" max="6" width="6.125" style="452" customWidth="1"/>
    <col min="7" max="7" width="10" style="451" customWidth="1"/>
    <col min="8" max="8" width="7.875" style="453" customWidth="1"/>
    <col min="9" max="9" width="9" style="453" customWidth="1"/>
    <col min="10" max="10" width="10.375" style="532" customWidth="1"/>
    <col min="11" max="11" width="9.375" style="455" customWidth="1"/>
    <col min="12" max="12" width="11.875" style="530" bestFit="1" customWidth="1"/>
    <col min="13" max="13" width="28.5" style="457" customWidth="1"/>
    <col min="14" max="14" width="10.625" style="458" customWidth="1"/>
    <col min="15" max="15" width="13.25" style="458" customWidth="1"/>
    <col min="16" max="16" width="9" style="458"/>
    <col min="17" max="17" width="9.5" style="458" bestFit="1" customWidth="1"/>
    <col min="18" max="19" width="9" style="458"/>
    <col min="20" max="20" width="11.25" style="458" bestFit="1" customWidth="1"/>
    <col min="21" max="23" width="11.75" style="458" bestFit="1" customWidth="1"/>
    <col min="24" max="16384" width="9" style="458"/>
  </cols>
  <sheetData>
    <row r="1" spans="1:23" s="429" customFormat="1" ht="26.25" customHeight="1">
      <c r="A1" s="844" t="s">
        <v>744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</row>
    <row r="2" spans="1:23" s="430" customFormat="1" ht="15.75">
      <c r="A2" s="845" t="s">
        <v>109</v>
      </c>
      <c r="B2" s="845"/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</row>
    <row r="3" spans="1:23" s="414" customFormat="1" ht="20.25" customHeight="1">
      <c r="A3" s="846" t="s">
        <v>110</v>
      </c>
      <c r="B3" s="846"/>
      <c r="C3" s="846"/>
      <c r="D3" s="846"/>
      <c r="E3" s="846"/>
      <c r="F3" s="846"/>
      <c r="G3" s="846"/>
      <c r="H3" s="846"/>
      <c r="I3" s="846"/>
      <c r="J3" s="846"/>
      <c r="K3" s="846"/>
      <c r="L3" s="846"/>
      <c r="M3" s="846"/>
    </row>
    <row r="4" spans="1:23" s="430" customFormat="1" ht="12" customHeight="1">
      <c r="A4" s="400"/>
      <c r="B4" s="400"/>
      <c r="C4" s="400"/>
      <c r="D4" s="661"/>
      <c r="E4" s="400"/>
      <c r="F4" s="400"/>
      <c r="G4" s="491"/>
      <c r="H4" s="491"/>
      <c r="I4" s="491"/>
      <c r="J4" s="524"/>
      <c r="K4" s="400"/>
      <c r="L4" s="524"/>
      <c r="M4" s="515"/>
    </row>
    <row r="5" spans="1:23" s="430" customFormat="1" ht="15.75" customHeight="1">
      <c r="A5" s="847" t="s">
        <v>111</v>
      </c>
      <c r="B5" s="847" t="s">
        <v>341</v>
      </c>
      <c r="C5" s="849" t="s">
        <v>329</v>
      </c>
      <c r="D5" s="850"/>
      <c r="E5" s="851"/>
      <c r="F5" s="855" t="s">
        <v>112</v>
      </c>
      <c r="G5" s="857" t="s">
        <v>346</v>
      </c>
      <c r="H5" s="859" t="s">
        <v>344</v>
      </c>
      <c r="I5" s="860" t="s">
        <v>345</v>
      </c>
      <c r="J5" s="865" t="s">
        <v>114</v>
      </c>
      <c r="K5" s="861" t="s">
        <v>115</v>
      </c>
      <c r="L5" s="865" t="s">
        <v>320</v>
      </c>
      <c r="M5" s="861" t="s">
        <v>2</v>
      </c>
      <c r="O5" s="640">
        <v>6</v>
      </c>
      <c r="P5" s="640">
        <v>8</v>
      </c>
      <c r="Q5" s="640">
        <v>10</v>
      </c>
      <c r="R5" s="640">
        <v>12</v>
      </c>
      <c r="S5" s="640">
        <v>14</v>
      </c>
      <c r="T5" s="640">
        <v>16</v>
      </c>
      <c r="U5" s="640">
        <v>18</v>
      </c>
      <c r="V5" s="640">
        <v>20</v>
      </c>
      <c r="W5" s="640">
        <v>22</v>
      </c>
    </row>
    <row r="6" spans="1:23" s="430" customFormat="1" ht="42.75" customHeight="1">
      <c r="A6" s="848"/>
      <c r="B6" s="848"/>
      <c r="C6" s="852"/>
      <c r="D6" s="853"/>
      <c r="E6" s="854"/>
      <c r="F6" s="856"/>
      <c r="G6" s="858"/>
      <c r="H6" s="859"/>
      <c r="I6" s="860"/>
      <c r="J6" s="866"/>
      <c r="K6" s="862"/>
      <c r="L6" s="866"/>
      <c r="M6" s="862"/>
      <c r="O6" s="640">
        <v>0.222</v>
      </c>
      <c r="P6" s="640">
        <v>0.39500000000000002</v>
      </c>
      <c r="Q6" s="640">
        <v>0.61699999999999999</v>
      </c>
      <c r="R6" s="640">
        <v>0.88800000000000001</v>
      </c>
      <c r="S6" s="640">
        <v>1.21</v>
      </c>
      <c r="T6" s="640">
        <v>1.58</v>
      </c>
      <c r="U6" s="640">
        <v>2</v>
      </c>
      <c r="V6" s="640">
        <v>2.4700000000000002</v>
      </c>
      <c r="W6" s="640">
        <v>2.98</v>
      </c>
    </row>
    <row r="7" spans="1:23" s="430" customFormat="1" ht="22.15" customHeight="1">
      <c r="A7" s="504" t="s">
        <v>3</v>
      </c>
      <c r="B7" s="504" t="s">
        <v>4</v>
      </c>
      <c r="C7" s="867" t="s">
        <v>25</v>
      </c>
      <c r="D7" s="868"/>
      <c r="E7" s="869"/>
      <c r="F7" s="505" t="s">
        <v>26</v>
      </c>
      <c r="G7" s="505" t="s">
        <v>27</v>
      </c>
      <c r="H7" s="508" t="s">
        <v>28</v>
      </c>
      <c r="I7" s="508" t="s">
        <v>29</v>
      </c>
      <c r="J7" s="525" t="s">
        <v>30</v>
      </c>
      <c r="K7" s="505" t="s">
        <v>31</v>
      </c>
      <c r="L7" s="525" t="s">
        <v>326</v>
      </c>
      <c r="M7" s="506" t="s">
        <v>342</v>
      </c>
    </row>
    <row r="8" spans="1:23" s="519" customFormat="1" ht="22.15" customHeight="1">
      <c r="A8" s="649" t="s">
        <v>675</v>
      </c>
      <c r="B8" s="650"/>
      <c r="C8" s="651"/>
      <c r="D8" s="662"/>
      <c r="E8" s="653"/>
      <c r="F8" s="654"/>
      <c r="G8" s="654"/>
      <c r="H8" s="654"/>
      <c r="I8" s="654"/>
      <c r="J8" s="655"/>
      <c r="K8" s="654"/>
      <c r="L8" s="655"/>
      <c r="M8" s="656"/>
    </row>
    <row r="9" spans="1:23" s="443" customFormat="1" ht="31.5" customHeight="1">
      <c r="A9" s="834" t="s">
        <v>676</v>
      </c>
      <c r="B9" s="401">
        <v>1</v>
      </c>
      <c r="C9" s="405"/>
      <c r="D9" s="663">
        <v>147208</v>
      </c>
      <c r="E9" s="459"/>
      <c r="F9" s="420">
        <v>12</v>
      </c>
      <c r="G9" s="432">
        <f t="shared" ref="G9:G11" si="0">C9+D9+E9</f>
        <v>147208</v>
      </c>
      <c r="H9" s="433">
        <v>1</v>
      </c>
      <c r="I9" s="433">
        <v>1</v>
      </c>
      <c r="J9" s="435">
        <f>G9*H9*I9/1000</f>
        <v>147.208</v>
      </c>
      <c r="K9" s="435">
        <f t="shared" ref="K9:K14" si="1">_xlfn.XLOOKUP(F9,$O$5:$W$5,$O$6:$W$6,"NOT_FOUND",0)</f>
        <v>0.88800000000000001</v>
      </c>
      <c r="L9" s="460">
        <f>J9*K9</f>
        <v>130.72070400000001</v>
      </c>
      <c r="M9" s="412" t="s">
        <v>349</v>
      </c>
      <c r="O9" s="643"/>
    </row>
    <row r="10" spans="1:23" s="443" customFormat="1" ht="31.5" customHeight="1">
      <c r="A10" s="835"/>
      <c r="B10" s="401">
        <v>2</v>
      </c>
      <c r="C10" s="405"/>
      <c r="D10" s="663">
        <f>406408+29*480</f>
        <v>420328</v>
      </c>
      <c r="E10" s="459"/>
      <c r="F10" s="420">
        <v>12</v>
      </c>
      <c r="G10" s="432">
        <f t="shared" si="0"/>
        <v>420328</v>
      </c>
      <c r="H10" s="433">
        <v>1</v>
      </c>
      <c r="I10" s="421">
        <v>1</v>
      </c>
      <c r="J10" s="435">
        <f t="shared" ref="J10:J14" si="2">G10*H10*I10/1000</f>
        <v>420.32799999999997</v>
      </c>
      <c r="K10" s="435">
        <f t="shared" si="1"/>
        <v>0.88800000000000001</v>
      </c>
      <c r="L10" s="460">
        <f t="shared" ref="L10" si="3">J10*K10</f>
        <v>373.25126399999999</v>
      </c>
      <c r="M10" s="518" t="str">
        <f ca="1">+_xlfn.FORMULATEXT(D10)</f>
        <v>=406408+29*480</v>
      </c>
    </row>
    <row r="11" spans="1:23" s="443" customFormat="1" ht="31.5" customHeight="1">
      <c r="A11" s="629" t="s">
        <v>677</v>
      </c>
      <c r="B11" s="612">
        <v>3</v>
      </c>
      <c r="C11" s="405"/>
      <c r="D11" s="663">
        <v>611765</v>
      </c>
      <c r="E11" s="459"/>
      <c r="F11" s="616">
        <v>12</v>
      </c>
      <c r="G11" s="617">
        <f t="shared" si="0"/>
        <v>611765</v>
      </c>
      <c r="H11" s="433">
        <v>1</v>
      </c>
      <c r="I11" s="619">
        <v>1</v>
      </c>
      <c r="J11" s="435">
        <f t="shared" si="2"/>
        <v>611.76499999999999</v>
      </c>
      <c r="K11" s="620">
        <f t="shared" si="1"/>
        <v>0.88800000000000001</v>
      </c>
      <c r="L11" s="621">
        <f>J11*K11</f>
        <v>543.24731999999995</v>
      </c>
      <c r="M11" s="622" t="s">
        <v>349</v>
      </c>
      <c r="O11" s="659"/>
    </row>
    <row r="12" spans="1:23" s="443" customFormat="1" ht="31.5" customHeight="1">
      <c r="A12" s="834" t="s">
        <v>678</v>
      </c>
      <c r="B12" s="401">
        <v>4</v>
      </c>
      <c r="C12" s="405"/>
      <c r="D12" s="663">
        <v>174208</v>
      </c>
      <c r="E12" s="459"/>
      <c r="F12" s="420">
        <v>12</v>
      </c>
      <c r="G12" s="432">
        <f>C12+D12+E12</f>
        <v>174208</v>
      </c>
      <c r="H12" s="433">
        <v>1</v>
      </c>
      <c r="I12" s="433">
        <v>1</v>
      </c>
      <c r="J12" s="435">
        <f t="shared" si="2"/>
        <v>174.208</v>
      </c>
      <c r="K12" s="435">
        <f t="shared" si="1"/>
        <v>0.88800000000000001</v>
      </c>
      <c r="L12" s="460">
        <f>J12*K12</f>
        <v>154.69670400000001</v>
      </c>
      <c r="M12" s="412" t="s">
        <v>349</v>
      </c>
      <c r="O12" s="659"/>
    </row>
    <row r="13" spans="1:23" s="443" customFormat="1" ht="31.5" customHeight="1">
      <c r="A13" s="835"/>
      <c r="B13" s="401">
        <v>5</v>
      </c>
      <c r="C13" s="405"/>
      <c r="D13" s="663">
        <f>341709+24*480</f>
        <v>353229</v>
      </c>
      <c r="E13" s="459"/>
      <c r="F13" s="420">
        <v>12</v>
      </c>
      <c r="G13" s="432">
        <f t="shared" ref="G13:G14" si="4">C13+D13+E13</f>
        <v>353229</v>
      </c>
      <c r="H13" s="433">
        <v>1</v>
      </c>
      <c r="I13" s="421">
        <v>1</v>
      </c>
      <c r="J13" s="435">
        <f t="shared" si="2"/>
        <v>353.22899999999998</v>
      </c>
      <c r="K13" s="435">
        <f t="shared" si="1"/>
        <v>0.88800000000000001</v>
      </c>
      <c r="L13" s="460">
        <f t="shared" ref="L13" si="5">J13*K13</f>
        <v>313.66735199999999</v>
      </c>
      <c r="M13" s="518" t="str">
        <f ca="1">+_xlfn.FORMULATEXT(D13)</f>
        <v>=341709+24*480</v>
      </c>
    </row>
    <row r="14" spans="1:23" s="443" customFormat="1" ht="31.5" customHeight="1">
      <c r="A14" s="629" t="s">
        <v>679</v>
      </c>
      <c r="B14" s="612">
        <v>6</v>
      </c>
      <c r="C14" s="613"/>
      <c r="D14" s="664">
        <v>485761</v>
      </c>
      <c r="E14" s="615"/>
      <c r="F14" s="616">
        <v>12</v>
      </c>
      <c r="G14" s="617">
        <f t="shared" si="4"/>
        <v>485761</v>
      </c>
      <c r="H14" s="433">
        <v>1</v>
      </c>
      <c r="I14" s="619">
        <v>1</v>
      </c>
      <c r="J14" s="435">
        <f t="shared" si="2"/>
        <v>485.76100000000002</v>
      </c>
      <c r="K14" s="620">
        <f t="shared" si="1"/>
        <v>0.88800000000000001</v>
      </c>
      <c r="L14" s="621">
        <f>J14*K14</f>
        <v>431.35576800000001</v>
      </c>
      <c r="M14" s="622" t="s">
        <v>349</v>
      </c>
      <c r="O14" s="643"/>
    </row>
    <row r="15" spans="1:23" s="519" customFormat="1" ht="22.15" customHeight="1">
      <c r="A15" s="649" t="s">
        <v>680</v>
      </c>
      <c r="B15" s="650"/>
      <c r="C15" s="651"/>
      <c r="D15" s="662"/>
      <c r="E15" s="653"/>
      <c r="F15" s="654"/>
      <c r="G15" s="654"/>
      <c r="H15" s="654"/>
      <c r="I15" s="654"/>
      <c r="J15" s="655"/>
      <c r="K15" s="654"/>
      <c r="L15" s="655"/>
      <c r="M15" s="656"/>
      <c r="Q15" s="660"/>
    </row>
    <row r="16" spans="1:23" s="443" customFormat="1" ht="31.5" customHeight="1">
      <c r="A16" s="834" t="s">
        <v>681</v>
      </c>
      <c r="B16" s="401">
        <v>7</v>
      </c>
      <c r="C16" s="405"/>
      <c r="D16" s="663">
        <f>107410+8*480</f>
        <v>111250</v>
      </c>
      <c r="E16" s="459"/>
      <c r="F16" s="420">
        <v>12</v>
      </c>
      <c r="G16" s="432">
        <f>C16+D16+E16</f>
        <v>111250</v>
      </c>
      <c r="H16" s="433">
        <v>1</v>
      </c>
      <c r="I16" s="433">
        <v>1</v>
      </c>
      <c r="J16" s="435">
        <f t="shared" ref="J16:J21" si="6">G16*H16*I16/1000</f>
        <v>111.25</v>
      </c>
      <c r="K16" s="435">
        <f t="shared" ref="K16:K21" si="7">_xlfn.XLOOKUP(F16,$O$5:$W$5,$O$6:$W$6,"NOT_FOUND",0)</f>
        <v>0.88800000000000001</v>
      </c>
      <c r="L16" s="460">
        <f>J16*K16</f>
        <v>98.79</v>
      </c>
      <c r="M16" s="518" t="str">
        <f ca="1">+_xlfn.FORMULATEXT(D16)</f>
        <v>=107410+8*480</v>
      </c>
      <c r="O16" s="643"/>
    </row>
    <row r="17" spans="1:15" s="443" customFormat="1" ht="31.5" customHeight="1">
      <c r="A17" s="835"/>
      <c r="B17" s="401">
        <v>8</v>
      </c>
      <c r="C17" s="405"/>
      <c r="D17" s="663">
        <v>489035</v>
      </c>
      <c r="E17" s="459"/>
      <c r="F17" s="420">
        <v>12</v>
      </c>
      <c r="G17" s="432">
        <f t="shared" ref="G17:G18" si="8">C17+D17+E17</f>
        <v>489035</v>
      </c>
      <c r="H17" s="433">
        <v>1</v>
      </c>
      <c r="I17" s="421">
        <v>1</v>
      </c>
      <c r="J17" s="435">
        <f t="shared" si="6"/>
        <v>489.03500000000003</v>
      </c>
      <c r="K17" s="435">
        <f t="shared" si="7"/>
        <v>0.88800000000000001</v>
      </c>
      <c r="L17" s="460">
        <f t="shared" ref="L17" si="9">J17*K17</f>
        <v>434.26308</v>
      </c>
      <c r="M17" s="518"/>
    </row>
    <row r="18" spans="1:15" s="443" customFormat="1" ht="31.5" customHeight="1">
      <c r="A18" s="629" t="s">
        <v>682</v>
      </c>
      <c r="B18" s="612">
        <v>9</v>
      </c>
      <c r="C18" s="613"/>
      <c r="D18" s="664">
        <v>610643</v>
      </c>
      <c r="E18" s="615"/>
      <c r="F18" s="616">
        <v>12</v>
      </c>
      <c r="G18" s="617">
        <f t="shared" si="8"/>
        <v>610643</v>
      </c>
      <c r="H18" s="433">
        <v>1</v>
      </c>
      <c r="I18" s="619">
        <v>1</v>
      </c>
      <c r="J18" s="435">
        <f t="shared" si="6"/>
        <v>610.64300000000003</v>
      </c>
      <c r="K18" s="620">
        <f t="shared" si="7"/>
        <v>0.88800000000000001</v>
      </c>
      <c r="L18" s="621">
        <f>J18*K18</f>
        <v>542.25098400000002</v>
      </c>
      <c r="M18" s="622" t="s">
        <v>349</v>
      </c>
      <c r="O18" s="643"/>
    </row>
    <row r="19" spans="1:15" s="443" customFormat="1" ht="31.5" customHeight="1">
      <c r="A19" s="834" t="s">
        <v>683</v>
      </c>
      <c r="B19" s="401">
        <v>10</v>
      </c>
      <c r="C19" s="405"/>
      <c r="D19" s="663">
        <v>384285</v>
      </c>
      <c r="E19" s="459"/>
      <c r="F19" s="420">
        <v>12</v>
      </c>
      <c r="G19" s="432">
        <f>C19+D19+E19</f>
        <v>384285</v>
      </c>
      <c r="H19" s="433">
        <v>1</v>
      </c>
      <c r="I19" s="433">
        <v>1</v>
      </c>
      <c r="J19" s="435">
        <f t="shared" si="6"/>
        <v>384.28500000000003</v>
      </c>
      <c r="K19" s="435">
        <f t="shared" si="7"/>
        <v>0.88800000000000001</v>
      </c>
      <c r="L19" s="460">
        <f>J19*K19</f>
        <v>341.24508000000003</v>
      </c>
      <c r="M19" s="412" t="s">
        <v>349</v>
      </c>
      <c r="O19" s="643"/>
    </row>
    <row r="20" spans="1:15" s="443" customFormat="1" ht="31.5" customHeight="1">
      <c r="A20" s="835"/>
      <c r="B20" s="401">
        <v>11</v>
      </c>
      <c r="C20" s="405"/>
      <c r="D20" s="663">
        <f>96447+7*480</f>
        <v>99807</v>
      </c>
      <c r="E20" s="459"/>
      <c r="F20" s="420">
        <v>12</v>
      </c>
      <c r="G20" s="432">
        <f t="shared" ref="G20:G21" si="10">C20+D20+E20</f>
        <v>99807</v>
      </c>
      <c r="H20" s="433">
        <v>1</v>
      </c>
      <c r="I20" s="421">
        <v>1</v>
      </c>
      <c r="J20" s="435">
        <f t="shared" si="6"/>
        <v>99.807000000000002</v>
      </c>
      <c r="K20" s="435">
        <f t="shared" si="7"/>
        <v>0.88800000000000001</v>
      </c>
      <c r="L20" s="460">
        <f t="shared" ref="L20" si="11">J20*K20</f>
        <v>88.628616000000008</v>
      </c>
      <c r="M20" s="518" t="str">
        <f ca="1">+_xlfn.FORMULATEXT(D20)</f>
        <v>=96447+7*480</v>
      </c>
    </row>
    <row r="21" spans="1:15" s="443" customFormat="1" ht="31.5" customHeight="1">
      <c r="A21" s="629" t="s">
        <v>684</v>
      </c>
      <c r="B21" s="612">
        <v>12</v>
      </c>
      <c r="C21" s="613"/>
      <c r="D21" s="664">
        <v>495361</v>
      </c>
      <c r="E21" s="615"/>
      <c r="F21" s="616">
        <v>12</v>
      </c>
      <c r="G21" s="617">
        <f t="shared" si="10"/>
        <v>495361</v>
      </c>
      <c r="H21" s="433">
        <v>1</v>
      </c>
      <c r="I21" s="619">
        <v>1</v>
      </c>
      <c r="J21" s="435">
        <f t="shared" si="6"/>
        <v>495.36099999999999</v>
      </c>
      <c r="K21" s="620">
        <f t="shared" si="7"/>
        <v>0.88800000000000001</v>
      </c>
      <c r="L21" s="621">
        <f>J21*K21</f>
        <v>439.88056799999998</v>
      </c>
      <c r="M21" s="622" t="s">
        <v>349</v>
      </c>
      <c r="O21" s="643"/>
    </row>
    <row r="22" spans="1:15" s="519" customFormat="1" ht="22.15" customHeight="1">
      <c r="A22" s="649" t="s">
        <v>685</v>
      </c>
      <c r="B22" s="650"/>
      <c r="C22" s="651"/>
      <c r="D22" s="662"/>
      <c r="E22" s="653"/>
      <c r="F22" s="654"/>
      <c r="G22" s="654"/>
      <c r="H22" s="654"/>
      <c r="I22" s="654"/>
      <c r="J22" s="655"/>
      <c r="K22" s="654"/>
      <c r="L22" s="655"/>
      <c r="M22" s="656"/>
    </row>
    <row r="23" spans="1:15" s="443" customFormat="1" ht="31.5" customHeight="1">
      <c r="A23" s="834" t="s">
        <v>686</v>
      </c>
      <c r="B23" s="401">
        <v>13</v>
      </c>
      <c r="C23" s="405"/>
      <c r="D23" s="663">
        <f>1892287+107*480</f>
        <v>1943647</v>
      </c>
      <c r="E23" s="459"/>
      <c r="F23" s="420">
        <v>12</v>
      </c>
      <c r="G23" s="432">
        <f>C23+D23+E23</f>
        <v>1943647</v>
      </c>
      <c r="H23" s="433">
        <v>1</v>
      </c>
      <c r="I23" s="433">
        <v>1</v>
      </c>
      <c r="J23" s="435">
        <f t="shared" ref="J23:J30" si="12">G23*H23*I23/1000</f>
        <v>1943.6469999999999</v>
      </c>
      <c r="K23" s="435">
        <f t="shared" ref="K23:K30" si="13">_xlfn.XLOOKUP(F23,$O$5:$W$5,$O$6:$W$6,"NOT_FOUND",0)</f>
        <v>0.88800000000000001</v>
      </c>
      <c r="L23" s="460">
        <f>J23*K23</f>
        <v>1725.9585359999999</v>
      </c>
      <c r="M23" s="518" t="str">
        <f ca="1">+_xlfn.FORMULATEXT(D23)</f>
        <v>=1892287+107*480</v>
      </c>
      <c r="O23" s="643"/>
    </row>
    <row r="24" spans="1:15" s="443" customFormat="1" ht="31.5" customHeight="1">
      <c r="A24" s="835"/>
      <c r="B24" s="401">
        <v>14</v>
      </c>
      <c r="C24" s="405"/>
      <c r="D24" s="663">
        <v>696340</v>
      </c>
      <c r="E24" s="459"/>
      <c r="F24" s="420">
        <v>12</v>
      </c>
      <c r="G24" s="432">
        <f t="shared" ref="G24:G25" si="14">C24+D24+E24</f>
        <v>696340</v>
      </c>
      <c r="H24" s="433">
        <v>1</v>
      </c>
      <c r="I24" s="421">
        <v>1</v>
      </c>
      <c r="J24" s="435">
        <f t="shared" si="12"/>
        <v>696.34</v>
      </c>
      <c r="K24" s="435">
        <f t="shared" si="13"/>
        <v>0.88800000000000001</v>
      </c>
      <c r="L24" s="460">
        <f t="shared" ref="L24" si="15">J24*K24</f>
        <v>618.34992</v>
      </c>
      <c r="M24" s="518"/>
    </row>
    <row r="25" spans="1:15" s="443" customFormat="1" ht="31.5" customHeight="1">
      <c r="A25" s="888" t="s">
        <v>687</v>
      </c>
      <c r="B25" s="612">
        <v>15</v>
      </c>
      <c r="C25" s="613"/>
      <c r="D25" s="664">
        <v>949249</v>
      </c>
      <c r="E25" s="615"/>
      <c r="F25" s="616">
        <v>12</v>
      </c>
      <c r="G25" s="617">
        <f t="shared" si="14"/>
        <v>949249</v>
      </c>
      <c r="H25" s="433">
        <v>1</v>
      </c>
      <c r="I25" s="619">
        <v>1</v>
      </c>
      <c r="J25" s="435">
        <f t="shared" si="12"/>
        <v>949.24900000000002</v>
      </c>
      <c r="K25" s="620">
        <f t="shared" si="13"/>
        <v>0.88800000000000001</v>
      </c>
      <c r="L25" s="621">
        <f>J25*K25</f>
        <v>842.93311200000005</v>
      </c>
      <c r="M25" s="518" t="s">
        <v>349</v>
      </c>
      <c r="O25" s="643"/>
    </row>
    <row r="26" spans="1:15" s="443" customFormat="1" ht="31.5" customHeight="1">
      <c r="A26" s="836"/>
      <c r="B26" s="612">
        <v>16</v>
      </c>
      <c r="C26" s="613"/>
      <c r="D26" s="664">
        <f>1801354+137*480</f>
        <v>1867114</v>
      </c>
      <c r="E26" s="615"/>
      <c r="F26" s="616">
        <v>12</v>
      </c>
      <c r="G26" s="617">
        <f t="shared" ref="G26" si="16">C26+D26+E26</f>
        <v>1867114</v>
      </c>
      <c r="H26" s="433">
        <v>1</v>
      </c>
      <c r="I26" s="619">
        <v>1</v>
      </c>
      <c r="J26" s="435">
        <f t="shared" si="12"/>
        <v>1867.114</v>
      </c>
      <c r="K26" s="620">
        <f t="shared" si="13"/>
        <v>0.88800000000000001</v>
      </c>
      <c r="L26" s="621">
        <f>J26*K26</f>
        <v>1657.9972319999999</v>
      </c>
      <c r="M26" s="518" t="str">
        <f ca="1">+_xlfn.FORMULATEXT(D26)</f>
        <v>=1801354+137*480</v>
      </c>
      <c r="O26" s="643"/>
    </row>
    <row r="27" spans="1:15" s="443" customFormat="1" ht="31.5" customHeight="1">
      <c r="A27" s="834" t="s">
        <v>688</v>
      </c>
      <c r="B27" s="401">
        <v>17</v>
      </c>
      <c r="C27" s="405"/>
      <c r="D27" s="663">
        <v>536644</v>
      </c>
      <c r="E27" s="459"/>
      <c r="F27" s="420">
        <v>12</v>
      </c>
      <c r="G27" s="432">
        <f>C27+D27+E27</f>
        <v>536644</v>
      </c>
      <c r="H27" s="433">
        <v>1</v>
      </c>
      <c r="I27" s="433">
        <v>1</v>
      </c>
      <c r="J27" s="435">
        <f t="shared" si="12"/>
        <v>536.64400000000001</v>
      </c>
      <c r="K27" s="435">
        <f t="shared" si="13"/>
        <v>0.88800000000000001</v>
      </c>
      <c r="L27" s="460">
        <f>J27*K27</f>
        <v>476.539872</v>
      </c>
      <c r="M27" s="518" t="s">
        <v>349</v>
      </c>
      <c r="O27" s="643"/>
    </row>
    <row r="28" spans="1:15" s="443" customFormat="1" ht="31.5" customHeight="1">
      <c r="A28" s="835"/>
      <c r="B28" s="401">
        <v>18</v>
      </c>
      <c r="C28" s="405"/>
      <c r="D28" s="663">
        <f>1452198+81*480</f>
        <v>1491078</v>
      </c>
      <c r="E28" s="459"/>
      <c r="F28" s="420">
        <v>12</v>
      </c>
      <c r="G28" s="432">
        <f t="shared" ref="G28:G30" si="17">C28+D28+E28</f>
        <v>1491078</v>
      </c>
      <c r="H28" s="433">
        <v>1</v>
      </c>
      <c r="I28" s="421">
        <v>1</v>
      </c>
      <c r="J28" s="435">
        <f t="shared" si="12"/>
        <v>1491.078</v>
      </c>
      <c r="K28" s="435">
        <f t="shared" si="13"/>
        <v>0.88800000000000001</v>
      </c>
      <c r="L28" s="460">
        <f t="shared" ref="L28" si="18">J28*K28</f>
        <v>1324.077264</v>
      </c>
      <c r="M28" s="518" t="str">
        <f ca="1">+_xlfn.FORMULATEXT(D28)</f>
        <v>=1452198+81*480</v>
      </c>
    </row>
    <row r="29" spans="1:15" s="443" customFormat="1" ht="31.5" customHeight="1">
      <c r="A29" s="888" t="s">
        <v>689</v>
      </c>
      <c r="B29" s="612">
        <v>19</v>
      </c>
      <c r="C29" s="613"/>
      <c r="D29" s="664">
        <v>760307</v>
      </c>
      <c r="E29" s="615"/>
      <c r="F29" s="616">
        <v>12</v>
      </c>
      <c r="G29" s="617">
        <f t="shared" ref="G29" si="19">C29+D29+E29</f>
        <v>760307</v>
      </c>
      <c r="H29" s="433">
        <v>1</v>
      </c>
      <c r="I29" s="619">
        <v>1</v>
      </c>
      <c r="J29" s="435">
        <f t="shared" si="12"/>
        <v>760.30700000000002</v>
      </c>
      <c r="K29" s="620">
        <f t="shared" si="13"/>
        <v>0.88800000000000001</v>
      </c>
      <c r="L29" s="621">
        <f>J29*K29</f>
        <v>675.15261600000008</v>
      </c>
      <c r="M29" s="622" t="s">
        <v>349</v>
      </c>
      <c r="O29" s="643"/>
    </row>
    <row r="30" spans="1:15" s="443" customFormat="1" ht="31.5" customHeight="1">
      <c r="A30" s="887"/>
      <c r="B30" s="612">
        <v>20</v>
      </c>
      <c r="C30" s="613"/>
      <c r="D30" s="664">
        <f>1394129+103*480</f>
        <v>1443569</v>
      </c>
      <c r="E30" s="615"/>
      <c r="F30" s="616">
        <v>12</v>
      </c>
      <c r="G30" s="617">
        <f t="shared" si="17"/>
        <v>1443569</v>
      </c>
      <c r="H30" s="433">
        <v>1</v>
      </c>
      <c r="I30" s="619">
        <v>1</v>
      </c>
      <c r="J30" s="435">
        <f t="shared" si="12"/>
        <v>1443.569</v>
      </c>
      <c r="K30" s="620">
        <f t="shared" si="13"/>
        <v>0.88800000000000001</v>
      </c>
      <c r="L30" s="621">
        <f>J30*K30</f>
        <v>1281.8892719999999</v>
      </c>
      <c r="M30" s="518" t="str">
        <f ca="1">+_xlfn.FORMULATEXT(D30)</f>
        <v>=1394129+103*480</v>
      </c>
      <c r="O30" s="643"/>
    </row>
    <row r="31" spans="1:15" s="519" customFormat="1" ht="22.15" customHeight="1">
      <c r="A31" s="649" t="s">
        <v>690</v>
      </c>
      <c r="B31" s="650"/>
      <c r="C31" s="651"/>
      <c r="D31" s="662"/>
      <c r="E31" s="653"/>
      <c r="F31" s="654"/>
      <c r="G31" s="654"/>
      <c r="H31" s="654"/>
      <c r="I31" s="654"/>
      <c r="J31" s="655"/>
      <c r="K31" s="654"/>
      <c r="L31" s="655"/>
      <c r="M31" s="656"/>
    </row>
    <row r="32" spans="1:15" s="443" customFormat="1" ht="31.5" customHeight="1">
      <c r="A32" s="834" t="s">
        <v>691</v>
      </c>
      <c r="B32" s="401">
        <v>21</v>
      </c>
      <c r="C32" s="405"/>
      <c r="D32" s="663">
        <v>195956</v>
      </c>
      <c r="E32" s="459"/>
      <c r="F32" s="420">
        <v>12</v>
      </c>
      <c r="G32" s="432">
        <f>C32+D32+E32</f>
        <v>195956</v>
      </c>
      <c r="H32" s="433">
        <v>1</v>
      </c>
      <c r="I32" s="433">
        <v>1</v>
      </c>
      <c r="J32" s="435">
        <f t="shared" ref="J32:J37" si="20">G32*H32*I32/1000</f>
        <v>195.95599999999999</v>
      </c>
      <c r="K32" s="435">
        <f t="shared" ref="K32:K37" si="21">_xlfn.XLOOKUP(F32,$O$5:$W$5,$O$6:$W$6,"NOT_FOUND",0)</f>
        <v>0.88800000000000001</v>
      </c>
      <c r="L32" s="460">
        <f>J32*K32</f>
        <v>174.008928</v>
      </c>
      <c r="M32" s="412" t="s">
        <v>349</v>
      </c>
      <c r="O32" s="643"/>
    </row>
    <row r="33" spans="1:15" s="443" customFormat="1" ht="31.5" customHeight="1">
      <c r="A33" s="835"/>
      <c r="B33" s="401">
        <v>22</v>
      </c>
      <c r="C33" s="405"/>
      <c r="D33" s="663">
        <f>392211+29*480</f>
        <v>406131</v>
      </c>
      <c r="E33" s="459"/>
      <c r="F33" s="420">
        <v>12</v>
      </c>
      <c r="G33" s="432">
        <f t="shared" ref="G33:G34" si="22">C33+D33+E33</f>
        <v>406131</v>
      </c>
      <c r="H33" s="433">
        <v>1</v>
      </c>
      <c r="I33" s="421">
        <v>1</v>
      </c>
      <c r="J33" s="435">
        <f t="shared" si="20"/>
        <v>406.13099999999997</v>
      </c>
      <c r="K33" s="435">
        <f t="shared" si="21"/>
        <v>0.88800000000000001</v>
      </c>
      <c r="L33" s="460">
        <f t="shared" ref="L33" si="23">J33*K33</f>
        <v>360.64432799999997</v>
      </c>
      <c r="M33" s="518" t="str">
        <f ca="1">+_xlfn.FORMULATEXT(D33)</f>
        <v>=392211+29*480</v>
      </c>
    </row>
    <row r="34" spans="1:15" s="443" customFormat="1" ht="31.5" customHeight="1">
      <c r="A34" s="629" t="s">
        <v>692</v>
      </c>
      <c r="B34" s="612">
        <v>23</v>
      </c>
      <c r="C34" s="613"/>
      <c r="D34" s="664">
        <v>582828</v>
      </c>
      <c r="E34" s="615"/>
      <c r="F34" s="616">
        <v>12</v>
      </c>
      <c r="G34" s="617">
        <f t="shared" si="22"/>
        <v>582828</v>
      </c>
      <c r="H34" s="433">
        <v>1</v>
      </c>
      <c r="I34" s="619">
        <v>1</v>
      </c>
      <c r="J34" s="435">
        <f t="shared" si="20"/>
        <v>582.82799999999997</v>
      </c>
      <c r="K34" s="620">
        <f t="shared" si="21"/>
        <v>0.88800000000000001</v>
      </c>
      <c r="L34" s="621">
        <f>J34*K34</f>
        <v>517.55126399999995</v>
      </c>
      <c r="M34" s="518" t="s">
        <v>349</v>
      </c>
      <c r="O34" s="643"/>
    </row>
    <row r="35" spans="1:15" s="443" customFormat="1" ht="31.5" customHeight="1">
      <c r="A35" s="834" t="s">
        <v>693</v>
      </c>
      <c r="B35" s="401">
        <v>24</v>
      </c>
      <c r="C35" s="405"/>
      <c r="D35" s="663">
        <v>140218</v>
      </c>
      <c r="E35" s="459"/>
      <c r="F35" s="420">
        <v>12</v>
      </c>
      <c r="G35" s="432">
        <f>C35+D35+E35</f>
        <v>140218</v>
      </c>
      <c r="H35" s="433">
        <v>1</v>
      </c>
      <c r="I35" s="433">
        <v>1</v>
      </c>
      <c r="J35" s="435">
        <f t="shared" si="20"/>
        <v>140.21799999999999</v>
      </c>
      <c r="K35" s="435">
        <f t="shared" si="21"/>
        <v>0.88800000000000001</v>
      </c>
      <c r="L35" s="460">
        <f>J35*K35</f>
        <v>124.51358399999999</v>
      </c>
      <c r="M35" s="518" t="s">
        <v>349</v>
      </c>
      <c r="O35" s="643"/>
    </row>
    <row r="36" spans="1:15" s="443" customFormat="1" ht="31.5" customHeight="1">
      <c r="A36" s="835"/>
      <c r="B36" s="401">
        <v>25</v>
      </c>
      <c r="C36" s="405"/>
      <c r="D36" s="663">
        <f>317042+23*480</f>
        <v>328082</v>
      </c>
      <c r="E36" s="459"/>
      <c r="F36" s="420">
        <v>12</v>
      </c>
      <c r="G36" s="432">
        <f t="shared" ref="G36:G37" si="24">C36+D36+E36</f>
        <v>328082</v>
      </c>
      <c r="H36" s="433">
        <v>1</v>
      </c>
      <c r="I36" s="421">
        <v>1</v>
      </c>
      <c r="J36" s="435">
        <f t="shared" si="20"/>
        <v>328.08199999999999</v>
      </c>
      <c r="K36" s="435">
        <f t="shared" si="21"/>
        <v>0.88800000000000001</v>
      </c>
      <c r="L36" s="460">
        <f t="shared" ref="L36" si="25">J36*K36</f>
        <v>291.336816</v>
      </c>
      <c r="M36" s="518" t="str">
        <f ca="1">+_xlfn.FORMULATEXT(D36)</f>
        <v>=317042+23*480</v>
      </c>
    </row>
    <row r="37" spans="1:15" s="443" customFormat="1" ht="31.5" customHeight="1">
      <c r="A37" s="629" t="s">
        <v>694</v>
      </c>
      <c r="B37" s="612">
        <v>26</v>
      </c>
      <c r="C37" s="613"/>
      <c r="D37" s="664">
        <v>466849</v>
      </c>
      <c r="E37" s="615"/>
      <c r="F37" s="616">
        <v>12</v>
      </c>
      <c r="G37" s="617">
        <f t="shared" si="24"/>
        <v>466849</v>
      </c>
      <c r="H37" s="433">
        <v>1</v>
      </c>
      <c r="I37" s="619">
        <v>1</v>
      </c>
      <c r="J37" s="435">
        <f t="shared" si="20"/>
        <v>466.84899999999999</v>
      </c>
      <c r="K37" s="620">
        <f t="shared" si="21"/>
        <v>0.88800000000000001</v>
      </c>
      <c r="L37" s="621">
        <f>J37*K37</f>
        <v>414.56191200000001</v>
      </c>
      <c r="M37" s="622" t="s">
        <v>349</v>
      </c>
      <c r="O37" s="643"/>
    </row>
    <row r="38" spans="1:15" s="519" customFormat="1" ht="22.15" customHeight="1">
      <c r="A38" s="649" t="s">
        <v>708</v>
      </c>
      <c r="B38" s="650"/>
      <c r="C38" s="651"/>
      <c r="D38" s="662"/>
      <c r="E38" s="653"/>
      <c r="F38" s="654"/>
      <c r="G38" s="654"/>
      <c r="H38" s="654"/>
      <c r="I38" s="654"/>
      <c r="J38" s="655"/>
      <c r="K38" s="654"/>
      <c r="L38" s="655"/>
      <c r="M38" s="656"/>
    </row>
    <row r="39" spans="1:15" s="443" customFormat="1" ht="31.5" customHeight="1">
      <c r="A39" s="834" t="s">
        <v>706</v>
      </c>
      <c r="B39" s="401">
        <v>27</v>
      </c>
      <c r="C39" s="405"/>
      <c r="D39" s="663">
        <v>371731</v>
      </c>
      <c r="E39" s="459"/>
      <c r="F39" s="420">
        <v>12</v>
      </c>
      <c r="G39" s="432">
        <f>C39+D39+E39</f>
        <v>371731</v>
      </c>
      <c r="H39" s="433">
        <v>1</v>
      </c>
      <c r="I39" s="433">
        <v>1</v>
      </c>
      <c r="J39" s="435">
        <f t="shared" ref="J39:J44" si="26">G39*H39*I39/1000</f>
        <v>371.73099999999999</v>
      </c>
      <c r="K39" s="435">
        <f t="shared" ref="K39:K44" si="27">_xlfn.XLOOKUP(F39,$O$5:$W$5,$O$6:$W$6,"NOT_FOUND",0)</f>
        <v>0.88800000000000001</v>
      </c>
      <c r="L39" s="460">
        <f t="shared" ref="L39:L44" si="28">J39*K39</f>
        <v>330.097128</v>
      </c>
      <c r="M39" s="412" t="s">
        <v>349</v>
      </c>
      <c r="O39" s="643"/>
    </row>
    <row r="40" spans="1:15" s="443" customFormat="1" ht="31.5" customHeight="1">
      <c r="A40" s="887"/>
      <c r="B40" s="401">
        <v>28</v>
      </c>
      <c r="C40" s="405"/>
      <c r="D40" s="663">
        <f>46884+4*480</f>
        <v>48804</v>
      </c>
      <c r="E40" s="459"/>
      <c r="F40" s="420">
        <v>12</v>
      </c>
      <c r="G40" s="432">
        <f>C40+D40+E40</f>
        <v>48804</v>
      </c>
      <c r="H40" s="433">
        <v>1</v>
      </c>
      <c r="I40" s="433">
        <v>1</v>
      </c>
      <c r="J40" s="435">
        <f t="shared" si="26"/>
        <v>48.804000000000002</v>
      </c>
      <c r="K40" s="435">
        <f t="shared" si="27"/>
        <v>0.88800000000000001</v>
      </c>
      <c r="L40" s="460">
        <f t="shared" si="28"/>
        <v>43.337952000000001</v>
      </c>
      <c r="M40" s="518" t="str">
        <f ca="1">+_xlfn.FORMULATEXT(D40)</f>
        <v>=46884+4*480</v>
      </c>
      <c r="O40" s="643"/>
    </row>
    <row r="41" spans="1:15" s="443" customFormat="1" ht="31.5">
      <c r="A41" s="629" t="s">
        <v>692</v>
      </c>
      <c r="B41" s="612">
        <v>29</v>
      </c>
      <c r="C41" s="613"/>
      <c r="D41" s="664">
        <v>412719</v>
      </c>
      <c r="E41" s="615"/>
      <c r="F41" s="616">
        <v>12</v>
      </c>
      <c r="G41" s="617">
        <f t="shared" ref="G41" si="29">C41+D41+E41</f>
        <v>412719</v>
      </c>
      <c r="H41" s="619">
        <v>1</v>
      </c>
      <c r="I41" s="619">
        <v>1</v>
      </c>
      <c r="J41" s="435">
        <f t="shared" si="26"/>
        <v>412.71899999999999</v>
      </c>
      <c r="K41" s="620">
        <f t="shared" si="27"/>
        <v>0.88800000000000001</v>
      </c>
      <c r="L41" s="621">
        <f t="shared" si="28"/>
        <v>366.49447199999997</v>
      </c>
      <c r="M41" s="518" t="s">
        <v>349</v>
      </c>
      <c r="O41" s="643"/>
    </row>
    <row r="42" spans="1:15" s="443" customFormat="1" ht="31.5" customHeight="1">
      <c r="A42" s="834" t="s">
        <v>707</v>
      </c>
      <c r="B42" s="401">
        <v>30</v>
      </c>
      <c r="C42" s="405"/>
      <c r="D42" s="663">
        <v>139490</v>
      </c>
      <c r="E42" s="459"/>
      <c r="F42" s="420">
        <v>12</v>
      </c>
      <c r="G42" s="432">
        <f>C42+D42+E42</f>
        <v>139490</v>
      </c>
      <c r="H42" s="433">
        <v>1</v>
      </c>
      <c r="I42" s="433">
        <v>1</v>
      </c>
      <c r="J42" s="435">
        <f t="shared" si="26"/>
        <v>139.49</v>
      </c>
      <c r="K42" s="435">
        <f t="shared" si="27"/>
        <v>0.88800000000000001</v>
      </c>
      <c r="L42" s="460">
        <f t="shared" si="28"/>
        <v>123.86712000000001</v>
      </c>
      <c r="M42" s="518" t="s">
        <v>349</v>
      </c>
      <c r="O42" s="643"/>
    </row>
    <row r="43" spans="1:15" s="443" customFormat="1" ht="31.5" customHeight="1">
      <c r="A43" s="887"/>
      <c r="B43" s="401">
        <v>31</v>
      </c>
      <c r="C43" s="405"/>
      <c r="D43" s="663">
        <f>187373+23*480</f>
        <v>198413</v>
      </c>
      <c r="E43" s="459"/>
      <c r="F43" s="420">
        <v>12</v>
      </c>
      <c r="G43" s="432">
        <f>C43+D43+E43</f>
        <v>198413</v>
      </c>
      <c r="H43" s="433">
        <v>1</v>
      </c>
      <c r="I43" s="433">
        <v>1</v>
      </c>
      <c r="J43" s="435">
        <f t="shared" si="26"/>
        <v>198.41300000000001</v>
      </c>
      <c r="K43" s="435">
        <f t="shared" si="27"/>
        <v>0.88800000000000001</v>
      </c>
      <c r="L43" s="460">
        <f t="shared" si="28"/>
        <v>176.19074400000002</v>
      </c>
      <c r="M43" s="518" t="str">
        <f ca="1">+_xlfn.FORMULATEXT(D43)</f>
        <v>=187373+23*480</v>
      </c>
      <c r="O43" s="643"/>
    </row>
    <row r="44" spans="1:15" s="443" customFormat="1" ht="31.5">
      <c r="A44" s="629" t="s">
        <v>694</v>
      </c>
      <c r="B44" s="612">
        <v>32</v>
      </c>
      <c r="C44" s="613"/>
      <c r="D44" s="664">
        <v>330146</v>
      </c>
      <c r="E44" s="615"/>
      <c r="F44" s="616">
        <v>12</v>
      </c>
      <c r="G44" s="617">
        <f t="shared" ref="G44" si="30">C44+D44+E44</f>
        <v>330146</v>
      </c>
      <c r="H44" s="619">
        <v>1</v>
      </c>
      <c r="I44" s="619">
        <v>1</v>
      </c>
      <c r="J44" s="435">
        <f t="shared" si="26"/>
        <v>330.14600000000002</v>
      </c>
      <c r="K44" s="620">
        <f t="shared" si="27"/>
        <v>0.88800000000000001</v>
      </c>
      <c r="L44" s="621">
        <f t="shared" si="28"/>
        <v>293.169648</v>
      </c>
      <c r="M44" s="622" t="s">
        <v>349</v>
      </c>
      <c r="O44" s="643"/>
    </row>
    <row r="45" spans="1:15" s="519" customFormat="1" ht="22.15" customHeight="1">
      <c r="A45" s="649" t="s">
        <v>709</v>
      </c>
      <c r="B45" s="650"/>
      <c r="C45" s="651"/>
      <c r="D45" s="662"/>
      <c r="E45" s="653"/>
      <c r="F45" s="654"/>
      <c r="G45" s="654"/>
      <c r="H45" s="654"/>
      <c r="I45" s="654"/>
      <c r="J45" s="655"/>
      <c r="K45" s="654"/>
      <c r="L45" s="655"/>
      <c r="M45" s="656"/>
    </row>
    <row r="46" spans="1:15" s="443" customFormat="1" ht="31.5" customHeight="1">
      <c r="A46" s="668" t="s">
        <v>710</v>
      </c>
      <c r="B46" s="401">
        <v>1</v>
      </c>
      <c r="C46" s="405"/>
      <c r="D46" s="663">
        <f>114940+9*480</f>
        <v>119260</v>
      </c>
      <c r="E46" s="459"/>
      <c r="F46" s="420">
        <v>12</v>
      </c>
      <c r="G46" s="432">
        <f>C46+D46+E46</f>
        <v>119260</v>
      </c>
      <c r="H46" s="433">
        <v>6</v>
      </c>
      <c r="I46" s="433">
        <v>1</v>
      </c>
      <c r="J46" s="435">
        <f t="shared" ref="J46:J49" si="31">G46*H46*I46/1000</f>
        <v>715.56</v>
      </c>
      <c r="K46" s="435">
        <f>_xlfn.XLOOKUP(F46,$O$5:$W$5,$O$6:$W$6,"NOT_FOUND",0)</f>
        <v>0.88800000000000001</v>
      </c>
      <c r="L46" s="460">
        <f>J46*K46</f>
        <v>635.41728000000001</v>
      </c>
      <c r="M46" s="518" t="str">
        <f ca="1">+_xlfn.FORMULATEXT(D46)</f>
        <v>=114940+9*480</v>
      </c>
      <c r="O46" s="643"/>
    </row>
    <row r="47" spans="1:15" s="443" customFormat="1" ht="31.5" customHeight="1">
      <c r="A47" s="629" t="s">
        <v>711</v>
      </c>
      <c r="B47" s="401">
        <v>2</v>
      </c>
      <c r="C47" s="405">
        <v>100</v>
      </c>
      <c r="D47" s="663">
        <v>1230</v>
      </c>
      <c r="E47" s="459">
        <v>100</v>
      </c>
      <c r="F47" s="420">
        <v>12</v>
      </c>
      <c r="G47" s="432">
        <f>C47+D47+E47</f>
        <v>1430</v>
      </c>
      <c r="H47" s="433">
        <v>762</v>
      </c>
      <c r="I47" s="433">
        <v>1</v>
      </c>
      <c r="J47" s="435">
        <f t="shared" si="31"/>
        <v>1089.6600000000001</v>
      </c>
      <c r="K47" s="435">
        <f>_xlfn.XLOOKUP(F47,$O$5:$W$5,$O$6:$W$6,"NOT_FOUND",0)</f>
        <v>0.88800000000000001</v>
      </c>
      <c r="L47" s="460">
        <f>J47*K47</f>
        <v>967.61808000000008</v>
      </c>
      <c r="M47" s="518"/>
      <c r="O47" s="643"/>
    </row>
    <row r="48" spans="1:15" s="443" customFormat="1" ht="31.5">
      <c r="A48" s="668" t="s">
        <v>707</v>
      </c>
      <c r="B48" s="612">
        <v>1</v>
      </c>
      <c r="C48" s="613"/>
      <c r="D48" s="663">
        <f>114940+480*9</f>
        <v>119260</v>
      </c>
      <c r="E48" s="615"/>
      <c r="F48" s="616">
        <v>12</v>
      </c>
      <c r="G48" s="617">
        <f t="shared" ref="G48" si="32">C48+D48+E48</f>
        <v>119260</v>
      </c>
      <c r="H48" s="619">
        <v>4</v>
      </c>
      <c r="I48" s="619">
        <v>1</v>
      </c>
      <c r="J48" s="435">
        <f t="shared" si="31"/>
        <v>477.04</v>
      </c>
      <c r="K48" s="620">
        <f>_xlfn.XLOOKUP(F48,$O$5:$W$5,$O$6:$W$6,"NOT_FOUND",0)</f>
        <v>0.88800000000000001</v>
      </c>
      <c r="L48" s="621">
        <f>J48*K48</f>
        <v>423.61152000000004</v>
      </c>
      <c r="M48" s="518" t="str">
        <f ca="1">+_xlfn.FORMULATEXT(D48)</f>
        <v>=114940+480*9</v>
      </c>
      <c r="O48" s="643"/>
    </row>
    <row r="49" spans="1:15" s="443" customFormat="1" ht="31.5" customHeight="1">
      <c r="A49" s="629" t="s">
        <v>712</v>
      </c>
      <c r="B49" s="401">
        <v>2</v>
      </c>
      <c r="C49" s="405">
        <v>260</v>
      </c>
      <c r="D49" s="663">
        <v>1270</v>
      </c>
      <c r="E49" s="459">
        <v>260</v>
      </c>
      <c r="F49" s="420">
        <v>12</v>
      </c>
      <c r="G49" s="432">
        <f>C49+D49+E49</f>
        <v>1790</v>
      </c>
      <c r="H49" s="433">
        <v>572</v>
      </c>
      <c r="I49" s="433">
        <v>1</v>
      </c>
      <c r="J49" s="435">
        <f t="shared" si="31"/>
        <v>1023.88</v>
      </c>
      <c r="K49" s="435">
        <f>_xlfn.XLOOKUP(F49,$O$5:$W$5,$O$6:$W$6,"NOT_FOUND",0)</f>
        <v>0.88800000000000001</v>
      </c>
      <c r="L49" s="460">
        <f>J49*K49</f>
        <v>909.20543999999995</v>
      </c>
      <c r="M49" s="518"/>
      <c r="O49" s="643"/>
    </row>
    <row r="50" spans="1:15" s="519" customFormat="1" ht="22.15" customHeight="1">
      <c r="A50" s="649" t="s">
        <v>736</v>
      </c>
      <c r="B50" s="650"/>
      <c r="C50" s="651"/>
      <c r="D50" s="662"/>
      <c r="E50" s="653"/>
      <c r="F50" s="654"/>
      <c r="G50" s="654"/>
      <c r="H50" s="654"/>
      <c r="I50" s="654"/>
      <c r="J50" s="655"/>
      <c r="K50" s="654"/>
      <c r="L50" s="655"/>
      <c r="M50" s="656"/>
    </row>
    <row r="51" spans="1:15" s="443" customFormat="1" ht="31.5" customHeight="1">
      <c r="A51" s="668" t="s">
        <v>710</v>
      </c>
      <c r="B51" s="401">
        <v>1</v>
      </c>
      <c r="C51" s="405"/>
      <c r="D51" s="663">
        <f>391720+480*9*3</f>
        <v>404680</v>
      </c>
      <c r="E51" s="459"/>
      <c r="F51" s="420">
        <v>12</v>
      </c>
      <c r="G51" s="432">
        <f>C51+D51+E51</f>
        <v>404680</v>
      </c>
      <c r="H51" s="433">
        <v>1</v>
      </c>
      <c r="I51" s="433">
        <v>2</v>
      </c>
      <c r="J51" s="435">
        <f t="shared" ref="J51:J54" si="33">G51*H51*I51/1000</f>
        <v>809.36</v>
      </c>
      <c r="K51" s="435">
        <f>_xlfn.XLOOKUP(F51,$O$5:$W$5,$O$6:$W$6,"NOT_FOUND",0)</f>
        <v>0.88800000000000001</v>
      </c>
      <c r="L51" s="460">
        <f>J51*K51</f>
        <v>718.71168</v>
      </c>
      <c r="M51" s="518" t="str">
        <f ca="1">+_xlfn.FORMULATEXT(D51)</f>
        <v>=391720+480*9*3</v>
      </c>
      <c r="O51" s="643"/>
    </row>
    <row r="52" spans="1:15" s="443" customFormat="1" ht="31.5" customHeight="1">
      <c r="A52" s="629" t="s">
        <v>711</v>
      </c>
      <c r="B52" s="401">
        <v>2</v>
      </c>
      <c r="C52" s="405"/>
      <c r="D52" s="663">
        <v>536786</v>
      </c>
      <c r="E52" s="459"/>
      <c r="F52" s="420">
        <v>12</v>
      </c>
      <c r="G52" s="432">
        <f>C52+D52+E52</f>
        <v>536786</v>
      </c>
      <c r="H52" s="433">
        <v>1</v>
      </c>
      <c r="I52" s="433">
        <v>2</v>
      </c>
      <c r="J52" s="435">
        <f t="shared" si="33"/>
        <v>1073.5719999999999</v>
      </c>
      <c r="K52" s="435">
        <f>_xlfn.XLOOKUP(F52,$O$5:$W$5,$O$6:$W$6,"NOT_FOUND",0)</f>
        <v>0.88800000000000001</v>
      </c>
      <c r="L52" s="460">
        <f>J52*K52</f>
        <v>953.33193599999993</v>
      </c>
      <c r="M52" s="518"/>
      <c r="O52" s="643"/>
    </row>
    <row r="53" spans="1:15" s="443" customFormat="1" ht="31.5">
      <c r="A53" s="668" t="s">
        <v>707</v>
      </c>
      <c r="B53" s="612">
        <v>1</v>
      </c>
      <c r="C53" s="613"/>
      <c r="D53" s="663">
        <f>307157+7*3*480</f>
        <v>317237</v>
      </c>
      <c r="E53" s="615"/>
      <c r="F53" s="616">
        <v>12</v>
      </c>
      <c r="G53" s="617">
        <f t="shared" ref="G53" si="34">C53+D53+E53</f>
        <v>317237</v>
      </c>
      <c r="H53" s="619">
        <v>1</v>
      </c>
      <c r="I53" s="619">
        <v>2</v>
      </c>
      <c r="J53" s="435">
        <f t="shared" si="33"/>
        <v>634.47400000000005</v>
      </c>
      <c r="K53" s="620">
        <f>_xlfn.XLOOKUP(F53,$O$5:$W$5,$O$6:$W$6,"NOT_FOUND",0)</f>
        <v>0.88800000000000001</v>
      </c>
      <c r="L53" s="621">
        <f>J53*K53</f>
        <v>563.41291200000001</v>
      </c>
      <c r="M53" s="518" t="str">
        <f ca="1">+_xlfn.FORMULATEXT(D53)</f>
        <v>=307157+7*3*480</v>
      </c>
      <c r="O53" s="643"/>
    </row>
    <row r="54" spans="1:15" s="443" customFormat="1" ht="31.5" customHeight="1">
      <c r="A54" s="629" t="s">
        <v>712</v>
      </c>
      <c r="B54" s="401">
        <v>2</v>
      </c>
      <c r="C54" s="405"/>
      <c r="D54" s="663">
        <v>481869</v>
      </c>
      <c r="E54" s="459"/>
      <c r="F54" s="420">
        <v>12</v>
      </c>
      <c r="G54" s="432">
        <f>C54+D54+E54</f>
        <v>481869</v>
      </c>
      <c r="H54" s="433">
        <v>1</v>
      </c>
      <c r="I54" s="433">
        <v>2</v>
      </c>
      <c r="J54" s="435">
        <f t="shared" si="33"/>
        <v>963.73800000000006</v>
      </c>
      <c r="K54" s="435">
        <f>_xlfn.XLOOKUP(F54,$O$5:$W$5,$O$6:$W$6,"NOT_FOUND",0)</f>
        <v>0.88800000000000001</v>
      </c>
      <c r="L54" s="460">
        <f>J54*K54</f>
        <v>855.79934400000002</v>
      </c>
      <c r="M54" s="518"/>
      <c r="O54" s="643"/>
    </row>
    <row r="55" spans="1:15" s="519" customFormat="1" ht="22.15" customHeight="1">
      <c r="A55" s="649" t="s">
        <v>696</v>
      </c>
      <c r="B55" s="650"/>
      <c r="C55" s="651"/>
      <c r="D55" s="662"/>
      <c r="E55" s="653"/>
      <c r="F55" s="654"/>
      <c r="G55" s="654"/>
      <c r="H55" s="654"/>
      <c r="I55" s="654"/>
      <c r="J55" s="655"/>
      <c r="K55" s="654"/>
      <c r="L55" s="655"/>
      <c r="M55" s="656"/>
    </row>
    <row r="56" spans="1:15" s="443" customFormat="1" ht="31.5" customHeight="1">
      <c r="A56" s="834" t="s">
        <v>696</v>
      </c>
      <c r="B56" s="401" t="s">
        <v>697</v>
      </c>
      <c r="C56" s="405">
        <v>260</v>
      </c>
      <c r="D56" s="663">
        <v>3155</v>
      </c>
      <c r="E56" s="459">
        <v>200</v>
      </c>
      <c r="F56" s="420">
        <v>12</v>
      </c>
      <c r="G56" s="432">
        <f>C56+D56+E56</f>
        <v>3615</v>
      </c>
      <c r="H56" s="433">
        <v>39</v>
      </c>
      <c r="I56" s="433">
        <v>1</v>
      </c>
      <c r="J56" s="435">
        <f t="shared" ref="J56:J76" si="35">G56*H56*I56/1000</f>
        <v>140.98500000000001</v>
      </c>
      <c r="K56" s="435">
        <f t="shared" ref="K56:K76" si="36">_xlfn.XLOOKUP(F56,$O$5:$W$5,$O$6:$W$6,"NOT_FOUND",0)</f>
        <v>0.88800000000000001</v>
      </c>
      <c r="L56" s="460">
        <f>J56*K56</f>
        <v>125.19468000000002</v>
      </c>
      <c r="M56" s="412" t="s">
        <v>349</v>
      </c>
      <c r="O56" s="643"/>
    </row>
    <row r="57" spans="1:15" s="443" customFormat="1" ht="31.5" customHeight="1">
      <c r="A57" s="835"/>
      <c r="B57" s="401" t="s">
        <v>695</v>
      </c>
      <c r="C57" s="405">
        <v>200</v>
      </c>
      <c r="D57" s="663">
        <v>2755</v>
      </c>
      <c r="E57" s="459">
        <v>200</v>
      </c>
      <c r="F57" s="420">
        <v>12</v>
      </c>
      <c r="G57" s="432">
        <f t="shared" ref="G57:G58" si="37">C57+D57+E57</f>
        <v>3155</v>
      </c>
      <c r="H57" s="421">
        <v>40</v>
      </c>
      <c r="I57" s="421">
        <v>1</v>
      </c>
      <c r="J57" s="435">
        <f t="shared" si="35"/>
        <v>126.2</v>
      </c>
      <c r="K57" s="435">
        <f t="shared" si="36"/>
        <v>0.88800000000000001</v>
      </c>
      <c r="L57" s="460">
        <f t="shared" ref="L57" si="38">J57*K57</f>
        <v>112.0656</v>
      </c>
      <c r="M57" s="518"/>
    </row>
    <row r="58" spans="1:15" s="443" customFormat="1" ht="31.5" customHeight="1">
      <c r="A58" s="835"/>
      <c r="B58" s="612" t="s">
        <v>698</v>
      </c>
      <c r="C58" s="613">
        <v>200</v>
      </c>
      <c r="D58" s="664">
        <v>2170</v>
      </c>
      <c r="E58" s="615">
        <v>200</v>
      </c>
      <c r="F58" s="616">
        <v>12</v>
      </c>
      <c r="G58" s="617">
        <f t="shared" si="37"/>
        <v>2570</v>
      </c>
      <c r="H58" s="619">
        <v>27</v>
      </c>
      <c r="I58" s="619">
        <v>1</v>
      </c>
      <c r="J58" s="435">
        <f t="shared" si="35"/>
        <v>69.39</v>
      </c>
      <c r="K58" s="620">
        <f t="shared" si="36"/>
        <v>0.88800000000000001</v>
      </c>
      <c r="L58" s="621">
        <f>J58*K58</f>
        <v>61.618320000000004</v>
      </c>
      <c r="M58" s="518" t="s">
        <v>349</v>
      </c>
      <c r="O58" s="643"/>
    </row>
    <row r="59" spans="1:15" s="443" customFormat="1" ht="31.5" customHeight="1">
      <c r="A59" s="835"/>
      <c r="B59" s="401">
        <v>8</v>
      </c>
      <c r="C59" s="405">
        <v>200</v>
      </c>
      <c r="D59" s="663">
        <v>1000</v>
      </c>
      <c r="E59" s="459">
        <v>260</v>
      </c>
      <c r="F59" s="420">
        <v>12</v>
      </c>
      <c r="G59" s="432">
        <f>C59+D59+E59</f>
        <v>1460</v>
      </c>
      <c r="H59" s="433">
        <v>18</v>
      </c>
      <c r="I59" s="433">
        <v>1</v>
      </c>
      <c r="J59" s="435">
        <f t="shared" si="35"/>
        <v>26.28</v>
      </c>
      <c r="K59" s="435">
        <f t="shared" si="36"/>
        <v>0.88800000000000001</v>
      </c>
      <c r="L59" s="460">
        <f>J59*K59</f>
        <v>23.336640000000003</v>
      </c>
      <c r="M59" s="518" t="s">
        <v>349</v>
      </c>
      <c r="O59" s="643"/>
    </row>
    <row r="60" spans="1:15" s="443" customFormat="1" ht="31.5" customHeight="1">
      <c r="A60" s="835"/>
      <c r="B60" s="401" t="s">
        <v>248</v>
      </c>
      <c r="C60" s="405">
        <v>260</v>
      </c>
      <c r="D60" s="663">
        <v>1620</v>
      </c>
      <c r="E60" s="459">
        <v>200</v>
      </c>
      <c r="F60" s="420">
        <v>12</v>
      </c>
      <c r="G60" s="432">
        <f t="shared" ref="G60:G61" si="39">C60+D60+E60</f>
        <v>2080</v>
      </c>
      <c r="H60" s="421">
        <v>56</v>
      </c>
      <c r="I60" s="421">
        <v>1</v>
      </c>
      <c r="J60" s="435">
        <f t="shared" si="35"/>
        <v>116.48</v>
      </c>
      <c r="K60" s="435">
        <f t="shared" si="36"/>
        <v>0.88800000000000001</v>
      </c>
      <c r="L60" s="460">
        <f t="shared" ref="L60" si="40">J60*K60</f>
        <v>103.43424</v>
      </c>
      <c r="M60" s="518"/>
    </row>
    <row r="61" spans="1:15" s="443" customFormat="1" ht="31.5" customHeight="1">
      <c r="A61" s="835"/>
      <c r="B61" s="401" t="s">
        <v>699</v>
      </c>
      <c r="C61" s="613">
        <v>260</v>
      </c>
      <c r="D61" s="664">
        <v>1620</v>
      </c>
      <c r="E61" s="459">
        <v>200</v>
      </c>
      <c r="F61" s="616">
        <v>12</v>
      </c>
      <c r="G61" s="617">
        <f t="shared" si="39"/>
        <v>2080</v>
      </c>
      <c r="H61" s="619">
        <v>19</v>
      </c>
      <c r="I61" s="619">
        <v>1</v>
      </c>
      <c r="J61" s="435">
        <f t="shared" si="35"/>
        <v>39.520000000000003</v>
      </c>
      <c r="K61" s="620">
        <f t="shared" si="36"/>
        <v>0.88800000000000001</v>
      </c>
      <c r="L61" s="621">
        <f>J61*K61</f>
        <v>35.093760000000003</v>
      </c>
      <c r="M61" s="622" t="s">
        <v>349</v>
      </c>
      <c r="O61" s="643"/>
    </row>
    <row r="62" spans="1:15" s="443" customFormat="1" ht="31.5" customHeight="1">
      <c r="A62" s="835"/>
      <c r="B62" s="401" t="s">
        <v>700</v>
      </c>
      <c r="C62" s="405">
        <v>260</v>
      </c>
      <c r="D62" s="663">
        <v>1620</v>
      </c>
      <c r="E62" s="459">
        <v>200</v>
      </c>
      <c r="F62" s="420">
        <v>12</v>
      </c>
      <c r="G62" s="432">
        <f t="shared" ref="G62:G65" si="41">C62+D62+E62</f>
        <v>2080</v>
      </c>
      <c r="H62" s="421">
        <v>19</v>
      </c>
      <c r="I62" s="421">
        <v>1</v>
      </c>
      <c r="J62" s="435">
        <f t="shared" si="35"/>
        <v>39.520000000000003</v>
      </c>
      <c r="K62" s="435">
        <f t="shared" si="36"/>
        <v>0.88800000000000001</v>
      </c>
      <c r="L62" s="460">
        <f t="shared" ref="L62" si="42">J62*K62</f>
        <v>35.093760000000003</v>
      </c>
      <c r="M62" s="518"/>
    </row>
    <row r="63" spans="1:15" s="443" customFormat="1" ht="31.5" customHeight="1">
      <c r="A63" s="835"/>
      <c r="B63" s="401" t="s">
        <v>701</v>
      </c>
      <c r="C63" s="613">
        <v>260</v>
      </c>
      <c r="D63" s="664">
        <v>1620</v>
      </c>
      <c r="E63" s="459">
        <v>200</v>
      </c>
      <c r="F63" s="616">
        <v>12</v>
      </c>
      <c r="G63" s="617">
        <f t="shared" si="41"/>
        <v>2080</v>
      </c>
      <c r="H63" s="619">
        <v>53</v>
      </c>
      <c r="I63" s="619">
        <v>1</v>
      </c>
      <c r="J63" s="435">
        <f t="shared" si="35"/>
        <v>110.24</v>
      </c>
      <c r="K63" s="620">
        <f t="shared" si="36"/>
        <v>0.88800000000000001</v>
      </c>
      <c r="L63" s="621">
        <f>J63*K63</f>
        <v>97.893119999999996</v>
      </c>
      <c r="M63" s="622" t="s">
        <v>349</v>
      </c>
      <c r="O63" s="643"/>
    </row>
    <row r="64" spans="1:15" s="443" customFormat="1" ht="31.5" customHeight="1">
      <c r="A64" s="835"/>
      <c r="B64" s="401">
        <v>1</v>
      </c>
      <c r="C64" s="405">
        <v>260</v>
      </c>
      <c r="D64" s="663">
        <f>13000/6+200</f>
        <v>2366.6666666666665</v>
      </c>
      <c r="E64" s="459">
        <v>200</v>
      </c>
      <c r="F64" s="420">
        <v>12</v>
      </c>
      <c r="G64" s="432">
        <f t="shared" si="41"/>
        <v>2826.6666666666665</v>
      </c>
      <c r="H64" s="421">
        <v>6</v>
      </c>
      <c r="I64" s="421">
        <v>2</v>
      </c>
      <c r="J64" s="435">
        <f t="shared" si="35"/>
        <v>33.92</v>
      </c>
      <c r="K64" s="435">
        <f t="shared" si="36"/>
        <v>0.88800000000000001</v>
      </c>
      <c r="L64" s="460">
        <f t="shared" ref="L64" si="43">J64*K64</f>
        <v>30.12096</v>
      </c>
      <c r="M64" s="518"/>
    </row>
    <row r="65" spans="1:15" s="443" customFormat="1" ht="31.5" customHeight="1">
      <c r="A65" s="835"/>
      <c r="B65" s="401">
        <v>2</v>
      </c>
      <c r="C65" s="613">
        <v>260</v>
      </c>
      <c r="D65" s="664">
        <v>2780</v>
      </c>
      <c r="E65" s="459">
        <v>200</v>
      </c>
      <c r="F65" s="616">
        <v>12</v>
      </c>
      <c r="G65" s="617">
        <f t="shared" si="41"/>
        <v>3240</v>
      </c>
      <c r="H65" s="619">
        <v>13</v>
      </c>
      <c r="I65" s="619">
        <v>2</v>
      </c>
      <c r="J65" s="435">
        <f t="shared" si="35"/>
        <v>84.24</v>
      </c>
      <c r="K65" s="620">
        <f t="shared" si="36"/>
        <v>0.88800000000000001</v>
      </c>
      <c r="L65" s="621">
        <f>J65*K65</f>
        <v>74.805120000000002</v>
      </c>
      <c r="M65" s="622" t="s">
        <v>349</v>
      </c>
      <c r="O65" s="643"/>
    </row>
    <row r="66" spans="1:15" s="443" customFormat="1" ht="31.5" customHeight="1">
      <c r="A66" s="835"/>
      <c r="B66" s="401">
        <v>3</v>
      </c>
      <c r="C66" s="405">
        <v>260</v>
      </c>
      <c r="D66" s="663">
        <f>9841/5+200</f>
        <v>2168.1999999999998</v>
      </c>
      <c r="E66" s="459">
        <v>200</v>
      </c>
      <c r="F66" s="420">
        <v>12</v>
      </c>
      <c r="G66" s="432">
        <f t="shared" ref="G66:G67" si="44">C66+D66+E66</f>
        <v>2628.2</v>
      </c>
      <c r="H66" s="421">
        <v>5</v>
      </c>
      <c r="I66" s="421">
        <v>2</v>
      </c>
      <c r="J66" s="435">
        <f t="shared" si="35"/>
        <v>26.282</v>
      </c>
      <c r="K66" s="435">
        <f t="shared" si="36"/>
        <v>0.88800000000000001</v>
      </c>
      <c r="L66" s="460">
        <f t="shared" ref="L66" si="45">J66*K66</f>
        <v>23.338415999999999</v>
      </c>
      <c r="M66" s="518"/>
    </row>
    <row r="67" spans="1:15" s="443" customFormat="1" ht="31.5" customHeight="1">
      <c r="A67" s="835"/>
      <c r="B67" s="401">
        <v>4</v>
      </c>
      <c r="C67" s="613">
        <v>260</v>
      </c>
      <c r="D67" s="664">
        <v>2380</v>
      </c>
      <c r="E67" s="459">
        <v>200</v>
      </c>
      <c r="F67" s="616">
        <v>12</v>
      </c>
      <c r="G67" s="617">
        <f t="shared" si="44"/>
        <v>2840</v>
      </c>
      <c r="H67" s="619">
        <v>24</v>
      </c>
      <c r="I67" s="619">
        <v>2</v>
      </c>
      <c r="J67" s="435">
        <f t="shared" si="35"/>
        <v>136.32</v>
      </c>
      <c r="K67" s="620">
        <f t="shared" si="36"/>
        <v>0.88800000000000001</v>
      </c>
      <c r="L67" s="621">
        <f>J67*K67</f>
        <v>121.05216</v>
      </c>
      <c r="M67" s="622" t="s">
        <v>349</v>
      </c>
      <c r="O67" s="643"/>
    </row>
    <row r="68" spans="1:15" s="443" customFormat="1" ht="31.5" customHeight="1">
      <c r="A68" s="835"/>
      <c r="B68" s="401">
        <v>5</v>
      </c>
      <c r="C68" s="405">
        <v>260</v>
      </c>
      <c r="D68" s="663">
        <f>23277/14+200</f>
        <v>1862.6428571428571</v>
      </c>
      <c r="E68" s="459">
        <v>260</v>
      </c>
      <c r="F68" s="420">
        <v>12</v>
      </c>
      <c r="G68" s="432">
        <f t="shared" ref="G68:G74" si="46">C68+D68+E68</f>
        <v>2382.6428571428569</v>
      </c>
      <c r="H68" s="421">
        <v>14</v>
      </c>
      <c r="I68" s="421">
        <v>2</v>
      </c>
      <c r="J68" s="435">
        <f t="shared" si="35"/>
        <v>66.713999999999999</v>
      </c>
      <c r="K68" s="435">
        <f t="shared" si="36"/>
        <v>0.88800000000000001</v>
      </c>
      <c r="L68" s="460">
        <f t="shared" ref="L68:L69" si="47">J68*K68</f>
        <v>59.242032000000002</v>
      </c>
      <c r="M68" s="518"/>
    </row>
    <row r="69" spans="1:15" s="443" customFormat="1" ht="31.5" customHeight="1">
      <c r="A69" s="835"/>
      <c r="B69" s="401" t="s">
        <v>232</v>
      </c>
      <c r="C69" s="405">
        <v>260</v>
      </c>
      <c r="D69" s="663">
        <v>1220</v>
      </c>
      <c r="E69" s="459">
        <v>200</v>
      </c>
      <c r="F69" s="420">
        <v>12</v>
      </c>
      <c r="G69" s="432">
        <f t="shared" si="46"/>
        <v>1680</v>
      </c>
      <c r="H69" s="421">
        <v>32</v>
      </c>
      <c r="I69" s="421">
        <v>1</v>
      </c>
      <c r="J69" s="435">
        <f t="shared" si="35"/>
        <v>53.76</v>
      </c>
      <c r="K69" s="435">
        <f t="shared" si="36"/>
        <v>0.88800000000000001</v>
      </c>
      <c r="L69" s="460">
        <f t="shared" si="47"/>
        <v>47.738880000000002</v>
      </c>
      <c r="M69" s="518"/>
    </row>
    <row r="70" spans="1:15" s="443" customFormat="1" ht="31.5" customHeight="1">
      <c r="A70" s="835"/>
      <c r="B70" s="401">
        <v>6</v>
      </c>
      <c r="C70" s="613">
        <v>260</v>
      </c>
      <c r="D70" s="664">
        <v>2500</v>
      </c>
      <c r="E70" s="459">
        <v>200</v>
      </c>
      <c r="F70" s="616">
        <v>12</v>
      </c>
      <c r="G70" s="617">
        <f t="shared" si="46"/>
        <v>2960</v>
      </c>
      <c r="H70" s="619">
        <v>102</v>
      </c>
      <c r="I70" s="619">
        <v>1</v>
      </c>
      <c r="J70" s="435">
        <f t="shared" si="35"/>
        <v>301.92</v>
      </c>
      <c r="K70" s="620">
        <f t="shared" si="36"/>
        <v>0.88800000000000001</v>
      </c>
      <c r="L70" s="621">
        <f>J70*K70</f>
        <v>268.10496000000001</v>
      </c>
      <c r="M70" s="622" t="s">
        <v>349</v>
      </c>
      <c r="O70" s="643"/>
    </row>
    <row r="71" spans="1:15" s="443" customFormat="1" ht="31.5" customHeight="1">
      <c r="A71" s="835"/>
      <c r="B71" s="401">
        <v>7</v>
      </c>
      <c r="C71" s="405">
        <v>260</v>
      </c>
      <c r="D71" s="663">
        <v>2530</v>
      </c>
      <c r="E71" s="459">
        <v>200</v>
      </c>
      <c r="F71" s="420">
        <v>12</v>
      </c>
      <c r="G71" s="432">
        <f t="shared" si="46"/>
        <v>2990</v>
      </c>
      <c r="H71" s="421">
        <v>85</v>
      </c>
      <c r="I71" s="421">
        <v>1</v>
      </c>
      <c r="J71" s="435">
        <f t="shared" si="35"/>
        <v>254.15</v>
      </c>
      <c r="K71" s="435">
        <f t="shared" si="36"/>
        <v>0.88800000000000001</v>
      </c>
      <c r="L71" s="460">
        <f t="shared" ref="L71" si="48">J71*K71</f>
        <v>225.68520000000001</v>
      </c>
      <c r="M71" s="518"/>
    </row>
    <row r="72" spans="1:15" s="443" customFormat="1" ht="31.5" customHeight="1">
      <c r="A72" s="835"/>
      <c r="B72" s="401" t="s">
        <v>238</v>
      </c>
      <c r="C72" s="613">
        <v>260</v>
      </c>
      <c r="D72" s="664">
        <v>1250</v>
      </c>
      <c r="E72" s="459">
        <v>200</v>
      </c>
      <c r="F72" s="616">
        <v>12</v>
      </c>
      <c r="G72" s="617">
        <f t="shared" si="46"/>
        <v>1710</v>
      </c>
      <c r="H72" s="619">
        <v>82</v>
      </c>
      <c r="I72" s="619">
        <v>1</v>
      </c>
      <c r="J72" s="435">
        <f t="shared" si="35"/>
        <v>140.22</v>
      </c>
      <c r="K72" s="620">
        <f t="shared" si="36"/>
        <v>0.88800000000000001</v>
      </c>
      <c r="L72" s="621">
        <f>J72*K72</f>
        <v>124.51536</v>
      </c>
      <c r="M72" s="622" t="s">
        <v>349</v>
      </c>
      <c r="O72" s="643"/>
    </row>
    <row r="73" spans="1:15" s="443" customFormat="1" ht="31.5" customHeight="1">
      <c r="A73" s="835"/>
      <c r="B73" s="401" t="s">
        <v>243</v>
      </c>
      <c r="C73" s="405">
        <v>260</v>
      </c>
      <c r="D73" s="663">
        <v>1175</v>
      </c>
      <c r="E73" s="459">
        <v>200</v>
      </c>
      <c r="F73" s="420">
        <v>12</v>
      </c>
      <c r="G73" s="432">
        <f t="shared" ref="G73" si="49">C73+D73+E73</f>
        <v>1635</v>
      </c>
      <c r="H73" s="421">
        <v>19</v>
      </c>
      <c r="I73" s="421">
        <v>1</v>
      </c>
      <c r="J73" s="435">
        <f t="shared" si="35"/>
        <v>31.065000000000001</v>
      </c>
      <c r="K73" s="435">
        <f t="shared" si="36"/>
        <v>0.88800000000000001</v>
      </c>
      <c r="L73" s="460">
        <f t="shared" ref="L73" si="50">J73*K73</f>
        <v>27.585720000000002</v>
      </c>
      <c r="M73" s="518"/>
    </row>
    <row r="74" spans="1:15" s="443" customFormat="1" ht="31.5" customHeight="1">
      <c r="A74" s="835"/>
      <c r="B74" s="401" t="s">
        <v>245</v>
      </c>
      <c r="C74" s="405">
        <v>200</v>
      </c>
      <c r="D74" s="663">
        <v>2345</v>
      </c>
      <c r="E74" s="459">
        <v>200</v>
      </c>
      <c r="F74" s="420">
        <v>12</v>
      </c>
      <c r="G74" s="432">
        <f t="shared" si="46"/>
        <v>2745</v>
      </c>
      <c r="H74" s="421">
        <v>30</v>
      </c>
      <c r="I74" s="421">
        <v>1</v>
      </c>
      <c r="J74" s="435">
        <f t="shared" si="35"/>
        <v>82.35</v>
      </c>
      <c r="K74" s="435">
        <f t="shared" si="36"/>
        <v>0.88800000000000001</v>
      </c>
      <c r="L74" s="460">
        <f t="shared" ref="L74" si="51">J74*K74</f>
        <v>73.126800000000003</v>
      </c>
      <c r="M74" s="518"/>
    </row>
    <row r="75" spans="1:15" s="443" customFormat="1" ht="31.5" customHeight="1">
      <c r="A75" s="835"/>
      <c r="B75" s="401" t="s">
        <v>702</v>
      </c>
      <c r="C75" s="405">
        <v>200</v>
      </c>
      <c r="D75" s="663">
        <v>1970</v>
      </c>
      <c r="E75" s="459">
        <v>200</v>
      </c>
      <c r="F75" s="420">
        <v>12</v>
      </c>
      <c r="G75" s="432">
        <f t="shared" ref="G75" si="52">C75+D75+E75</f>
        <v>2370</v>
      </c>
      <c r="H75" s="421">
        <v>31</v>
      </c>
      <c r="I75" s="421">
        <v>1</v>
      </c>
      <c r="J75" s="435">
        <f t="shared" si="35"/>
        <v>73.47</v>
      </c>
      <c r="K75" s="435">
        <f t="shared" si="36"/>
        <v>0.88800000000000001</v>
      </c>
      <c r="L75" s="460">
        <f t="shared" ref="L75" si="53">J75*K75</f>
        <v>65.24136</v>
      </c>
      <c r="M75" s="518"/>
    </row>
    <row r="76" spans="1:15" s="443" customFormat="1" ht="31.5" customHeight="1">
      <c r="A76" s="887"/>
      <c r="B76" s="401" t="s">
        <v>703</v>
      </c>
      <c r="C76" s="613">
        <v>260</v>
      </c>
      <c r="D76" s="664">
        <v>800</v>
      </c>
      <c r="E76" s="615">
        <v>260</v>
      </c>
      <c r="F76" s="616">
        <v>12</v>
      </c>
      <c r="G76" s="617">
        <f>C76+D76+E76</f>
        <v>1320</v>
      </c>
      <c r="H76" s="619">
        <v>31</v>
      </c>
      <c r="I76" s="619">
        <v>1</v>
      </c>
      <c r="J76" s="435">
        <f t="shared" si="35"/>
        <v>40.92</v>
      </c>
      <c r="K76" s="620">
        <f t="shared" si="36"/>
        <v>0.88800000000000001</v>
      </c>
      <c r="L76" s="621">
        <f>J76*K76</f>
        <v>36.336960000000005</v>
      </c>
      <c r="M76" s="622" t="s">
        <v>349</v>
      </c>
      <c r="O76" s="643"/>
    </row>
    <row r="77" spans="1:15" s="443" customFormat="1" ht="25.15" customHeight="1">
      <c r="A77" s="889" t="s">
        <v>636</v>
      </c>
      <c r="B77" s="890"/>
      <c r="C77" s="890"/>
      <c r="D77" s="890"/>
      <c r="E77" s="890"/>
      <c r="F77" s="890"/>
      <c r="G77" s="890"/>
      <c r="H77" s="890"/>
      <c r="I77" s="890"/>
      <c r="J77" s="890"/>
      <c r="K77" s="891"/>
      <c r="L77" s="526">
        <f>SUM(L9:L76)</f>
        <v>23508.401399999995</v>
      </c>
      <c r="M77" s="407"/>
    </row>
    <row r="78" spans="1:15" s="430" customFormat="1" ht="25.15" customHeight="1">
      <c r="A78" s="413"/>
      <c r="B78" s="413"/>
      <c r="C78" s="413"/>
      <c r="D78" s="665"/>
      <c r="E78" s="414"/>
      <c r="F78" s="414"/>
      <c r="G78" s="413"/>
      <c r="H78" s="415"/>
      <c r="I78" s="415"/>
      <c r="J78" s="527"/>
      <c r="K78" s="416"/>
      <c r="L78" s="527"/>
      <c r="M78" s="516"/>
    </row>
    <row r="79" spans="1:15" s="448" customFormat="1" ht="20.25" customHeight="1">
      <c r="A79" s="446"/>
      <c r="B79" s="843" t="s">
        <v>85</v>
      </c>
      <c r="C79" s="843"/>
      <c r="D79" s="843"/>
      <c r="E79" s="447"/>
      <c r="G79" s="514"/>
      <c r="H79" s="492"/>
      <c r="I79" s="493"/>
      <c r="J79" s="531"/>
      <c r="K79" s="462" t="s">
        <v>82</v>
      </c>
      <c r="L79" s="528"/>
      <c r="M79" s="517"/>
    </row>
    <row r="80" spans="1:15" s="450" customFormat="1" ht="25.15" customHeight="1">
      <c r="A80" s="413"/>
      <c r="B80" s="413"/>
      <c r="C80" s="413"/>
      <c r="D80" s="665"/>
      <c r="E80" s="414"/>
      <c r="F80" s="414"/>
      <c r="G80" s="413"/>
      <c r="H80" s="415"/>
      <c r="I80" s="415"/>
      <c r="J80" s="527"/>
      <c r="K80" s="417"/>
      <c r="L80" s="529"/>
      <c r="M80" s="419"/>
    </row>
    <row r="81" spans="1:23" s="450" customFormat="1" ht="22.9" customHeight="1">
      <c r="A81" s="413"/>
      <c r="B81" s="413"/>
      <c r="C81" s="413"/>
      <c r="D81" s="665"/>
      <c r="E81" s="414"/>
      <c r="F81" s="414"/>
      <c r="G81" s="413"/>
      <c r="H81" s="415"/>
      <c r="I81" s="415"/>
      <c r="J81" s="527"/>
      <c r="K81" s="417"/>
      <c r="L81" s="529"/>
      <c r="M81" s="419"/>
    </row>
    <row r="82" spans="1:23" s="450" customFormat="1" ht="22.9" customHeight="1">
      <c r="A82" s="413"/>
      <c r="B82" s="413"/>
      <c r="C82" s="413"/>
      <c r="D82" s="665"/>
      <c r="E82" s="414"/>
      <c r="F82" s="657">
        <v>6</v>
      </c>
      <c r="G82" s="642" t="s">
        <v>107</v>
      </c>
      <c r="H82" s="415"/>
      <c r="I82" s="415"/>
      <c r="J82" s="527"/>
      <c r="K82" s="417"/>
      <c r="L82" s="529"/>
      <c r="M82" s="419"/>
      <c r="O82" s="413"/>
      <c r="P82" s="645"/>
      <c r="Q82" s="414"/>
      <c r="R82" s="414"/>
      <c r="S82" s="413"/>
      <c r="T82" s="413"/>
      <c r="U82" s="641"/>
      <c r="V82" s="641"/>
      <c r="W82" s="642"/>
    </row>
    <row r="83" spans="1:23" s="450" customFormat="1" ht="22.9" customHeight="1">
      <c r="A83" s="413"/>
      <c r="B83" s="413"/>
      <c r="C83" s="413"/>
      <c r="D83" s="666"/>
      <c r="E83" s="414"/>
      <c r="F83" s="657">
        <v>8</v>
      </c>
      <c r="G83" s="642" t="s">
        <v>107</v>
      </c>
      <c r="H83" s="642"/>
      <c r="I83" s="642"/>
      <c r="J83" s="527"/>
      <c r="K83" s="417"/>
      <c r="L83" s="529"/>
      <c r="M83" s="419"/>
      <c r="O83" s="413"/>
      <c r="P83" s="645"/>
      <c r="Q83" s="414"/>
      <c r="R83" s="414"/>
      <c r="S83" s="413"/>
      <c r="T83" s="413"/>
      <c r="U83" s="641"/>
      <c r="V83" s="641"/>
      <c r="W83" s="642"/>
    </row>
    <row r="84" spans="1:23" s="450" customFormat="1" ht="22.9" customHeight="1">
      <c r="A84" s="413"/>
      <c r="B84" s="413"/>
      <c r="C84" s="413"/>
      <c r="D84" s="666"/>
      <c r="E84" s="414"/>
      <c r="F84" s="657">
        <v>10</v>
      </c>
      <c r="G84" s="642" t="s">
        <v>107</v>
      </c>
      <c r="H84" s="642"/>
      <c r="I84" s="642"/>
      <c r="J84" s="527"/>
      <c r="K84" s="417"/>
      <c r="L84" s="529"/>
      <c r="M84" s="419"/>
      <c r="O84" s="413"/>
      <c r="P84" s="645"/>
      <c r="Q84" s="414"/>
      <c r="R84" s="414"/>
      <c r="S84" s="413"/>
      <c r="T84" s="413"/>
      <c r="U84" s="641"/>
      <c r="V84" s="641"/>
      <c r="W84" s="642"/>
    </row>
    <row r="85" spans="1:23" ht="22.9" customHeight="1">
      <c r="B85" s="413"/>
      <c r="C85" s="413"/>
      <c r="D85" s="666"/>
      <c r="E85" s="414"/>
      <c r="F85" s="658">
        <v>12</v>
      </c>
      <c r="G85" s="642" t="s">
        <v>107</v>
      </c>
      <c r="H85" s="642"/>
      <c r="O85" s="413"/>
      <c r="P85" s="645"/>
      <c r="Q85" s="414"/>
      <c r="S85" s="413"/>
      <c r="T85" s="413"/>
      <c r="U85" s="641"/>
      <c r="V85" s="641"/>
      <c r="W85" s="642"/>
    </row>
    <row r="86" spans="1:23" ht="15.75">
      <c r="C86" s="413"/>
      <c r="D86" s="666"/>
      <c r="E86" s="414"/>
      <c r="F86" s="453">
        <v>14</v>
      </c>
      <c r="G86" s="642" t="s">
        <v>107</v>
      </c>
      <c r="H86" s="641"/>
    </row>
    <row r="87" spans="1:23" ht="15.75">
      <c r="C87" s="413"/>
      <c r="D87" s="666"/>
      <c r="E87" s="414"/>
      <c r="F87" s="453">
        <v>16</v>
      </c>
      <c r="G87" s="642" t="s">
        <v>107</v>
      </c>
      <c r="H87" s="641"/>
    </row>
    <row r="88" spans="1:23" ht="15.75">
      <c r="C88" s="413"/>
      <c r="D88" s="666"/>
      <c r="E88" s="414"/>
      <c r="G88" s="413"/>
      <c r="H88" s="647"/>
    </row>
    <row r="89" spans="1:23" ht="15.75">
      <c r="C89" s="413"/>
      <c r="D89" s="666"/>
      <c r="E89" s="414"/>
      <c r="G89" s="413"/>
      <c r="H89" s="647"/>
    </row>
    <row r="90" spans="1:23" ht="15.75">
      <c r="C90" s="413"/>
      <c r="D90" s="666"/>
      <c r="E90" s="414"/>
      <c r="G90" s="413"/>
      <c r="H90" s="647"/>
    </row>
  </sheetData>
  <mergeCells count="30">
    <mergeCell ref="C7:E7"/>
    <mergeCell ref="A9:A10"/>
    <mergeCell ref="H5:H6"/>
    <mergeCell ref="I5:I6"/>
    <mergeCell ref="A1:M1"/>
    <mergeCell ref="A2:M2"/>
    <mergeCell ref="A3:M3"/>
    <mergeCell ref="A5:A6"/>
    <mergeCell ref="B5:B6"/>
    <mergeCell ref="C5:E6"/>
    <mergeCell ref="F5:F6"/>
    <mergeCell ref="G5:G6"/>
    <mergeCell ref="M5:M6"/>
    <mergeCell ref="J5:J6"/>
    <mergeCell ref="K5:K6"/>
    <mergeCell ref="L5:L6"/>
    <mergeCell ref="B79:D79"/>
    <mergeCell ref="A12:A13"/>
    <mergeCell ref="A16:A17"/>
    <mergeCell ref="A19:A20"/>
    <mergeCell ref="A23:A24"/>
    <mergeCell ref="A27:A28"/>
    <mergeCell ref="A25:A26"/>
    <mergeCell ref="A29:A30"/>
    <mergeCell ref="A32:A33"/>
    <mergeCell ref="A77:K77"/>
    <mergeCell ref="A35:A36"/>
    <mergeCell ref="A56:A76"/>
    <mergeCell ref="A39:A40"/>
    <mergeCell ref="A42:A43"/>
  </mergeCells>
  <phoneticPr fontId="180" type="noConversion"/>
  <printOptions horizontalCentered="1"/>
  <pageMargins left="0.47244094488188981" right="0.15748031496062992" top="0.39370078740157483" bottom="0.39370078740157483" header="0.27559055118110237" footer="0.19685039370078741"/>
  <pageSetup paperSize="9" scale="93" fitToHeight="0" orientation="landscape" r:id="rId1"/>
  <headerFooter>
    <oddFooter>&amp;C&amp;P/&amp;N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70C7-E0C7-4569-91C2-6BC6FFC534E3}">
  <sheetPr codeName="Sheet17"/>
  <dimension ref="A1:N8"/>
  <sheetViews>
    <sheetView workbookViewId="0">
      <selection activeCell="S9" sqref="S9"/>
    </sheetView>
  </sheetViews>
  <sheetFormatPr defaultRowHeight="15.75"/>
  <cols>
    <col min="2" max="2" width="4.75" bestFit="1" customWidth="1"/>
    <col min="3" max="3" width="1.875" bestFit="1" customWidth="1"/>
    <col min="4" max="4" width="2.875" bestFit="1" customWidth="1"/>
    <col min="8" max="8" width="10.75" customWidth="1"/>
    <col min="11" max="11" width="11.375" customWidth="1"/>
    <col min="13" max="13" width="9" customWidth="1"/>
    <col min="14" max="14" width="9.875" bestFit="1" customWidth="1"/>
  </cols>
  <sheetData>
    <row r="1" spans="1:14">
      <c r="A1" s="899" t="s">
        <v>0</v>
      </c>
      <c r="B1" s="901" t="s">
        <v>330</v>
      </c>
      <c r="C1" s="902"/>
      <c r="D1" s="903"/>
      <c r="E1" s="907" t="s">
        <v>114</v>
      </c>
      <c r="F1" s="907"/>
      <c r="G1" s="907"/>
      <c r="H1" s="907"/>
      <c r="I1" s="907"/>
      <c r="J1" s="895" t="s">
        <v>331</v>
      </c>
      <c r="K1" s="895" t="s">
        <v>332</v>
      </c>
      <c r="L1" s="896" t="s">
        <v>333</v>
      </c>
      <c r="M1" s="892" t="s">
        <v>350</v>
      </c>
      <c r="N1" s="893"/>
    </row>
    <row r="2" spans="1:14">
      <c r="A2" s="900"/>
      <c r="B2" s="904"/>
      <c r="C2" s="905"/>
      <c r="D2" s="906"/>
      <c r="E2" s="494" t="s">
        <v>337</v>
      </c>
      <c r="F2" s="494" t="s">
        <v>338</v>
      </c>
      <c r="G2" s="494" t="s">
        <v>339</v>
      </c>
      <c r="H2" s="494" t="s">
        <v>340</v>
      </c>
      <c r="I2" s="494" t="s">
        <v>334</v>
      </c>
      <c r="J2" s="895"/>
      <c r="K2" s="895"/>
      <c r="L2" s="896"/>
      <c r="M2" s="892"/>
      <c r="N2" s="894"/>
    </row>
    <row r="3" spans="1:14">
      <c r="A3" s="495">
        <v>1</v>
      </c>
      <c r="B3" s="496" t="s">
        <v>335</v>
      </c>
      <c r="C3" s="497" t="s">
        <v>336</v>
      </c>
      <c r="D3" s="498">
        <v>6</v>
      </c>
      <c r="E3" s="499" t="e">
        <f>SUMIF('thép dầm bồn cây'!#REF!,D3,'thép dầm bồn cây'!#REF!)</f>
        <v>#REF!</v>
      </c>
      <c r="F3" s="499">
        <f>SUMIF('thép vách bồn cây'!$F$9:$F$12,D3,'thép vách bồn cây'!$M$9:$M$12)</f>
        <v>44.82</v>
      </c>
      <c r="G3" s="499">
        <f>SUMIF('thép sàn bồn cây'!$F$10:$F$143,D3,'thép sàn bồn cây'!$M$10:$M$143)</f>
        <v>0</v>
      </c>
      <c r="H3" s="499" t="e">
        <f>SUMIF(#REF!,D3,#REF!)</f>
        <v>#REF!</v>
      </c>
      <c r="I3" s="499" t="e">
        <f>SUM(E3:H3)</f>
        <v>#REF!</v>
      </c>
      <c r="J3" s="502">
        <v>0.222</v>
      </c>
      <c r="K3" s="499" t="e">
        <f>I3*J3</f>
        <v>#REF!</v>
      </c>
      <c r="L3" s="520"/>
      <c r="M3" s="522">
        <v>200</v>
      </c>
      <c r="N3" s="522">
        <f>M3</f>
        <v>200</v>
      </c>
    </row>
    <row r="4" spans="1:14">
      <c r="A4" s="495">
        <v>2</v>
      </c>
      <c r="B4" s="496" t="s">
        <v>335</v>
      </c>
      <c r="C4" s="497" t="s">
        <v>336</v>
      </c>
      <c r="D4" s="498">
        <v>10</v>
      </c>
      <c r="E4" s="499" t="e">
        <f>SUMIF('thép dầm bồn cây'!#REF!,D4,'thép dầm bồn cây'!#REF!)</f>
        <v>#REF!</v>
      </c>
      <c r="F4" s="499">
        <f>SUMIF('thép vách bồn cây'!$F$9:$F$12,D4,'thép vách bồn cây'!$M$9:$M$12)</f>
        <v>1675.11</v>
      </c>
      <c r="G4" s="499">
        <f>SUMIF('thép sàn bồn cây'!$F$10:$F$143,D4,'thép sàn bồn cây'!$M$10:$M$143)</f>
        <v>16124.828</v>
      </c>
      <c r="H4" s="499" t="e">
        <f>SUMIF(#REF!,D4,#REF!)</f>
        <v>#REF!</v>
      </c>
      <c r="I4" s="499" t="e">
        <f t="shared" ref="I4:I6" si="0">SUM(E4:H4)</f>
        <v>#REF!</v>
      </c>
      <c r="J4" s="502">
        <v>0.61699999999999999</v>
      </c>
      <c r="K4" s="499" t="e">
        <f t="shared" ref="K4:K6" si="1">I4*J4</f>
        <v>#REF!</v>
      </c>
      <c r="L4" s="521" t="e">
        <f t="shared" ref="L4:L6" si="2">ROUNDUP(I4/11.7,0)</f>
        <v>#REF!</v>
      </c>
      <c r="M4" s="522">
        <v>1440</v>
      </c>
      <c r="N4" s="499">
        <f>M4*J4*11.7</f>
        <v>10395.216</v>
      </c>
    </row>
    <row r="5" spans="1:14">
      <c r="A5" s="495">
        <v>3</v>
      </c>
      <c r="B5" s="496" t="s">
        <v>335</v>
      </c>
      <c r="C5" s="497" t="s">
        <v>336</v>
      </c>
      <c r="D5" s="498">
        <v>12</v>
      </c>
      <c r="E5" s="499" t="e">
        <f>SUMIF('thép dầm bồn cây'!#REF!,D5,'thép dầm bồn cây'!#REF!)</f>
        <v>#REF!</v>
      </c>
      <c r="F5" s="499">
        <f>SUMIF('thép vách bồn cây'!$F$9:$F$12,D5,'thép vách bồn cây'!$M$9:$M$12)</f>
        <v>0</v>
      </c>
      <c r="G5" s="499">
        <f>SUMIF('thép sàn bồn cây'!$F$10:$F$143,D5,'thép sàn bồn cây'!$M$10:$M$143)</f>
        <v>0</v>
      </c>
      <c r="H5" s="499" t="e">
        <f>SUMIF(#REF!,D5,#REF!)</f>
        <v>#REF!</v>
      </c>
      <c r="I5" s="499" t="e">
        <f t="shared" si="0"/>
        <v>#REF!</v>
      </c>
      <c r="J5" s="502">
        <v>0.88800000000000001</v>
      </c>
      <c r="K5" s="499" t="e">
        <f t="shared" si="1"/>
        <v>#REF!</v>
      </c>
      <c r="L5" s="521" t="e">
        <f t="shared" si="2"/>
        <v>#REF!</v>
      </c>
      <c r="M5" s="522">
        <v>8600</v>
      </c>
      <c r="N5" s="499">
        <f t="shared" ref="N5:N6" si="3">M5*J5*11.7</f>
        <v>89350.56</v>
      </c>
    </row>
    <row r="6" spans="1:14">
      <c r="A6" s="495">
        <v>4</v>
      </c>
      <c r="B6" s="496" t="s">
        <v>335</v>
      </c>
      <c r="C6" s="497" t="s">
        <v>336</v>
      </c>
      <c r="D6" s="498">
        <v>16</v>
      </c>
      <c r="E6" s="499" t="e">
        <f>SUMIF('thép dầm bồn cây'!#REF!,D6,'thép dầm bồn cây'!#REF!)</f>
        <v>#REF!</v>
      </c>
      <c r="F6" s="499">
        <f>SUMIF('thép vách bồn cây'!$F$9:$F$12,D6,'thép vách bồn cây'!$M$9:$M$12)</f>
        <v>0</v>
      </c>
      <c r="G6" s="499">
        <f>SUMIF('thép sàn bồn cây'!$F$10:$F$143,D6,'thép sàn bồn cây'!$M$10:$M$143)</f>
        <v>0</v>
      </c>
      <c r="H6" s="499" t="e">
        <f>SUMIF(#REF!,D6,#REF!)</f>
        <v>#REF!</v>
      </c>
      <c r="I6" s="499" t="e">
        <f t="shared" si="0"/>
        <v>#REF!</v>
      </c>
      <c r="J6" s="502">
        <v>1.58</v>
      </c>
      <c r="K6" s="499" t="e">
        <f t="shared" si="1"/>
        <v>#REF!</v>
      </c>
      <c r="L6" s="521" t="e">
        <f t="shared" si="2"/>
        <v>#REF!</v>
      </c>
      <c r="M6" s="522">
        <v>380</v>
      </c>
      <c r="N6" s="499">
        <f t="shared" si="3"/>
        <v>7024.6799999999994</v>
      </c>
    </row>
    <row r="7" spans="1:14">
      <c r="A7" s="896" t="s">
        <v>334</v>
      </c>
      <c r="B7" s="897"/>
      <c r="C7" s="897"/>
      <c r="D7" s="897"/>
      <c r="E7" s="897"/>
      <c r="F7" s="897"/>
      <c r="G7" s="897"/>
      <c r="H7" s="897"/>
      <c r="I7" s="897"/>
      <c r="J7" s="898"/>
      <c r="K7" s="500" t="e">
        <f>SUM(K3:K6)</f>
        <v>#REF!</v>
      </c>
      <c r="L7" s="507"/>
      <c r="M7" s="522"/>
      <c r="N7" s="500">
        <f>SUM(N3:N6)</f>
        <v>106970.45599999999</v>
      </c>
    </row>
    <row r="8" spans="1:14">
      <c r="M8" s="522"/>
      <c r="N8" s="523" t="e">
        <f>(N7-K7)/N7</f>
        <v>#REF!</v>
      </c>
    </row>
  </sheetData>
  <mergeCells count="9">
    <mergeCell ref="M1:M2"/>
    <mergeCell ref="N1:N2"/>
    <mergeCell ref="K1:K2"/>
    <mergeCell ref="L1:L2"/>
    <mergeCell ref="A7:J7"/>
    <mergeCell ref="A1:A2"/>
    <mergeCell ref="B1:D2"/>
    <mergeCell ref="E1:I1"/>
    <mergeCell ref="J1:J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25</vt:i4>
      </vt:variant>
    </vt:vector>
  </HeadingPairs>
  <TitlesOfParts>
    <vt:vector size="41" baseType="lpstr">
      <vt:lpstr>01-Bia</vt:lpstr>
      <vt:lpstr>01-Công văn </vt:lpstr>
      <vt:lpstr>02.1-ĐNTT</vt:lpstr>
      <vt:lpstr>02.2 ĐNTT</vt:lpstr>
      <vt:lpstr>03-GTHT DOT...</vt:lpstr>
      <vt:lpstr>04-THKL DOT...</vt:lpstr>
      <vt:lpstr>CTKL DOT...</vt:lpstr>
      <vt:lpstr>đối trừ đợt 2</vt:lpstr>
      <vt:lpstr>thép dầm bồn cây</vt:lpstr>
      <vt:lpstr>thép vách giếng gió</vt:lpstr>
      <vt:lpstr>thép vách bồn cây</vt:lpstr>
      <vt:lpstr>thép sàn bồn cây</vt:lpstr>
      <vt:lpstr>thép dầm bể bơi</vt:lpstr>
      <vt:lpstr>thép vách bể bơi</vt:lpstr>
      <vt:lpstr>thép sàn bể bơi</vt:lpstr>
      <vt:lpstr>tổng hợp thép</vt:lpstr>
      <vt:lpstr>'01-Bia'!Print_Area</vt:lpstr>
      <vt:lpstr>'01-Công văn '!Print_Area</vt:lpstr>
      <vt:lpstr>'02.1-ĐNTT'!Print_Area</vt:lpstr>
      <vt:lpstr>'02.2 ĐNTT'!Print_Area</vt:lpstr>
      <vt:lpstr>'03-GTHT DOT...'!Print_Area</vt:lpstr>
      <vt:lpstr>'04-THKL DOT...'!Print_Area</vt:lpstr>
      <vt:lpstr>'CTKL DOT...'!Print_Area</vt:lpstr>
      <vt:lpstr>'thép dầm bể bơi'!Print_Area</vt:lpstr>
      <vt:lpstr>'thép dầm bồn cây'!Print_Area</vt:lpstr>
      <vt:lpstr>'thép sàn bể bơi'!Print_Area</vt:lpstr>
      <vt:lpstr>'thép sàn bồn cây'!Print_Area</vt:lpstr>
      <vt:lpstr>'thép vách bể bơi'!Print_Area</vt:lpstr>
      <vt:lpstr>'thép vách bồn cây'!Print_Area</vt:lpstr>
      <vt:lpstr>'thép vách giếng gió'!Print_Area</vt:lpstr>
      <vt:lpstr>'02.1-ĐNTT'!Print_Titles</vt:lpstr>
      <vt:lpstr>'03-GTHT DOT...'!Print_Titles</vt:lpstr>
      <vt:lpstr>'04-THKL DOT...'!Print_Titles</vt:lpstr>
      <vt:lpstr>'CTKL DOT...'!Print_Titles</vt:lpstr>
      <vt:lpstr>'thép dầm bể bơi'!Print_Titles</vt:lpstr>
      <vt:lpstr>'thép dầm bồn cây'!Print_Titles</vt:lpstr>
      <vt:lpstr>'thép sàn bể bơi'!Print_Titles</vt:lpstr>
      <vt:lpstr>'thép sàn bồn cây'!Print_Titles</vt:lpstr>
      <vt:lpstr>'thép vách bể bơi'!Print_Titles</vt:lpstr>
      <vt:lpstr>'thép vách bồn cây'!Print_Titles</vt:lpstr>
      <vt:lpstr>'thép vách giếng gió'!Print_Titles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Nguyễn Mạnh Đạt</cp:lastModifiedBy>
  <cp:lastPrinted>2025-09-10T07:57:28Z</cp:lastPrinted>
  <dcterms:created xsi:type="dcterms:W3CDTF">2017-03-22T02:11:38Z</dcterms:created>
  <dcterms:modified xsi:type="dcterms:W3CDTF">2025-09-13T04:49:42Z</dcterms:modified>
</cp:coreProperties>
</file>